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au\Desktop\Apdoroti duomenys\"/>
    </mc:Choice>
  </mc:AlternateContent>
  <xr:revisionPtr revIDLastSave="0" documentId="13_ncr:1_{2A190F61-980E-481E-93A2-2B93828E448F}" xr6:coauthVersionLast="47" xr6:coauthVersionMax="47" xr10:uidLastSave="{00000000-0000-0000-0000-000000000000}"/>
  <bookViews>
    <workbookView xWindow="11424" yWindow="0" windowWidth="11712" windowHeight="12336" xr2:uid="{AC131078-83C9-4772-9005-8319C9058369}"/>
  </bookViews>
  <sheets>
    <sheet name="HeuristicVSRandom" sheetId="3" r:id="rId1"/>
    <sheet name="HeuristicVSScoreDiffAvg" sheetId="2" r:id="rId2"/>
    <sheet name="HeuristicVSScoreDiffMax" sheetId="4" r:id="rId3"/>
    <sheet name="HeuristicVSScoreTotalAvg" sheetId="5" r:id="rId4"/>
    <sheet name="HeuristicVSVisitDiffAvg" sheetId="6" r:id="rId5"/>
    <sheet name="HeuristicVSVisitTotalAvg" sheetId="7" r:id="rId6"/>
    <sheet name="HeuristicVSVisitDiffMax" sheetId="8" r:id="rId7"/>
    <sheet name="HeuristicVSScoreTotalMax" sheetId="9" r:id="rId8"/>
    <sheet name="HeuristicVSVisitTotalMax" sheetId="10" r:id="rId9"/>
    <sheet name="ScoreDiffAvgVSScoreDiffMax" sheetId="11" r:id="rId10"/>
    <sheet name="ScoreDiffAvgVSScoreTotalAvg" sheetId="12" r:id="rId11"/>
    <sheet name="ScoreDiffAvgVSVisitDiffAvg" sheetId="13" r:id="rId12"/>
    <sheet name="ScoreDiffAvgVSVisitTotalAvg" sheetId="14" r:id="rId13"/>
    <sheet name="ScoreDiffAvgVSVisitDiffMax" sheetId="15" r:id="rId14"/>
    <sheet name="ScoreDiffAvgVSScoreTotalMax" sheetId="16" r:id="rId15"/>
    <sheet name="ScoreDiffAvgVSVisitTotalMax" sheetId="17" r:id="rId16"/>
    <sheet name="ScoreDiffMaxVSScoreTotalAvg" sheetId="18" r:id="rId17"/>
    <sheet name="ScoreDiffMaxVSVisitDiffAvg" sheetId="19" r:id="rId18"/>
    <sheet name="ScoreDiffMaxVSVisitTotalAvg" sheetId="20" r:id="rId19"/>
    <sheet name="ScoreDiffMaxVSVisitDiffMax" sheetId="21" r:id="rId20"/>
    <sheet name="ScoreDiffMaxVSScoreTotalMax" sheetId="22" r:id="rId21"/>
    <sheet name="ScoreDiffMaxVSVisitTotalMax" sheetId="23" r:id="rId22"/>
    <sheet name="ScoreTotalAvgVSVisitDiffAvg" sheetId="24" r:id="rId23"/>
    <sheet name="ScoreTotalAvgVSVisitTotalAvg" sheetId="25" r:id="rId24"/>
    <sheet name="ScoreTotalAvgVSVisitDiffMax" sheetId="26" r:id="rId25"/>
    <sheet name="ScoreTotalAvgVSScoreTotalMax" sheetId="27" r:id="rId26"/>
    <sheet name="ScoreTotalAvgVSVisitTotalMax" sheetId="28" r:id="rId27"/>
    <sheet name="VisitDiffAvgVSVisitTotalAvg" sheetId="29" r:id="rId28"/>
    <sheet name="VisitDiffAvgVSVisitDiffMax" sheetId="30" r:id="rId29"/>
    <sheet name="VisitDiffAvgVSScoreTotalMax" sheetId="31" r:id="rId30"/>
    <sheet name="VisitDiffAvgVSVisitTotalMax" sheetId="32" r:id="rId31"/>
    <sheet name="VisitTotalAvgVSVisitDiffMax" sheetId="33" r:id="rId32"/>
    <sheet name="VisitTotalAvgVSScoreTotalMax" sheetId="34" r:id="rId33"/>
    <sheet name="VisitTotalAvgVSVisitTotalMax" sheetId="35" r:id="rId34"/>
    <sheet name="VisitDiffMaxVSScoreTotalMax" sheetId="36" r:id="rId35"/>
    <sheet name="VisitDiffMaxVSVisitTotalMax" sheetId="37" r:id="rId36"/>
    <sheet name="ScoreTotalMaxVSVisitTotalMax" sheetId="38" r:id="rId37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3" l="1"/>
  <c r="V4" i="3" a="1"/>
  <c r="V4" i="3" s="1"/>
  <c r="U4" i="3" a="1"/>
  <c r="U4" i="3" s="1"/>
  <c r="T4" i="3" a="1"/>
  <c r="T4" i="3" s="1"/>
  <c r="T3" i="2" a="1"/>
  <c r="T3" i="2" s="1"/>
  <c r="T3" i="4" a="1"/>
  <c r="T3" i="4" s="1"/>
  <c r="T3" i="5" a="1"/>
  <c r="T3" i="5" s="1"/>
  <c r="T3" i="6" a="1"/>
  <c r="T3" i="6" s="1"/>
  <c r="T3" i="7" a="1"/>
  <c r="T3" i="7" s="1"/>
  <c r="T3" i="8" a="1"/>
  <c r="T3" i="8" s="1"/>
  <c r="T3" i="9" a="1"/>
  <c r="T3" i="9" s="1"/>
  <c r="T3" i="10" a="1"/>
  <c r="T3" i="10" s="1"/>
  <c r="T3" i="11" a="1"/>
  <c r="T3" i="11" s="1"/>
  <c r="T3" i="12" a="1"/>
  <c r="T3" i="12" s="1"/>
  <c r="T3" i="13" a="1"/>
  <c r="T3" i="13" s="1"/>
  <c r="T3" i="14" a="1"/>
  <c r="T3" i="14" s="1"/>
  <c r="T3" i="15" a="1"/>
  <c r="T3" i="15" s="1"/>
  <c r="T3" i="16" a="1"/>
  <c r="T3" i="16" s="1"/>
  <c r="T3" i="17" a="1"/>
  <c r="T3" i="17" s="1"/>
  <c r="T3" i="18" a="1"/>
  <c r="T3" i="18" s="1"/>
  <c r="T3" i="19" a="1"/>
  <c r="T3" i="19" s="1"/>
  <c r="T3" i="20" a="1"/>
  <c r="T3" i="20" s="1"/>
  <c r="T3" i="21" a="1"/>
  <c r="T3" i="21" s="1"/>
  <c r="T3" i="22" a="1"/>
  <c r="T3" i="22" s="1"/>
  <c r="T3" i="23" a="1"/>
  <c r="T3" i="23" s="1"/>
  <c r="T3" i="24" a="1"/>
  <c r="T3" i="24" s="1"/>
  <c r="T3" i="25" a="1"/>
  <c r="T3" i="25" s="1"/>
  <c r="T3" i="26" a="1"/>
  <c r="T3" i="26" s="1"/>
  <c r="T3" i="27" a="1"/>
  <c r="T3" i="27" s="1"/>
  <c r="T3" i="28" a="1"/>
  <c r="T3" i="28" s="1"/>
  <c r="T3" i="29" a="1"/>
  <c r="T3" i="29" s="1"/>
  <c r="T3" i="30" a="1"/>
  <c r="T3" i="30" s="1"/>
  <c r="T3" i="31" a="1"/>
  <c r="T3" i="31" s="1"/>
  <c r="T3" i="32" a="1"/>
  <c r="T3" i="32" s="1"/>
  <c r="T3" i="33" a="1"/>
  <c r="T3" i="33" s="1"/>
  <c r="T3" i="34" a="1"/>
  <c r="T3" i="34" s="1"/>
  <c r="T3" i="35" a="1"/>
  <c r="T3" i="35" s="1"/>
  <c r="T3" i="36" a="1"/>
  <c r="T3" i="36" s="1"/>
  <c r="T3" i="37" a="1"/>
  <c r="T3" i="37" s="1"/>
  <c r="T3" i="38" a="1"/>
  <c r="T3" i="38" s="1"/>
  <c r="Q14" i="38" a="1"/>
  <c r="Q14" i="38" s="1"/>
  <c r="O14" i="38" a="1"/>
  <c r="O14" i="38" s="1"/>
  <c r="M14" i="38" a="1"/>
  <c r="M14" i="38" s="1"/>
  <c r="Q12" i="38" a="1"/>
  <c r="Q12" i="38" s="1"/>
  <c r="O12" i="38" a="1"/>
  <c r="O12" i="38" s="1"/>
  <c r="M12" i="38"/>
  <c r="Q10" i="38"/>
  <c r="Q10" i="38" a="1"/>
  <c r="O10" i="38" a="1"/>
  <c r="O10" i="38" s="1"/>
  <c r="M10" i="38"/>
  <c r="Q5" i="38"/>
  <c r="O5" i="38"/>
  <c r="M5" i="38"/>
  <c r="Q3" i="38"/>
  <c r="O3" i="38"/>
  <c r="M3" i="38"/>
  <c r="Q14" i="37"/>
  <c r="Q14" i="37" a="1"/>
  <c r="O14" i="37"/>
  <c r="O14" i="37" a="1"/>
  <c r="M14" i="37" a="1"/>
  <c r="M14" i="37" s="1"/>
  <c r="Q12" i="37" a="1"/>
  <c r="Q12" i="37" s="1"/>
  <c r="O12" i="37"/>
  <c r="O12" i="37" a="1"/>
  <c r="M12" i="37"/>
  <c r="Q10" i="37" a="1"/>
  <c r="Q10" i="37" s="1"/>
  <c r="O10" i="37"/>
  <c r="O10" i="37" a="1"/>
  <c r="M10" i="37"/>
  <c r="Q5" i="37"/>
  <c r="O5" i="37"/>
  <c r="M5" i="37"/>
  <c r="Q3" i="37"/>
  <c r="O3" i="37"/>
  <c r="M3" i="37"/>
  <c r="Q14" i="36" a="1"/>
  <c r="Q14" i="36" s="1"/>
  <c r="O14" i="36" a="1"/>
  <c r="O14" i="36" s="1"/>
  <c r="M14" i="36" a="1"/>
  <c r="M14" i="36" s="1"/>
  <c r="Q12" i="36" a="1"/>
  <c r="Q12" i="36" s="1"/>
  <c r="O12" i="36" a="1"/>
  <c r="O12" i="36" s="1"/>
  <c r="M12" i="36"/>
  <c r="Q10" i="36"/>
  <c r="Q10" i="36" a="1"/>
  <c r="O10" i="36" a="1"/>
  <c r="O10" i="36" s="1"/>
  <c r="M10" i="36"/>
  <c r="Q5" i="36"/>
  <c r="O5" i="36"/>
  <c r="M5" i="36"/>
  <c r="Q3" i="36"/>
  <c r="O3" i="36"/>
  <c r="M3" i="36"/>
  <c r="Q14" i="35" a="1"/>
  <c r="Q14" i="35" s="1"/>
  <c r="O14" i="35" a="1"/>
  <c r="O14" i="35" s="1"/>
  <c r="M14" i="35" a="1"/>
  <c r="M14" i="35" s="1"/>
  <c r="Q12" i="35" a="1"/>
  <c r="Q12" i="35" s="1"/>
  <c r="O12" i="35" a="1"/>
  <c r="O12" i="35" s="1"/>
  <c r="M12" i="35"/>
  <c r="Q10" i="35"/>
  <c r="Q10" i="35" a="1"/>
  <c r="O10" i="35"/>
  <c r="O10" i="35" a="1"/>
  <c r="M10" i="35"/>
  <c r="Q5" i="35"/>
  <c r="O5" i="35"/>
  <c r="M5" i="35"/>
  <c r="Q3" i="35"/>
  <c r="O3" i="35"/>
  <c r="M3" i="35"/>
  <c r="Q14" i="34" a="1"/>
  <c r="Q14" i="34" s="1"/>
  <c r="O14" i="34" a="1"/>
  <c r="O14" i="34" s="1"/>
  <c r="M14" i="34"/>
  <c r="M14" i="34" a="1"/>
  <c r="Q12" i="34" a="1"/>
  <c r="Q12" i="34" s="1"/>
  <c r="O12" i="34" a="1"/>
  <c r="O12" i="34" s="1"/>
  <c r="M12" i="34"/>
  <c r="Q10" i="34" a="1"/>
  <c r="Q10" i="34" s="1"/>
  <c r="O10" i="34" a="1"/>
  <c r="O10" i="34" s="1"/>
  <c r="M10" i="34"/>
  <c r="Q5" i="34"/>
  <c r="O5" i="34"/>
  <c r="M5" i="34"/>
  <c r="Q3" i="34"/>
  <c r="O3" i="34"/>
  <c r="M3" i="34"/>
  <c r="Q14" i="33"/>
  <c r="Q14" i="33" a="1"/>
  <c r="O14" i="33"/>
  <c r="O14" i="33" a="1"/>
  <c r="M14" i="33" a="1"/>
  <c r="M14" i="33" s="1"/>
  <c r="Q12" i="33" a="1"/>
  <c r="Q12" i="33" s="1"/>
  <c r="O12" i="33"/>
  <c r="O12" i="33" a="1"/>
  <c r="M12" i="33"/>
  <c r="Q10" i="33" a="1"/>
  <c r="Q10" i="33" s="1"/>
  <c r="O10" i="33"/>
  <c r="O10" i="33" a="1"/>
  <c r="M10" i="33"/>
  <c r="Q5" i="33"/>
  <c r="O5" i="33"/>
  <c r="M5" i="33"/>
  <c r="Q3" i="33"/>
  <c r="O3" i="33"/>
  <c r="M3" i="33"/>
  <c r="Q14" i="32" a="1"/>
  <c r="Q14" i="32" s="1"/>
  <c r="O14" i="32" a="1"/>
  <c r="O14" i="32" s="1"/>
  <c r="M14" i="32"/>
  <c r="M14" i="32" a="1"/>
  <c r="Q12" i="32" a="1"/>
  <c r="Q12" i="32" s="1"/>
  <c r="O12" i="32" a="1"/>
  <c r="O12" i="32" s="1"/>
  <c r="M12" i="32"/>
  <c r="Q10" i="32" a="1"/>
  <c r="Q10" i="32" s="1"/>
  <c r="O10" i="32" a="1"/>
  <c r="O10" i="32" s="1"/>
  <c r="M10" i="32"/>
  <c r="Q5" i="32"/>
  <c r="O5" i="32"/>
  <c r="M5" i="32"/>
  <c r="Q3" i="32"/>
  <c r="O3" i="32"/>
  <c r="M3" i="32"/>
  <c r="Q14" i="31" a="1"/>
  <c r="Q14" i="31" s="1"/>
  <c r="O14" i="31" a="1"/>
  <c r="O14" i="31" s="1"/>
  <c r="M14" i="31" a="1"/>
  <c r="M14" i="31" s="1"/>
  <c r="Q12" i="31" a="1"/>
  <c r="Q12" i="31" s="1"/>
  <c r="O12" i="31" a="1"/>
  <c r="O12" i="31" s="1"/>
  <c r="M12" i="31"/>
  <c r="Q10" i="31" a="1"/>
  <c r="Q10" i="31" s="1"/>
  <c r="O10" i="31" a="1"/>
  <c r="O10" i="31" s="1"/>
  <c r="M10" i="31"/>
  <c r="Q5" i="31"/>
  <c r="O5" i="31"/>
  <c r="M5" i="31"/>
  <c r="Q3" i="31"/>
  <c r="O3" i="31"/>
  <c r="M3" i="31"/>
  <c r="Q14" i="30" a="1"/>
  <c r="Q14" i="30" s="1"/>
  <c r="O14" i="30" a="1"/>
  <c r="O14" i="30" s="1"/>
  <c r="M14" i="30" a="1"/>
  <c r="M14" i="30" s="1"/>
  <c r="Q12" i="30" a="1"/>
  <c r="Q12" i="30" s="1"/>
  <c r="O12" i="30" a="1"/>
  <c r="O12" i="30" s="1"/>
  <c r="M12" i="30"/>
  <c r="Q10" i="30"/>
  <c r="Q10" i="30" a="1"/>
  <c r="O10" i="30"/>
  <c r="O10" i="30" a="1"/>
  <c r="M10" i="30"/>
  <c r="Q5" i="30"/>
  <c r="O5" i="30"/>
  <c r="M5" i="30"/>
  <c r="Q3" i="30"/>
  <c r="O3" i="30"/>
  <c r="M3" i="30"/>
  <c r="Q14" i="29"/>
  <c r="Q14" i="29" a="1"/>
  <c r="O14" i="29"/>
  <c r="O14" i="29" a="1"/>
  <c r="M14" i="29" a="1"/>
  <c r="M14" i="29" s="1"/>
  <c r="Q12" i="29" a="1"/>
  <c r="Q12" i="29" s="1"/>
  <c r="O12" i="29"/>
  <c r="O12" i="29" a="1"/>
  <c r="M12" i="29"/>
  <c r="Q10" i="29" a="1"/>
  <c r="Q10" i="29" s="1"/>
  <c r="O10" i="29"/>
  <c r="O10" i="29" a="1"/>
  <c r="M10" i="29"/>
  <c r="Q5" i="29"/>
  <c r="O5" i="29"/>
  <c r="M5" i="29"/>
  <c r="Q3" i="29"/>
  <c r="O3" i="29"/>
  <c r="M3" i="29"/>
  <c r="Q14" i="28" a="1"/>
  <c r="Q14" i="28" s="1"/>
  <c r="O14" i="28" a="1"/>
  <c r="O14" i="28" s="1"/>
  <c r="M14" i="28" a="1"/>
  <c r="M14" i="28" s="1"/>
  <c r="Q12" i="28" a="1"/>
  <c r="Q12" i="28" s="1"/>
  <c r="O12" i="28" a="1"/>
  <c r="O12" i="28" s="1"/>
  <c r="M12" i="28"/>
  <c r="Q10" i="28" a="1"/>
  <c r="Q10" i="28" s="1"/>
  <c r="O10" i="28"/>
  <c r="O10" i="28" a="1"/>
  <c r="M10" i="28"/>
  <c r="Q5" i="28"/>
  <c r="O5" i="28"/>
  <c r="M5" i="28"/>
  <c r="Q3" i="28"/>
  <c r="O3" i="28"/>
  <c r="M3" i="28"/>
  <c r="Q14" i="27" a="1"/>
  <c r="Q14" i="27" s="1"/>
  <c r="O14" i="27" a="1"/>
  <c r="O14" i="27" s="1"/>
  <c r="M14" i="27" a="1"/>
  <c r="M14" i="27" s="1"/>
  <c r="Q12" i="27" a="1"/>
  <c r="Q12" i="27" s="1"/>
  <c r="O12" i="27" a="1"/>
  <c r="O12" i="27" s="1"/>
  <c r="M12" i="27"/>
  <c r="Q10" i="27" a="1"/>
  <c r="Q10" i="27" s="1"/>
  <c r="O10" i="27"/>
  <c r="O10" i="27" a="1"/>
  <c r="M10" i="27"/>
  <c r="Q5" i="27"/>
  <c r="O5" i="27"/>
  <c r="M5" i="27"/>
  <c r="Q3" i="27"/>
  <c r="O3" i="27"/>
  <c r="M3" i="27"/>
  <c r="Q14" i="26" a="1"/>
  <c r="Q14" i="26" s="1"/>
  <c r="O14" i="26" a="1"/>
  <c r="O14" i="26" s="1"/>
  <c r="M14" i="26"/>
  <c r="M14" i="26" a="1"/>
  <c r="Q12" i="26" a="1"/>
  <c r="Q12" i="26" s="1"/>
  <c r="O12" i="26" a="1"/>
  <c r="O12" i="26" s="1"/>
  <c r="M12" i="26"/>
  <c r="Q10" i="26" a="1"/>
  <c r="Q10" i="26" s="1"/>
  <c r="O10" i="26" a="1"/>
  <c r="O10" i="26" s="1"/>
  <c r="M10" i="26"/>
  <c r="Q5" i="26"/>
  <c r="O5" i="26"/>
  <c r="M5" i="26"/>
  <c r="Q3" i="26"/>
  <c r="O3" i="26"/>
  <c r="M3" i="26"/>
  <c r="Q14" i="25" a="1"/>
  <c r="Q14" i="25" s="1"/>
  <c r="O14" i="25"/>
  <c r="O14" i="25" a="1"/>
  <c r="M14" i="25"/>
  <c r="M14" i="25" a="1"/>
  <c r="Q12" i="25" a="1"/>
  <c r="Q12" i="25" s="1"/>
  <c r="O12" i="25" a="1"/>
  <c r="O12" i="25" s="1"/>
  <c r="M12" i="25"/>
  <c r="Q10" i="25" a="1"/>
  <c r="Q10" i="25" s="1"/>
  <c r="O10" i="25" a="1"/>
  <c r="O10" i="25" s="1"/>
  <c r="M10" i="25"/>
  <c r="Q5" i="25"/>
  <c r="O5" i="25"/>
  <c r="M5" i="25"/>
  <c r="Q3" i="25"/>
  <c r="O3" i="25"/>
  <c r="M3" i="25"/>
  <c r="Q14" i="24"/>
  <c r="Q14" i="24" a="1"/>
  <c r="O14" i="24"/>
  <c r="O14" i="24" a="1"/>
  <c r="M14" i="24"/>
  <c r="M14" i="24" a="1"/>
  <c r="Q12" i="24" a="1"/>
  <c r="Q12" i="24" s="1"/>
  <c r="O12" i="24"/>
  <c r="O12" i="24" a="1"/>
  <c r="M12" i="24"/>
  <c r="Q10" i="24" a="1"/>
  <c r="Q10" i="24" s="1"/>
  <c r="O10" i="24" a="1"/>
  <c r="O10" i="24" s="1"/>
  <c r="M10" i="24"/>
  <c r="Q5" i="24"/>
  <c r="O5" i="24"/>
  <c r="M5" i="24"/>
  <c r="Q3" i="24"/>
  <c r="O3" i="24"/>
  <c r="M3" i="24"/>
  <c r="Q14" i="23" a="1"/>
  <c r="Q14" i="23" s="1"/>
  <c r="O14" i="23" a="1"/>
  <c r="O14" i="23" s="1"/>
  <c r="M14" i="23" a="1"/>
  <c r="M14" i="23" s="1"/>
  <c r="Q12" i="23" a="1"/>
  <c r="Q12" i="23" s="1"/>
  <c r="O12" i="23" a="1"/>
  <c r="O12" i="23" s="1"/>
  <c r="M12" i="23"/>
  <c r="Q10" i="23" a="1"/>
  <c r="Q10" i="23" s="1"/>
  <c r="O10" i="23"/>
  <c r="O10" i="23" a="1"/>
  <c r="M10" i="23"/>
  <c r="Q5" i="23"/>
  <c r="O5" i="23"/>
  <c r="M5" i="23"/>
  <c r="Q3" i="23"/>
  <c r="O3" i="23"/>
  <c r="M3" i="23"/>
  <c r="Q14" i="22"/>
  <c r="Q14" i="22" a="1"/>
  <c r="O14" i="22"/>
  <c r="O14" i="22" a="1"/>
  <c r="M14" i="22" a="1"/>
  <c r="M14" i="22" s="1"/>
  <c r="Q12" i="22" a="1"/>
  <c r="Q12" i="22" s="1"/>
  <c r="O12" i="22"/>
  <c r="O12" i="22" a="1"/>
  <c r="M12" i="22"/>
  <c r="Q10" i="22" a="1"/>
  <c r="Q10" i="22" s="1"/>
  <c r="O10" i="22"/>
  <c r="O10" i="22" a="1"/>
  <c r="M10" i="22"/>
  <c r="Q5" i="22"/>
  <c r="O5" i="22"/>
  <c r="M5" i="22"/>
  <c r="Q3" i="22"/>
  <c r="O3" i="22"/>
  <c r="M3" i="22"/>
  <c r="Q14" i="21" a="1"/>
  <c r="Q14" i="21" s="1"/>
  <c r="O14" i="21" a="1"/>
  <c r="O14" i="21" s="1"/>
  <c r="M14" i="21" a="1"/>
  <c r="M14" i="21" s="1"/>
  <c r="Q12" i="21" a="1"/>
  <c r="Q12" i="21" s="1"/>
  <c r="O12" i="21" a="1"/>
  <c r="O12" i="21" s="1"/>
  <c r="M12" i="21"/>
  <c r="Q10" i="21" a="1"/>
  <c r="Q10" i="21" s="1"/>
  <c r="O10" i="21"/>
  <c r="O10" i="21" a="1"/>
  <c r="M10" i="21"/>
  <c r="Q5" i="21"/>
  <c r="O5" i="21"/>
  <c r="M5" i="21"/>
  <c r="Q3" i="21"/>
  <c r="O3" i="21"/>
  <c r="M3" i="21"/>
  <c r="Q14" i="20" a="1"/>
  <c r="Q14" i="20" s="1"/>
  <c r="O14" i="20"/>
  <c r="O14" i="20" a="1"/>
  <c r="M14" i="20" a="1"/>
  <c r="M14" i="20" s="1"/>
  <c r="Q12" i="20" a="1"/>
  <c r="Q12" i="20" s="1"/>
  <c r="O12" i="20" a="1"/>
  <c r="O12" i="20" s="1"/>
  <c r="M12" i="20"/>
  <c r="Q10" i="20"/>
  <c r="Q10" i="20" a="1"/>
  <c r="O10" i="20"/>
  <c r="O10" i="20" a="1"/>
  <c r="M10" i="20"/>
  <c r="Q5" i="20"/>
  <c r="O5" i="20"/>
  <c r="M5" i="20"/>
  <c r="Q3" i="20"/>
  <c r="O3" i="20"/>
  <c r="M3" i="20"/>
  <c r="Q14" i="19" a="1"/>
  <c r="Q14" i="19" s="1"/>
  <c r="O14" i="19" a="1"/>
  <c r="O14" i="19" s="1"/>
  <c r="M14" i="19" a="1"/>
  <c r="M14" i="19" s="1"/>
  <c r="Q12" i="19" a="1"/>
  <c r="Q12" i="19" s="1"/>
  <c r="O12" i="19" a="1"/>
  <c r="O12" i="19" s="1"/>
  <c r="M12" i="19"/>
  <c r="Q10" i="19" a="1"/>
  <c r="Q10" i="19" s="1"/>
  <c r="O10" i="19"/>
  <c r="O10" i="19" a="1"/>
  <c r="M10" i="19"/>
  <c r="Q5" i="19"/>
  <c r="O5" i="19"/>
  <c r="M5" i="19"/>
  <c r="Q3" i="19"/>
  <c r="O3" i="19"/>
  <c r="M3" i="19"/>
  <c r="Q14" i="18"/>
  <c r="Q14" i="18" a="1"/>
  <c r="O14" i="18"/>
  <c r="O14" i="18" a="1"/>
  <c r="M14" i="18" a="1"/>
  <c r="M14" i="18" s="1"/>
  <c r="Q12" i="18" a="1"/>
  <c r="Q12" i="18" s="1"/>
  <c r="O12" i="18"/>
  <c r="O12" i="18" a="1"/>
  <c r="M12" i="18"/>
  <c r="Q10" i="18" a="1"/>
  <c r="Q10" i="18" s="1"/>
  <c r="O10" i="18"/>
  <c r="O10" i="18" a="1"/>
  <c r="M10" i="18"/>
  <c r="Q5" i="18"/>
  <c r="O5" i="18"/>
  <c r="M5" i="18"/>
  <c r="Q3" i="18"/>
  <c r="O3" i="18"/>
  <c r="M3" i="18"/>
  <c r="Q14" i="17" a="1"/>
  <c r="Q14" i="17" s="1"/>
  <c r="O14" i="17"/>
  <c r="O14" i="17" a="1"/>
  <c r="M14" i="17" a="1"/>
  <c r="M14" i="17" s="1"/>
  <c r="Q12" i="17" a="1"/>
  <c r="Q12" i="17" s="1"/>
  <c r="O12" i="17" a="1"/>
  <c r="O12" i="17" s="1"/>
  <c r="M12" i="17"/>
  <c r="Q10" i="17" a="1"/>
  <c r="Q10" i="17" s="1"/>
  <c r="O10" i="17"/>
  <c r="O10" i="17" a="1"/>
  <c r="M10" i="17"/>
  <c r="Q5" i="17"/>
  <c r="O5" i="17"/>
  <c r="M5" i="17"/>
  <c r="Q3" i="17"/>
  <c r="O3" i="17"/>
  <c r="M3" i="17"/>
  <c r="Q14" i="16"/>
  <c r="Q14" i="16" a="1"/>
  <c r="O14" i="16"/>
  <c r="O14" i="16" a="1"/>
  <c r="M14" i="16" a="1"/>
  <c r="M14" i="16" s="1"/>
  <c r="Q12" i="16" a="1"/>
  <c r="Q12" i="16" s="1"/>
  <c r="O12" i="16"/>
  <c r="O12" i="16" a="1"/>
  <c r="M12" i="16"/>
  <c r="Q10" i="16" a="1"/>
  <c r="Q10" i="16" s="1"/>
  <c r="O10" i="16"/>
  <c r="O10" i="16" a="1"/>
  <c r="M10" i="16"/>
  <c r="Q5" i="16"/>
  <c r="O5" i="16"/>
  <c r="M5" i="16"/>
  <c r="Q3" i="16"/>
  <c r="O3" i="16"/>
  <c r="M3" i="16"/>
  <c r="Q14" i="15"/>
  <c r="Q14" i="15" a="1"/>
  <c r="O14" i="15"/>
  <c r="O14" i="15" a="1"/>
  <c r="M14" i="15"/>
  <c r="M14" i="15" a="1"/>
  <c r="Q12" i="15" a="1"/>
  <c r="Q12" i="15" s="1"/>
  <c r="O12" i="15"/>
  <c r="O12" i="15" a="1"/>
  <c r="M12" i="15"/>
  <c r="Q10" i="15" a="1"/>
  <c r="Q10" i="15" s="1"/>
  <c r="O10" i="15" a="1"/>
  <c r="O10" i="15" s="1"/>
  <c r="M10" i="15"/>
  <c r="Q5" i="15"/>
  <c r="O5" i="15"/>
  <c r="M5" i="15"/>
  <c r="Q3" i="15"/>
  <c r="O3" i="15"/>
  <c r="M3" i="15"/>
  <c r="Q14" i="14" a="1"/>
  <c r="Q14" i="14" s="1"/>
  <c r="O14" i="14" a="1"/>
  <c r="O14" i="14" s="1"/>
  <c r="M14" i="14" a="1"/>
  <c r="M14" i="14" s="1"/>
  <c r="Q12" i="14" a="1"/>
  <c r="Q12" i="14" s="1"/>
  <c r="O12" i="14" a="1"/>
  <c r="O12" i="14" s="1"/>
  <c r="M12" i="14"/>
  <c r="Q10" i="14" a="1"/>
  <c r="Q10" i="14" s="1"/>
  <c r="O10" i="14" a="1"/>
  <c r="O10" i="14" s="1"/>
  <c r="M10" i="14"/>
  <c r="Q5" i="14"/>
  <c r="O5" i="14"/>
  <c r="M5" i="14"/>
  <c r="Q3" i="14"/>
  <c r="O3" i="14"/>
  <c r="M3" i="14"/>
  <c r="Q14" i="13"/>
  <c r="Q14" i="13" a="1"/>
  <c r="O14" i="13"/>
  <c r="O14" i="13" a="1"/>
  <c r="M14" i="13"/>
  <c r="M14" i="13" a="1"/>
  <c r="Q12" i="13" a="1"/>
  <c r="Q12" i="13" s="1"/>
  <c r="O12" i="13"/>
  <c r="O12" i="13" a="1"/>
  <c r="M12" i="13"/>
  <c r="Q10" i="13" a="1"/>
  <c r="Q10" i="13" s="1"/>
  <c r="O10" i="13" a="1"/>
  <c r="O10" i="13" s="1"/>
  <c r="M10" i="13"/>
  <c r="Q5" i="13"/>
  <c r="O5" i="13"/>
  <c r="M5" i="13"/>
  <c r="Q3" i="13"/>
  <c r="O3" i="13"/>
  <c r="M3" i="13"/>
  <c r="Q14" i="12" a="1"/>
  <c r="Q14" i="12" s="1"/>
  <c r="O14" i="12"/>
  <c r="O14" i="12" a="1"/>
  <c r="M14" i="12" a="1"/>
  <c r="M14" i="12" s="1"/>
  <c r="Q12" i="12" a="1"/>
  <c r="Q12" i="12" s="1"/>
  <c r="O12" i="12" a="1"/>
  <c r="O12" i="12" s="1"/>
  <c r="M12" i="12"/>
  <c r="Q10" i="12" a="1"/>
  <c r="Q10" i="12" s="1"/>
  <c r="O10" i="12"/>
  <c r="O10" i="12" a="1"/>
  <c r="M10" i="12"/>
  <c r="Q5" i="12"/>
  <c r="O5" i="12"/>
  <c r="M5" i="12"/>
  <c r="Q3" i="12"/>
  <c r="O3" i="12"/>
  <c r="M3" i="12"/>
  <c r="Q14" i="11" a="1"/>
  <c r="Q14" i="11" s="1"/>
  <c r="O14" i="11" a="1"/>
  <c r="O14" i="11" s="1"/>
  <c r="M14" i="11" a="1"/>
  <c r="M14" i="11" s="1"/>
  <c r="Q12" i="11" a="1"/>
  <c r="Q12" i="11" s="1"/>
  <c r="O12" i="11" a="1"/>
  <c r="O12" i="11" s="1"/>
  <c r="M12" i="11"/>
  <c r="Q10" i="11" a="1"/>
  <c r="Q10" i="11" s="1"/>
  <c r="O10" i="11"/>
  <c r="O10" i="11" a="1"/>
  <c r="M10" i="11"/>
  <c r="Q5" i="11"/>
  <c r="O5" i="11"/>
  <c r="M5" i="11"/>
  <c r="Q3" i="11"/>
  <c r="O3" i="11"/>
  <c r="M3" i="11"/>
  <c r="Q14" i="10"/>
  <c r="Q14" i="10" a="1"/>
  <c r="O14" i="10" a="1"/>
  <c r="O14" i="10" s="1"/>
  <c r="M14" i="10" a="1"/>
  <c r="M14" i="10" s="1"/>
  <c r="Q12" i="10" a="1"/>
  <c r="Q12" i="10" s="1"/>
  <c r="O12" i="10"/>
  <c r="O12" i="10" a="1"/>
  <c r="M12" i="10"/>
  <c r="Q10" i="10" a="1"/>
  <c r="Q10" i="10" s="1"/>
  <c r="O10" i="10"/>
  <c r="O10" i="10" a="1"/>
  <c r="M10" i="10"/>
  <c r="Q5" i="10"/>
  <c r="O5" i="10"/>
  <c r="M5" i="10"/>
  <c r="Q3" i="10"/>
  <c r="O3" i="10"/>
  <c r="M3" i="10"/>
  <c r="Q14" i="9"/>
  <c r="Q14" i="9" a="1"/>
  <c r="O14" i="9"/>
  <c r="O14" i="9" a="1"/>
  <c r="M14" i="9" a="1"/>
  <c r="M14" i="9" s="1"/>
  <c r="Q12" i="9" a="1"/>
  <c r="Q12" i="9" s="1"/>
  <c r="O12" i="9" a="1"/>
  <c r="O12" i="9" s="1"/>
  <c r="M12" i="9"/>
  <c r="Q10" i="9"/>
  <c r="Q10" i="9" a="1"/>
  <c r="O10" i="9" a="1"/>
  <c r="O10" i="9" s="1"/>
  <c r="M10" i="9"/>
  <c r="Q5" i="9"/>
  <c r="O5" i="9"/>
  <c r="M5" i="9"/>
  <c r="Q3" i="9"/>
  <c r="O3" i="9"/>
  <c r="M3" i="9"/>
  <c r="Q14" i="8"/>
  <c r="Q14" i="8" a="1"/>
  <c r="O14" i="8"/>
  <c r="O14" i="8" a="1"/>
  <c r="M14" i="8" a="1"/>
  <c r="M14" i="8" s="1"/>
  <c r="Q12" i="8" a="1"/>
  <c r="Q12" i="8" s="1"/>
  <c r="O12" i="8"/>
  <c r="O12" i="8" a="1"/>
  <c r="M12" i="8"/>
  <c r="Q10" i="8" a="1"/>
  <c r="Q10" i="8" s="1"/>
  <c r="O10" i="8"/>
  <c r="O10" i="8" a="1"/>
  <c r="M10" i="8"/>
  <c r="Q5" i="8"/>
  <c r="O5" i="8"/>
  <c r="M5" i="8"/>
  <c r="Q3" i="8"/>
  <c r="O3" i="8"/>
  <c r="M3" i="8"/>
  <c r="Q14" i="7"/>
  <c r="Q14" i="7" a="1"/>
  <c r="O14" i="7"/>
  <c r="O14" i="7" a="1"/>
  <c r="M14" i="7" a="1"/>
  <c r="M14" i="7" s="1"/>
  <c r="Q12" i="7" a="1"/>
  <c r="Q12" i="7" s="1"/>
  <c r="O12" i="7"/>
  <c r="O12" i="7" a="1"/>
  <c r="M12" i="7"/>
  <c r="Q10" i="7"/>
  <c r="Q10" i="7" a="1"/>
  <c r="O10" i="7" a="1"/>
  <c r="O10" i="7" s="1"/>
  <c r="M10" i="7"/>
  <c r="Q5" i="7"/>
  <c r="O5" i="7"/>
  <c r="M5" i="7"/>
  <c r="Q3" i="7"/>
  <c r="O3" i="7"/>
  <c r="M3" i="7"/>
  <c r="Q14" i="6" a="1"/>
  <c r="Q14" i="6" s="1"/>
  <c r="O14" i="6" a="1"/>
  <c r="O14" i="6" s="1"/>
  <c r="M14" i="6" a="1"/>
  <c r="M14" i="6" s="1"/>
  <c r="Q12" i="6" a="1"/>
  <c r="Q12" i="6" s="1"/>
  <c r="O12" i="6" a="1"/>
  <c r="O12" i="6" s="1"/>
  <c r="M12" i="6"/>
  <c r="Q10" i="6" a="1"/>
  <c r="Q10" i="6" s="1"/>
  <c r="O10" i="6" a="1"/>
  <c r="O10" i="6" s="1"/>
  <c r="M10" i="6"/>
  <c r="Q5" i="6"/>
  <c r="O5" i="6"/>
  <c r="M5" i="6"/>
  <c r="Q3" i="6"/>
  <c r="O3" i="6"/>
  <c r="M3" i="6"/>
  <c r="Q14" i="5" a="1"/>
  <c r="Q14" i="5" s="1"/>
  <c r="O14" i="5" a="1"/>
  <c r="O14" i="5" s="1"/>
  <c r="M14" i="5"/>
  <c r="M14" i="5" a="1"/>
  <c r="Q12" i="5" a="1"/>
  <c r="Q12" i="5" s="1"/>
  <c r="O12" i="5" a="1"/>
  <c r="O12" i="5" s="1"/>
  <c r="M12" i="5"/>
  <c r="Q10" i="5" a="1"/>
  <c r="Q10" i="5" s="1"/>
  <c r="O10" i="5"/>
  <c r="O10" i="5" a="1"/>
  <c r="M10" i="5"/>
  <c r="Q5" i="5"/>
  <c r="O5" i="5"/>
  <c r="M5" i="5"/>
  <c r="Q3" i="5"/>
  <c r="O3" i="5"/>
  <c r="M3" i="5"/>
  <c r="Q14" i="4" a="1"/>
  <c r="Q14" i="4" s="1"/>
  <c r="O14" i="4" a="1"/>
  <c r="O14" i="4" s="1"/>
  <c r="M14" i="4" a="1"/>
  <c r="M14" i="4" s="1"/>
  <c r="Q12" i="4" a="1"/>
  <c r="Q12" i="4" s="1"/>
  <c r="O12" i="4" a="1"/>
  <c r="O12" i="4" s="1"/>
  <c r="M12" i="4"/>
  <c r="Q10" i="4" a="1"/>
  <c r="Q10" i="4" s="1"/>
  <c r="O10" i="4"/>
  <c r="O10" i="4" a="1"/>
  <c r="M10" i="4"/>
  <c r="Q5" i="4"/>
  <c r="O5" i="4"/>
  <c r="M5" i="4"/>
  <c r="Q3" i="4"/>
  <c r="O3" i="4"/>
  <c r="M3" i="4"/>
  <c r="Q14" i="2" a="1"/>
  <c r="Q14" i="2" s="1"/>
  <c r="Q12" i="2" a="1"/>
  <c r="Q12" i="2" s="1"/>
  <c r="Q10" i="2" a="1"/>
  <c r="Q10" i="2" s="1"/>
  <c r="O14" i="2" a="1"/>
  <c r="O14" i="2" s="1"/>
  <c r="O12" i="2" a="1"/>
  <c r="O12" i="2" s="1"/>
  <c r="O10" i="2" a="1"/>
  <c r="O10" i="2" s="1"/>
  <c r="M14" i="2" a="1"/>
  <c r="M14" i="2" s="1"/>
  <c r="M12" i="2"/>
  <c r="M10" i="2"/>
  <c r="Q5" i="2"/>
  <c r="O5" i="2"/>
  <c r="M5" i="2"/>
  <c r="Q3" i="2"/>
  <c r="O3" i="2"/>
  <c r="M3" i="2"/>
  <c r="Q14" i="3" a="1"/>
  <c r="Q14" i="3" s="1"/>
  <c r="O14" i="3" a="1"/>
  <c r="O14" i="3" s="1"/>
  <c r="M14" i="3" a="1"/>
  <c r="M14" i="3" s="1"/>
  <c r="Q12" i="3" a="1"/>
  <c r="Q12" i="3" s="1"/>
  <c r="O12" i="3" a="1"/>
  <c r="O12" i="3" s="1"/>
  <c r="M12" i="3"/>
  <c r="Q10" i="3" a="1"/>
  <c r="Q10" i="3" s="1"/>
  <c r="O10" i="3" a="1"/>
  <c r="O10" i="3" s="1"/>
  <c r="M10" i="3"/>
  <c r="Q5" i="3"/>
  <c r="O5" i="3"/>
  <c r="M5" i="3"/>
  <c r="O3" i="3"/>
  <c r="M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<sst xmlns="http://schemas.openxmlformats.org/spreadsheetml/2006/main" count="18844" uniqueCount="31">
  <si>
    <t xml:space="preserve"> AzulBoardGame.Players.MCTS.MCTSVariants.MCTSAIScoreDiffAvg</t>
  </si>
  <si>
    <t xml:space="preserve"> ScoreDiffAvg</t>
  </si>
  <si>
    <t xml:space="preserve"> AzulBoardGame.Players.HeuristicAI</t>
  </si>
  <si>
    <t xml:space="preserve"> Heuristic</t>
  </si>
  <si>
    <t>Vidutinė pirmo žaidėjo taškų persvara</t>
  </si>
  <si>
    <t>Antro žaidėjo taškų vidurkis</t>
  </si>
  <si>
    <t>Pirmo žaidėjo taškų vidurkis</t>
  </si>
  <si>
    <t>Antro žaidėjo pergalės atveju</t>
  </si>
  <si>
    <t>Pirmo žaidėjo pergalės atveju</t>
  </si>
  <si>
    <t>Bendru atveju</t>
  </si>
  <si>
    <t>Antro žaidėjo pergalių skaičius</t>
  </si>
  <si>
    <t>Pirmo žaidėjo pergalių skaičius</t>
  </si>
  <si>
    <t>Kai pradeda antras žaidėjas</t>
  </si>
  <si>
    <t>Kai pradeda pirmas žaidėjas</t>
  </si>
  <si>
    <t xml:space="preserve"> AzulBoardGame.Players.RandomAI</t>
  </si>
  <si>
    <t xml:space="preserve"> Random</t>
  </si>
  <si>
    <t xml:space="preserve"> ScoreDiffMax</t>
  </si>
  <si>
    <t xml:space="preserve"> AzulBoardGame.Players.MCTS.MCTSVariants.MCTSAIScoreDiffMax</t>
  </si>
  <si>
    <t xml:space="preserve"> AzulBoardGame.Players.MCTS.MCTSVariants.MCTSAIScoreTotalAvg</t>
  </si>
  <si>
    <t xml:space="preserve"> ScoreTotalAvg</t>
  </si>
  <si>
    <t xml:space="preserve"> AzulBoardGame.Players.MCTS.MCTSVariants.MCTSAIVisitDiffAvg</t>
  </si>
  <si>
    <t xml:space="preserve"> VisitDiffAvg</t>
  </si>
  <si>
    <t xml:space="preserve"> AzulBoardGame.Players.MCTS.MCTSVariants.MCTSAIVisitTotalAvg</t>
  </si>
  <si>
    <t xml:space="preserve"> VisitTotalAvg</t>
  </si>
  <si>
    <t xml:space="preserve"> AzulBoardGame.Players.MCTS.MCTSVariants.MCTSAIVisitDiffMax</t>
  </si>
  <si>
    <t xml:space="preserve"> VisitDiffMax</t>
  </si>
  <si>
    <t xml:space="preserve"> AzulBoardGame.Players.MCTS.MCTSVariants.MCTSAIScoreTotalMax</t>
  </si>
  <si>
    <t xml:space="preserve"> ScoreTotalMax</t>
  </si>
  <si>
    <t xml:space="preserve"> AzulBoardGame.Players.MCTS.MCTSVariants.MCTSAIVisitTotalMax</t>
  </si>
  <si>
    <t xml:space="preserve"> VisitTotalMax</t>
  </si>
  <si>
    <t>Lygu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</si>
</sst>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0" fontId="0" fillId="0" borderId="7" xfId="0" applyBorder="1"/>
    <xf numFmtId="0" fontId="0" fillId="0" borderId="9" xfId="0" applyBorder="1"/>
    <xf numFmtId="0" fontId="0" fillId="0" borderId="4" xfId="0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EAF0-3FE8-4908-83B5-007B1E2C758E}">
  <dimension ref="A1:V1000"/>
  <sheetViews>
    <sheetView tabSelected="1" topLeftCell="G1" workbookViewId="0">
      <selection activeCell="U14" sqref="U14"/>
    </sheetView>
  </sheetViews>
  <sheetFormatPr defaultRowHeight="14.4" x14ac:dyDescent="0.3"/>
  <cols>
    <col min="11" max="14" width="8.88671875" customWidth="1"/>
    <col min="16" max="17" width="8.88671875" customWidth="1"/>
  </cols>
  <sheetData>
    <row r="1" spans="1:22" ht="14.4" customHeight="1" x14ac:dyDescent="0.3">
      <c r="A1">
        <v>2</v>
      </c>
      <c r="B1">
        <v>0</v>
      </c>
      <c r="C1" t="s">
        <v>3</v>
      </c>
      <c r="D1" t="s">
        <v>2</v>
      </c>
      <c r="E1">
        <v>63</v>
      </c>
      <c r="F1" t="s">
        <v>15</v>
      </c>
      <c r="G1" t="s">
        <v>14</v>
      </c>
      <c r="H1">
        <v>3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2" x14ac:dyDescent="0.3">
      <c r="A2">
        <v>2</v>
      </c>
      <c r="B2">
        <v>0</v>
      </c>
      <c r="C2" t="s">
        <v>3</v>
      </c>
      <c r="D2" t="s">
        <v>2</v>
      </c>
      <c r="E2">
        <v>35</v>
      </c>
      <c r="F2" t="s">
        <v>15</v>
      </c>
      <c r="G2" t="s">
        <v>14</v>
      </c>
      <c r="H2">
        <v>1</v>
      </c>
      <c r="I2">
        <v>0</v>
      </c>
      <c r="K2" s="2"/>
      <c r="L2" s="1"/>
      <c r="M2" s="9"/>
      <c r="N2" s="9"/>
      <c r="O2" s="8"/>
      <c r="P2" s="8"/>
      <c r="Q2" s="8"/>
      <c r="R2" s="8"/>
    </row>
    <row r="3" spans="1:22" ht="14.4" customHeight="1" x14ac:dyDescent="0.3">
      <c r="A3">
        <v>2</v>
      </c>
      <c r="B3">
        <v>0</v>
      </c>
      <c r="C3" t="s">
        <v>3</v>
      </c>
      <c r="D3" t="s">
        <v>2</v>
      </c>
      <c r="E3">
        <v>41</v>
      </c>
      <c r="F3" t="s">
        <v>15</v>
      </c>
      <c r="G3" t="s">
        <v>14</v>
      </c>
      <c r="H3">
        <v>0</v>
      </c>
      <c r="I3">
        <v>0</v>
      </c>
      <c r="K3" s="8" t="s">
        <v>11</v>
      </c>
      <c r="L3" s="8"/>
      <c r="M3" s="10">
        <f>COUNTIF($I$1:$I$1000, 0)</f>
        <v>987</v>
      </c>
      <c r="N3" s="10"/>
      <c r="O3" s="10">
        <f>COUNTIFS($I$1:$I$1000, 0, $B$1:$B$1000, 0)</f>
        <v>493</v>
      </c>
      <c r="P3" s="10"/>
      <c r="Q3" s="11">
        <f>COUNTIFS($I$1:$I$1000, 0, $B$1:$B$1000, 1)</f>
        <v>494</v>
      </c>
      <c r="R3" s="12"/>
      <c r="T3" t="s">
        <v>30</v>
      </c>
    </row>
    <row r="4" spans="1:22" ht="14.4" customHeight="1" x14ac:dyDescent="0.3">
      <c r="A4">
        <v>2</v>
      </c>
      <c r="B4">
        <v>0</v>
      </c>
      <c r="C4" t="s">
        <v>3</v>
      </c>
      <c r="D4" t="s">
        <v>2</v>
      </c>
      <c r="E4">
        <v>63</v>
      </c>
      <c r="F4" t="s">
        <v>15</v>
      </c>
      <c r="G4" t="s">
        <v>14</v>
      </c>
      <c r="H4">
        <v>2</v>
      </c>
      <c r="I4">
        <v>0</v>
      </c>
      <c r="K4" s="8"/>
      <c r="L4" s="8"/>
      <c r="M4" s="10"/>
      <c r="N4" s="10"/>
      <c r="O4" s="10"/>
      <c r="P4" s="10"/>
      <c r="Q4" s="10"/>
      <c r="R4" s="13"/>
      <c r="T4" cm="1">
        <f t="array" ref="T4">SUMPRODUCT(--($E$1:$E$1000=$H$1:$H$1000))</f>
        <v>2</v>
      </c>
      <c r="U4" cm="1">
        <f t="array" ref="U4">SUMPRODUCT(--($E$1:$E$500=$H$1:$H$500))</f>
        <v>0</v>
      </c>
      <c r="V4" cm="1">
        <f t="array" ref="V4">SUMPRODUCT(--($E$501:$E$1000=$H$501:$H$1000))</f>
        <v>2</v>
      </c>
    </row>
    <row r="5" spans="1:22" ht="14.4" customHeight="1" x14ac:dyDescent="0.3">
      <c r="A5">
        <v>2</v>
      </c>
      <c r="B5">
        <v>0</v>
      </c>
      <c r="C5" t="s">
        <v>3</v>
      </c>
      <c r="D5" t="s">
        <v>2</v>
      </c>
      <c r="E5">
        <v>43</v>
      </c>
      <c r="F5" t="s">
        <v>15</v>
      </c>
      <c r="G5" t="s">
        <v>14</v>
      </c>
      <c r="H5">
        <v>2</v>
      </c>
      <c r="I5">
        <v>0</v>
      </c>
      <c r="K5" s="8" t="s">
        <v>10</v>
      </c>
      <c r="L5" s="8"/>
      <c r="M5" s="14">
        <f>COUNTIF($I$1:$I$1000, 1)</f>
        <v>13</v>
      </c>
      <c r="N5" s="10"/>
      <c r="O5" s="10">
        <f>COUNTIFS($I$1:$I$1000, 1, $B$1:$B$1000, 0)</f>
        <v>7</v>
      </c>
      <c r="P5" s="10"/>
      <c r="Q5" s="10">
        <f>COUNTIFS($I$1:$I$1000, 1, $B$1:$B$1000, 1)</f>
        <v>6</v>
      </c>
      <c r="R5" s="13"/>
    </row>
    <row r="6" spans="1:22" x14ac:dyDescent="0.3">
      <c r="A6">
        <v>2</v>
      </c>
      <c r="B6">
        <v>0</v>
      </c>
      <c r="C6" t="s">
        <v>3</v>
      </c>
      <c r="D6" t="s">
        <v>2</v>
      </c>
      <c r="E6">
        <v>36</v>
      </c>
      <c r="F6" t="s">
        <v>15</v>
      </c>
      <c r="G6" t="s">
        <v>14</v>
      </c>
      <c r="H6">
        <v>9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2" x14ac:dyDescent="0.3">
      <c r="A7">
        <v>2</v>
      </c>
      <c r="B7">
        <v>0</v>
      </c>
      <c r="C7" t="s">
        <v>3</v>
      </c>
      <c r="D7" t="s">
        <v>2</v>
      </c>
      <c r="E7">
        <v>46</v>
      </c>
      <c r="F7" t="s">
        <v>15</v>
      </c>
      <c r="G7" t="s">
        <v>14</v>
      </c>
      <c r="H7">
        <v>2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2" ht="14.4" customHeight="1" x14ac:dyDescent="0.3">
      <c r="A8">
        <v>2</v>
      </c>
      <c r="B8">
        <v>0</v>
      </c>
      <c r="C8" t="s">
        <v>3</v>
      </c>
      <c r="D8" t="s">
        <v>2</v>
      </c>
      <c r="E8">
        <v>52</v>
      </c>
      <c r="F8" t="s">
        <v>15</v>
      </c>
      <c r="G8" t="s">
        <v>14</v>
      </c>
      <c r="H8">
        <v>11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2" x14ac:dyDescent="0.3">
      <c r="A9">
        <v>2</v>
      </c>
      <c r="B9">
        <v>0</v>
      </c>
      <c r="C9" t="s">
        <v>3</v>
      </c>
      <c r="D9" t="s">
        <v>2</v>
      </c>
      <c r="E9">
        <v>44</v>
      </c>
      <c r="F9" t="s">
        <v>15</v>
      </c>
      <c r="G9" t="s">
        <v>14</v>
      </c>
      <c r="H9">
        <v>0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2" ht="14.4" customHeight="1" x14ac:dyDescent="0.3">
      <c r="A10">
        <v>2</v>
      </c>
      <c r="B10">
        <v>0</v>
      </c>
      <c r="C10" t="s">
        <v>3</v>
      </c>
      <c r="D10" t="s">
        <v>2</v>
      </c>
      <c r="E10">
        <v>38</v>
      </c>
      <c r="F10" t="s">
        <v>15</v>
      </c>
      <c r="G10" t="s">
        <v>14</v>
      </c>
      <c r="H10">
        <v>2</v>
      </c>
      <c r="I10">
        <v>0</v>
      </c>
      <c r="K10" s="8" t="s">
        <v>6</v>
      </c>
      <c r="L10" s="8"/>
      <c r="M10" s="10">
        <f>AVERAGE($E$1:$E$1000,)</f>
        <v>41.472527472527474</v>
      </c>
      <c r="N10" s="10"/>
      <c r="O10" s="10" cm="1">
        <f t="array" ref="O10">AVERAGE(_xlfn._xlws.FILTER($E$1:$E$1000,$I$1:$I$1000 = 0))</f>
        <v>41.946301925025331</v>
      </c>
      <c r="P10" s="10"/>
      <c r="Q10" s="11" cm="1">
        <f t="array" ref="Q10">AVERAGE(_xlfn._xlws.FILTER($E$1:$E$1000,$I$1:$I$1000 = 1))</f>
        <v>8.6923076923076916</v>
      </c>
      <c r="R10" s="12"/>
    </row>
    <row r="11" spans="1:22" x14ac:dyDescent="0.3">
      <c r="A11">
        <v>2</v>
      </c>
      <c r="B11">
        <v>0</v>
      </c>
      <c r="C11" t="s">
        <v>3</v>
      </c>
      <c r="D11" t="s">
        <v>2</v>
      </c>
      <c r="E11">
        <v>57</v>
      </c>
      <c r="F11" t="s">
        <v>15</v>
      </c>
      <c r="G11" t="s">
        <v>14</v>
      </c>
      <c r="H11">
        <v>3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2" ht="14.4" customHeight="1" x14ac:dyDescent="0.3">
      <c r="A12">
        <v>2</v>
      </c>
      <c r="B12">
        <v>0</v>
      </c>
      <c r="C12" t="s">
        <v>3</v>
      </c>
      <c r="D12" t="s">
        <v>2</v>
      </c>
      <c r="E12">
        <v>49</v>
      </c>
      <c r="F12" t="s">
        <v>15</v>
      </c>
      <c r="G12" t="s">
        <v>14</v>
      </c>
      <c r="H12">
        <v>6</v>
      </c>
      <c r="I12">
        <v>0</v>
      </c>
      <c r="K12" s="8" t="s">
        <v>5</v>
      </c>
      <c r="L12" s="8"/>
      <c r="M12" s="10">
        <f>AVERAGE($H$1:$H$1000,)</f>
        <v>5.9380619380619377</v>
      </c>
      <c r="N12" s="10"/>
      <c r="O12" s="10" cm="1">
        <f t="array" ref="O12">AVERAGE(_xlfn._xlws.FILTER($H$1:$H$1000,$I$1:$I$1000 = 0))</f>
        <v>5.8014184397163122</v>
      </c>
      <c r="P12" s="10"/>
      <c r="Q12" s="10" cm="1">
        <f t="array" ref="Q12">AVERAGE(_xlfn._xlws.FILTER($H$1:$H$1000,$I$1:$I$1000 = 1))</f>
        <v>16.76923076923077</v>
      </c>
      <c r="R12" s="13"/>
    </row>
    <row r="13" spans="1:22" x14ac:dyDescent="0.3">
      <c r="A13">
        <v>2</v>
      </c>
      <c r="B13">
        <v>0</v>
      </c>
      <c r="C13" t="s">
        <v>3</v>
      </c>
      <c r="D13" t="s">
        <v>2</v>
      </c>
      <c r="E13">
        <v>59</v>
      </c>
      <c r="F13" t="s">
        <v>15</v>
      </c>
      <c r="G13" t="s">
        <v>14</v>
      </c>
      <c r="H13">
        <v>2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2" ht="14.4" customHeight="1" x14ac:dyDescent="0.3">
      <c r="A14">
        <v>2</v>
      </c>
      <c r="B14">
        <v>0</v>
      </c>
      <c r="C14" t="s">
        <v>3</v>
      </c>
      <c r="D14" t="s">
        <v>2</v>
      </c>
      <c r="E14">
        <v>74</v>
      </c>
      <c r="F14" t="s">
        <v>15</v>
      </c>
      <c r="G14" t="s">
        <v>14</v>
      </c>
      <c r="H14">
        <v>13</v>
      </c>
      <c r="I14">
        <v>0</v>
      </c>
      <c r="K14" s="19" t="s">
        <v>4</v>
      </c>
      <c r="L14" s="12"/>
      <c r="M14" s="20" cm="1">
        <f t="array" ref="M14">AVERAGE($E$1:$E$1000 - $H$1:$H$1000)</f>
        <v>35.57</v>
      </c>
      <c r="N14" s="20"/>
      <c r="O14" s="20" cm="1">
        <f t="array" ref="O14">AVERAGE(_xlfn._xlws.FILTER($E$1:$E$1000 - $H$1:$H$1000, I$1:I$1000 = 0))</f>
        <v>36.144883485309016</v>
      </c>
      <c r="P14" s="20"/>
      <c r="Q14" s="20" cm="1">
        <f t="array" ref="Q14">AVERAGE(_xlfn._xlws.FILTER($E$1:$E$1000 - $H$1:$H$1000, I$1:I$1000 = 1))</f>
        <v>-8.0769230769230766</v>
      </c>
      <c r="R14" s="22"/>
    </row>
    <row r="15" spans="1:22" x14ac:dyDescent="0.3">
      <c r="A15">
        <v>2</v>
      </c>
      <c r="B15">
        <v>0</v>
      </c>
      <c r="C15" t="s">
        <v>3</v>
      </c>
      <c r="D15" t="s">
        <v>2</v>
      </c>
      <c r="E15">
        <v>40</v>
      </c>
      <c r="F15" t="s">
        <v>15</v>
      </c>
      <c r="G15" t="s">
        <v>14</v>
      </c>
      <c r="H15">
        <v>12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2" x14ac:dyDescent="0.3">
      <c r="A16">
        <v>2</v>
      </c>
      <c r="B16">
        <v>0</v>
      </c>
      <c r="C16" t="s">
        <v>3</v>
      </c>
      <c r="D16" t="s">
        <v>2</v>
      </c>
      <c r="E16">
        <v>60</v>
      </c>
      <c r="F16" t="s">
        <v>15</v>
      </c>
      <c r="G16" t="s">
        <v>14</v>
      </c>
      <c r="H16">
        <v>0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3</v>
      </c>
      <c r="D17" t="s">
        <v>2</v>
      </c>
      <c r="E17">
        <v>48</v>
      </c>
      <c r="F17" t="s">
        <v>15</v>
      </c>
      <c r="G17" t="s">
        <v>14</v>
      </c>
      <c r="H17">
        <v>14</v>
      </c>
      <c r="I17">
        <v>0</v>
      </c>
    </row>
    <row r="18" spans="1:9" x14ac:dyDescent="0.3">
      <c r="A18">
        <v>2</v>
      </c>
      <c r="B18">
        <v>0</v>
      </c>
      <c r="C18" t="s">
        <v>3</v>
      </c>
      <c r="D18" t="s">
        <v>2</v>
      </c>
      <c r="E18">
        <v>45</v>
      </c>
      <c r="F18" t="s">
        <v>15</v>
      </c>
      <c r="G18" t="s">
        <v>14</v>
      </c>
      <c r="H18">
        <v>2</v>
      </c>
      <c r="I18">
        <v>0</v>
      </c>
    </row>
    <row r="19" spans="1:9" x14ac:dyDescent="0.3">
      <c r="A19">
        <v>2</v>
      </c>
      <c r="B19">
        <v>0</v>
      </c>
      <c r="C19" t="s">
        <v>3</v>
      </c>
      <c r="D19" t="s">
        <v>2</v>
      </c>
      <c r="E19">
        <v>24</v>
      </c>
      <c r="F19" t="s">
        <v>15</v>
      </c>
      <c r="G19" t="s">
        <v>14</v>
      </c>
      <c r="H19">
        <v>2</v>
      </c>
      <c r="I19">
        <v>0</v>
      </c>
    </row>
    <row r="20" spans="1:9" x14ac:dyDescent="0.3">
      <c r="A20">
        <v>2</v>
      </c>
      <c r="B20">
        <v>0</v>
      </c>
      <c r="C20" t="s">
        <v>3</v>
      </c>
      <c r="D20" t="s">
        <v>2</v>
      </c>
      <c r="E20">
        <v>43</v>
      </c>
      <c r="F20" t="s">
        <v>15</v>
      </c>
      <c r="G20" t="s">
        <v>14</v>
      </c>
      <c r="H20">
        <v>25</v>
      </c>
      <c r="I20">
        <v>0</v>
      </c>
    </row>
    <row r="21" spans="1:9" x14ac:dyDescent="0.3">
      <c r="A21">
        <v>2</v>
      </c>
      <c r="B21">
        <v>0</v>
      </c>
      <c r="C21" t="s">
        <v>3</v>
      </c>
      <c r="D21" t="s">
        <v>2</v>
      </c>
      <c r="E21">
        <v>13</v>
      </c>
      <c r="F21" t="s">
        <v>15</v>
      </c>
      <c r="G21" t="s">
        <v>14</v>
      </c>
      <c r="H21">
        <v>7</v>
      </c>
      <c r="I21">
        <v>0</v>
      </c>
    </row>
    <row r="22" spans="1:9" x14ac:dyDescent="0.3">
      <c r="A22">
        <v>2</v>
      </c>
      <c r="B22">
        <v>0</v>
      </c>
      <c r="C22" t="s">
        <v>3</v>
      </c>
      <c r="D22" t="s">
        <v>2</v>
      </c>
      <c r="E22">
        <v>23</v>
      </c>
      <c r="F22" t="s">
        <v>15</v>
      </c>
      <c r="G22" t="s">
        <v>14</v>
      </c>
      <c r="H22">
        <v>0</v>
      </c>
      <c r="I22">
        <v>0</v>
      </c>
    </row>
    <row r="23" spans="1:9" x14ac:dyDescent="0.3">
      <c r="A23">
        <v>2</v>
      </c>
      <c r="B23">
        <v>0</v>
      </c>
      <c r="C23" t="s">
        <v>3</v>
      </c>
      <c r="D23" t="s">
        <v>2</v>
      </c>
      <c r="E23">
        <v>39</v>
      </c>
      <c r="F23" t="s">
        <v>15</v>
      </c>
      <c r="G23" t="s">
        <v>14</v>
      </c>
      <c r="H23">
        <v>3</v>
      </c>
      <c r="I23">
        <v>0</v>
      </c>
    </row>
    <row r="24" spans="1:9" x14ac:dyDescent="0.3">
      <c r="A24">
        <v>2</v>
      </c>
      <c r="B24">
        <v>0</v>
      </c>
      <c r="C24" t="s">
        <v>3</v>
      </c>
      <c r="D24" t="s">
        <v>2</v>
      </c>
      <c r="E24">
        <v>42</v>
      </c>
      <c r="F24" t="s">
        <v>15</v>
      </c>
      <c r="G24" t="s">
        <v>14</v>
      </c>
      <c r="H24">
        <v>0</v>
      </c>
      <c r="I24">
        <v>0</v>
      </c>
    </row>
    <row r="25" spans="1:9" x14ac:dyDescent="0.3">
      <c r="A25">
        <v>2</v>
      </c>
      <c r="B25">
        <v>0</v>
      </c>
      <c r="C25" t="s">
        <v>3</v>
      </c>
      <c r="D25" t="s">
        <v>2</v>
      </c>
      <c r="E25">
        <v>22</v>
      </c>
      <c r="F25" t="s">
        <v>15</v>
      </c>
      <c r="G25" t="s">
        <v>14</v>
      </c>
      <c r="H25">
        <v>24</v>
      </c>
      <c r="I25">
        <v>1</v>
      </c>
    </row>
    <row r="26" spans="1:9" x14ac:dyDescent="0.3">
      <c r="A26">
        <v>2</v>
      </c>
      <c r="B26">
        <v>0</v>
      </c>
      <c r="C26" t="s">
        <v>3</v>
      </c>
      <c r="D26" t="s">
        <v>2</v>
      </c>
      <c r="E26">
        <v>24</v>
      </c>
      <c r="F26" t="s">
        <v>15</v>
      </c>
      <c r="G26" t="s">
        <v>14</v>
      </c>
      <c r="H26">
        <v>6</v>
      </c>
      <c r="I26">
        <v>0</v>
      </c>
    </row>
    <row r="27" spans="1:9" x14ac:dyDescent="0.3">
      <c r="A27">
        <v>2</v>
      </c>
      <c r="B27">
        <v>0</v>
      </c>
      <c r="C27" t="s">
        <v>3</v>
      </c>
      <c r="D27" t="s">
        <v>2</v>
      </c>
      <c r="E27">
        <v>31</v>
      </c>
      <c r="F27" t="s">
        <v>15</v>
      </c>
      <c r="G27" t="s">
        <v>14</v>
      </c>
      <c r="H27">
        <v>30</v>
      </c>
      <c r="I27">
        <v>0</v>
      </c>
    </row>
    <row r="28" spans="1:9" x14ac:dyDescent="0.3">
      <c r="A28">
        <v>2</v>
      </c>
      <c r="B28">
        <v>0</v>
      </c>
      <c r="C28" t="s">
        <v>3</v>
      </c>
      <c r="D28" t="s">
        <v>2</v>
      </c>
      <c r="E28">
        <v>73</v>
      </c>
      <c r="F28" t="s">
        <v>15</v>
      </c>
      <c r="G28" t="s">
        <v>14</v>
      </c>
      <c r="H28">
        <v>2</v>
      </c>
      <c r="I28">
        <v>0</v>
      </c>
    </row>
    <row r="29" spans="1:9" x14ac:dyDescent="0.3">
      <c r="A29">
        <v>2</v>
      </c>
      <c r="B29">
        <v>0</v>
      </c>
      <c r="C29" t="s">
        <v>3</v>
      </c>
      <c r="D29" t="s">
        <v>2</v>
      </c>
      <c r="E29">
        <v>41</v>
      </c>
      <c r="F29" t="s">
        <v>15</v>
      </c>
      <c r="G29" t="s">
        <v>14</v>
      </c>
      <c r="H29">
        <v>0</v>
      </c>
      <c r="I29">
        <v>0</v>
      </c>
    </row>
    <row r="30" spans="1:9" x14ac:dyDescent="0.3">
      <c r="A30">
        <v>2</v>
      </c>
      <c r="B30">
        <v>0</v>
      </c>
      <c r="C30" t="s">
        <v>3</v>
      </c>
      <c r="D30" t="s">
        <v>2</v>
      </c>
      <c r="E30">
        <v>28</v>
      </c>
      <c r="F30" t="s">
        <v>15</v>
      </c>
      <c r="G30" t="s">
        <v>14</v>
      </c>
      <c r="H30">
        <v>0</v>
      </c>
      <c r="I30">
        <v>0</v>
      </c>
    </row>
    <row r="31" spans="1:9" x14ac:dyDescent="0.3">
      <c r="A31">
        <v>2</v>
      </c>
      <c r="B31">
        <v>0</v>
      </c>
      <c r="C31" t="s">
        <v>3</v>
      </c>
      <c r="D31" t="s">
        <v>2</v>
      </c>
      <c r="E31">
        <v>64</v>
      </c>
      <c r="F31" t="s">
        <v>15</v>
      </c>
      <c r="G31" t="s">
        <v>14</v>
      </c>
      <c r="H31">
        <v>3</v>
      </c>
      <c r="I31">
        <v>0</v>
      </c>
    </row>
    <row r="32" spans="1:9" x14ac:dyDescent="0.3">
      <c r="A32">
        <v>2</v>
      </c>
      <c r="B32">
        <v>0</v>
      </c>
      <c r="C32" t="s">
        <v>3</v>
      </c>
      <c r="D32" t="s">
        <v>2</v>
      </c>
      <c r="E32">
        <v>43</v>
      </c>
      <c r="F32" t="s">
        <v>15</v>
      </c>
      <c r="G32" t="s">
        <v>14</v>
      </c>
      <c r="H32">
        <v>0</v>
      </c>
      <c r="I32">
        <v>0</v>
      </c>
    </row>
    <row r="33" spans="1:9" x14ac:dyDescent="0.3">
      <c r="A33">
        <v>2</v>
      </c>
      <c r="B33">
        <v>0</v>
      </c>
      <c r="C33" t="s">
        <v>3</v>
      </c>
      <c r="D33" t="s">
        <v>2</v>
      </c>
      <c r="E33">
        <v>50</v>
      </c>
      <c r="F33" t="s">
        <v>15</v>
      </c>
      <c r="G33" t="s">
        <v>14</v>
      </c>
      <c r="H33">
        <v>0</v>
      </c>
      <c r="I33">
        <v>0</v>
      </c>
    </row>
    <row r="34" spans="1:9" x14ac:dyDescent="0.3">
      <c r="A34">
        <v>2</v>
      </c>
      <c r="B34">
        <v>0</v>
      </c>
      <c r="C34" t="s">
        <v>3</v>
      </c>
      <c r="D34" t="s">
        <v>2</v>
      </c>
      <c r="E34">
        <v>39</v>
      </c>
      <c r="F34" t="s">
        <v>15</v>
      </c>
      <c r="G34" t="s">
        <v>14</v>
      </c>
      <c r="H34">
        <v>5</v>
      </c>
      <c r="I34">
        <v>0</v>
      </c>
    </row>
    <row r="35" spans="1:9" x14ac:dyDescent="0.3">
      <c r="A35">
        <v>2</v>
      </c>
      <c r="B35">
        <v>0</v>
      </c>
      <c r="C35" t="s">
        <v>3</v>
      </c>
      <c r="D35" t="s">
        <v>2</v>
      </c>
      <c r="E35">
        <v>80</v>
      </c>
      <c r="F35" t="s">
        <v>15</v>
      </c>
      <c r="G35" t="s">
        <v>14</v>
      </c>
      <c r="H35">
        <v>24</v>
      </c>
      <c r="I35">
        <v>0</v>
      </c>
    </row>
    <row r="36" spans="1:9" x14ac:dyDescent="0.3">
      <c r="A36">
        <v>2</v>
      </c>
      <c r="B36">
        <v>0</v>
      </c>
      <c r="C36" t="s">
        <v>3</v>
      </c>
      <c r="D36" t="s">
        <v>2</v>
      </c>
      <c r="E36">
        <v>28</v>
      </c>
      <c r="F36" t="s">
        <v>15</v>
      </c>
      <c r="G36" t="s">
        <v>14</v>
      </c>
      <c r="H36">
        <v>18</v>
      </c>
      <c r="I36">
        <v>0</v>
      </c>
    </row>
    <row r="37" spans="1:9" x14ac:dyDescent="0.3">
      <c r="A37">
        <v>2</v>
      </c>
      <c r="B37">
        <v>0</v>
      </c>
      <c r="C37" t="s">
        <v>3</v>
      </c>
      <c r="D37" t="s">
        <v>2</v>
      </c>
      <c r="E37">
        <v>49</v>
      </c>
      <c r="F37" t="s">
        <v>15</v>
      </c>
      <c r="G37" t="s">
        <v>14</v>
      </c>
      <c r="H37">
        <v>4</v>
      </c>
      <c r="I37">
        <v>0</v>
      </c>
    </row>
    <row r="38" spans="1:9" x14ac:dyDescent="0.3">
      <c r="A38">
        <v>2</v>
      </c>
      <c r="B38">
        <v>0</v>
      </c>
      <c r="C38" t="s">
        <v>3</v>
      </c>
      <c r="D38" t="s">
        <v>2</v>
      </c>
      <c r="E38">
        <v>35</v>
      </c>
      <c r="F38" t="s">
        <v>15</v>
      </c>
      <c r="G38" t="s">
        <v>14</v>
      </c>
      <c r="H38">
        <v>2</v>
      </c>
      <c r="I38">
        <v>0</v>
      </c>
    </row>
    <row r="39" spans="1:9" x14ac:dyDescent="0.3">
      <c r="A39">
        <v>2</v>
      </c>
      <c r="B39">
        <v>0</v>
      </c>
      <c r="C39" t="s">
        <v>3</v>
      </c>
      <c r="D39" t="s">
        <v>2</v>
      </c>
      <c r="E39">
        <v>15</v>
      </c>
      <c r="F39" t="s">
        <v>15</v>
      </c>
      <c r="G39" t="s">
        <v>14</v>
      </c>
      <c r="H39">
        <v>14</v>
      </c>
      <c r="I39">
        <v>0</v>
      </c>
    </row>
    <row r="40" spans="1:9" x14ac:dyDescent="0.3">
      <c r="A40">
        <v>2</v>
      </c>
      <c r="B40">
        <v>0</v>
      </c>
      <c r="C40" t="s">
        <v>3</v>
      </c>
      <c r="D40" t="s">
        <v>2</v>
      </c>
      <c r="E40">
        <v>61</v>
      </c>
      <c r="F40" t="s">
        <v>15</v>
      </c>
      <c r="G40" t="s">
        <v>14</v>
      </c>
      <c r="H40">
        <v>0</v>
      </c>
      <c r="I40">
        <v>0</v>
      </c>
    </row>
    <row r="41" spans="1:9" x14ac:dyDescent="0.3">
      <c r="A41">
        <v>2</v>
      </c>
      <c r="B41">
        <v>0</v>
      </c>
      <c r="C41" t="s">
        <v>3</v>
      </c>
      <c r="D41" t="s">
        <v>2</v>
      </c>
      <c r="E41">
        <v>56</v>
      </c>
      <c r="F41" t="s">
        <v>15</v>
      </c>
      <c r="G41" t="s">
        <v>14</v>
      </c>
      <c r="H41">
        <v>3</v>
      </c>
      <c r="I41">
        <v>0</v>
      </c>
    </row>
    <row r="42" spans="1:9" x14ac:dyDescent="0.3">
      <c r="A42">
        <v>2</v>
      </c>
      <c r="B42">
        <v>0</v>
      </c>
      <c r="C42" t="s">
        <v>3</v>
      </c>
      <c r="D42" t="s">
        <v>2</v>
      </c>
      <c r="E42">
        <v>45</v>
      </c>
      <c r="F42" t="s">
        <v>15</v>
      </c>
      <c r="G42" t="s">
        <v>14</v>
      </c>
      <c r="H42">
        <v>5</v>
      </c>
      <c r="I42">
        <v>0</v>
      </c>
    </row>
    <row r="43" spans="1:9" x14ac:dyDescent="0.3">
      <c r="A43">
        <v>2</v>
      </c>
      <c r="B43">
        <v>0</v>
      </c>
      <c r="C43" t="s">
        <v>3</v>
      </c>
      <c r="D43" t="s">
        <v>2</v>
      </c>
      <c r="E43">
        <v>28</v>
      </c>
      <c r="F43" t="s">
        <v>15</v>
      </c>
      <c r="G43" t="s">
        <v>14</v>
      </c>
      <c r="H43">
        <v>3</v>
      </c>
      <c r="I43">
        <v>0</v>
      </c>
    </row>
    <row r="44" spans="1:9" x14ac:dyDescent="0.3">
      <c r="A44">
        <v>2</v>
      </c>
      <c r="B44">
        <v>0</v>
      </c>
      <c r="C44" t="s">
        <v>3</v>
      </c>
      <c r="D44" t="s">
        <v>2</v>
      </c>
      <c r="E44">
        <v>51</v>
      </c>
      <c r="F44" t="s">
        <v>15</v>
      </c>
      <c r="G44" t="s">
        <v>14</v>
      </c>
      <c r="H44">
        <v>1</v>
      </c>
      <c r="I44">
        <v>0</v>
      </c>
    </row>
    <row r="45" spans="1:9" x14ac:dyDescent="0.3">
      <c r="A45">
        <v>2</v>
      </c>
      <c r="B45">
        <v>0</v>
      </c>
      <c r="C45" t="s">
        <v>3</v>
      </c>
      <c r="D45" t="s">
        <v>2</v>
      </c>
      <c r="E45">
        <v>47</v>
      </c>
      <c r="F45" t="s">
        <v>15</v>
      </c>
      <c r="G45" t="s">
        <v>14</v>
      </c>
      <c r="H45">
        <v>23</v>
      </c>
      <c r="I45">
        <v>0</v>
      </c>
    </row>
    <row r="46" spans="1:9" x14ac:dyDescent="0.3">
      <c r="A46">
        <v>2</v>
      </c>
      <c r="B46">
        <v>0</v>
      </c>
      <c r="C46" t="s">
        <v>3</v>
      </c>
      <c r="D46" t="s">
        <v>2</v>
      </c>
      <c r="E46">
        <v>45</v>
      </c>
      <c r="F46" t="s">
        <v>15</v>
      </c>
      <c r="G46" t="s">
        <v>14</v>
      </c>
      <c r="H46">
        <v>3</v>
      </c>
      <c r="I46">
        <v>0</v>
      </c>
    </row>
    <row r="47" spans="1:9" x14ac:dyDescent="0.3">
      <c r="A47">
        <v>2</v>
      </c>
      <c r="B47">
        <v>0</v>
      </c>
      <c r="C47" t="s">
        <v>3</v>
      </c>
      <c r="D47" t="s">
        <v>2</v>
      </c>
      <c r="E47">
        <v>58</v>
      </c>
      <c r="F47" t="s">
        <v>15</v>
      </c>
      <c r="G47" t="s">
        <v>14</v>
      </c>
      <c r="H47">
        <v>12</v>
      </c>
      <c r="I47">
        <v>0</v>
      </c>
    </row>
    <row r="48" spans="1:9" x14ac:dyDescent="0.3">
      <c r="A48">
        <v>2</v>
      </c>
      <c r="B48">
        <v>0</v>
      </c>
      <c r="C48" t="s">
        <v>3</v>
      </c>
      <c r="D48" t="s">
        <v>2</v>
      </c>
      <c r="E48">
        <v>48</v>
      </c>
      <c r="F48" t="s">
        <v>15</v>
      </c>
      <c r="G48" t="s">
        <v>14</v>
      </c>
      <c r="H48">
        <v>5</v>
      </c>
      <c r="I48">
        <v>0</v>
      </c>
    </row>
    <row r="49" spans="1:9" x14ac:dyDescent="0.3">
      <c r="A49">
        <v>2</v>
      </c>
      <c r="B49">
        <v>0</v>
      </c>
      <c r="C49" t="s">
        <v>3</v>
      </c>
      <c r="D49" t="s">
        <v>2</v>
      </c>
      <c r="E49">
        <v>46</v>
      </c>
      <c r="F49" t="s">
        <v>15</v>
      </c>
      <c r="G49" t="s">
        <v>14</v>
      </c>
      <c r="H49">
        <v>0</v>
      </c>
      <c r="I49">
        <v>0</v>
      </c>
    </row>
    <row r="50" spans="1:9" x14ac:dyDescent="0.3">
      <c r="A50">
        <v>2</v>
      </c>
      <c r="B50">
        <v>0</v>
      </c>
      <c r="C50" t="s">
        <v>3</v>
      </c>
      <c r="D50" t="s">
        <v>2</v>
      </c>
      <c r="E50">
        <v>43</v>
      </c>
      <c r="F50" t="s">
        <v>15</v>
      </c>
      <c r="G50" t="s">
        <v>14</v>
      </c>
      <c r="H50">
        <v>0</v>
      </c>
      <c r="I50">
        <v>0</v>
      </c>
    </row>
    <row r="51" spans="1:9" x14ac:dyDescent="0.3">
      <c r="A51">
        <v>2</v>
      </c>
      <c r="B51">
        <v>0</v>
      </c>
      <c r="C51" t="s">
        <v>3</v>
      </c>
      <c r="D51" t="s">
        <v>2</v>
      </c>
      <c r="E51">
        <v>75</v>
      </c>
      <c r="F51" t="s">
        <v>15</v>
      </c>
      <c r="G51" t="s">
        <v>14</v>
      </c>
      <c r="H51">
        <v>20</v>
      </c>
      <c r="I51">
        <v>0</v>
      </c>
    </row>
    <row r="52" spans="1:9" x14ac:dyDescent="0.3">
      <c r="A52">
        <v>2</v>
      </c>
      <c r="B52">
        <v>0</v>
      </c>
      <c r="C52" t="s">
        <v>3</v>
      </c>
      <c r="D52" t="s">
        <v>2</v>
      </c>
      <c r="E52">
        <v>70</v>
      </c>
      <c r="F52" t="s">
        <v>15</v>
      </c>
      <c r="G52" t="s">
        <v>14</v>
      </c>
      <c r="H52">
        <v>2</v>
      </c>
      <c r="I52">
        <v>0</v>
      </c>
    </row>
    <row r="53" spans="1:9" x14ac:dyDescent="0.3">
      <c r="A53">
        <v>2</v>
      </c>
      <c r="B53">
        <v>0</v>
      </c>
      <c r="C53" t="s">
        <v>3</v>
      </c>
      <c r="D53" t="s">
        <v>2</v>
      </c>
      <c r="E53">
        <v>42</v>
      </c>
      <c r="F53" t="s">
        <v>15</v>
      </c>
      <c r="G53" t="s">
        <v>14</v>
      </c>
      <c r="H53">
        <v>8</v>
      </c>
      <c r="I53">
        <v>0</v>
      </c>
    </row>
    <row r="54" spans="1:9" x14ac:dyDescent="0.3">
      <c r="A54">
        <v>2</v>
      </c>
      <c r="B54">
        <v>0</v>
      </c>
      <c r="C54" t="s">
        <v>3</v>
      </c>
      <c r="D54" t="s">
        <v>2</v>
      </c>
      <c r="E54">
        <v>38</v>
      </c>
      <c r="F54" t="s">
        <v>15</v>
      </c>
      <c r="G54" t="s">
        <v>14</v>
      </c>
      <c r="H54">
        <v>0</v>
      </c>
      <c r="I54">
        <v>0</v>
      </c>
    </row>
    <row r="55" spans="1:9" x14ac:dyDescent="0.3">
      <c r="A55">
        <v>2</v>
      </c>
      <c r="B55">
        <v>0</v>
      </c>
      <c r="C55" t="s">
        <v>3</v>
      </c>
      <c r="D55" t="s">
        <v>2</v>
      </c>
      <c r="E55">
        <v>38</v>
      </c>
      <c r="F55" t="s">
        <v>15</v>
      </c>
      <c r="G55" t="s">
        <v>14</v>
      </c>
      <c r="H55">
        <v>0</v>
      </c>
      <c r="I55">
        <v>0</v>
      </c>
    </row>
    <row r="56" spans="1:9" x14ac:dyDescent="0.3">
      <c r="A56">
        <v>2</v>
      </c>
      <c r="B56">
        <v>0</v>
      </c>
      <c r="C56" t="s">
        <v>3</v>
      </c>
      <c r="D56" t="s">
        <v>2</v>
      </c>
      <c r="E56">
        <v>40</v>
      </c>
      <c r="F56" t="s">
        <v>15</v>
      </c>
      <c r="G56" t="s">
        <v>14</v>
      </c>
      <c r="H56">
        <v>0</v>
      </c>
      <c r="I56">
        <v>0</v>
      </c>
    </row>
    <row r="57" spans="1:9" x14ac:dyDescent="0.3">
      <c r="A57">
        <v>2</v>
      </c>
      <c r="B57">
        <v>0</v>
      </c>
      <c r="C57" t="s">
        <v>3</v>
      </c>
      <c r="D57" t="s">
        <v>2</v>
      </c>
      <c r="E57">
        <v>30</v>
      </c>
      <c r="F57" t="s">
        <v>15</v>
      </c>
      <c r="G57" t="s">
        <v>14</v>
      </c>
      <c r="H57">
        <v>0</v>
      </c>
      <c r="I57">
        <v>0</v>
      </c>
    </row>
    <row r="58" spans="1:9" x14ac:dyDescent="0.3">
      <c r="A58">
        <v>2</v>
      </c>
      <c r="B58">
        <v>0</v>
      </c>
      <c r="C58" t="s">
        <v>3</v>
      </c>
      <c r="D58" t="s">
        <v>2</v>
      </c>
      <c r="E58">
        <v>21</v>
      </c>
      <c r="F58" t="s">
        <v>15</v>
      </c>
      <c r="G58" t="s">
        <v>14</v>
      </c>
      <c r="H58">
        <v>2</v>
      </c>
      <c r="I58">
        <v>0</v>
      </c>
    </row>
    <row r="59" spans="1:9" x14ac:dyDescent="0.3">
      <c r="A59">
        <v>2</v>
      </c>
      <c r="B59">
        <v>0</v>
      </c>
      <c r="C59" t="s">
        <v>3</v>
      </c>
      <c r="D59" t="s">
        <v>2</v>
      </c>
      <c r="E59">
        <v>70</v>
      </c>
      <c r="F59" t="s">
        <v>15</v>
      </c>
      <c r="G59" t="s">
        <v>14</v>
      </c>
      <c r="H59">
        <v>7</v>
      </c>
      <c r="I59">
        <v>0</v>
      </c>
    </row>
    <row r="60" spans="1:9" x14ac:dyDescent="0.3">
      <c r="A60">
        <v>2</v>
      </c>
      <c r="B60">
        <v>0</v>
      </c>
      <c r="C60" t="s">
        <v>3</v>
      </c>
      <c r="D60" t="s">
        <v>2</v>
      </c>
      <c r="E60">
        <v>17</v>
      </c>
      <c r="F60" t="s">
        <v>15</v>
      </c>
      <c r="G60" t="s">
        <v>14</v>
      </c>
      <c r="H60">
        <v>13</v>
      </c>
      <c r="I60">
        <v>0</v>
      </c>
    </row>
    <row r="61" spans="1:9" x14ac:dyDescent="0.3">
      <c r="A61">
        <v>2</v>
      </c>
      <c r="B61">
        <v>0</v>
      </c>
      <c r="C61" t="s">
        <v>3</v>
      </c>
      <c r="D61" t="s">
        <v>2</v>
      </c>
      <c r="E61">
        <v>87</v>
      </c>
      <c r="F61" t="s">
        <v>15</v>
      </c>
      <c r="G61" t="s">
        <v>14</v>
      </c>
      <c r="H61">
        <v>9</v>
      </c>
      <c r="I61">
        <v>0</v>
      </c>
    </row>
    <row r="62" spans="1:9" x14ac:dyDescent="0.3">
      <c r="A62">
        <v>2</v>
      </c>
      <c r="B62">
        <v>0</v>
      </c>
      <c r="C62" t="s">
        <v>3</v>
      </c>
      <c r="D62" t="s">
        <v>2</v>
      </c>
      <c r="E62">
        <v>23</v>
      </c>
      <c r="F62" t="s">
        <v>15</v>
      </c>
      <c r="G62" t="s">
        <v>14</v>
      </c>
      <c r="H62">
        <v>0</v>
      </c>
      <c r="I62">
        <v>0</v>
      </c>
    </row>
    <row r="63" spans="1:9" x14ac:dyDescent="0.3">
      <c r="A63">
        <v>2</v>
      </c>
      <c r="B63">
        <v>0</v>
      </c>
      <c r="C63" t="s">
        <v>3</v>
      </c>
      <c r="D63" t="s">
        <v>2</v>
      </c>
      <c r="E63">
        <v>30</v>
      </c>
      <c r="F63" t="s">
        <v>15</v>
      </c>
      <c r="G63" t="s">
        <v>14</v>
      </c>
      <c r="H63">
        <v>2</v>
      </c>
      <c r="I63">
        <v>0</v>
      </c>
    </row>
    <row r="64" spans="1:9" x14ac:dyDescent="0.3">
      <c r="A64">
        <v>2</v>
      </c>
      <c r="B64">
        <v>0</v>
      </c>
      <c r="C64" t="s">
        <v>3</v>
      </c>
      <c r="D64" t="s">
        <v>2</v>
      </c>
      <c r="E64">
        <v>48</v>
      </c>
      <c r="F64" t="s">
        <v>15</v>
      </c>
      <c r="G64" t="s">
        <v>14</v>
      </c>
      <c r="H64">
        <v>16</v>
      </c>
      <c r="I64">
        <v>0</v>
      </c>
    </row>
    <row r="65" spans="1:9" x14ac:dyDescent="0.3">
      <c r="A65">
        <v>2</v>
      </c>
      <c r="B65">
        <v>0</v>
      </c>
      <c r="C65" t="s">
        <v>3</v>
      </c>
      <c r="D65" t="s">
        <v>2</v>
      </c>
      <c r="E65">
        <v>58</v>
      </c>
      <c r="F65" t="s">
        <v>15</v>
      </c>
      <c r="G65" t="s">
        <v>14</v>
      </c>
      <c r="H65">
        <v>3</v>
      </c>
      <c r="I65">
        <v>0</v>
      </c>
    </row>
    <row r="66" spans="1:9" x14ac:dyDescent="0.3">
      <c r="A66">
        <v>2</v>
      </c>
      <c r="B66">
        <v>0</v>
      </c>
      <c r="C66" t="s">
        <v>3</v>
      </c>
      <c r="D66" t="s">
        <v>2</v>
      </c>
      <c r="E66">
        <v>25</v>
      </c>
      <c r="F66" t="s">
        <v>15</v>
      </c>
      <c r="G66" t="s">
        <v>14</v>
      </c>
      <c r="H66">
        <v>0</v>
      </c>
      <c r="I66">
        <v>0</v>
      </c>
    </row>
    <row r="67" spans="1:9" x14ac:dyDescent="0.3">
      <c r="A67">
        <v>2</v>
      </c>
      <c r="B67">
        <v>0</v>
      </c>
      <c r="C67" t="s">
        <v>3</v>
      </c>
      <c r="D67" t="s">
        <v>2</v>
      </c>
      <c r="E67">
        <v>32</v>
      </c>
      <c r="F67" t="s">
        <v>15</v>
      </c>
      <c r="G67" t="s">
        <v>14</v>
      </c>
      <c r="H67">
        <v>0</v>
      </c>
      <c r="I67">
        <v>0</v>
      </c>
    </row>
    <row r="68" spans="1:9" x14ac:dyDescent="0.3">
      <c r="A68">
        <v>2</v>
      </c>
      <c r="B68">
        <v>0</v>
      </c>
      <c r="C68" t="s">
        <v>3</v>
      </c>
      <c r="D68" t="s">
        <v>2</v>
      </c>
      <c r="E68">
        <v>38</v>
      </c>
      <c r="F68" t="s">
        <v>15</v>
      </c>
      <c r="G68" t="s">
        <v>14</v>
      </c>
      <c r="H68">
        <v>2</v>
      </c>
      <c r="I68">
        <v>0</v>
      </c>
    </row>
    <row r="69" spans="1:9" x14ac:dyDescent="0.3">
      <c r="A69">
        <v>2</v>
      </c>
      <c r="B69">
        <v>0</v>
      </c>
      <c r="C69" t="s">
        <v>3</v>
      </c>
      <c r="D69" t="s">
        <v>2</v>
      </c>
      <c r="E69">
        <v>50</v>
      </c>
      <c r="F69" t="s">
        <v>15</v>
      </c>
      <c r="G69" t="s">
        <v>14</v>
      </c>
      <c r="H69">
        <v>2</v>
      </c>
      <c r="I69">
        <v>0</v>
      </c>
    </row>
    <row r="70" spans="1:9" x14ac:dyDescent="0.3">
      <c r="A70">
        <v>2</v>
      </c>
      <c r="B70">
        <v>0</v>
      </c>
      <c r="C70" t="s">
        <v>3</v>
      </c>
      <c r="D70" t="s">
        <v>2</v>
      </c>
      <c r="E70">
        <v>42</v>
      </c>
      <c r="F70" t="s">
        <v>15</v>
      </c>
      <c r="G70" t="s">
        <v>14</v>
      </c>
      <c r="H70">
        <v>0</v>
      </c>
      <c r="I70">
        <v>0</v>
      </c>
    </row>
    <row r="71" spans="1:9" x14ac:dyDescent="0.3">
      <c r="A71">
        <v>2</v>
      </c>
      <c r="B71">
        <v>0</v>
      </c>
      <c r="C71" t="s">
        <v>3</v>
      </c>
      <c r="D71" t="s">
        <v>2</v>
      </c>
      <c r="E71">
        <v>25</v>
      </c>
      <c r="F71" t="s">
        <v>15</v>
      </c>
      <c r="G71" t="s">
        <v>14</v>
      </c>
      <c r="H71">
        <v>9</v>
      </c>
      <c r="I71">
        <v>0</v>
      </c>
    </row>
    <row r="72" spans="1:9" x14ac:dyDescent="0.3">
      <c r="A72">
        <v>2</v>
      </c>
      <c r="B72">
        <v>0</v>
      </c>
      <c r="C72" t="s">
        <v>3</v>
      </c>
      <c r="D72" t="s">
        <v>2</v>
      </c>
      <c r="E72">
        <v>47</v>
      </c>
      <c r="F72" t="s">
        <v>15</v>
      </c>
      <c r="G72" t="s">
        <v>14</v>
      </c>
      <c r="H72">
        <v>4</v>
      </c>
      <c r="I72">
        <v>0</v>
      </c>
    </row>
    <row r="73" spans="1:9" x14ac:dyDescent="0.3">
      <c r="A73">
        <v>2</v>
      </c>
      <c r="B73">
        <v>0</v>
      </c>
      <c r="C73" t="s">
        <v>3</v>
      </c>
      <c r="D73" t="s">
        <v>2</v>
      </c>
      <c r="E73">
        <v>29</v>
      </c>
      <c r="F73" t="s">
        <v>15</v>
      </c>
      <c r="G73" t="s">
        <v>14</v>
      </c>
      <c r="H73">
        <v>10</v>
      </c>
      <c r="I73">
        <v>0</v>
      </c>
    </row>
    <row r="74" spans="1:9" x14ac:dyDescent="0.3">
      <c r="A74">
        <v>2</v>
      </c>
      <c r="B74">
        <v>0</v>
      </c>
      <c r="C74" t="s">
        <v>3</v>
      </c>
      <c r="D74" t="s">
        <v>2</v>
      </c>
      <c r="E74">
        <v>58</v>
      </c>
      <c r="F74" t="s">
        <v>15</v>
      </c>
      <c r="G74" t="s">
        <v>14</v>
      </c>
      <c r="H74">
        <v>6</v>
      </c>
      <c r="I74">
        <v>0</v>
      </c>
    </row>
    <row r="75" spans="1:9" x14ac:dyDescent="0.3">
      <c r="A75">
        <v>2</v>
      </c>
      <c r="B75">
        <v>0</v>
      </c>
      <c r="C75" t="s">
        <v>3</v>
      </c>
      <c r="D75" t="s">
        <v>2</v>
      </c>
      <c r="E75">
        <v>50</v>
      </c>
      <c r="F75" t="s">
        <v>15</v>
      </c>
      <c r="G75" t="s">
        <v>14</v>
      </c>
      <c r="H75">
        <v>8</v>
      </c>
      <c r="I75">
        <v>0</v>
      </c>
    </row>
    <row r="76" spans="1:9" x14ac:dyDescent="0.3">
      <c r="A76">
        <v>2</v>
      </c>
      <c r="B76">
        <v>0</v>
      </c>
      <c r="C76" t="s">
        <v>3</v>
      </c>
      <c r="D76" t="s">
        <v>2</v>
      </c>
      <c r="E76">
        <v>52</v>
      </c>
      <c r="F76" t="s">
        <v>15</v>
      </c>
      <c r="G76" t="s">
        <v>14</v>
      </c>
      <c r="H76">
        <v>0</v>
      </c>
      <c r="I76">
        <v>0</v>
      </c>
    </row>
    <row r="77" spans="1:9" x14ac:dyDescent="0.3">
      <c r="A77">
        <v>2</v>
      </c>
      <c r="B77">
        <v>0</v>
      </c>
      <c r="C77" t="s">
        <v>3</v>
      </c>
      <c r="D77" t="s">
        <v>2</v>
      </c>
      <c r="E77">
        <v>31</v>
      </c>
      <c r="F77" t="s">
        <v>15</v>
      </c>
      <c r="G77" t="s">
        <v>14</v>
      </c>
      <c r="H77">
        <v>19</v>
      </c>
      <c r="I77">
        <v>0</v>
      </c>
    </row>
    <row r="78" spans="1:9" x14ac:dyDescent="0.3">
      <c r="A78">
        <v>2</v>
      </c>
      <c r="B78">
        <v>0</v>
      </c>
      <c r="C78" t="s">
        <v>3</v>
      </c>
      <c r="D78" t="s">
        <v>2</v>
      </c>
      <c r="E78">
        <v>32</v>
      </c>
      <c r="F78" t="s">
        <v>15</v>
      </c>
      <c r="G78" t="s">
        <v>14</v>
      </c>
      <c r="H78">
        <v>10</v>
      </c>
      <c r="I78">
        <v>0</v>
      </c>
    </row>
    <row r="79" spans="1:9" x14ac:dyDescent="0.3">
      <c r="A79">
        <v>2</v>
      </c>
      <c r="B79">
        <v>0</v>
      </c>
      <c r="C79" t="s">
        <v>3</v>
      </c>
      <c r="D79" t="s">
        <v>2</v>
      </c>
      <c r="E79">
        <v>35</v>
      </c>
      <c r="F79" t="s">
        <v>15</v>
      </c>
      <c r="G79" t="s">
        <v>14</v>
      </c>
      <c r="H79">
        <v>9</v>
      </c>
      <c r="I79">
        <v>0</v>
      </c>
    </row>
    <row r="80" spans="1:9" x14ac:dyDescent="0.3">
      <c r="A80">
        <v>2</v>
      </c>
      <c r="B80">
        <v>0</v>
      </c>
      <c r="C80" t="s">
        <v>3</v>
      </c>
      <c r="D80" t="s">
        <v>2</v>
      </c>
      <c r="E80">
        <v>64</v>
      </c>
      <c r="F80" t="s">
        <v>15</v>
      </c>
      <c r="G80" t="s">
        <v>14</v>
      </c>
      <c r="H80">
        <v>6</v>
      </c>
      <c r="I80">
        <v>0</v>
      </c>
    </row>
    <row r="81" spans="1:9" x14ac:dyDescent="0.3">
      <c r="A81">
        <v>2</v>
      </c>
      <c r="B81">
        <v>0</v>
      </c>
      <c r="C81" t="s">
        <v>3</v>
      </c>
      <c r="D81" t="s">
        <v>2</v>
      </c>
      <c r="E81">
        <v>37</v>
      </c>
      <c r="F81" t="s">
        <v>15</v>
      </c>
      <c r="G81" t="s">
        <v>14</v>
      </c>
      <c r="H81">
        <v>2</v>
      </c>
      <c r="I81">
        <v>0</v>
      </c>
    </row>
    <row r="82" spans="1:9" x14ac:dyDescent="0.3">
      <c r="A82">
        <v>2</v>
      </c>
      <c r="B82">
        <v>0</v>
      </c>
      <c r="C82" t="s">
        <v>3</v>
      </c>
      <c r="D82" t="s">
        <v>2</v>
      </c>
      <c r="E82">
        <v>32</v>
      </c>
      <c r="F82" t="s">
        <v>15</v>
      </c>
      <c r="G82" t="s">
        <v>14</v>
      </c>
      <c r="H82">
        <v>0</v>
      </c>
      <c r="I82">
        <v>0</v>
      </c>
    </row>
    <row r="83" spans="1:9" x14ac:dyDescent="0.3">
      <c r="A83">
        <v>2</v>
      </c>
      <c r="B83">
        <v>0</v>
      </c>
      <c r="C83" t="s">
        <v>3</v>
      </c>
      <c r="D83" t="s">
        <v>2</v>
      </c>
      <c r="E83">
        <v>47</v>
      </c>
      <c r="F83" t="s">
        <v>15</v>
      </c>
      <c r="G83" t="s">
        <v>14</v>
      </c>
      <c r="H83">
        <v>2</v>
      </c>
      <c r="I83">
        <v>0</v>
      </c>
    </row>
    <row r="84" spans="1:9" x14ac:dyDescent="0.3">
      <c r="A84">
        <v>2</v>
      </c>
      <c r="B84">
        <v>0</v>
      </c>
      <c r="C84" t="s">
        <v>3</v>
      </c>
      <c r="D84" t="s">
        <v>2</v>
      </c>
      <c r="E84">
        <v>27</v>
      </c>
      <c r="F84" t="s">
        <v>15</v>
      </c>
      <c r="G84" t="s">
        <v>14</v>
      </c>
      <c r="H84">
        <v>2</v>
      </c>
      <c r="I84">
        <v>0</v>
      </c>
    </row>
    <row r="85" spans="1:9" x14ac:dyDescent="0.3">
      <c r="A85">
        <v>2</v>
      </c>
      <c r="B85">
        <v>0</v>
      </c>
      <c r="C85" t="s">
        <v>3</v>
      </c>
      <c r="D85" t="s">
        <v>2</v>
      </c>
      <c r="E85">
        <v>46</v>
      </c>
      <c r="F85" t="s">
        <v>15</v>
      </c>
      <c r="G85" t="s">
        <v>14</v>
      </c>
      <c r="H85">
        <v>2</v>
      </c>
      <c r="I85">
        <v>0</v>
      </c>
    </row>
    <row r="86" spans="1:9" x14ac:dyDescent="0.3">
      <c r="A86">
        <v>2</v>
      </c>
      <c r="B86">
        <v>0</v>
      </c>
      <c r="C86" t="s">
        <v>3</v>
      </c>
      <c r="D86" t="s">
        <v>2</v>
      </c>
      <c r="E86">
        <v>49</v>
      </c>
      <c r="F86" t="s">
        <v>15</v>
      </c>
      <c r="G86" t="s">
        <v>14</v>
      </c>
      <c r="H86">
        <v>0</v>
      </c>
      <c r="I86">
        <v>0</v>
      </c>
    </row>
    <row r="87" spans="1:9" x14ac:dyDescent="0.3">
      <c r="A87">
        <v>2</v>
      </c>
      <c r="B87">
        <v>0</v>
      </c>
      <c r="C87" t="s">
        <v>3</v>
      </c>
      <c r="D87" t="s">
        <v>2</v>
      </c>
      <c r="E87">
        <v>21</v>
      </c>
      <c r="F87" t="s">
        <v>15</v>
      </c>
      <c r="G87" t="s">
        <v>14</v>
      </c>
      <c r="H87">
        <v>2</v>
      </c>
      <c r="I87">
        <v>0</v>
      </c>
    </row>
    <row r="88" spans="1:9" x14ac:dyDescent="0.3">
      <c r="A88">
        <v>2</v>
      </c>
      <c r="B88">
        <v>0</v>
      </c>
      <c r="C88" t="s">
        <v>3</v>
      </c>
      <c r="D88" t="s">
        <v>2</v>
      </c>
      <c r="E88">
        <v>52</v>
      </c>
      <c r="F88" t="s">
        <v>15</v>
      </c>
      <c r="G88" t="s">
        <v>14</v>
      </c>
      <c r="H88">
        <v>5</v>
      </c>
      <c r="I88">
        <v>0</v>
      </c>
    </row>
    <row r="89" spans="1:9" x14ac:dyDescent="0.3">
      <c r="A89">
        <v>2</v>
      </c>
      <c r="B89">
        <v>0</v>
      </c>
      <c r="C89" t="s">
        <v>3</v>
      </c>
      <c r="D89" t="s">
        <v>2</v>
      </c>
      <c r="E89">
        <v>33</v>
      </c>
      <c r="F89" t="s">
        <v>15</v>
      </c>
      <c r="G89" t="s">
        <v>14</v>
      </c>
      <c r="H89">
        <v>18</v>
      </c>
      <c r="I89">
        <v>0</v>
      </c>
    </row>
    <row r="90" spans="1:9" x14ac:dyDescent="0.3">
      <c r="A90">
        <v>2</v>
      </c>
      <c r="B90">
        <v>0</v>
      </c>
      <c r="C90" t="s">
        <v>3</v>
      </c>
      <c r="D90" t="s">
        <v>2</v>
      </c>
      <c r="E90">
        <v>22</v>
      </c>
      <c r="F90" t="s">
        <v>15</v>
      </c>
      <c r="G90" t="s">
        <v>14</v>
      </c>
      <c r="H90">
        <v>2</v>
      </c>
      <c r="I90">
        <v>0</v>
      </c>
    </row>
    <row r="91" spans="1:9" x14ac:dyDescent="0.3">
      <c r="A91">
        <v>2</v>
      </c>
      <c r="B91">
        <v>0</v>
      </c>
      <c r="C91" t="s">
        <v>3</v>
      </c>
      <c r="D91" t="s">
        <v>2</v>
      </c>
      <c r="E91">
        <v>51</v>
      </c>
      <c r="F91" t="s">
        <v>15</v>
      </c>
      <c r="G91" t="s">
        <v>14</v>
      </c>
      <c r="H91">
        <v>0</v>
      </c>
      <c r="I91">
        <v>0</v>
      </c>
    </row>
    <row r="92" spans="1:9" x14ac:dyDescent="0.3">
      <c r="A92">
        <v>2</v>
      </c>
      <c r="B92">
        <v>0</v>
      </c>
      <c r="C92" t="s">
        <v>3</v>
      </c>
      <c r="D92" t="s">
        <v>2</v>
      </c>
      <c r="E92">
        <v>53</v>
      </c>
      <c r="F92" t="s">
        <v>15</v>
      </c>
      <c r="G92" t="s">
        <v>14</v>
      </c>
      <c r="H92">
        <v>15</v>
      </c>
      <c r="I92">
        <v>0</v>
      </c>
    </row>
    <row r="93" spans="1:9" x14ac:dyDescent="0.3">
      <c r="A93">
        <v>2</v>
      </c>
      <c r="B93">
        <v>0</v>
      </c>
      <c r="C93" t="s">
        <v>3</v>
      </c>
      <c r="D93" t="s">
        <v>2</v>
      </c>
      <c r="E93">
        <v>48</v>
      </c>
      <c r="F93" t="s">
        <v>15</v>
      </c>
      <c r="G93" t="s">
        <v>14</v>
      </c>
      <c r="H93">
        <v>0</v>
      </c>
      <c r="I93">
        <v>0</v>
      </c>
    </row>
    <row r="94" spans="1:9" x14ac:dyDescent="0.3">
      <c r="A94">
        <v>2</v>
      </c>
      <c r="B94">
        <v>0</v>
      </c>
      <c r="C94" t="s">
        <v>3</v>
      </c>
      <c r="D94" t="s">
        <v>2</v>
      </c>
      <c r="E94">
        <v>51</v>
      </c>
      <c r="F94" t="s">
        <v>15</v>
      </c>
      <c r="G94" t="s">
        <v>14</v>
      </c>
      <c r="H94">
        <v>15</v>
      </c>
      <c r="I94">
        <v>0</v>
      </c>
    </row>
    <row r="95" spans="1:9" x14ac:dyDescent="0.3">
      <c r="A95">
        <v>2</v>
      </c>
      <c r="B95">
        <v>0</v>
      </c>
      <c r="C95" t="s">
        <v>3</v>
      </c>
      <c r="D95" t="s">
        <v>2</v>
      </c>
      <c r="E95">
        <v>79</v>
      </c>
      <c r="F95" t="s">
        <v>15</v>
      </c>
      <c r="G95" t="s">
        <v>14</v>
      </c>
      <c r="H95">
        <v>14</v>
      </c>
      <c r="I95">
        <v>0</v>
      </c>
    </row>
    <row r="96" spans="1:9" x14ac:dyDescent="0.3">
      <c r="A96">
        <v>2</v>
      </c>
      <c r="B96">
        <v>0</v>
      </c>
      <c r="C96" t="s">
        <v>3</v>
      </c>
      <c r="D96" t="s">
        <v>2</v>
      </c>
      <c r="E96">
        <v>44</v>
      </c>
      <c r="F96" t="s">
        <v>15</v>
      </c>
      <c r="G96" t="s">
        <v>14</v>
      </c>
      <c r="H96">
        <v>0</v>
      </c>
      <c r="I96">
        <v>0</v>
      </c>
    </row>
    <row r="97" spans="1:9" x14ac:dyDescent="0.3">
      <c r="A97">
        <v>2</v>
      </c>
      <c r="B97">
        <v>0</v>
      </c>
      <c r="C97" t="s">
        <v>3</v>
      </c>
      <c r="D97" t="s">
        <v>2</v>
      </c>
      <c r="E97">
        <v>36</v>
      </c>
      <c r="F97" t="s">
        <v>15</v>
      </c>
      <c r="G97" t="s">
        <v>14</v>
      </c>
      <c r="H97">
        <v>9</v>
      </c>
      <c r="I97">
        <v>0</v>
      </c>
    </row>
    <row r="98" spans="1:9" x14ac:dyDescent="0.3">
      <c r="A98">
        <v>2</v>
      </c>
      <c r="B98">
        <v>0</v>
      </c>
      <c r="C98" t="s">
        <v>3</v>
      </c>
      <c r="D98" t="s">
        <v>2</v>
      </c>
      <c r="E98">
        <v>79</v>
      </c>
      <c r="F98" t="s">
        <v>15</v>
      </c>
      <c r="G98" t="s">
        <v>14</v>
      </c>
      <c r="H98">
        <v>4</v>
      </c>
      <c r="I98">
        <v>0</v>
      </c>
    </row>
    <row r="99" spans="1:9" x14ac:dyDescent="0.3">
      <c r="A99">
        <v>2</v>
      </c>
      <c r="B99">
        <v>0</v>
      </c>
      <c r="C99" t="s">
        <v>3</v>
      </c>
      <c r="D99" t="s">
        <v>2</v>
      </c>
      <c r="E99">
        <v>63</v>
      </c>
      <c r="F99" t="s">
        <v>15</v>
      </c>
      <c r="G99" t="s">
        <v>14</v>
      </c>
      <c r="H99">
        <v>12</v>
      </c>
      <c r="I99">
        <v>0</v>
      </c>
    </row>
    <row r="100" spans="1:9" x14ac:dyDescent="0.3">
      <c r="A100">
        <v>2</v>
      </c>
      <c r="B100">
        <v>0</v>
      </c>
      <c r="C100" t="s">
        <v>3</v>
      </c>
      <c r="D100" t="s">
        <v>2</v>
      </c>
      <c r="E100">
        <v>25</v>
      </c>
      <c r="F100" t="s">
        <v>15</v>
      </c>
      <c r="G100" t="s">
        <v>14</v>
      </c>
      <c r="H100">
        <v>2</v>
      </c>
      <c r="I100">
        <v>0</v>
      </c>
    </row>
    <row r="101" spans="1:9" x14ac:dyDescent="0.3">
      <c r="A101">
        <v>2</v>
      </c>
      <c r="B101">
        <v>0</v>
      </c>
      <c r="C101" t="s">
        <v>3</v>
      </c>
      <c r="D101" t="s">
        <v>2</v>
      </c>
      <c r="E101">
        <v>32</v>
      </c>
      <c r="F101" t="s">
        <v>15</v>
      </c>
      <c r="G101" t="s">
        <v>14</v>
      </c>
      <c r="H101">
        <v>11</v>
      </c>
      <c r="I101">
        <v>0</v>
      </c>
    </row>
    <row r="102" spans="1:9" x14ac:dyDescent="0.3">
      <c r="A102">
        <v>2</v>
      </c>
      <c r="B102">
        <v>0</v>
      </c>
      <c r="C102" t="s">
        <v>3</v>
      </c>
      <c r="D102" t="s">
        <v>2</v>
      </c>
      <c r="E102">
        <v>28</v>
      </c>
      <c r="F102" t="s">
        <v>15</v>
      </c>
      <c r="G102" t="s">
        <v>14</v>
      </c>
      <c r="H102">
        <v>3</v>
      </c>
      <c r="I102">
        <v>0</v>
      </c>
    </row>
    <row r="103" spans="1:9" x14ac:dyDescent="0.3">
      <c r="A103">
        <v>2</v>
      </c>
      <c r="B103">
        <v>0</v>
      </c>
      <c r="C103" t="s">
        <v>3</v>
      </c>
      <c r="D103" t="s">
        <v>2</v>
      </c>
      <c r="E103">
        <v>27</v>
      </c>
      <c r="F103" t="s">
        <v>15</v>
      </c>
      <c r="G103" t="s">
        <v>14</v>
      </c>
      <c r="H103">
        <v>0</v>
      </c>
      <c r="I103">
        <v>0</v>
      </c>
    </row>
    <row r="104" spans="1:9" x14ac:dyDescent="0.3">
      <c r="A104">
        <v>2</v>
      </c>
      <c r="B104">
        <v>0</v>
      </c>
      <c r="C104" t="s">
        <v>3</v>
      </c>
      <c r="D104" t="s">
        <v>2</v>
      </c>
      <c r="E104">
        <v>36</v>
      </c>
      <c r="F104" t="s">
        <v>15</v>
      </c>
      <c r="G104" t="s">
        <v>14</v>
      </c>
      <c r="H104">
        <v>15</v>
      </c>
      <c r="I104">
        <v>0</v>
      </c>
    </row>
    <row r="105" spans="1:9" x14ac:dyDescent="0.3">
      <c r="A105">
        <v>2</v>
      </c>
      <c r="B105">
        <v>0</v>
      </c>
      <c r="C105" t="s">
        <v>3</v>
      </c>
      <c r="D105" t="s">
        <v>2</v>
      </c>
      <c r="E105">
        <v>29</v>
      </c>
      <c r="F105" t="s">
        <v>15</v>
      </c>
      <c r="G105" t="s">
        <v>14</v>
      </c>
      <c r="H105">
        <v>2</v>
      </c>
      <c r="I105">
        <v>0</v>
      </c>
    </row>
    <row r="106" spans="1:9" x14ac:dyDescent="0.3">
      <c r="A106">
        <v>2</v>
      </c>
      <c r="B106">
        <v>0</v>
      </c>
      <c r="C106" t="s">
        <v>3</v>
      </c>
      <c r="D106" t="s">
        <v>2</v>
      </c>
      <c r="E106">
        <v>47</v>
      </c>
      <c r="F106" t="s">
        <v>15</v>
      </c>
      <c r="G106" t="s">
        <v>14</v>
      </c>
      <c r="H106">
        <v>0</v>
      </c>
      <c r="I106">
        <v>0</v>
      </c>
    </row>
    <row r="107" spans="1:9" x14ac:dyDescent="0.3">
      <c r="A107">
        <v>2</v>
      </c>
      <c r="B107">
        <v>0</v>
      </c>
      <c r="C107" t="s">
        <v>3</v>
      </c>
      <c r="D107" t="s">
        <v>2</v>
      </c>
      <c r="E107">
        <v>47</v>
      </c>
      <c r="F107" t="s">
        <v>15</v>
      </c>
      <c r="G107" t="s">
        <v>14</v>
      </c>
      <c r="H107">
        <v>13</v>
      </c>
      <c r="I107">
        <v>0</v>
      </c>
    </row>
    <row r="108" spans="1:9" x14ac:dyDescent="0.3">
      <c r="A108">
        <v>2</v>
      </c>
      <c r="B108">
        <v>0</v>
      </c>
      <c r="C108" t="s">
        <v>3</v>
      </c>
      <c r="D108" t="s">
        <v>2</v>
      </c>
      <c r="E108">
        <v>38</v>
      </c>
      <c r="F108" t="s">
        <v>15</v>
      </c>
      <c r="G108" t="s">
        <v>14</v>
      </c>
      <c r="H108">
        <v>0</v>
      </c>
      <c r="I108">
        <v>0</v>
      </c>
    </row>
    <row r="109" spans="1:9" x14ac:dyDescent="0.3">
      <c r="A109">
        <v>2</v>
      </c>
      <c r="B109">
        <v>0</v>
      </c>
      <c r="C109" t="s">
        <v>3</v>
      </c>
      <c r="D109" t="s">
        <v>2</v>
      </c>
      <c r="E109">
        <v>41</v>
      </c>
      <c r="F109" t="s">
        <v>15</v>
      </c>
      <c r="G109" t="s">
        <v>14</v>
      </c>
      <c r="H109">
        <v>9</v>
      </c>
      <c r="I109">
        <v>0</v>
      </c>
    </row>
    <row r="110" spans="1:9" x14ac:dyDescent="0.3">
      <c r="A110">
        <v>2</v>
      </c>
      <c r="B110">
        <v>0</v>
      </c>
      <c r="C110" t="s">
        <v>3</v>
      </c>
      <c r="D110" t="s">
        <v>2</v>
      </c>
      <c r="E110">
        <v>71</v>
      </c>
      <c r="F110" t="s">
        <v>15</v>
      </c>
      <c r="G110" t="s">
        <v>14</v>
      </c>
      <c r="H110">
        <v>0</v>
      </c>
      <c r="I110">
        <v>0</v>
      </c>
    </row>
    <row r="111" spans="1:9" x14ac:dyDescent="0.3">
      <c r="A111">
        <v>2</v>
      </c>
      <c r="B111">
        <v>0</v>
      </c>
      <c r="C111" t="s">
        <v>3</v>
      </c>
      <c r="D111" t="s">
        <v>2</v>
      </c>
      <c r="E111">
        <v>37</v>
      </c>
      <c r="F111" t="s">
        <v>15</v>
      </c>
      <c r="G111" t="s">
        <v>14</v>
      </c>
      <c r="H111">
        <v>0</v>
      </c>
      <c r="I111">
        <v>0</v>
      </c>
    </row>
    <row r="112" spans="1:9" x14ac:dyDescent="0.3">
      <c r="A112">
        <v>2</v>
      </c>
      <c r="B112">
        <v>0</v>
      </c>
      <c r="C112" t="s">
        <v>3</v>
      </c>
      <c r="D112" t="s">
        <v>2</v>
      </c>
      <c r="E112">
        <v>44</v>
      </c>
      <c r="F112" t="s">
        <v>15</v>
      </c>
      <c r="G112" t="s">
        <v>14</v>
      </c>
      <c r="H112">
        <v>2</v>
      </c>
      <c r="I112">
        <v>0</v>
      </c>
    </row>
    <row r="113" spans="1:9" x14ac:dyDescent="0.3">
      <c r="A113">
        <v>2</v>
      </c>
      <c r="B113">
        <v>0</v>
      </c>
      <c r="C113" t="s">
        <v>3</v>
      </c>
      <c r="D113" t="s">
        <v>2</v>
      </c>
      <c r="E113">
        <v>58</v>
      </c>
      <c r="F113" t="s">
        <v>15</v>
      </c>
      <c r="G113" t="s">
        <v>14</v>
      </c>
      <c r="H113">
        <v>16</v>
      </c>
      <c r="I113">
        <v>0</v>
      </c>
    </row>
    <row r="114" spans="1:9" x14ac:dyDescent="0.3">
      <c r="A114">
        <v>2</v>
      </c>
      <c r="B114">
        <v>0</v>
      </c>
      <c r="C114" t="s">
        <v>3</v>
      </c>
      <c r="D114" t="s">
        <v>2</v>
      </c>
      <c r="E114">
        <v>60</v>
      </c>
      <c r="F114" t="s">
        <v>15</v>
      </c>
      <c r="G114" t="s">
        <v>14</v>
      </c>
      <c r="H114">
        <v>8</v>
      </c>
      <c r="I114">
        <v>0</v>
      </c>
    </row>
    <row r="115" spans="1:9" x14ac:dyDescent="0.3">
      <c r="A115">
        <v>2</v>
      </c>
      <c r="B115">
        <v>0</v>
      </c>
      <c r="C115" t="s">
        <v>3</v>
      </c>
      <c r="D115" t="s">
        <v>2</v>
      </c>
      <c r="E115">
        <v>46</v>
      </c>
      <c r="F115" t="s">
        <v>15</v>
      </c>
      <c r="G115" t="s">
        <v>14</v>
      </c>
      <c r="H115">
        <v>2</v>
      </c>
      <c r="I115">
        <v>0</v>
      </c>
    </row>
    <row r="116" spans="1:9" x14ac:dyDescent="0.3">
      <c r="A116">
        <v>2</v>
      </c>
      <c r="B116">
        <v>0</v>
      </c>
      <c r="C116" t="s">
        <v>3</v>
      </c>
      <c r="D116" t="s">
        <v>2</v>
      </c>
      <c r="E116">
        <v>40</v>
      </c>
      <c r="F116" t="s">
        <v>15</v>
      </c>
      <c r="G116" t="s">
        <v>14</v>
      </c>
      <c r="H116">
        <v>17</v>
      </c>
      <c r="I116">
        <v>0</v>
      </c>
    </row>
    <row r="117" spans="1:9" x14ac:dyDescent="0.3">
      <c r="A117">
        <v>2</v>
      </c>
      <c r="B117">
        <v>0</v>
      </c>
      <c r="C117" t="s">
        <v>3</v>
      </c>
      <c r="D117" t="s">
        <v>2</v>
      </c>
      <c r="E117">
        <v>31</v>
      </c>
      <c r="F117" t="s">
        <v>15</v>
      </c>
      <c r="G117" t="s">
        <v>14</v>
      </c>
      <c r="H117">
        <v>10</v>
      </c>
      <c r="I117">
        <v>0</v>
      </c>
    </row>
    <row r="118" spans="1:9" x14ac:dyDescent="0.3">
      <c r="A118">
        <v>2</v>
      </c>
      <c r="B118">
        <v>0</v>
      </c>
      <c r="C118" t="s">
        <v>3</v>
      </c>
      <c r="D118" t="s">
        <v>2</v>
      </c>
      <c r="E118">
        <v>19</v>
      </c>
      <c r="F118" t="s">
        <v>15</v>
      </c>
      <c r="G118" t="s">
        <v>14</v>
      </c>
      <c r="H118">
        <v>16</v>
      </c>
      <c r="I118">
        <v>0</v>
      </c>
    </row>
    <row r="119" spans="1:9" x14ac:dyDescent="0.3">
      <c r="A119">
        <v>2</v>
      </c>
      <c r="B119">
        <v>0</v>
      </c>
      <c r="C119" t="s">
        <v>3</v>
      </c>
      <c r="D119" t="s">
        <v>2</v>
      </c>
      <c r="E119">
        <v>48</v>
      </c>
      <c r="F119" t="s">
        <v>15</v>
      </c>
      <c r="G119" t="s">
        <v>14</v>
      </c>
      <c r="H119">
        <v>9</v>
      </c>
      <c r="I119">
        <v>0</v>
      </c>
    </row>
    <row r="120" spans="1:9" x14ac:dyDescent="0.3">
      <c r="A120">
        <v>2</v>
      </c>
      <c r="B120">
        <v>0</v>
      </c>
      <c r="C120" t="s">
        <v>3</v>
      </c>
      <c r="D120" t="s">
        <v>2</v>
      </c>
      <c r="E120">
        <v>39</v>
      </c>
      <c r="F120" t="s">
        <v>15</v>
      </c>
      <c r="G120" t="s">
        <v>14</v>
      </c>
      <c r="H120">
        <v>0</v>
      </c>
      <c r="I120">
        <v>0</v>
      </c>
    </row>
    <row r="121" spans="1:9" x14ac:dyDescent="0.3">
      <c r="A121">
        <v>2</v>
      </c>
      <c r="B121">
        <v>0</v>
      </c>
      <c r="C121" t="s">
        <v>3</v>
      </c>
      <c r="D121" t="s">
        <v>2</v>
      </c>
      <c r="E121">
        <v>52</v>
      </c>
      <c r="F121" t="s">
        <v>15</v>
      </c>
      <c r="G121" t="s">
        <v>14</v>
      </c>
      <c r="H121">
        <v>0</v>
      </c>
      <c r="I121">
        <v>0</v>
      </c>
    </row>
    <row r="122" spans="1:9" x14ac:dyDescent="0.3">
      <c r="A122">
        <v>2</v>
      </c>
      <c r="B122">
        <v>0</v>
      </c>
      <c r="C122" t="s">
        <v>3</v>
      </c>
      <c r="D122" t="s">
        <v>2</v>
      </c>
      <c r="E122">
        <v>38</v>
      </c>
      <c r="F122" t="s">
        <v>15</v>
      </c>
      <c r="G122" t="s">
        <v>14</v>
      </c>
      <c r="H122">
        <v>0</v>
      </c>
      <c r="I122">
        <v>0</v>
      </c>
    </row>
    <row r="123" spans="1:9" x14ac:dyDescent="0.3">
      <c r="A123">
        <v>2</v>
      </c>
      <c r="B123">
        <v>0</v>
      </c>
      <c r="C123" t="s">
        <v>3</v>
      </c>
      <c r="D123" t="s">
        <v>2</v>
      </c>
      <c r="E123">
        <v>53</v>
      </c>
      <c r="F123" t="s">
        <v>15</v>
      </c>
      <c r="G123" t="s">
        <v>14</v>
      </c>
      <c r="H123">
        <v>2</v>
      </c>
      <c r="I123">
        <v>0</v>
      </c>
    </row>
    <row r="124" spans="1:9" x14ac:dyDescent="0.3">
      <c r="A124">
        <v>2</v>
      </c>
      <c r="B124">
        <v>0</v>
      </c>
      <c r="C124" t="s">
        <v>3</v>
      </c>
      <c r="D124" t="s">
        <v>2</v>
      </c>
      <c r="E124">
        <v>25</v>
      </c>
      <c r="F124" t="s">
        <v>15</v>
      </c>
      <c r="G124" t="s">
        <v>14</v>
      </c>
      <c r="H124">
        <v>4</v>
      </c>
      <c r="I124">
        <v>0</v>
      </c>
    </row>
    <row r="125" spans="1:9" x14ac:dyDescent="0.3">
      <c r="A125">
        <v>2</v>
      </c>
      <c r="B125">
        <v>0</v>
      </c>
      <c r="C125" t="s">
        <v>3</v>
      </c>
      <c r="D125" t="s">
        <v>2</v>
      </c>
      <c r="E125">
        <v>64</v>
      </c>
      <c r="F125" t="s">
        <v>15</v>
      </c>
      <c r="G125" t="s">
        <v>14</v>
      </c>
      <c r="H125">
        <v>0</v>
      </c>
      <c r="I125">
        <v>0</v>
      </c>
    </row>
    <row r="126" spans="1:9" x14ac:dyDescent="0.3">
      <c r="A126">
        <v>2</v>
      </c>
      <c r="B126">
        <v>0</v>
      </c>
      <c r="C126" t="s">
        <v>3</v>
      </c>
      <c r="D126" t="s">
        <v>2</v>
      </c>
      <c r="E126">
        <v>40</v>
      </c>
      <c r="F126" t="s">
        <v>15</v>
      </c>
      <c r="G126" t="s">
        <v>14</v>
      </c>
      <c r="H126">
        <v>2</v>
      </c>
      <c r="I126">
        <v>0</v>
      </c>
    </row>
    <row r="127" spans="1:9" x14ac:dyDescent="0.3">
      <c r="A127">
        <v>2</v>
      </c>
      <c r="B127">
        <v>0</v>
      </c>
      <c r="C127" t="s">
        <v>3</v>
      </c>
      <c r="D127" t="s">
        <v>2</v>
      </c>
      <c r="E127">
        <v>50</v>
      </c>
      <c r="F127" t="s">
        <v>15</v>
      </c>
      <c r="G127" t="s">
        <v>14</v>
      </c>
      <c r="H127">
        <v>0</v>
      </c>
      <c r="I127">
        <v>0</v>
      </c>
    </row>
    <row r="128" spans="1:9" x14ac:dyDescent="0.3">
      <c r="A128">
        <v>2</v>
      </c>
      <c r="B128">
        <v>0</v>
      </c>
      <c r="C128" t="s">
        <v>3</v>
      </c>
      <c r="D128" t="s">
        <v>2</v>
      </c>
      <c r="E128">
        <v>13</v>
      </c>
      <c r="F128" t="s">
        <v>15</v>
      </c>
      <c r="G128" t="s">
        <v>14</v>
      </c>
      <c r="H128">
        <v>2</v>
      </c>
      <c r="I128">
        <v>0</v>
      </c>
    </row>
    <row r="129" spans="1:9" x14ac:dyDescent="0.3">
      <c r="A129">
        <v>2</v>
      </c>
      <c r="B129">
        <v>0</v>
      </c>
      <c r="C129" t="s">
        <v>3</v>
      </c>
      <c r="D129" t="s">
        <v>2</v>
      </c>
      <c r="E129">
        <v>22</v>
      </c>
      <c r="F129" t="s">
        <v>15</v>
      </c>
      <c r="G129" t="s">
        <v>14</v>
      </c>
      <c r="H129">
        <v>8</v>
      </c>
      <c r="I129">
        <v>0</v>
      </c>
    </row>
    <row r="130" spans="1:9" x14ac:dyDescent="0.3">
      <c r="A130">
        <v>2</v>
      </c>
      <c r="B130">
        <v>0</v>
      </c>
      <c r="C130" t="s">
        <v>3</v>
      </c>
      <c r="D130" t="s">
        <v>2</v>
      </c>
      <c r="E130">
        <v>57</v>
      </c>
      <c r="F130" t="s">
        <v>15</v>
      </c>
      <c r="G130" t="s">
        <v>14</v>
      </c>
      <c r="H130">
        <v>0</v>
      </c>
      <c r="I130">
        <v>0</v>
      </c>
    </row>
    <row r="131" spans="1:9" x14ac:dyDescent="0.3">
      <c r="A131">
        <v>2</v>
      </c>
      <c r="B131">
        <v>0</v>
      </c>
      <c r="C131" t="s">
        <v>3</v>
      </c>
      <c r="D131" t="s">
        <v>2</v>
      </c>
      <c r="E131">
        <v>29</v>
      </c>
      <c r="F131" t="s">
        <v>15</v>
      </c>
      <c r="G131" t="s">
        <v>14</v>
      </c>
      <c r="H131">
        <v>2</v>
      </c>
      <c r="I131">
        <v>0</v>
      </c>
    </row>
    <row r="132" spans="1:9" x14ac:dyDescent="0.3">
      <c r="A132">
        <v>2</v>
      </c>
      <c r="B132">
        <v>0</v>
      </c>
      <c r="C132" t="s">
        <v>3</v>
      </c>
      <c r="D132" t="s">
        <v>2</v>
      </c>
      <c r="E132">
        <v>25</v>
      </c>
      <c r="F132" t="s">
        <v>15</v>
      </c>
      <c r="G132" t="s">
        <v>14</v>
      </c>
      <c r="H132">
        <v>0</v>
      </c>
      <c r="I132">
        <v>0</v>
      </c>
    </row>
    <row r="133" spans="1:9" x14ac:dyDescent="0.3">
      <c r="A133">
        <v>2</v>
      </c>
      <c r="B133">
        <v>0</v>
      </c>
      <c r="C133" t="s">
        <v>3</v>
      </c>
      <c r="D133" t="s">
        <v>2</v>
      </c>
      <c r="E133">
        <v>18</v>
      </c>
      <c r="F133" t="s">
        <v>15</v>
      </c>
      <c r="G133" t="s">
        <v>14</v>
      </c>
      <c r="H133">
        <v>0</v>
      </c>
      <c r="I133">
        <v>0</v>
      </c>
    </row>
    <row r="134" spans="1:9" x14ac:dyDescent="0.3">
      <c r="A134">
        <v>2</v>
      </c>
      <c r="B134">
        <v>0</v>
      </c>
      <c r="C134" t="s">
        <v>3</v>
      </c>
      <c r="D134" t="s">
        <v>2</v>
      </c>
      <c r="E134">
        <v>56</v>
      </c>
      <c r="F134" t="s">
        <v>15</v>
      </c>
      <c r="G134" t="s">
        <v>14</v>
      </c>
      <c r="H134">
        <v>2</v>
      </c>
      <c r="I134">
        <v>0</v>
      </c>
    </row>
    <row r="135" spans="1:9" x14ac:dyDescent="0.3">
      <c r="A135">
        <v>2</v>
      </c>
      <c r="B135">
        <v>0</v>
      </c>
      <c r="C135" t="s">
        <v>3</v>
      </c>
      <c r="D135" t="s">
        <v>2</v>
      </c>
      <c r="E135">
        <v>64</v>
      </c>
      <c r="F135" t="s">
        <v>15</v>
      </c>
      <c r="G135" t="s">
        <v>14</v>
      </c>
      <c r="H135">
        <v>0</v>
      </c>
      <c r="I135">
        <v>0</v>
      </c>
    </row>
    <row r="136" spans="1:9" x14ac:dyDescent="0.3">
      <c r="A136">
        <v>2</v>
      </c>
      <c r="B136">
        <v>0</v>
      </c>
      <c r="C136" t="s">
        <v>3</v>
      </c>
      <c r="D136" t="s">
        <v>2</v>
      </c>
      <c r="E136">
        <v>72</v>
      </c>
      <c r="F136" t="s">
        <v>15</v>
      </c>
      <c r="G136" t="s">
        <v>14</v>
      </c>
      <c r="H136">
        <v>22</v>
      </c>
      <c r="I136">
        <v>0</v>
      </c>
    </row>
    <row r="137" spans="1:9" x14ac:dyDescent="0.3">
      <c r="A137">
        <v>2</v>
      </c>
      <c r="B137">
        <v>0</v>
      </c>
      <c r="C137" t="s">
        <v>3</v>
      </c>
      <c r="D137" t="s">
        <v>2</v>
      </c>
      <c r="E137">
        <v>69</v>
      </c>
      <c r="F137" t="s">
        <v>15</v>
      </c>
      <c r="G137" t="s">
        <v>14</v>
      </c>
      <c r="H137">
        <v>2</v>
      </c>
      <c r="I137">
        <v>0</v>
      </c>
    </row>
    <row r="138" spans="1:9" x14ac:dyDescent="0.3">
      <c r="A138">
        <v>2</v>
      </c>
      <c r="B138">
        <v>0</v>
      </c>
      <c r="C138" t="s">
        <v>3</v>
      </c>
      <c r="D138" t="s">
        <v>2</v>
      </c>
      <c r="E138">
        <v>29</v>
      </c>
      <c r="F138" t="s">
        <v>15</v>
      </c>
      <c r="G138" t="s">
        <v>14</v>
      </c>
      <c r="H138">
        <v>0</v>
      </c>
      <c r="I138">
        <v>0</v>
      </c>
    </row>
    <row r="139" spans="1:9" x14ac:dyDescent="0.3">
      <c r="A139">
        <v>2</v>
      </c>
      <c r="B139">
        <v>0</v>
      </c>
      <c r="C139" t="s">
        <v>3</v>
      </c>
      <c r="D139" t="s">
        <v>2</v>
      </c>
      <c r="E139">
        <v>52</v>
      </c>
      <c r="F139" t="s">
        <v>15</v>
      </c>
      <c r="G139" t="s">
        <v>14</v>
      </c>
      <c r="H139">
        <v>22</v>
      </c>
      <c r="I139">
        <v>0</v>
      </c>
    </row>
    <row r="140" spans="1:9" x14ac:dyDescent="0.3">
      <c r="A140">
        <v>2</v>
      </c>
      <c r="B140">
        <v>0</v>
      </c>
      <c r="C140" t="s">
        <v>3</v>
      </c>
      <c r="D140" t="s">
        <v>2</v>
      </c>
      <c r="E140">
        <v>70</v>
      </c>
      <c r="F140" t="s">
        <v>15</v>
      </c>
      <c r="G140" t="s">
        <v>14</v>
      </c>
      <c r="H140">
        <v>1</v>
      </c>
      <c r="I140">
        <v>0</v>
      </c>
    </row>
    <row r="141" spans="1:9" x14ac:dyDescent="0.3">
      <c r="A141">
        <v>2</v>
      </c>
      <c r="B141">
        <v>0</v>
      </c>
      <c r="C141" t="s">
        <v>3</v>
      </c>
      <c r="D141" t="s">
        <v>2</v>
      </c>
      <c r="E141">
        <v>30</v>
      </c>
      <c r="F141" t="s">
        <v>15</v>
      </c>
      <c r="G141" t="s">
        <v>14</v>
      </c>
      <c r="H141">
        <v>5</v>
      </c>
      <c r="I141">
        <v>0</v>
      </c>
    </row>
    <row r="142" spans="1:9" x14ac:dyDescent="0.3">
      <c r="A142">
        <v>2</v>
      </c>
      <c r="B142">
        <v>0</v>
      </c>
      <c r="C142" t="s">
        <v>3</v>
      </c>
      <c r="D142" t="s">
        <v>2</v>
      </c>
      <c r="E142">
        <v>63</v>
      </c>
      <c r="F142" t="s">
        <v>15</v>
      </c>
      <c r="G142" t="s">
        <v>14</v>
      </c>
      <c r="H142">
        <v>0</v>
      </c>
      <c r="I142">
        <v>0</v>
      </c>
    </row>
    <row r="143" spans="1:9" x14ac:dyDescent="0.3">
      <c r="A143">
        <v>2</v>
      </c>
      <c r="B143">
        <v>0</v>
      </c>
      <c r="C143" t="s">
        <v>3</v>
      </c>
      <c r="D143" t="s">
        <v>2</v>
      </c>
      <c r="E143">
        <v>47</v>
      </c>
      <c r="F143" t="s">
        <v>15</v>
      </c>
      <c r="G143" t="s">
        <v>14</v>
      </c>
      <c r="H143">
        <v>10</v>
      </c>
      <c r="I143">
        <v>0</v>
      </c>
    </row>
    <row r="144" spans="1:9" x14ac:dyDescent="0.3">
      <c r="A144">
        <v>2</v>
      </c>
      <c r="B144">
        <v>0</v>
      </c>
      <c r="C144" t="s">
        <v>3</v>
      </c>
      <c r="D144" t="s">
        <v>2</v>
      </c>
      <c r="E144">
        <v>28</v>
      </c>
      <c r="F144" t="s">
        <v>15</v>
      </c>
      <c r="G144" t="s">
        <v>14</v>
      </c>
      <c r="H144">
        <v>10</v>
      </c>
      <c r="I144">
        <v>0</v>
      </c>
    </row>
    <row r="145" spans="1:9" x14ac:dyDescent="0.3">
      <c r="A145">
        <v>2</v>
      </c>
      <c r="B145">
        <v>0</v>
      </c>
      <c r="C145" t="s">
        <v>3</v>
      </c>
      <c r="D145" t="s">
        <v>2</v>
      </c>
      <c r="E145">
        <v>29</v>
      </c>
      <c r="F145" t="s">
        <v>15</v>
      </c>
      <c r="G145" t="s">
        <v>14</v>
      </c>
      <c r="H145">
        <v>0</v>
      </c>
      <c r="I145">
        <v>0</v>
      </c>
    </row>
    <row r="146" spans="1:9" x14ac:dyDescent="0.3">
      <c r="A146">
        <v>2</v>
      </c>
      <c r="B146">
        <v>0</v>
      </c>
      <c r="C146" t="s">
        <v>3</v>
      </c>
      <c r="D146" t="s">
        <v>2</v>
      </c>
      <c r="E146">
        <v>32</v>
      </c>
      <c r="F146" t="s">
        <v>15</v>
      </c>
      <c r="G146" t="s">
        <v>14</v>
      </c>
      <c r="H146">
        <v>9</v>
      </c>
      <c r="I146">
        <v>0</v>
      </c>
    </row>
    <row r="147" spans="1:9" x14ac:dyDescent="0.3">
      <c r="A147">
        <v>2</v>
      </c>
      <c r="B147">
        <v>0</v>
      </c>
      <c r="C147" t="s">
        <v>3</v>
      </c>
      <c r="D147" t="s">
        <v>2</v>
      </c>
      <c r="E147">
        <v>50</v>
      </c>
      <c r="F147" t="s">
        <v>15</v>
      </c>
      <c r="G147" t="s">
        <v>14</v>
      </c>
      <c r="H147">
        <v>3</v>
      </c>
      <c r="I147">
        <v>0</v>
      </c>
    </row>
    <row r="148" spans="1:9" x14ac:dyDescent="0.3">
      <c r="A148">
        <v>2</v>
      </c>
      <c r="B148">
        <v>0</v>
      </c>
      <c r="C148" t="s">
        <v>3</v>
      </c>
      <c r="D148" t="s">
        <v>2</v>
      </c>
      <c r="E148">
        <v>9</v>
      </c>
      <c r="F148" t="s">
        <v>15</v>
      </c>
      <c r="G148" t="s">
        <v>14</v>
      </c>
      <c r="H148">
        <v>2</v>
      </c>
      <c r="I148">
        <v>0</v>
      </c>
    </row>
    <row r="149" spans="1:9" x14ac:dyDescent="0.3">
      <c r="A149">
        <v>2</v>
      </c>
      <c r="B149">
        <v>0</v>
      </c>
      <c r="C149" t="s">
        <v>3</v>
      </c>
      <c r="D149" t="s">
        <v>2</v>
      </c>
      <c r="E149">
        <v>32</v>
      </c>
      <c r="F149" t="s">
        <v>15</v>
      </c>
      <c r="G149" t="s">
        <v>14</v>
      </c>
      <c r="H149">
        <v>0</v>
      </c>
      <c r="I149">
        <v>0</v>
      </c>
    </row>
    <row r="150" spans="1:9" x14ac:dyDescent="0.3">
      <c r="A150">
        <v>2</v>
      </c>
      <c r="B150">
        <v>0</v>
      </c>
      <c r="C150" t="s">
        <v>3</v>
      </c>
      <c r="D150" t="s">
        <v>2</v>
      </c>
      <c r="E150">
        <v>35</v>
      </c>
      <c r="F150" t="s">
        <v>15</v>
      </c>
      <c r="G150" t="s">
        <v>14</v>
      </c>
      <c r="H150">
        <v>17</v>
      </c>
      <c r="I150">
        <v>0</v>
      </c>
    </row>
    <row r="151" spans="1:9" x14ac:dyDescent="0.3">
      <c r="A151">
        <v>2</v>
      </c>
      <c r="B151">
        <v>0</v>
      </c>
      <c r="C151" t="s">
        <v>3</v>
      </c>
      <c r="D151" t="s">
        <v>2</v>
      </c>
      <c r="E151">
        <v>65</v>
      </c>
      <c r="F151" t="s">
        <v>15</v>
      </c>
      <c r="G151" t="s">
        <v>14</v>
      </c>
      <c r="H151">
        <v>10</v>
      </c>
      <c r="I151">
        <v>0</v>
      </c>
    </row>
    <row r="152" spans="1:9" x14ac:dyDescent="0.3">
      <c r="A152">
        <v>2</v>
      </c>
      <c r="B152">
        <v>0</v>
      </c>
      <c r="C152" t="s">
        <v>3</v>
      </c>
      <c r="D152" t="s">
        <v>2</v>
      </c>
      <c r="E152">
        <v>42</v>
      </c>
      <c r="F152" t="s">
        <v>15</v>
      </c>
      <c r="G152" t="s">
        <v>14</v>
      </c>
      <c r="H152">
        <v>3</v>
      </c>
      <c r="I152">
        <v>0</v>
      </c>
    </row>
    <row r="153" spans="1:9" x14ac:dyDescent="0.3">
      <c r="A153">
        <v>2</v>
      </c>
      <c r="B153">
        <v>0</v>
      </c>
      <c r="C153" t="s">
        <v>3</v>
      </c>
      <c r="D153" t="s">
        <v>2</v>
      </c>
      <c r="E153">
        <v>43</v>
      </c>
      <c r="F153" t="s">
        <v>15</v>
      </c>
      <c r="G153" t="s">
        <v>14</v>
      </c>
      <c r="H153">
        <v>0</v>
      </c>
      <c r="I153">
        <v>0</v>
      </c>
    </row>
    <row r="154" spans="1:9" x14ac:dyDescent="0.3">
      <c r="A154">
        <v>2</v>
      </c>
      <c r="B154">
        <v>0</v>
      </c>
      <c r="C154" t="s">
        <v>3</v>
      </c>
      <c r="D154" t="s">
        <v>2</v>
      </c>
      <c r="E154">
        <v>33</v>
      </c>
      <c r="F154" t="s">
        <v>15</v>
      </c>
      <c r="G154" t="s">
        <v>14</v>
      </c>
      <c r="H154">
        <v>2</v>
      </c>
      <c r="I154">
        <v>0</v>
      </c>
    </row>
    <row r="155" spans="1:9" x14ac:dyDescent="0.3">
      <c r="A155">
        <v>2</v>
      </c>
      <c r="B155">
        <v>0</v>
      </c>
      <c r="C155" t="s">
        <v>3</v>
      </c>
      <c r="D155" t="s">
        <v>2</v>
      </c>
      <c r="E155">
        <v>47</v>
      </c>
      <c r="F155" t="s">
        <v>15</v>
      </c>
      <c r="G155" t="s">
        <v>14</v>
      </c>
      <c r="H155">
        <v>0</v>
      </c>
      <c r="I155">
        <v>0</v>
      </c>
    </row>
    <row r="156" spans="1:9" x14ac:dyDescent="0.3">
      <c r="A156">
        <v>2</v>
      </c>
      <c r="B156">
        <v>0</v>
      </c>
      <c r="C156" t="s">
        <v>3</v>
      </c>
      <c r="D156" t="s">
        <v>2</v>
      </c>
      <c r="E156">
        <v>61</v>
      </c>
      <c r="F156" t="s">
        <v>15</v>
      </c>
      <c r="G156" t="s">
        <v>14</v>
      </c>
      <c r="H156">
        <v>7</v>
      </c>
      <c r="I156">
        <v>0</v>
      </c>
    </row>
    <row r="157" spans="1:9" x14ac:dyDescent="0.3">
      <c r="A157">
        <v>2</v>
      </c>
      <c r="B157">
        <v>0</v>
      </c>
      <c r="C157" t="s">
        <v>3</v>
      </c>
      <c r="D157" t="s">
        <v>2</v>
      </c>
      <c r="E157">
        <v>39</v>
      </c>
      <c r="F157" t="s">
        <v>15</v>
      </c>
      <c r="G157" t="s">
        <v>14</v>
      </c>
      <c r="H157">
        <v>2</v>
      </c>
      <c r="I157">
        <v>0</v>
      </c>
    </row>
    <row r="158" spans="1:9" x14ac:dyDescent="0.3">
      <c r="A158">
        <v>2</v>
      </c>
      <c r="B158">
        <v>0</v>
      </c>
      <c r="C158" t="s">
        <v>3</v>
      </c>
      <c r="D158" t="s">
        <v>2</v>
      </c>
      <c r="E158">
        <v>62</v>
      </c>
      <c r="F158" t="s">
        <v>15</v>
      </c>
      <c r="G158" t="s">
        <v>14</v>
      </c>
      <c r="H158">
        <v>0</v>
      </c>
      <c r="I158">
        <v>0</v>
      </c>
    </row>
    <row r="159" spans="1:9" x14ac:dyDescent="0.3">
      <c r="A159">
        <v>2</v>
      </c>
      <c r="B159">
        <v>0</v>
      </c>
      <c r="C159" t="s">
        <v>3</v>
      </c>
      <c r="D159" t="s">
        <v>2</v>
      </c>
      <c r="E159">
        <v>42</v>
      </c>
      <c r="F159" t="s">
        <v>15</v>
      </c>
      <c r="G159" t="s">
        <v>14</v>
      </c>
      <c r="H159">
        <v>2</v>
      </c>
      <c r="I159">
        <v>0</v>
      </c>
    </row>
    <row r="160" spans="1:9" x14ac:dyDescent="0.3">
      <c r="A160">
        <v>2</v>
      </c>
      <c r="B160">
        <v>0</v>
      </c>
      <c r="C160" t="s">
        <v>3</v>
      </c>
      <c r="D160" t="s">
        <v>2</v>
      </c>
      <c r="E160">
        <v>48</v>
      </c>
      <c r="F160" t="s">
        <v>15</v>
      </c>
      <c r="G160" t="s">
        <v>14</v>
      </c>
      <c r="H160">
        <v>14</v>
      </c>
      <c r="I160">
        <v>0</v>
      </c>
    </row>
    <row r="161" spans="1:9" x14ac:dyDescent="0.3">
      <c r="A161">
        <v>2</v>
      </c>
      <c r="B161">
        <v>0</v>
      </c>
      <c r="C161" t="s">
        <v>3</v>
      </c>
      <c r="D161" t="s">
        <v>2</v>
      </c>
      <c r="E161">
        <v>50</v>
      </c>
      <c r="F161" t="s">
        <v>15</v>
      </c>
      <c r="G161" t="s">
        <v>14</v>
      </c>
      <c r="H161">
        <v>8</v>
      </c>
      <c r="I161">
        <v>0</v>
      </c>
    </row>
    <row r="162" spans="1:9" x14ac:dyDescent="0.3">
      <c r="A162">
        <v>2</v>
      </c>
      <c r="B162">
        <v>0</v>
      </c>
      <c r="C162" t="s">
        <v>3</v>
      </c>
      <c r="D162" t="s">
        <v>2</v>
      </c>
      <c r="E162">
        <v>19</v>
      </c>
      <c r="F162" t="s">
        <v>15</v>
      </c>
      <c r="G162" t="s">
        <v>14</v>
      </c>
      <c r="H162">
        <v>0</v>
      </c>
      <c r="I162">
        <v>0</v>
      </c>
    </row>
    <row r="163" spans="1:9" x14ac:dyDescent="0.3">
      <c r="A163">
        <v>2</v>
      </c>
      <c r="B163">
        <v>0</v>
      </c>
      <c r="C163" t="s">
        <v>3</v>
      </c>
      <c r="D163" t="s">
        <v>2</v>
      </c>
      <c r="E163">
        <v>32</v>
      </c>
      <c r="F163" t="s">
        <v>15</v>
      </c>
      <c r="G163" t="s">
        <v>14</v>
      </c>
      <c r="H163">
        <v>0</v>
      </c>
      <c r="I163">
        <v>0</v>
      </c>
    </row>
    <row r="164" spans="1:9" x14ac:dyDescent="0.3">
      <c r="A164">
        <v>2</v>
      </c>
      <c r="B164">
        <v>0</v>
      </c>
      <c r="C164" t="s">
        <v>3</v>
      </c>
      <c r="D164" t="s">
        <v>2</v>
      </c>
      <c r="E164">
        <v>45</v>
      </c>
      <c r="F164" t="s">
        <v>15</v>
      </c>
      <c r="G164" t="s">
        <v>14</v>
      </c>
      <c r="H164">
        <v>2</v>
      </c>
      <c r="I164">
        <v>0</v>
      </c>
    </row>
    <row r="165" spans="1:9" x14ac:dyDescent="0.3">
      <c r="A165">
        <v>2</v>
      </c>
      <c r="B165">
        <v>0</v>
      </c>
      <c r="C165" t="s">
        <v>3</v>
      </c>
      <c r="D165" t="s">
        <v>2</v>
      </c>
      <c r="E165">
        <v>34</v>
      </c>
      <c r="F165" t="s">
        <v>15</v>
      </c>
      <c r="G165" t="s">
        <v>14</v>
      </c>
      <c r="H165">
        <v>0</v>
      </c>
      <c r="I165">
        <v>0</v>
      </c>
    </row>
    <row r="166" spans="1:9" x14ac:dyDescent="0.3">
      <c r="A166">
        <v>2</v>
      </c>
      <c r="B166">
        <v>0</v>
      </c>
      <c r="C166" t="s">
        <v>3</v>
      </c>
      <c r="D166" t="s">
        <v>2</v>
      </c>
      <c r="E166">
        <v>36</v>
      </c>
      <c r="F166" t="s">
        <v>15</v>
      </c>
      <c r="G166" t="s">
        <v>14</v>
      </c>
      <c r="H166">
        <v>4</v>
      </c>
      <c r="I166">
        <v>0</v>
      </c>
    </row>
    <row r="167" spans="1:9" x14ac:dyDescent="0.3">
      <c r="A167">
        <v>2</v>
      </c>
      <c r="B167">
        <v>0</v>
      </c>
      <c r="C167" t="s">
        <v>3</v>
      </c>
      <c r="D167" t="s">
        <v>2</v>
      </c>
      <c r="E167">
        <v>32</v>
      </c>
      <c r="F167" t="s">
        <v>15</v>
      </c>
      <c r="G167" t="s">
        <v>14</v>
      </c>
      <c r="H167">
        <v>7</v>
      </c>
      <c r="I167">
        <v>0</v>
      </c>
    </row>
    <row r="168" spans="1:9" x14ac:dyDescent="0.3">
      <c r="A168">
        <v>2</v>
      </c>
      <c r="B168">
        <v>0</v>
      </c>
      <c r="C168" t="s">
        <v>3</v>
      </c>
      <c r="D168" t="s">
        <v>2</v>
      </c>
      <c r="E168">
        <v>45</v>
      </c>
      <c r="F168" t="s">
        <v>15</v>
      </c>
      <c r="G168" t="s">
        <v>14</v>
      </c>
      <c r="H168">
        <v>0</v>
      </c>
      <c r="I168">
        <v>0</v>
      </c>
    </row>
    <row r="169" spans="1:9" x14ac:dyDescent="0.3">
      <c r="A169">
        <v>2</v>
      </c>
      <c r="B169">
        <v>0</v>
      </c>
      <c r="C169" t="s">
        <v>3</v>
      </c>
      <c r="D169" t="s">
        <v>2</v>
      </c>
      <c r="E169">
        <v>46</v>
      </c>
      <c r="F169" t="s">
        <v>15</v>
      </c>
      <c r="G169" t="s">
        <v>14</v>
      </c>
      <c r="H169">
        <v>0</v>
      </c>
      <c r="I169">
        <v>0</v>
      </c>
    </row>
    <row r="170" spans="1:9" x14ac:dyDescent="0.3">
      <c r="A170">
        <v>2</v>
      </c>
      <c r="B170">
        <v>0</v>
      </c>
      <c r="C170" t="s">
        <v>3</v>
      </c>
      <c r="D170" t="s">
        <v>2</v>
      </c>
      <c r="E170">
        <v>43</v>
      </c>
      <c r="F170" t="s">
        <v>15</v>
      </c>
      <c r="G170" t="s">
        <v>14</v>
      </c>
      <c r="H170">
        <v>9</v>
      </c>
      <c r="I170">
        <v>0</v>
      </c>
    </row>
    <row r="171" spans="1:9" x14ac:dyDescent="0.3">
      <c r="A171">
        <v>2</v>
      </c>
      <c r="B171">
        <v>0</v>
      </c>
      <c r="C171" t="s">
        <v>3</v>
      </c>
      <c r="D171" t="s">
        <v>2</v>
      </c>
      <c r="E171">
        <v>39</v>
      </c>
      <c r="F171" t="s">
        <v>15</v>
      </c>
      <c r="G171" t="s">
        <v>14</v>
      </c>
      <c r="H171">
        <v>0</v>
      </c>
      <c r="I171">
        <v>0</v>
      </c>
    </row>
    <row r="172" spans="1:9" x14ac:dyDescent="0.3">
      <c r="A172">
        <v>2</v>
      </c>
      <c r="B172">
        <v>0</v>
      </c>
      <c r="C172" t="s">
        <v>3</v>
      </c>
      <c r="D172" t="s">
        <v>2</v>
      </c>
      <c r="E172">
        <v>38</v>
      </c>
      <c r="F172" t="s">
        <v>15</v>
      </c>
      <c r="G172" t="s">
        <v>14</v>
      </c>
      <c r="H172">
        <v>15</v>
      </c>
      <c r="I172">
        <v>0</v>
      </c>
    </row>
    <row r="173" spans="1:9" x14ac:dyDescent="0.3">
      <c r="A173">
        <v>2</v>
      </c>
      <c r="B173">
        <v>0</v>
      </c>
      <c r="C173" t="s">
        <v>3</v>
      </c>
      <c r="D173" t="s">
        <v>2</v>
      </c>
      <c r="E173">
        <v>18</v>
      </c>
      <c r="F173" t="s">
        <v>15</v>
      </c>
      <c r="G173" t="s">
        <v>14</v>
      </c>
      <c r="H173">
        <v>0</v>
      </c>
      <c r="I173">
        <v>0</v>
      </c>
    </row>
    <row r="174" spans="1:9" x14ac:dyDescent="0.3">
      <c r="A174">
        <v>2</v>
      </c>
      <c r="B174">
        <v>0</v>
      </c>
      <c r="C174" t="s">
        <v>3</v>
      </c>
      <c r="D174" t="s">
        <v>2</v>
      </c>
      <c r="E174">
        <v>43</v>
      </c>
      <c r="F174" t="s">
        <v>15</v>
      </c>
      <c r="G174" t="s">
        <v>14</v>
      </c>
      <c r="H174">
        <v>2</v>
      </c>
      <c r="I174">
        <v>0</v>
      </c>
    </row>
    <row r="175" spans="1:9" x14ac:dyDescent="0.3">
      <c r="A175">
        <v>2</v>
      </c>
      <c r="B175">
        <v>0</v>
      </c>
      <c r="C175" t="s">
        <v>3</v>
      </c>
      <c r="D175" t="s">
        <v>2</v>
      </c>
      <c r="E175">
        <v>50</v>
      </c>
      <c r="F175" t="s">
        <v>15</v>
      </c>
      <c r="G175" t="s">
        <v>14</v>
      </c>
      <c r="H175">
        <v>5</v>
      </c>
      <c r="I175">
        <v>0</v>
      </c>
    </row>
    <row r="176" spans="1:9" x14ac:dyDescent="0.3">
      <c r="A176">
        <v>2</v>
      </c>
      <c r="B176">
        <v>0</v>
      </c>
      <c r="C176" t="s">
        <v>3</v>
      </c>
      <c r="D176" t="s">
        <v>2</v>
      </c>
      <c r="E176">
        <v>64</v>
      </c>
      <c r="F176" t="s">
        <v>15</v>
      </c>
      <c r="G176" t="s">
        <v>14</v>
      </c>
      <c r="H176">
        <v>0</v>
      </c>
      <c r="I176">
        <v>0</v>
      </c>
    </row>
    <row r="177" spans="1:9" x14ac:dyDescent="0.3">
      <c r="A177">
        <v>2</v>
      </c>
      <c r="B177">
        <v>0</v>
      </c>
      <c r="C177" t="s">
        <v>3</v>
      </c>
      <c r="D177" t="s">
        <v>2</v>
      </c>
      <c r="E177">
        <v>66</v>
      </c>
      <c r="F177" t="s">
        <v>15</v>
      </c>
      <c r="G177" t="s">
        <v>14</v>
      </c>
      <c r="H177">
        <v>0</v>
      </c>
      <c r="I177">
        <v>0</v>
      </c>
    </row>
    <row r="178" spans="1:9" x14ac:dyDescent="0.3">
      <c r="A178">
        <v>2</v>
      </c>
      <c r="B178">
        <v>0</v>
      </c>
      <c r="C178" t="s">
        <v>3</v>
      </c>
      <c r="D178" t="s">
        <v>2</v>
      </c>
      <c r="E178">
        <v>38</v>
      </c>
      <c r="F178" t="s">
        <v>15</v>
      </c>
      <c r="G178" t="s">
        <v>14</v>
      </c>
      <c r="H178">
        <v>0</v>
      </c>
      <c r="I178">
        <v>0</v>
      </c>
    </row>
    <row r="179" spans="1:9" x14ac:dyDescent="0.3">
      <c r="A179">
        <v>2</v>
      </c>
      <c r="B179">
        <v>0</v>
      </c>
      <c r="C179" t="s">
        <v>3</v>
      </c>
      <c r="D179" t="s">
        <v>2</v>
      </c>
      <c r="E179">
        <v>33</v>
      </c>
      <c r="F179" t="s">
        <v>15</v>
      </c>
      <c r="G179" t="s">
        <v>14</v>
      </c>
      <c r="H179">
        <v>3</v>
      </c>
      <c r="I179">
        <v>0</v>
      </c>
    </row>
    <row r="180" spans="1:9" x14ac:dyDescent="0.3">
      <c r="A180">
        <v>2</v>
      </c>
      <c r="B180">
        <v>0</v>
      </c>
      <c r="C180" t="s">
        <v>3</v>
      </c>
      <c r="D180" t="s">
        <v>2</v>
      </c>
      <c r="E180">
        <v>30</v>
      </c>
      <c r="F180" t="s">
        <v>15</v>
      </c>
      <c r="G180" t="s">
        <v>14</v>
      </c>
      <c r="H180">
        <v>11</v>
      </c>
      <c r="I180">
        <v>0</v>
      </c>
    </row>
    <row r="181" spans="1:9" x14ac:dyDescent="0.3">
      <c r="A181">
        <v>2</v>
      </c>
      <c r="B181">
        <v>0</v>
      </c>
      <c r="C181" t="s">
        <v>3</v>
      </c>
      <c r="D181" t="s">
        <v>2</v>
      </c>
      <c r="E181">
        <v>40</v>
      </c>
      <c r="F181" t="s">
        <v>15</v>
      </c>
      <c r="G181" t="s">
        <v>14</v>
      </c>
      <c r="H181">
        <v>1</v>
      </c>
      <c r="I181">
        <v>0</v>
      </c>
    </row>
    <row r="182" spans="1:9" x14ac:dyDescent="0.3">
      <c r="A182">
        <v>2</v>
      </c>
      <c r="B182">
        <v>0</v>
      </c>
      <c r="C182" t="s">
        <v>3</v>
      </c>
      <c r="D182" t="s">
        <v>2</v>
      </c>
      <c r="E182">
        <v>37</v>
      </c>
      <c r="F182" t="s">
        <v>15</v>
      </c>
      <c r="G182" t="s">
        <v>14</v>
      </c>
      <c r="H182">
        <v>0</v>
      </c>
      <c r="I182">
        <v>0</v>
      </c>
    </row>
    <row r="183" spans="1:9" x14ac:dyDescent="0.3">
      <c r="A183">
        <v>2</v>
      </c>
      <c r="B183">
        <v>0</v>
      </c>
      <c r="C183" t="s">
        <v>3</v>
      </c>
      <c r="D183" t="s">
        <v>2</v>
      </c>
      <c r="E183">
        <v>57</v>
      </c>
      <c r="F183" t="s">
        <v>15</v>
      </c>
      <c r="G183" t="s">
        <v>14</v>
      </c>
      <c r="H183">
        <v>15</v>
      </c>
      <c r="I183">
        <v>0</v>
      </c>
    </row>
    <row r="184" spans="1:9" x14ac:dyDescent="0.3">
      <c r="A184">
        <v>2</v>
      </c>
      <c r="B184">
        <v>0</v>
      </c>
      <c r="C184" t="s">
        <v>3</v>
      </c>
      <c r="D184" t="s">
        <v>2</v>
      </c>
      <c r="E184">
        <v>57</v>
      </c>
      <c r="F184" t="s">
        <v>15</v>
      </c>
      <c r="G184" t="s">
        <v>14</v>
      </c>
      <c r="H184">
        <v>7</v>
      </c>
      <c r="I184">
        <v>0</v>
      </c>
    </row>
    <row r="185" spans="1:9" x14ac:dyDescent="0.3">
      <c r="A185">
        <v>2</v>
      </c>
      <c r="B185">
        <v>0</v>
      </c>
      <c r="C185" t="s">
        <v>3</v>
      </c>
      <c r="D185" t="s">
        <v>2</v>
      </c>
      <c r="E185">
        <v>23</v>
      </c>
      <c r="F185" t="s">
        <v>15</v>
      </c>
      <c r="G185" t="s">
        <v>14</v>
      </c>
      <c r="H185">
        <v>9</v>
      </c>
      <c r="I185">
        <v>0</v>
      </c>
    </row>
    <row r="186" spans="1:9" x14ac:dyDescent="0.3">
      <c r="A186">
        <v>2</v>
      </c>
      <c r="B186">
        <v>0</v>
      </c>
      <c r="C186" t="s">
        <v>3</v>
      </c>
      <c r="D186" t="s">
        <v>2</v>
      </c>
      <c r="E186">
        <v>32</v>
      </c>
      <c r="F186" t="s">
        <v>15</v>
      </c>
      <c r="G186" t="s">
        <v>14</v>
      </c>
      <c r="H186">
        <v>0</v>
      </c>
      <c r="I186">
        <v>0</v>
      </c>
    </row>
    <row r="187" spans="1:9" x14ac:dyDescent="0.3">
      <c r="A187">
        <v>2</v>
      </c>
      <c r="B187">
        <v>0</v>
      </c>
      <c r="C187" t="s">
        <v>3</v>
      </c>
      <c r="D187" t="s">
        <v>2</v>
      </c>
      <c r="E187">
        <v>51</v>
      </c>
      <c r="F187" t="s">
        <v>15</v>
      </c>
      <c r="G187" t="s">
        <v>14</v>
      </c>
      <c r="H187">
        <v>7</v>
      </c>
      <c r="I187">
        <v>0</v>
      </c>
    </row>
    <row r="188" spans="1:9" x14ac:dyDescent="0.3">
      <c r="A188">
        <v>2</v>
      </c>
      <c r="B188">
        <v>0</v>
      </c>
      <c r="C188" t="s">
        <v>3</v>
      </c>
      <c r="D188" t="s">
        <v>2</v>
      </c>
      <c r="E188">
        <v>29</v>
      </c>
      <c r="F188" t="s">
        <v>15</v>
      </c>
      <c r="G188" t="s">
        <v>14</v>
      </c>
      <c r="H188">
        <v>0</v>
      </c>
      <c r="I188">
        <v>0</v>
      </c>
    </row>
    <row r="189" spans="1:9" x14ac:dyDescent="0.3">
      <c r="A189">
        <v>2</v>
      </c>
      <c r="B189">
        <v>0</v>
      </c>
      <c r="C189" t="s">
        <v>3</v>
      </c>
      <c r="D189" t="s">
        <v>2</v>
      </c>
      <c r="E189">
        <v>35</v>
      </c>
      <c r="F189" t="s">
        <v>15</v>
      </c>
      <c r="G189" t="s">
        <v>14</v>
      </c>
      <c r="H189">
        <v>12</v>
      </c>
      <c r="I189">
        <v>0</v>
      </c>
    </row>
    <row r="190" spans="1:9" x14ac:dyDescent="0.3">
      <c r="A190">
        <v>2</v>
      </c>
      <c r="B190">
        <v>0</v>
      </c>
      <c r="C190" t="s">
        <v>3</v>
      </c>
      <c r="D190" t="s">
        <v>2</v>
      </c>
      <c r="E190">
        <v>32</v>
      </c>
      <c r="F190" t="s">
        <v>15</v>
      </c>
      <c r="G190" t="s">
        <v>14</v>
      </c>
      <c r="H190">
        <v>0</v>
      </c>
      <c r="I190">
        <v>0</v>
      </c>
    </row>
    <row r="191" spans="1:9" x14ac:dyDescent="0.3">
      <c r="A191">
        <v>2</v>
      </c>
      <c r="B191">
        <v>0</v>
      </c>
      <c r="C191" t="s">
        <v>3</v>
      </c>
      <c r="D191" t="s">
        <v>2</v>
      </c>
      <c r="E191">
        <v>42</v>
      </c>
      <c r="F191" t="s">
        <v>15</v>
      </c>
      <c r="G191" t="s">
        <v>14</v>
      </c>
      <c r="H191">
        <v>14</v>
      </c>
      <c r="I191">
        <v>0</v>
      </c>
    </row>
    <row r="192" spans="1:9" x14ac:dyDescent="0.3">
      <c r="A192">
        <v>2</v>
      </c>
      <c r="B192">
        <v>0</v>
      </c>
      <c r="C192" t="s">
        <v>3</v>
      </c>
      <c r="D192" t="s">
        <v>2</v>
      </c>
      <c r="E192">
        <v>69</v>
      </c>
      <c r="F192" t="s">
        <v>15</v>
      </c>
      <c r="G192" t="s">
        <v>14</v>
      </c>
      <c r="H192">
        <v>5</v>
      </c>
      <c r="I192">
        <v>0</v>
      </c>
    </row>
    <row r="193" spans="1:9" x14ac:dyDescent="0.3">
      <c r="A193">
        <v>2</v>
      </c>
      <c r="B193">
        <v>0</v>
      </c>
      <c r="C193" t="s">
        <v>3</v>
      </c>
      <c r="D193" t="s">
        <v>2</v>
      </c>
      <c r="E193">
        <v>7</v>
      </c>
      <c r="F193" t="s">
        <v>15</v>
      </c>
      <c r="G193" t="s">
        <v>14</v>
      </c>
      <c r="H193">
        <v>11</v>
      </c>
      <c r="I193">
        <v>1</v>
      </c>
    </row>
    <row r="194" spans="1:9" x14ac:dyDescent="0.3">
      <c r="A194">
        <v>2</v>
      </c>
      <c r="B194">
        <v>0</v>
      </c>
      <c r="C194" t="s">
        <v>3</v>
      </c>
      <c r="D194" t="s">
        <v>2</v>
      </c>
      <c r="E194">
        <v>27</v>
      </c>
      <c r="F194" t="s">
        <v>15</v>
      </c>
      <c r="G194" t="s">
        <v>14</v>
      </c>
      <c r="H194">
        <v>0</v>
      </c>
      <c r="I194">
        <v>0</v>
      </c>
    </row>
    <row r="195" spans="1:9" x14ac:dyDescent="0.3">
      <c r="A195">
        <v>2</v>
      </c>
      <c r="B195">
        <v>0</v>
      </c>
      <c r="C195" t="s">
        <v>3</v>
      </c>
      <c r="D195" t="s">
        <v>2</v>
      </c>
      <c r="E195">
        <v>52</v>
      </c>
      <c r="F195" t="s">
        <v>15</v>
      </c>
      <c r="G195" t="s">
        <v>14</v>
      </c>
      <c r="H195">
        <v>5</v>
      </c>
      <c r="I195">
        <v>0</v>
      </c>
    </row>
    <row r="196" spans="1:9" x14ac:dyDescent="0.3">
      <c r="A196">
        <v>2</v>
      </c>
      <c r="B196">
        <v>0</v>
      </c>
      <c r="C196" t="s">
        <v>3</v>
      </c>
      <c r="D196" t="s">
        <v>2</v>
      </c>
      <c r="E196">
        <v>30</v>
      </c>
      <c r="F196" t="s">
        <v>15</v>
      </c>
      <c r="G196" t="s">
        <v>14</v>
      </c>
      <c r="H196">
        <v>0</v>
      </c>
      <c r="I196">
        <v>0</v>
      </c>
    </row>
    <row r="197" spans="1:9" x14ac:dyDescent="0.3">
      <c r="A197">
        <v>2</v>
      </c>
      <c r="B197">
        <v>0</v>
      </c>
      <c r="C197" t="s">
        <v>3</v>
      </c>
      <c r="D197" t="s">
        <v>2</v>
      </c>
      <c r="E197">
        <v>71</v>
      </c>
      <c r="F197" t="s">
        <v>15</v>
      </c>
      <c r="G197" t="s">
        <v>14</v>
      </c>
      <c r="H197">
        <v>17</v>
      </c>
      <c r="I197">
        <v>0</v>
      </c>
    </row>
    <row r="198" spans="1:9" x14ac:dyDescent="0.3">
      <c r="A198">
        <v>2</v>
      </c>
      <c r="B198">
        <v>0</v>
      </c>
      <c r="C198" t="s">
        <v>3</v>
      </c>
      <c r="D198" t="s">
        <v>2</v>
      </c>
      <c r="E198">
        <v>50</v>
      </c>
      <c r="F198" t="s">
        <v>15</v>
      </c>
      <c r="G198" t="s">
        <v>14</v>
      </c>
      <c r="H198">
        <v>6</v>
      </c>
      <c r="I198">
        <v>0</v>
      </c>
    </row>
    <row r="199" spans="1:9" x14ac:dyDescent="0.3">
      <c r="A199">
        <v>2</v>
      </c>
      <c r="B199">
        <v>0</v>
      </c>
      <c r="C199" t="s">
        <v>3</v>
      </c>
      <c r="D199" t="s">
        <v>2</v>
      </c>
      <c r="E199">
        <v>57</v>
      </c>
      <c r="F199" t="s">
        <v>15</v>
      </c>
      <c r="G199" t="s">
        <v>14</v>
      </c>
      <c r="H199">
        <v>0</v>
      </c>
      <c r="I199">
        <v>0</v>
      </c>
    </row>
    <row r="200" spans="1:9" x14ac:dyDescent="0.3">
      <c r="A200">
        <v>2</v>
      </c>
      <c r="B200">
        <v>0</v>
      </c>
      <c r="C200" t="s">
        <v>3</v>
      </c>
      <c r="D200" t="s">
        <v>2</v>
      </c>
      <c r="E200">
        <v>44</v>
      </c>
      <c r="F200" t="s">
        <v>15</v>
      </c>
      <c r="G200" t="s">
        <v>14</v>
      </c>
      <c r="H200">
        <v>0</v>
      </c>
      <c r="I200">
        <v>0</v>
      </c>
    </row>
    <row r="201" spans="1:9" x14ac:dyDescent="0.3">
      <c r="A201">
        <v>2</v>
      </c>
      <c r="B201">
        <v>0</v>
      </c>
      <c r="C201" t="s">
        <v>3</v>
      </c>
      <c r="D201" t="s">
        <v>2</v>
      </c>
      <c r="E201">
        <v>40</v>
      </c>
      <c r="F201" t="s">
        <v>15</v>
      </c>
      <c r="G201" t="s">
        <v>14</v>
      </c>
      <c r="H201">
        <v>2</v>
      </c>
      <c r="I201">
        <v>0</v>
      </c>
    </row>
    <row r="202" spans="1:9" x14ac:dyDescent="0.3">
      <c r="A202">
        <v>2</v>
      </c>
      <c r="B202">
        <v>0</v>
      </c>
      <c r="C202" t="s">
        <v>3</v>
      </c>
      <c r="D202" t="s">
        <v>2</v>
      </c>
      <c r="E202">
        <v>39</v>
      </c>
      <c r="F202" t="s">
        <v>15</v>
      </c>
      <c r="G202" t="s">
        <v>14</v>
      </c>
      <c r="H202">
        <v>2</v>
      </c>
      <c r="I202">
        <v>0</v>
      </c>
    </row>
    <row r="203" spans="1:9" x14ac:dyDescent="0.3">
      <c r="A203">
        <v>2</v>
      </c>
      <c r="B203">
        <v>0</v>
      </c>
      <c r="C203" t="s">
        <v>3</v>
      </c>
      <c r="D203" t="s">
        <v>2</v>
      </c>
      <c r="E203">
        <v>24</v>
      </c>
      <c r="F203" t="s">
        <v>15</v>
      </c>
      <c r="G203" t="s">
        <v>14</v>
      </c>
      <c r="H203">
        <v>14</v>
      </c>
      <c r="I203">
        <v>0</v>
      </c>
    </row>
    <row r="204" spans="1:9" x14ac:dyDescent="0.3">
      <c r="A204">
        <v>2</v>
      </c>
      <c r="B204">
        <v>0</v>
      </c>
      <c r="C204" t="s">
        <v>3</v>
      </c>
      <c r="D204" t="s">
        <v>2</v>
      </c>
      <c r="E204">
        <v>35</v>
      </c>
      <c r="F204" t="s">
        <v>15</v>
      </c>
      <c r="G204" t="s">
        <v>14</v>
      </c>
      <c r="H204">
        <v>0</v>
      </c>
      <c r="I204">
        <v>0</v>
      </c>
    </row>
    <row r="205" spans="1:9" x14ac:dyDescent="0.3">
      <c r="A205">
        <v>2</v>
      </c>
      <c r="B205">
        <v>0</v>
      </c>
      <c r="C205" t="s">
        <v>3</v>
      </c>
      <c r="D205" t="s">
        <v>2</v>
      </c>
      <c r="E205">
        <v>31</v>
      </c>
      <c r="F205" t="s">
        <v>15</v>
      </c>
      <c r="G205" t="s">
        <v>14</v>
      </c>
      <c r="H205">
        <v>17</v>
      </c>
      <c r="I205">
        <v>0</v>
      </c>
    </row>
    <row r="206" spans="1:9" x14ac:dyDescent="0.3">
      <c r="A206">
        <v>2</v>
      </c>
      <c r="B206">
        <v>0</v>
      </c>
      <c r="C206" t="s">
        <v>3</v>
      </c>
      <c r="D206" t="s">
        <v>2</v>
      </c>
      <c r="E206">
        <v>60</v>
      </c>
      <c r="F206" t="s">
        <v>15</v>
      </c>
      <c r="G206" t="s">
        <v>14</v>
      </c>
      <c r="H206">
        <v>10</v>
      </c>
      <c r="I206">
        <v>0</v>
      </c>
    </row>
    <row r="207" spans="1:9" x14ac:dyDescent="0.3">
      <c r="A207">
        <v>2</v>
      </c>
      <c r="B207">
        <v>0</v>
      </c>
      <c r="C207" t="s">
        <v>3</v>
      </c>
      <c r="D207" t="s">
        <v>2</v>
      </c>
      <c r="E207">
        <v>32</v>
      </c>
      <c r="F207" t="s">
        <v>15</v>
      </c>
      <c r="G207" t="s">
        <v>14</v>
      </c>
      <c r="H207">
        <v>0</v>
      </c>
      <c r="I207">
        <v>0</v>
      </c>
    </row>
    <row r="208" spans="1:9" x14ac:dyDescent="0.3">
      <c r="A208">
        <v>2</v>
      </c>
      <c r="B208">
        <v>0</v>
      </c>
      <c r="C208" t="s">
        <v>3</v>
      </c>
      <c r="D208" t="s">
        <v>2</v>
      </c>
      <c r="E208">
        <v>47</v>
      </c>
      <c r="F208" t="s">
        <v>15</v>
      </c>
      <c r="G208" t="s">
        <v>14</v>
      </c>
      <c r="H208">
        <v>0</v>
      </c>
      <c r="I208">
        <v>0</v>
      </c>
    </row>
    <row r="209" spans="1:9" x14ac:dyDescent="0.3">
      <c r="A209">
        <v>2</v>
      </c>
      <c r="B209">
        <v>0</v>
      </c>
      <c r="C209" t="s">
        <v>3</v>
      </c>
      <c r="D209" t="s">
        <v>2</v>
      </c>
      <c r="E209">
        <v>45</v>
      </c>
      <c r="F209" t="s">
        <v>15</v>
      </c>
      <c r="G209" t="s">
        <v>14</v>
      </c>
      <c r="H209">
        <v>1</v>
      </c>
      <c r="I209">
        <v>0</v>
      </c>
    </row>
    <row r="210" spans="1:9" x14ac:dyDescent="0.3">
      <c r="A210">
        <v>2</v>
      </c>
      <c r="B210">
        <v>0</v>
      </c>
      <c r="C210" t="s">
        <v>3</v>
      </c>
      <c r="D210" t="s">
        <v>2</v>
      </c>
      <c r="E210">
        <v>36</v>
      </c>
      <c r="F210" t="s">
        <v>15</v>
      </c>
      <c r="G210" t="s">
        <v>14</v>
      </c>
      <c r="H210">
        <v>7</v>
      </c>
      <c r="I210">
        <v>0</v>
      </c>
    </row>
    <row r="211" spans="1:9" x14ac:dyDescent="0.3">
      <c r="A211">
        <v>2</v>
      </c>
      <c r="B211">
        <v>0</v>
      </c>
      <c r="C211" t="s">
        <v>3</v>
      </c>
      <c r="D211" t="s">
        <v>2</v>
      </c>
      <c r="E211">
        <v>33</v>
      </c>
      <c r="F211" t="s">
        <v>15</v>
      </c>
      <c r="G211" t="s">
        <v>14</v>
      </c>
      <c r="H211">
        <v>5</v>
      </c>
      <c r="I211">
        <v>0</v>
      </c>
    </row>
    <row r="212" spans="1:9" x14ac:dyDescent="0.3">
      <c r="A212">
        <v>2</v>
      </c>
      <c r="B212">
        <v>0</v>
      </c>
      <c r="C212" t="s">
        <v>3</v>
      </c>
      <c r="D212" t="s">
        <v>2</v>
      </c>
      <c r="E212">
        <v>36</v>
      </c>
      <c r="F212" t="s">
        <v>15</v>
      </c>
      <c r="G212" t="s">
        <v>14</v>
      </c>
      <c r="H212">
        <v>0</v>
      </c>
      <c r="I212">
        <v>0</v>
      </c>
    </row>
    <row r="213" spans="1:9" x14ac:dyDescent="0.3">
      <c r="A213">
        <v>2</v>
      </c>
      <c r="B213">
        <v>0</v>
      </c>
      <c r="C213" t="s">
        <v>3</v>
      </c>
      <c r="D213" t="s">
        <v>2</v>
      </c>
      <c r="E213">
        <v>39</v>
      </c>
      <c r="F213" t="s">
        <v>15</v>
      </c>
      <c r="G213" t="s">
        <v>14</v>
      </c>
      <c r="H213">
        <v>5</v>
      </c>
      <c r="I213">
        <v>0</v>
      </c>
    </row>
    <row r="214" spans="1:9" x14ac:dyDescent="0.3">
      <c r="A214">
        <v>2</v>
      </c>
      <c r="B214">
        <v>0</v>
      </c>
      <c r="C214" t="s">
        <v>3</v>
      </c>
      <c r="D214" t="s">
        <v>2</v>
      </c>
      <c r="E214">
        <v>40</v>
      </c>
      <c r="F214" t="s">
        <v>15</v>
      </c>
      <c r="G214" t="s">
        <v>14</v>
      </c>
      <c r="H214">
        <v>14</v>
      </c>
      <c r="I214">
        <v>0</v>
      </c>
    </row>
    <row r="215" spans="1:9" x14ac:dyDescent="0.3">
      <c r="A215">
        <v>2</v>
      </c>
      <c r="B215">
        <v>0</v>
      </c>
      <c r="C215" t="s">
        <v>3</v>
      </c>
      <c r="D215" t="s">
        <v>2</v>
      </c>
      <c r="E215">
        <v>31</v>
      </c>
      <c r="F215" t="s">
        <v>15</v>
      </c>
      <c r="G215" t="s">
        <v>14</v>
      </c>
      <c r="H215">
        <v>2</v>
      </c>
      <c r="I215">
        <v>0</v>
      </c>
    </row>
    <row r="216" spans="1:9" x14ac:dyDescent="0.3">
      <c r="A216">
        <v>2</v>
      </c>
      <c r="B216">
        <v>0</v>
      </c>
      <c r="C216" t="s">
        <v>3</v>
      </c>
      <c r="D216" t="s">
        <v>2</v>
      </c>
      <c r="E216">
        <v>36</v>
      </c>
      <c r="F216" t="s">
        <v>15</v>
      </c>
      <c r="G216" t="s">
        <v>14</v>
      </c>
      <c r="H216">
        <v>0</v>
      </c>
      <c r="I216">
        <v>0</v>
      </c>
    </row>
    <row r="217" spans="1:9" x14ac:dyDescent="0.3">
      <c r="A217">
        <v>2</v>
      </c>
      <c r="B217">
        <v>0</v>
      </c>
      <c r="C217" t="s">
        <v>3</v>
      </c>
      <c r="D217" t="s">
        <v>2</v>
      </c>
      <c r="E217">
        <v>42</v>
      </c>
      <c r="F217" t="s">
        <v>15</v>
      </c>
      <c r="G217" t="s">
        <v>14</v>
      </c>
      <c r="H217">
        <v>2</v>
      </c>
      <c r="I217">
        <v>0</v>
      </c>
    </row>
    <row r="218" spans="1:9" x14ac:dyDescent="0.3">
      <c r="A218">
        <v>2</v>
      </c>
      <c r="B218">
        <v>0</v>
      </c>
      <c r="C218" t="s">
        <v>3</v>
      </c>
      <c r="D218" t="s">
        <v>2</v>
      </c>
      <c r="E218">
        <v>45</v>
      </c>
      <c r="F218" t="s">
        <v>15</v>
      </c>
      <c r="G218" t="s">
        <v>14</v>
      </c>
      <c r="H218">
        <v>10</v>
      </c>
      <c r="I218">
        <v>0</v>
      </c>
    </row>
    <row r="219" spans="1:9" x14ac:dyDescent="0.3">
      <c r="A219">
        <v>2</v>
      </c>
      <c r="B219">
        <v>0</v>
      </c>
      <c r="C219" t="s">
        <v>3</v>
      </c>
      <c r="D219" t="s">
        <v>2</v>
      </c>
      <c r="E219">
        <v>13</v>
      </c>
      <c r="F219" t="s">
        <v>15</v>
      </c>
      <c r="G219" t="s">
        <v>14</v>
      </c>
      <c r="H219">
        <v>16</v>
      </c>
      <c r="I219">
        <v>1</v>
      </c>
    </row>
    <row r="220" spans="1:9" x14ac:dyDescent="0.3">
      <c r="A220">
        <v>2</v>
      </c>
      <c r="B220">
        <v>0</v>
      </c>
      <c r="C220" t="s">
        <v>3</v>
      </c>
      <c r="D220" t="s">
        <v>2</v>
      </c>
      <c r="E220">
        <v>72</v>
      </c>
      <c r="F220" t="s">
        <v>15</v>
      </c>
      <c r="G220" t="s">
        <v>14</v>
      </c>
      <c r="H220">
        <v>0</v>
      </c>
      <c r="I220">
        <v>0</v>
      </c>
    </row>
    <row r="221" spans="1:9" x14ac:dyDescent="0.3">
      <c r="A221">
        <v>2</v>
      </c>
      <c r="B221">
        <v>0</v>
      </c>
      <c r="C221" t="s">
        <v>3</v>
      </c>
      <c r="D221" t="s">
        <v>2</v>
      </c>
      <c r="E221">
        <v>43</v>
      </c>
      <c r="F221" t="s">
        <v>15</v>
      </c>
      <c r="G221" t="s">
        <v>14</v>
      </c>
      <c r="H221">
        <v>0</v>
      </c>
      <c r="I221">
        <v>0</v>
      </c>
    </row>
    <row r="222" spans="1:9" x14ac:dyDescent="0.3">
      <c r="A222">
        <v>2</v>
      </c>
      <c r="B222">
        <v>0</v>
      </c>
      <c r="C222" t="s">
        <v>3</v>
      </c>
      <c r="D222" t="s">
        <v>2</v>
      </c>
      <c r="E222">
        <v>77</v>
      </c>
      <c r="F222" t="s">
        <v>15</v>
      </c>
      <c r="G222" t="s">
        <v>14</v>
      </c>
      <c r="H222">
        <v>9</v>
      </c>
      <c r="I222">
        <v>0</v>
      </c>
    </row>
    <row r="223" spans="1:9" x14ac:dyDescent="0.3">
      <c r="A223">
        <v>2</v>
      </c>
      <c r="B223">
        <v>0</v>
      </c>
      <c r="C223" t="s">
        <v>3</v>
      </c>
      <c r="D223" t="s">
        <v>2</v>
      </c>
      <c r="E223">
        <v>32</v>
      </c>
      <c r="F223" t="s">
        <v>15</v>
      </c>
      <c r="G223" t="s">
        <v>14</v>
      </c>
      <c r="H223">
        <v>3</v>
      </c>
      <c r="I223">
        <v>0</v>
      </c>
    </row>
    <row r="224" spans="1:9" x14ac:dyDescent="0.3">
      <c r="A224">
        <v>2</v>
      </c>
      <c r="B224">
        <v>0</v>
      </c>
      <c r="C224" t="s">
        <v>3</v>
      </c>
      <c r="D224" t="s">
        <v>2</v>
      </c>
      <c r="E224">
        <v>43</v>
      </c>
      <c r="F224" t="s">
        <v>15</v>
      </c>
      <c r="G224" t="s">
        <v>14</v>
      </c>
      <c r="H224">
        <v>8</v>
      </c>
      <c r="I224">
        <v>0</v>
      </c>
    </row>
    <row r="225" spans="1:9" x14ac:dyDescent="0.3">
      <c r="A225">
        <v>2</v>
      </c>
      <c r="B225">
        <v>0</v>
      </c>
      <c r="C225" t="s">
        <v>3</v>
      </c>
      <c r="D225" t="s">
        <v>2</v>
      </c>
      <c r="E225">
        <v>19</v>
      </c>
      <c r="F225" t="s">
        <v>15</v>
      </c>
      <c r="G225" t="s">
        <v>14</v>
      </c>
      <c r="H225">
        <v>12</v>
      </c>
      <c r="I225">
        <v>0</v>
      </c>
    </row>
    <row r="226" spans="1:9" x14ac:dyDescent="0.3">
      <c r="A226">
        <v>2</v>
      </c>
      <c r="B226">
        <v>0</v>
      </c>
      <c r="C226" t="s">
        <v>3</v>
      </c>
      <c r="D226" t="s">
        <v>2</v>
      </c>
      <c r="E226">
        <v>13</v>
      </c>
      <c r="F226" t="s">
        <v>15</v>
      </c>
      <c r="G226" t="s">
        <v>14</v>
      </c>
      <c r="H226">
        <v>0</v>
      </c>
      <c r="I226">
        <v>0</v>
      </c>
    </row>
    <row r="227" spans="1:9" x14ac:dyDescent="0.3">
      <c r="A227">
        <v>2</v>
      </c>
      <c r="B227">
        <v>0</v>
      </c>
      <c r="C227" t="s">
        <v>3</v>
      </c>
      <c r="D227" t="s">
        <v>2</v>
      </c>
      <c r="E227">
        <v>14</v>
      </c>
      <c r="F227" t="s">
        <v>15</v>
      </c>
      <c r="G227" t="s">
        <v>14</v>
      </c>
      <c r="H227">
        <v>5</v>
      </c>
      <c r="I227">
        <v>0</v>
      </c>
    </row>
    <row r="228" spans="1:9" x14ac:dyDescent="0.3">
      <c r="A228">
        <v>2</v>
      </c>
      <c r="B228">
        <v>0</v>
      </c>
      <c r="C228" t="s">
        <v>3</v>
      </c>
      <c r="D228" t="s">
        <v>2</v>
      </c>
      <c r="E228">
        <v>33</v>
      </c>
      <c r="F228" t="s">
        <v>15</v>
      </c>
      <c r="G228" t="s">
        <v>14</v>
      </c>
      <c r="H228">
        <v>8</v>
      </c>
      <c r="I228">
        <v>0</v>
      </c>
    </row>
    <row r="229" spans="1:9" x14ac:dyDescent="0.3">
      <c r="A229">
        <v>2</v>
      </c>
      <c r="B229">
        <v>0</v>
      </c>
      <c r="C229" t="s">
        <v>3</v>
      </c>
      <c r="D229" t="s">
        <v>2</v>
      </c>
      <c r="E229">
        <v>53</v>
      </c>
      <c r="F229" t="s">
        <v>15</v>
      </c>
      <c r="G229" t="s">
        <v>14</v>
      </c>
      <c r="H229">
        <v>0</v>
      </c>
      <c r="I229">
        <v>0</v>
      </c>
    </row>
    <row r="230" spans="1:9" x14ac:dyDescent="0.3">
      <c r="A230">
        <v>2</v>
      </c>
      <c r="B230">
        <v>0</v>
      </c>
      <c r="C230" t="s">
        <v>3</v>
      </c>
      <c r="D230" t="s">
        <v>2</v>
      </c>
      <c r="E230">
        <v>14</v>
      </c>
      <c r="F230" t="s">
        <v>15</v>
      </c>
      <c r="G230" t="s">
        <v>14</v>
      </c>
      <c r="H230">
        <v>2</v>
      </c>
      <c r="I230">
        <v>0</v>
      </c>
    </row>
    <row r="231" spans="1:9" x14ac:dyDescent="0.3">
      <c r="A231">
        <v>2</v>
      </c>
      <c r="B231">
        <v>0</v>
      </c>
      <c r="C231" t="s">
        <v>3</v>
      </c>
      <c r="D231" t="s">
        <v>2</v>
      </c>
      <c r="E231">
        <v>33</v>
      </c>
      <c r="F231" t="s">
        <v>15</v>
      </c>
      <c r="G231" t="s">
        <v>14</v>
      </c>
      <c r="H231">
        <v>2</v>
      </c>
      <c r="I231">
        <v>0</v>
      </c>
    </row>
    <row r="232" spans="1:9" x14ac:dyDescent="0.3">
      <c r="A232">
        <v>2</v>
      </c>
      <c r="B232">
        <v>0</v>
      </c>
      <c r="C232" t="s">
        <v>3</v>
      </c>
      <c r="D232" t="s">
        <v>2</v>
      </c>
      <c r="E232">
        <v>72</v>
      </c>
      <c r="F232" t="s">
        <v>15</v>
      </c>
      <c r="G232" t="s">
        <v>14</v>
      </c>
      <c r="H232">
        <v>14</v>
      </c>
      <c r="I232">
        <v>0</v>
      </c>
    </row>
    <row r="233" spans="1:9" x14ac:dyDescent="0.3">
      <c r="A233">
        <v>2</v>
      </c>
      <c r="B233">
        <v>0</v>
      </c>
      <c r="C233" t="s">
        <v>3</v>
      </c>
      <c r="D233" t="s">
        <v>2</v>
      </c>
      <c r="E233">
        <v>55</v>
      </c>
      <c r="F233" t="s">
        <v>15</v>
      </c>
      <c r="G233" t="s">
        <v>14</v>
      </c>
      <c r="H233">
        <v>9</v>
      </c>
      <c r="I233">
        <v>0</v>
      </c>
    </row>
    <row r="234" spans="1:9" x14ac:dyDescent="0.3">
      <c r="A234">
        <v>2</v>
      </c>
      <c r="B234">
        <v>0</v>
      </c>
      <c r="C234" t="s">
        <v>3</v>
      </c>
      <c r="D234" t="s">
        <v>2</v>
      </c>
      <c r="E234">
        <v>32</v>
      </c>
      <c r="F234" t="s">
        <v>15</v>
      </c>
      <c r="G234" t="s">
        <v>14</v>
      </c>
      <c r="H234">
        <v>0</v>
      </c>
      <c r="I234">
        <v>0</v>
      </c>
    </row>
    <row r="235" spans="1:9" x14ac:dyDescent="0.3">
      <c r="A235">
        <v>2</v>
      </c>
      <c r="B235">
        <v>0</v>
      </c>
      <c r="C235" t="s">
        <v>3</v>
      </c>
      <c r="D235" t="s">
        <v>2</v>
      </c>
      <c r="E235">
        <v>16</v>
      </c>
      <c r="F235" t="s">
        <v>15</v>
      </c>
      <c r="G235" t="s">
        <v>14</v>
      </c>
      <c r="H235">
        <v>0</v>
      </c>
      <c r="I235">
        <v>0</v>
      </c>
    </row>
    <row r="236" spans="1:9" x14ac:dyDescent="0.3">
      <c r="A236">
        <v>2</v>
      </c>
      <c r="B236">
        <v>0</v>
      </c>
      <c r="C236" t="s">
        <v>3</v>
      </c>
      <c r="D236" t="s">
        <v>2</v>
      </c>
      <c r="E236">
        <v>51</v>
      </c>
      <c r="F236" t="s">
        <v>15</v>
      </c>
      <c r="G236" t="s">
        <v>14</v>
      </c>
      <c r="H236">
        <v>0</v>
      </c>
      <c r="I236">
        <v>0</v>
      </c>
    </row>
    <row r="237" spans="1:9" x14ac:dyDescent="0.3">
      <c r="A237">
        <v>2</v>
      </c>
      <c r="B237">
        <v>0</v>
      </c>
      <c r="C237" t="s">
        <v>3</v>
      </c>
      <c r="D237" t="s">
        <v>2</v>
      </c>
      <c r="E237">
        <v>42</v>
      </c>
      <c r="F237" t="s">
        <v>15</v>
      </c>
      <c r="G237" t="s">
        <v>14</v>
      </c>
      <c r="H237">
        <v>7</v>
      </c>
      <c r="I237">
        <v>0</v>
      </c>
    </row>
    <row r="238" spans="1:9" x14ac:dyDescent="0.3">
      <c r="A238">
        <v>2</v>
      </c>
      <c r="B238">
        <v>0</v>
      </c>
      <c r="C238" t="s">
        <v>3</v>
      </c>
      <c r="D238" t="s">
        <v>2</v>
      </c>
      <c r="E238">
        <v>39</v>
      </c>
      <c r="F238" t="s">
        <v>15</v>
      </c>
      <c r="G238" t="s">
        <v>14</v>
      </c>
      <c r="H238">
        <v>7</v>
      </c>
      <c r="I238">
        <v>0</v>
      </c>
    </row>
    <row r="239" spans="1:9" x14ac:dyDescent="0.3">
      <c r="A239">
        <v>2</v>
      </c>
      <c r="B239">
        <v>0</v>
      </c>
      <c r="C239" t="s">
        <v>3</v>
      </c>
      <c r="D239" t="s">
        <v>2</v>
      </c>
      <c r="E239">
        <v>52</v>
      </c>
      <c r="F239" t="s">
        <v>15</v>
      </c>
      <c r="G239" t="s">
        <v>14</v>
      </c>
      <c r="H239">
        <v>10</v>
      </c>
      <c r="I239">
        <v>0</v>
      </c>
    </row>
    <row r="240" spans="1:9" x14ac:dyDescent="0.3">
      <c r="A240">
        <v>2</v>
      </c>
      <c r="B240">
        <v>0</v>
      </c>
      <c r="C240" t="s">
        <v>3</v>
      </c>
      <c r="D240" t="s">
        <v>2</v>
      </c>
      <c r="E240">
        <v>19</v>
      </c>
      <c r="F240" t="s">
        <v>15</v>
      </c>
      <c r="G240" t="s">
        <v>14</v>
      </c>
      <c r="H240">
        <v>0</v>
      </c>
      <c r="I240">
        <v>0</v>
      </c>
    </row>
    <row r="241" spans="1:9" x14ac:dyDescent="0.3">
      <c r="A241">
        <v>2</v>
      </c>
      <c r="B241">
        <v>0</v>
      </c>
      <c r="C241" t="s">
        <v>3</v>
      </c>
      <c r="D241" t="s">
        <v>2</v>
      </c>
      <c r="E241">
        <v>41</v>
      </c>
      <c r="F241" t="s">
        <v>15</v>
      </c>
      <c r="G241" t="s">
        <v>14</v>
      </c>
      <c r="H241">
        <v>0</v>
      </c>
      <c r="I241">
        <v>0</v>
      </c>
    </row>
    <row r="242" spans="1:9" x14ac:dyDescent="0.3">
      <c r="A242">
        <v>2</v>
      </c>
      <c r="B242">
        <v>0</v>
      </c>
      <c r="C242" t="s">
        <v>3</v>
      </c>
      <c r="D242" t="s">
        <v>2</v>
      </c>
      <c r="E242">
        <v>108</v>
      </c>
      <c r="F242" t="s">
        <v>15</v>
      </c>
      <c r="G242" t="s">
        <v>14</v>
      </c>
      <c r="H242">
        <v>20</v>
      </c>
      <c r="I242">
        <v>0</v>
      </c>
    </row>
    <row r="243" spans="1:9" x14ac:dyDescent="0.3">
      <c r="A243">
        <v>2</v>
      </c>
      <c r="B243">
        <v>0</v>
      </c>
      <c r="C243" t="s">
        <v>3</v>
      </c>
      <c r="D243" t="s">
        <v>2</v>
      </c>
      <c r="E243">
        <v>23</v>
      </c>
      <c r="F243" t="s">
        <v>15</v>
      </c>
      <c r="G243" t="s">
        <v>14</v>
      </c>
      <c r="H243">
        <v>25</v>
      </c>
      <c r="I243">
        <v>1</v>
      </c>
    </row>
    <row r="244" spans="1:9" x14ac:dyDescent="0.3">
      <c r="A244">
        <v>2</v>
      </c>
      <c r="B244">
        <v>0</v>
      </c>
      <c r="C244" t="s">
        <v>3</v>
      </c>
      <c r="D244" t="s">
        <v>2</v>
      </c>
      <c r="E244">
        <v>52</v>
      </c>
      <c r="F244" t="s">
        <v>15</v>
      </c>
      <c r="G244" t="s">
        <v>14</v>
      </c>
      <c r="H244">
        <v>0</v>
      </c>
      <c r="I244">
        <v>0</v>
      </c>
    </row>
    <row r="245" spans="1:9" x14ac:dyDescent="0.3">
      <c r="A245">
        <v>2</v>
      </c>
      <c r="B245">
        <v>0</v>
      </c>
      <c r="C245" t="s">
        <v>3</v>
      </c>
      <c r="D245" t="s">
        <v>2</v>
      </c>
      <c r="E245">
        <v>33</v>
      </c>
      <c r="F245" t="s">
        <v>15</v>
      </c>
      <c r="G245" t="s">
        <v>14</v>
      </c>
      <c r="H245">
        <v>0</v>
      </c>
      <c r="I245">
        <v>0</v>
      </c>
    </row>
    <row r="246" spans="1:9" x14ac:dyDescent="0.3">
      <c r="A246">
        <v>2</v>
      </c>
      <c r="B246">
        <v>0</v>
      </c>
      <c r="C246" t="s">
        <v>3</v>
      </c>
      <c r="D246" t="s">
        <v>2</v>
      </c>
      <c r="E246">
        <v>26</v>
      </c>
      <c r="F246" t="s">
        <v>15</v>
      </c>
      <c r="G246" t="s">
        <v>14</v>
      </c>
      <c r="H246">
        <v>14</v>
      </c>
      <c r="I246">
        <v>0</v>
      </c>
    </row>
    <row r="247" spans="1:9" x14ac:dyDescent="0.3">
      <c r="A247">
        <v>2</v>
      </c>
      <c r="B247">
        <v>0</v>
      </c>
      <c r="C247" t="s">
        <v>3</v>
      </c>
      <c r="D247" t="s">
        <v>2</v>
      </c>
      <c r="E247">
        <v>36</v>
      </c>
      <c r="F247" t="s">
        <v>15</v>
      </c>
      <c r="G247" t="s">
        <v>14</v>
      </c>
      <c r="H247">
        <v>30</v>
      </c>
      <c r="I247">
        <v>0</v>
      </c>
    </row>
    <row r="248" spans="1:9" x14ac:dyDescent="0.3">
      <c r="A248">
        <v>2</v>
      </c>
      <c r="B248">
        <v>0</v>
      </c>
      <c r="C248" t="s">
        <v>3</v>
      </c>
      <c r="D248" t="s">
        <v>2</v>
      </c>
      <c r="E248">
        <v>37</v>
      </c>
      <c r="F248" t="s">
        <v>15</v>
      </c>
      <c r="G248" t="s">
        <v>14</v>
      </c>
      <c r="H248">
        <v>0</v>
      </c>
      <c r="I248">
        <v>0</v>
      </c>
    </row>
    <row r="249" spans="1:9" x14ac:dyDescent="0.3">
      <c r="A249">
        <v>2</v>
      </c>
      <c r="B249">
        <v>0</v>
      </c>
      <c r="C249" t="s">
        <v>3</v>
      </c>
      <c r="D249" t="s">
        <v>2</v>
      </c>
      <c r="E249">
        <v>58</v>
      </c>
      <c r="F249" t="s">
        <v>15</v>
      </c>
      <c r="G249" t="s">
        <v>14</v>
      </c>
      <c r="H249">
        <v>0</v>
      </c>
      <c r="I249">
        <v>0</v>
      </c>
    </row>
    <row r="250" spans="1:9" x14ac:dyDescent="0.3">
      <c r="A250">
        <v>2</v>
      </c>
      <c r="B250">
        <v>0</v>
      </c>
      <c r="C250" t="s">
        <v>3</v>
      </c>
      <c r="D250" t="s">
        <v>2</v>
      </c>
      <c r="E250">
        <v>41</v>
      </c>
      <c r="F250" t="s">
        <v>15</v>
      </c>
      <c r="G250" t="s">
        <v>14</v>
      </c>
      <c r="H250">
        <v>6</v>
      </c>
      <c r="I250">
        <v>0</v>
      </c>
    </row>
    <row r="251" spans="1:9" x14ac:dyDescent="0.3">
      <c r="A251">
        <v>2</v>
      </c>
      <c r="B251">
        <v>0</v>
      </c>
      <c r="C251" t="s">
        <v>3</v>
      </c>
      <c r="D251" t="s">
        <v>2</v>
      </c>
      <c r="E251">
        <v>34</v>
      </c>
      <c r="F251" t="s">
        <v>15</v>
      </c>
      <c r="G251" t="s">
        <v>14</v>
      </c>
      <c r="H251">
        <v>2</v>
      </c>
      <c r="I251">
        <v>0</v>
      </c>
    </row>
    <row r="252" spans="1:9" x14ac:dyDescent="0.3">
      <c r="A252">
        <v>2</v>
      </c>
      <c r="B252">
        <v>0</v>
      </c>
      <c r="C252" t="s">
        <v>3</v>
      </c>
      <c r="D252" t="s">
        <v>2</v>
      </c>
      <c r="E252">
        <v>54</v>
      </c>
      <c r="F252" t="s">
        <v>15</v>
      </c>
      <c r="G252" t="s">
        <v>14</v>
      </c>
      <c r="H252">
        <v>8</v>
      </c>
      <c r="I252">
        <v>0</v>
      </c>
    </row>
    <row r="253" spans="1:9" x14ac:dyDescent="0.3">
      <c r="A253">
        <v>2</v>
      </c>
      <c r="B253">
        <v>0</v>
      </c>
      <c r="C253" t="s">
        <v>3</v>
      </c>
      <c r="D253" t="s">
        <v>2</v>
      </c>
      <c r="E253">
        <v>62</v>
      </c>
      <c r="F253" t="s">
        <v>15</v>
      </c>
      <c r="G253" t="s">
        <v>14</v>
      </c>
      <c r="H253">
        <v>10</v>
      </c>
      <c r="I253">
        <v>0</v>
      </c>
    </row>
    <row r="254" spans="1:9" x14ac:dyDescent="0.3">
      <c r="A254">
        <v>2</v>
      </c>
      <c r="B254">
        <v>0</v>
      </c>
      <c r="C254" t="s">
        <v>3</v>
      </c>
      <c r="D254" t="s">
        <v>2</v>
      </c>
      <c r="E254">
        <v>43</v>
      </c>
      <c r="F254" t="s">
        <v>15</v>
      </c>
      <c r="G254" t="s">
        <v>14</v>
      </c>
      <c r="H254">
        <v>8</v>
      </c>
      <c r="I254">
        <v>0</v>
      </c>
    </row>
    <row r="255" spans="1:9" x14ac:dyDescent="0.3">
      <c r="A255">
        <v>2</v>
      </c>
      <c r="B255">
        <v>0</v>
      </c>
      <c r="C255" t="s">
        <v>3</v>
      </c>
      <c r="D255" t="s">
        <v>2</v>
      </c>
      <c r="E255">
        <v>23</v>
      </c>
      <c r="F255" t="s">
        <v>15</v>
      </c>
      <c r="G255" t="s">
        <v>14</v>
      </c>
      <c r="H255">
        <v>4</v>
      </c>
      <c r="I255">
        <v>0</v>
      </c>
    </row>
    <row r="256" spans="1:9" x14ac:dyDescent="0.3">
      <c r="A256">
        <v>2</v>
      </c>
      <c r="B256">
        <v>0</v>
      </c>
      <c r="C256" t="s">
        <v>3</v>
      </c>
      <c r="D256" t="s">
        <v>2</v>
      </c>
      <c r="E256">
        <v>38</v>
      </c>
      <c r="F256" t="s">
        <v>15</v>
      </c>
      <c r="G256" t="s">
        <v>14</v>
      </c>
      <c r="H256">
        <v>0</v>
      </c>
      <c r="I256">
        <v>0</v>
      </c>
    </row>
    <row r="257" spans="1:9" x14ac:dyDescent="0.3">
      <c r="A257">
        <v>2</v>
      </c>
      <c r="B257">
        <v>0</v>
      </c>
      <c r="C257" t="s">
        <v>3</v>
      </c>
      <c r="D257" t="s">
        <v>2</v>
      </c>
      <c r="E257">
        <v>21</v>
      </c>
      <c r="F257" t="s">
        <v>15</v>
      </c>
      <c r="G257" t="s">
        <v>14</v>
      </c>
      <c r="H257">
        <v>6</v>
      </c>
      <c r="I257">
        <v>0</v>
      </c>
    </row>
    <row r="258" spans="1:9" x14ac:dyDescent="0.3">
      <c r="A258">
        <v>2</v>
      </c>
      <c r="B258">
        <v>0</v>
      </c>
      <c r="C258" t="s">
        <v>3</v>
      </c>
      <c r="D258" t="s">
        <v>2</v>
      </c>
      <c r="E258">
        <v>15</v>
      </c>
      <c r="F258" t="s">
        <v>15</v>
      </c>
      <c r="G258" t="s">
        <v>14</v>
      </c>
      <c r="H258">
        <v>13</v>
      </c>
      <c r="I258">
        <v>0</v>
      </c>
    </row>
    <row r="259" spans="1:9" x14ac:dyDescent="0.3">
      <c r="A259">
        <v>2</v>
      </c>
      <c r="B259">
        <v>0</v>
      </c>
      <c r="C259" t="s">
        <v>3</v>
      </c>
      <c r="D259" t="s">
        <v>2</v>
      </c>
      <c r="E259">
        <v>38</v>
      </c>
      <c r="F259" t="s">
        <v>15</v>
      </c>
      <c r="G259" t="s">
        <v>14</v>
      </c>
      <c r="H259">
        <v>0</v>
      </c>
      <c r="I259">
        <v>0</v>
      </c>
    </row>
    <row r="260" spans="1:9" x14ac:dyDescent="0.3">
      <c r="A260">
        <v>2</v>
      </c>
      <c r="B260">
        <v>0</v>
      </c>
      <c r="C260" t="s">
        <v>3</v>
      </c>
      <c r="D260" t="s">
        <v>2</v>
      </c>
      <c r="E260">
        <v>49</v>
      </c>
      <c r="F260" t="s">
        <v>15</v>
      </c>
      <c r="G260" t="s">
        <v>14</v>
      </c>
      <c r="H260">
        <v>2</v>
      </c>
      <c r="I260">
        <v>0</v>
      </c>
    </row>
    <row r="261" spans="1:9" x14ac:dyDescent="0.3">
      <c r="A261">
        <v>2</v>
      </c>
      <c r="B261">
        <v>0</v>
      </c>
      <c r="C261" t="s">
        <v>3</v>
      </c>
      <c r="D261" t="s">
        <v>2</v>
      </c>
      <c r="E261">
        <v>17</v>
      </c>
      <c r="F261" t="s">
        <v>15</v>
      </c>
      <c r="G261" t="s">
        <v>14</v>
      </c>
      <c r="H261">
        <v>14</v>
      </c>
      <c r="I261">
        <v>0</v>
      </c>
    </row>
    <row r="262" spans="1:9" x14ac:dyDescent="0.3">
      <c r="A262">
        <v>2</v>
      </c>
      <c r="B262">
        <v>0</v>
      </c>
      <c r="C262" t="s">
        <v>3</v>
      </c>
      <c r="D262" t="s">
        <v>2</v>
      </c>
      <c r="E262">
        <v>55</v>
      </c>
      <c r="F262" t="s">
        <v>15</v>
      </c>
      <c r="G262" t="s">
        <v>14</v>
      </c>
      <c r="H262">
        <v>2</v>
      </c>
      <c r="I262">
        <v>0</v>
      </c>
    </row>
    <row r="263" spans="1:9" x14ac:dyDescent="0.3">
      <c r="A263">
        <v>2</v>
      </c>
      <c r="B263">
        <v>0</v>
      </c>
      <c r="C263" t="s">
        <v>3</v>
      </c>
      <c r="D263" t="s">
        <v>2</v>
      </c>
      <c r="E263">
        <v>73</v>
      </c>
      <c r="F263" t="s">
        <v>15</v>
      </c>
      <c r="G263" t="s">
        <v>14</v>
      </c>
      <c r="H263">
        <v>42</v>
      </c>
      <c r="I263">
        <v>0</v>
      </c>
    </row>
    <row r="264" spans="1:9" x14ac:dyDescent="0.3">
      <c r="A264">
        <v>2</v>
      </c>
      <c r="B264">
        <v>0</v>
      </c>
      <c r="C264" t="s">
        <v>3</v>
      </c>
      <c r="D264" t="s">
        <v>2</v>
      </c>
      <c r="E264">
        <v>24</v>
      </c>
      <c r="F264" t="s">
        <v>15</v>
      </c>
      <c r="G264" t="s">
        <v>14</v>
      </c>
      <c r="H264">
        <v>0</v>
      </c>
      <c r="I264">
        <v>0</v>
      </c>
    </row>
    <row r="265" spans="1:9" x14ac:dyDescent="0.3">
      <c r="A265">
        <v>2</v>
      </c>
      <c r="B265">
        <v>0</v>
      </c>
      <c r="C265" t="s">
        <v>3</v>
      </c>
      <c r="D265" t="s">
        <v>2</v>
      </c>
      <c r="E265">
        <v>69</v>
      </c>
      <c r="F265" t="s">
        <v>15</v>
      </c>
      <c r="G265" t="s">
        <v>14</v>
      </c>
      <c r="H265">
        <v>0</v>
      </c>
      <c r="I265">
        <v>0</v>
      </c>
    </row>
    <row r="266" spans="1:9" x14ac:dyDescent="0.3">
      <c r="A266">
        <v>2</v>
      </c>
      <c r="B266">
        <v>0</v>
      </c>
      <c r="C266" t="s">
        <v>3</v>
      </c>
      <c r="D266" t="s">
        <v>2</v>
      </c>
      <c r="E266">
        <v>32</v>
      </c>
      <c r="F266" t="s">
        <v>15</v>
      </c>
      <c r="G266" t="s">
        <v>14</v>
      </c>
      <c r="H266">
        <v>0</v>
      </c>
      <c r="I266">
        <v>0</v>
      </c>
    </row>
    <row r="267" spans="1:9" x14ac:dyDescent="0.3">
      <c r="A267">
        <v>2</v>
      </c>
      <c r="B267">
        <v>0</v>
      </c>
      <c r="C267" t="s">
        <v>3</v>
      </c>
      <c r="D267" t="s">
        <v>2</v>
      </c>
      <c r="E267">
        <v>49</v>
      </c>
      <c r="F267" t="s">
        <v>15</v>
      </c>
      <c r="G267" t="s">
        <v>14</v>
      </c>
      <c r="H267">
        <v>7</v>
      </c>
      <c r="I267">
        <v>0</v>
      </c>
    </row>
    <row r="268" spans="1:9" x14ac:dyDescent="0.3">
      <c r="A268">
        <v>2</v>
      </c>
      <c r="B268">
        <v>0</v>
      </c>
      <c r="C268" t="s">
        <v>3</v>
      </c>
      <c r="D268" t="s">
        <v>2</v>
      </c>
      <c r="E268">
        <v>9</v>
      </c>
      <c r="F268" t="s">
        <v>15</v>
      </c>
      <c r="G268" t="s">
        <v>14</v>
      </c>
      <c r="H268">
        <v>14</v>
      </c>
      <c r="I268">
        <v>1</v>
      </c>
    </row>
    <row r="269" spans="1:9" x14ac:dyDescent="0.3">
      <c r="A269">
        <v>2</v>
      </c>
      <c r="B269">
        <v>0</v>
      </c>
      <c r="C269" t="s">
        <v>3</v>
      </c>
      <c r="D269" t="s">
        <v>2</v>
      </c>
      <c r="E269">
        <v>25</v>
      </c>
      <c r="F269" t="s">
        <v>15</v>
      </c>
      <c r="G269" t="s">
        <v>14</v>
      </c>
      <c r="H269">
        <v>1</v>
      </c>
      <c r="I269">
        <v>0</v>
      </c>
    </row>
    <row r="270" spans="1:9" x14ac:dyDescent="0.3">
      <c r="A270">
        <v>2</v>
      </c>
      <c r="B270">
        <v>0</v>
      </c>
      <c r="C270" t="s">
        <v>3</v>
      </c>
      <c r="D270" t="s">
        <v>2</v>
      </c>
      <c r="E270">
        <v>41</v>
      </c>
      <c r="F270" t="s">
        <v>15</v>
      </c>
      <c r="G270" t="s">
        <v>14</v>
      </c>
      <c r="H270">
        <v>0</v>
      </c>
      <c r="I270">
        <v>0</v>
      </c>
    </row>
    <row r="271" spans="1:9" x14ac:dyDescent="0.3">
      <c r="A271">
        <v>2</v>
      </c>
      <c r="B271">
        <v>0</v>
      </c>
      <c r="C271" t="s">
        <v>3</v>
      </c>
      <c r="D271" t="s">
        <v>2</v>
      </c>
      <c r="E271">
        <v>81</v>
      </c>
      <c r="F271" t="s">
        <v>15</v>
      </c>
      <c r="G271" t="s">
        <v>14</v>
      </c>
      <c r="H271">
        <v>5</v>
      </c>
      <c r="I271">
        <v>0</v>
      </c>
    </row>
    <row r="272" spans="1:9" x14ac:dyDescent="0.3">
      <c r="A272">
        <v>2</v>
      </c>
      <c r="B272">
        <v>0</v>
      </c>
      <c r="C272" t="s">
        <v>3</v>
      </c>
      <c r="D272" t="s">
        <v>2</v>
      </c>
      <c r="E272">
        <v>41</v>
      </c>
      <c r="F272" t="s">
        <v>15</v>
      </c>
      <c r="G272" t="s">
        <v>14</v>
      </c>
      <c r="H272">
        <v>2</v>
      </c>
      <c r="I272">
        <v>0</v>
      </c>
    </row>
    <row r="273" spans="1:9" x14ac:dyDescent="0.3">
      <c r="A273">
        <v>2</v>
      </c>
      <c r="B273">
        <v>0</v>
      </c>
      <c r="C273" t="s">
        <v>3</v>
      </c>
      <c r="D273" t="s">
        <v>2</v>
      </c>
      <c r="E273">
        <v>33</v>
      </c>
      <c r="F273" t="s">
        <v>15</v>
      </c>
      <c r="G273" t="s">
        <v>14</v>
      </c>
      <c r="H273">
        <v>12</v>
      </c>
      <c r="I273">
        <v>0</v>
      </c>
    </row>
    <row r="274" spans="1:9" x14ac:dyDescent="0.3">
      <c r="A274">
        <v>2</v>
      </c>
      <c r="B274">
        <v>0</v>
      </c>
      <c r="C274" t="s">
        <v>3</v>
      </c>
      <c r="D274" t="s">
        <v>2</v>
      </c>
      <c r="E274">
        <v>17</v>
      </c>
      <c r="F274" t="s">
        <v>15</v>
      </c>
      <c r="G274" t="s">
        <v>14</v>
      </c>
      <c r="H274">
        <v>0</v>
      </c>
      <c r="I274">
        <v>0</v>
      </c>
    </row>
    <row r="275" spans="1:9" x14ac:dyDescent="0.3">
      <c r="A275">
        <v>2</v>
      </c>
      <c r="B275">
        <v>0</v>
      </c>
      <c r="C275" t="s">
        <v>3</v>
      </c>
      <c r="D275" t="s">
        <v>2</v>
      </c>
      <c r="E275">
        <v>23</v>
      </c>
      <c r="F275" t="s">
        <v>15</v>
      </c>
      <c r="G275" t="s">
        <v>14</v>
      </c>
      <c r="H275">
        <v>2</v>
      </c>
      <c r="I275">
        <v>0</v>
      </c>
    </row>
    <row r="276" spans="1:9" x14ac:dyDescent="0.3">
      <c r="A276">
        <v>2</v>
      </c>
      <c r="B276">
        <v>0</v>
      </c>
      <c r="C276" t="s">
        <v>3</v>
      </c>
      <c r="D276" t="s">
        <v>2</v>
      </c>
      <c r="E276">
        <v>57</v>
      </c>
      <c r="F276" t="s">
        <v>15</v>
      </c>
      <c r="G276" t="s">
        <v>14</v>
      </c>
      <c r="H276">
        <v>8</v>
      </c>
      <c r="I276">
        <v>0</v>
      </c>
    </row>
    <row r="277" spans="1:9" x14ac:dyDescent="0.3">
      <c r="A277">
        <v>2</v>
      </c>
      <c r="B277">
        <v>0</v>
      </c>
      <c r="C277" t="s">
        <v>3</v>
      </c>
      <c r="D277" t="s">
        <v>2</v>
      </c>
      <c r="E277">
        <v>26</v>
      </c>
      <c r="F277" t="s">
        <v>15</v>
      </c>
      <c r="G277" t="s">
        <v>14</v>
      </c>
      <c r="H277">
        <v>23</v>
      </c>
      <c r="I277">
        <v>0</v>
      </c>
    </row>
    <row r="278" spans="1:9" x14ac:dyDescent="0.3">
      <c r="A278">
        <v>2</v>
      </c>
      <c r="B278">
        <v>0</v>
      </c>
      <c r="C278" t="s">
        <v>3</v>
      </c>
      <c r="D278" t="s">
        <v>2</v>
      </c>
      <c r="E278">
        <v>32</v>
      </c>
      <c r="F278" t="s">
        <v>15</v>
      </c>
      <c r="G278" t="s">
        <v>14</v>
      </c>
      <c r="H278">
        <v>5</v>
      </c>
      <c r="I278">
        <v>0</v>
      </c>
    </row>
    <row r="279" spans="1:9" x14ac:dyDescent="0.3">
      <c r="A279">
        <v>2</v>
      </c>
      <c r="B279">
        <v>0</v>
      </c>
      <c r="C279" t="s">
        <v>3</v>
      </c>
      <c r="D279" t="s">
        <v>2</v>
      </c>
      <c r="E279">
        <v>41</v>
      </c>
      <c r="F279" t="s">
        <v>15</v>
      </c>
      <c r="G279" t="s">
        <v>14</v>
      </c>
      <c r="H279">
        <v>4</v>
      </c>
      <c r="I279">
        <v>0</v>
      </c>
    </row>
    <row r="280" spans="1:9" x14ac:dyDescent="0.3">
      <c r="A280">
        <v>2</v>
      </c>
      <c r="B280">
        <v>0</v>
      </c>
      <c r="C280" t="s">
        <v>3</v>
      </c>
      <c r="D280" t="s">
        <v>2</v>
      </c>
      <c r="E280">
        <v>24</v>
      </c>
      <c r="F280" t="s">
        <v>15</v>
      </c>
      <c r="G280" t="s">
        <v>14</v>
      </c>
      <c r="H280">
        <v>12</v>
      </c>
      <c r="I280">
        <v>0</v>
      </c>
    </row>
    <row r="281" spans="1:9" x14ac:dyDescent="0.3">
      <c r="A281">
        <v>2</v>
      </c>
      <c r="B281">
        <v>0</v>
      </c>
      <c r="C281" t="s">
        <v>3</v>
      </c>
      <c r="D281" t="s">
        <v>2</v>
      </c>
      <c r="E281">
        <v>31</v>
      </c>
      <c r="F281" t="s">
        <v>15</v>
      </c>
      <c r="G281" t="s">
        <v>14</v>
      </c>
      <c r="H281">
        <v>5</v>
      </c>
      <c r="I281">
        <v>0</v>
      </c>
    </row>
    <row r="282" spans="1:9" x14ac:dyDescent="0.3">
      <c r="A282">
        <v>2</v>
      </c>
      <c r="B282">
        <v>0</v>
      </c>
      <c r="C282" t="s">
        <v>3</v>
      </c>
      <c r="D282" t="s">
        <v>2</v>
      </c>
      <c r="E282">
        <v>42</v>
      </c>
      <c r="F282" t="s">
        <v>15</v>
      </c>
      <c r="G282" t="s">
        <v>14</v>
      </c>
      <c r="H282">
        <v>0</v>
      </c>
      <c r="I282">
        <v>0</v>
      </c>
    </row>
    <row r="283" spans="1:9" x14ac:dyDescent="0.3">
      <c r="A283">
        <v>2</v>
      </c>
      <c r="B283">
        <v>0</v>
      </c>
      <c r="C283" t="s">
        <v>3</v>
      </c>
      <c r="D283" t="s">
        <v>2</v>
      </c>
      <c r="E283">
        <v>53</v>
      </c>
      <c r="F283" t="s">
        <v>15</v>
      </c>
      <c r="G283" t="s">
        <v>14</v>
      </c>
      <c r="H283">
        <v>4</v>
      </c>
      <c r="I283">
        <v>0</v>
      </c>
    </row>
    <row r="284" spans="1:9" x14ac:dyDescent="0.3">
      <c r="A284">
        <v>2</v>
      </c>
      <c r="B284">
        <v>0</v>
      </c>
      <c r="C284" t="s">
        <v>3</v>
      </c>
      <c r="D284" t="s">
        <v>2</v>
      </c>
      <c r="E284">
        <v>47</v>
      </c>
      <c r="F284" t="s">
        <v>15</v>
      </c>
      <c r="G284" t="s">
        <v>14</v>
      </c>
      <c r="H284">
        <v>7</v>
      </c>
      <c r="I284">
        <v>0</v>
      </c>
    </row>
    <row r="285" spans="1:9" x14ac:dyDescent="0.3">
      <c r="A285">
        <v>2</v>
      </c>
      <c r="B285">
        <v>0</v>
      </c>
      <c r="C285" t="s">
        <v>3</v>
      </c>
      <c r="D285" t="s">
        <v>2</v>
      </c>
      <c r="E285">
        <v>13</v>
      </c>
      <c r="F285" t="s">
        <v>15</v>
      </c>
      <c r="G285" t="s">
        <v>14</v>
      </c>
      <c r="H285">
        <v>9</v>
      </c>
      <c r="I285">
        <v>0</v>
      </c>
    </row>
    <row r="286" spans="1:9" x14ac:dyDescent="0.3">
      <c r="A286">
        <v>2</v>
      </c>
      <c r="B286">
        <v>0</v>
      </c>
      <c r="C286" t="s">
        <v>3</v>
      </c>
      <c r="D286" t="s">
        <v>2</v>
      </c>
      <c r="E286">
        <v>28</v>
      </c>
      <c r="F286" t="s">
        <v>15</v>
      </c>
      <c r="G286" t="s">
        <v>14</v>
      </c>
      <c r="H286">
        <v>7</v>
      </c>
      <c r="I286">
        <v>0</v>
      </c>
    </row>
    <row r="287" spans="1:9" x14ac:dyDescent="0.3">
      <c r="A287">
        <v>2</v>
      </c>
      <c r="B287">
        <v>0</v>
      </c>
      <c r="C287" t="s">
        <v>3</v>
      </c>
      <c r="D287" t="s">
        <v>2</v>
      </c>
      <c r="E287">
        <v>40</v>
      </c>
      <c r="F287" t="s">
        <v>15</v>
      </c>
      <c r="G287" t="s">
        <v>14</v>
      </c>
      <c r="H287">
        <v>2</v>
      </c>
      <c r="I287">
        <v>0</v>
      </c>
    </row>
    <row r="288" spans="1:9" x14ac:dyDescent="0.3">
      <c r="A288">
        <v>2</v>
      </c>
      <c r="B288">
        <v>0</v>
      </c>
      <c r="C288" t="s">
        <v>3</v>
      </c>
      <c r="D288" t="s">
        <v>2</v>
      </c>
      <c r="E288">
        <v>39</v>
      </c>
      <c r="F288" t="s">
        <v>15</v>
      </c>
      <c r="G288" t="s">
        <v>14</v>
      </c>
      <c r="H288">
        <v>0</v>
      </c>
      <c r="I288">
        <v>0</v>
      </c>
    </row>
    <row r="289" spans="1:9" x14ac:dyDescent="0.3">
      <c r="A289">
        <v>2</v>
      </c>
      <c r="B289">
        <v>0</v>
      </c>
      <c r="C289" t="s">
        <v>3</v>
      </c>
      <c r="D289" t="s">
        <v>2</v>
      </c>
      <c r="E289">
        <v>26</v>
      </c>
      <c r="F289" t="s">
        <v>15</v>
      </c>
      <c r="G289" t="s">
        <v>14</v>
      </c>
      <c r="H289">
        <v>3</v>
      </c>
      <c r="I289">
        <v>0</v>
      </c>
    </row>
    <row r="290" spans="1:9" x14ac:dyDescent="0.3">
      <c r="A290">
        <v>2</v>
      </c>
      <c r="B290">
        <v>0</v>
      </c>
      <c r="C290" t="s">
        <v>3</v>
      </c>
      <c r="D290" t="s">
        <v>2</v>
      </c>
      <c r="E290">
        <v>80</v>
      </c>
      <c r="F290" t="s">
        <v>15</v>
      </c>
      <c r="G290" t="s">
        <v>14</v>
      </c>
      <c r="H290">
        <v>3</v>
      </c>
      <c r="I290">
        <v>0</v>
      </c>
    </row>
    <row r="291" spans="1:9" x14ac:dyDescent="0.3">
      <c r="A291">
        <v>2</v>
      </c>
      <c r="B291">
        <v>0</v>
      </c>
      <c r="C291" t="s">
        <v>3</v>
      </c>
      <c r="D291" t="s">
        <v>2</v>
      </c>
      <c r="E291">
        <v>48</v>
      </c>
      <c r="F291" t="s">
        <v>15</v>
      </c>
      <c r="G291" t="s">
        <v>14</v>
      </c>
      <c r="H291">
        <v>30</v>
      </c>
      <c r="I291">
        <v>0</v>
      </c>
    </row>
    <row r="292" spans="1:9" x14ac:dyDescent="0.3">
      <c r="A292">
        <v>2</v>
      </c>
      <c r="B292">
        <v>0</v>
      </c>
      <c r="C292" t="s">
        <v>3</v>
      </c>
      <c r="D292" t="s">
        <v>2</v>
      </c>
      <c r="E292">
        <v>38</v>
      </c>
      <c r="F292" t="s">
        <v>15</v>
      </c>
      <c r="G292" t="s">
        <v>14</v>
      </c>
      <c r="H292">
        <v>6</v>
      </c>
      <c r="I292">
        <v>0</v>
      </c>
    </row>
    <row r="293" spans="1:9" x14ac:dyDescent="0.3">
      <c r="A293">
        <v>2</v>
      </c>
      <c r="B293">
        <v>0</v>
      </c>
      <c r="C293" t="s">
        <v>3</v>
      </c>
      <c r="D293" t="s">
        <v>2</v>
      </c>
      <c r="E293">
        <v>46</v>
      </c>
      <c r="F293" t="s">
        <v>15</v>
      </c>
      <c r="G293" t="s">
        <v>14</v>
      </c>
      <c r="H293">
        <v>2</v>
      </c>
      <c r="I293">
        <v>0</v>
      </c>
    </row>
    <row r="294" spans="1:9" x14ac:dyDescent="0.3">
      <c r="A294">
        <v>2</v>
      </c>
      <c r="B294">
        <v>0</v>
      </c>
      <c r="C294" t="s">
        <v>3</v>
      </c>
      <c r="D294" t="s">
        <v>2</v>
      </c>
      <c r="E294">
        <v>28</v>
      </c>
      <c r="F294" t="s">
        <v>15</v>
      </c>
      <c r="G294" t="s">
        <v>14</v>
      </c>
      <c r="H294">
        <v>15</v>
      </c>
      <c r="I294">
        <v>0</v>
      </c>
    </row>
    <row r="295" spans="1:9" x14ac:dyDescent="0.3">
      <c r="A295">
        <v>2</v>
      </c>
      <c r="B295">
        <v>0</v>
      </c>
      <c r="C295" t="s">
        <v>3</v>
      </c>
      <c r="D295" t="s">
        <v>2</v>
      </c>
      <c r="E295">
        <v>53</v>
      </c>
      <c r="F295" t="s">
        <v>15</v>
      </c>
      <c r="G295" t="s">
        <v>14</v>
      </c>
      <c r="H295">
        <v>0</v>
      </c>
      <c r="I295">
        <v>0</v>
      </c>
    </row>
    <row r="296" spans="1:9" x14ac:dyDescent="0.3">
      <c r="A296">
        <v>2</v>
      </c>
      <c r="B296">
        <v>0</v>
      </c>
      <c r="C296" t="s">
        <v>3</v>
      </c>
      <c r="D296" t="s">
        <v>2</v>
      </c>
      <c r="E296">
        <v>17</v>
      </c>
      <c r="F296" t="s">
        <v>15</v>
      </c>
      <c r="G296" t="s">
        <v>14</v>
      </c>
      <c r="H296">
        <v>0</v>
      </c>
      <c r="I296">
        <v>0</v>
      </c>
    </row>
    <row r="297" spans="1:9" x14ac:dyDescent="0.3">
      <c r="A297">
        <v>2</v>
      </c>
      <c r="B297">
        <v>0</v>
      </c>
      <c r="C297" t="s">
        <v>3</v>
      </c>
      <c r="D297" t="s">
        <v>2</v>
      </c>
      <c r="E297">
        <v>34</v>
      </c>
      <c r="F297" t="s">
        <v>15</v>
      </c>
      <c r="G297" t="s">
        <v>14</v>
      </c>
      <c r="H297">
        <v>15</v>
      </c>
      <c r="I297">
        <v>0</v>
      </c>
    </row>
    <row r="298" spans="1:9" x14ac:dyDescent="0.3">
      <c r="A298">
        <v>2</v>
      </c>
      <c r="B298">
        <v>0</v>
      </c>
      <c r="C298" t="s">
        <v>3</v>
      </c>
      <c r="D298" t="s">
        <v>2</v>
      </c>
      <c r="E298">
        <v>77</v>
      </c>
      <c r="F298" t="s">
        <v>15</v>
      </c>
      <c r="G298" t="s">
        <v>14</v>
      </c>
      <c r="H298">
        <v>4</v>
      </c>
      <c r="I298">
        <v>0</v>
      </c>
    </row>
    <row r="299" spans="1:9" x14ac:dyDescent="0.3">
      <c r="A299">
        <v>2</v>
      </c>
      <c r="B299">
        <v>0</v>
      </c>
      <c r="C299" t="s">
        <v>3</v>
      </c>
      <c r="D299" t="s">
        <v>2</v>
      </c>
      <c r="E299">
        <v>75</v>
      </c>
      <c r="F299" t="s">
        <v>15</v>
      </c>
      <c r="G299" t="s">
        <v>14</v>
      </c>
      <c r="H299">
        <v>3</v>
      </c>
      <c r="I299">
        <v>0</v>
      </c>
    </row>
    <row r="300" spans="1:9" x14ac:dyDescent="0.3">
      <c r="A300">
        <v>2</v>
      </c>
      <c r="B300">
        <v>0</v>
      </c>
      <c r="C300" t="s">
        <v>3</v>
      </c>
      <c r="D300" t="s">
        <v>2</v>
      </c>
      <c r="E300">
        <v>48</v>
      </c>
      <c r="F300" t="s">
        <v>15</v>
      </c>
      <c r="G300" t="s">
        <v>14</v>
      </c>
      <c r="H300">
        <v>16</v>
      </c>
      <c r="I300">
        <v>0</v>
      </c>
    </row>
    <row r="301" spans="1:9" x14ac:dyDescent="0.3">
      <c r="A301">
        <v>2</v>
      </c>
      <c r="B301">
        <v>0</v>
      </c>
      <c r="C301" t="s">
        <v>3</v>
      </c>
      <c r="D301" t="s">
        <v>2</v>
      </c>
      <c r="E301">
        <v>36</v>
      </c>
      <c r="F301" t="s">
        <v>15</v>
      </c>
      <c r="G301" t="s">
        <v>14</v>
      </c>
      <c r="H301">
        <v>7</v>
      </c>
      <c r="I301">
        <v>0</v>
      </c>
    </row>
    <row r="302" spans="1:9" x14ac:dyDescent="0.3">
      <c r="A302">
        <v>2</v>
      </c>
      <c r="B302">
        <v>0</v>
      </c>
      <c r="C302" t="s">
        <v>3</v>
      </c>
      <c r="D302" t="s">
        <v>2</v>
      </c>
      <c r="E302">
        <v>49</v>
      </c>
      <c r="F302" t="s">
        <v>15</v>
      </c>
      <c r="G302" t="s">
        <v>14</v>
      </c>
      <c r="H302">
        <v>0</v>
      </c>
      <c r="I302">
        <v>0</v>
      </c>
    </row>
    <row r="303" spans="1:9" x14ac:dyDescent="0.3">
      <c r="A303">
        <v>2</v>
      </c>
      <c r="B303">
        <v>0</v>
      </c>
      <c r="C303" t="s">
        <v>3</v>
      </c>
      <c r="D303" t="s">
        <v>2</v>
      </c>
      <c r="E303">
        <v>32</v>
      </c>
      <c r="F303" t="s">
        <v>15</v>
      </c>
      <c r="G303" t="s">
        <v>14</v>
      </c>
      <c r="H303">
        <v>16</v>
      </c>
      <c r="I303">
        <v>0</v>
      </c>
    </row>
    <row r="304" spans="1:9" x14ac:dyDescent="0.3">
      <c r="A304">
        <v>2</v>
      </c>
      <c r="B304">
        <v>0</v>
      </c>
      <c r="C304" t="s">
        <v>3</v>
      </c>
      <c r="D304" t="s">
        <v>2</v>
      </c>
      <c r="E304">
        <v>69</v>
      </c>
      <c r="F304" t="s">
        <v>15</v>
      </c>
      <c r="G304" t="s">
        <v>14</v>
      </c>
      <c r="H304">
        <v>11</v>
      </c>
      <c r="I304">
        <v>0</v>
      </c>
    </row>
    <row r="305" spans="1:9" x14ac:dyDescent="0.3">
      <c r="A305">
        <v>2</v>
      </c>
      <c r="B305">
        <v>0</v>
      </c>
      <c r="C305" t="s">
        <v>3</v>
      </c>
      <c r="D305" t="s">
        <v>2</v>
      </c>
      <c r="E305">
        <v>58</v>
      </c>
      <c r="F305" t="s">
        <v>15</v>
      </c>
      <c r="G305" t="s">
        <v>14</v>
      </c>
      <c r="H305">
        <v>0</v>
      </c>
      <c r="I305">
        <v>0</v>
      </c>
    </row>
    <row r="306" spans="1:9" x14ac:dyDescent="0.3">
      <c r="A306">
        <v>2</v>
      </c>
      <c r="B306">
        <v>0</v>
      </c>
      <c r="C306" t="s">
        <v>3</v>
      </c>
      <c r="D306" t="s">
        <v>2</v>
      </c>
      <c r="E306">
        <v>30</v>
      </c>
      <c r="F306" t="s">
        <v>15</v>
      </c>
      <c r="G306" t="s">
        <v>14</v>
      </c>
      <c r="H306">
        <v>0</v>
      </c>
      <c r="I306">
        <v>0</v>
      </c>
    </row>
    <row r="307" spans="1:9" x14ac:dyDescent="0.3">
      <c r="A307">
        <v>2</v>
      </c>
      <c r="B307">
        <v>0</v>
      </c>
      <c r="C307" t="s">
        <v>3</v>
      </c>
      <c r="D307" t="s">
        <v>2</v>
      </c>
      <c r="E307">
        <v>52</v>
      </c>
      <c r="F307" t="s">
        <v>15</v>
      </c>
      <c r="G307" t="s">
        <v>14</v>
      </c>
      <c r="H307">
        <v>15</v>
      </c>
      <c r="I307">
        <v>0</v>
      </c>
    </row>
    <row r="308" spans="1:9" x14ac:dyDescent="0.3">
      <c r="A308">
        <v>2</v>
      </c>
      <c r="B308">
        <v>0</v>
      </c>
      <c r="C308" t="s">
        <v>3</v>
      </c>
      <c r="D308" t="s">
        <v>2</v>
      </c>
      <c r="E308">
        <v>28</v>
      </c>
      <c r="F308" t="s">
        <v>15</v>
      </c>
      <c r="G308" t="s">
        <v>14</v>
      </c>
      <c r="H308">
        <v>3</v>
      </c>
      <c r="I308">
        <v>0</v>
      </c>
    </row>
    <row r="309" spans="1:9" x14ac:dyDescent="0.3">
      <c r="A309">
        <v>2</v>
      </c>
      <c r="B309">
        <v>0</v>
      </c>
      <c r="C309" t="s">
        <v>3</v>
      </c>
      <c r="D309" t="s">
        <v>2</v>
      </c>
      <c r="E309">
        <v>27</v>
      </c>
      <c r="F309" t="s">
        <v>15</v>
      </c>
      <c r="G309" t="s">
        <v>14</v>
      </c>
      <c r="H309">
        <v>4</v>
      </c>
      <c r="I309">
        <v>0</v>
      </c>
    </row>
    <row r="310" spans="1:9" x14ac:dyDescent="0.3">
      <c r="A310">
        <v>2</v>
      </c>
      <c r="B310">
        <v>0</v>
      </c>
      <c r="C310" t="s">
        <v>3</v>
      </c>
      <c r="D310" t="s">
        <v>2</v>
      </c>
      <c r="E310">
        <v>29</v>
      </c>
      <c r="F310" t="s">
        <v>15</v>
      </c>
      <c r="G310" t="s">
        <v>14</v>
      </c>
      <c r="H310">
        <v>0</v>
      </c>
      <c r="I310">
        <v>0</v>
      </c>
    </row>
    <row r="311" spans="1:9" x14ac:dyDescent="0.3">
      <c r="A311">
        <v>2</v>
      </c>
      <c r="B311">
        <v>0</v>
      </c>
      <c r="C311" t="s">
        <v>3</v>
      </c>
      <c r="D311" t="s">
        <v>2</v>
      </c>
      <c r="E311">
        <v>29</v>
      </c>
      <c r="F311" t="s">
        <v>15</v>
      </c>
      <c r="G311" t="s">
        <v>14</v>
      </c>
      <c r="H311">
        <v>0</v>
      </c>
      <c r="I311">
        <v>0</v>
      </c>
    </row>
    <row r="312" spans="1:9" x14ac:dyDescent="0.3">
      <c r="A312">
        <v>2</v>
      </c>
      <c r="B312">
        <v>0</v>
      </c>
      <c r="C312" t="s">
        <v>3</v>
      </c>
      <c r="D312" t="s">
        <v>2</v>
      </c>
      <c r="E312">
        <v>41</v>
      </c>
      <c r="F312" t="s">
        <v>15</v>
      </c>
      <c r="G312" t="s">
        <v>14</v>
      </c>
      <c r="H312">
        <v>14</v>
      </c>
      <c r="I312">
        <v>0</v>
      </c>
    </row>
    <row r="313" spans="1:9" x14ac:dyDescent="0.3">
      <c r="A313">
        <v>2</v>
      </c>
      <c r="B313">
        <v>0</v>
      </c>
      <c r="C313" t="s">
        <v>3</v>
      </c>
      <c r="D313" t="s">
        <v>2</v>
      </c>
      <c r="E313">
        <v>34</v>
      </c>
      <c r="F313" t="s">
        <v>15</v>
      </c>
      <c r="G313" t="s">
        <v>14</v>
      </c>
      <c r="H313">
        <v>27</v>
      </c>
      <c r="I313">
        <v>0</v>
      </c>
    </row>
    <row r="314" spans="1:9" x14ac:dyDescent="0.3">
      <c r="A314">
        <v>2</v>
      </c>
      <c r="B314">
        <v>0</v>
      </c>
      <c r="C314" t="s">
        <v>3</v>
      </c>
      <c r="D314" t="s">
        <v>2</v>
      </c>
      <c r="E314">
        <v>34</v>
      </c>
      <c r="F314" t="s">
        <v>15</v>
      </c>
      <c r="G314" t="s">
        <v>14</v>
      </c>
      <c r="H314">
        <v>4</v>
      </c>
      <c r="I314">
        <v>0</v>
      </c>
    </row>
    <row r="315" spans="1:9" x14ac:dyDescent="0.3">
      <c r="A315">
        <v>2</v>
      </c>
      <c r="B315">
        <v>0</v>
      </c>
      <c r="C315" t="s">
        <v>3</v>
      </c>
      <c r="D315" t="s">
        <v>2</v>
      </c>
      <c r="E315">
        <v>35</v>
      </c>
      <c r="F315" t="s">
        <v>15</v>
      </c>
      <c r="G315" t="s">
        <v>14</v>
      </c>
      <c r="H315">
        <v>0</v>
      </c>
      <c r="I315">
        <v>0</v>
      </c>
    </row>
    <row r="316" spans="1:9" x14ac:dyDescent="0.3">
      <c r="A316">
        <v>2</v>
      </c>
      <c r="B316">
        <v>0</v>
      </c>
      <c r="C316" t="s">
        <v>3</v>
      </c>
      <c r="D316" t="s">
        <v>2</v>
      </c>
      <c r="E316">
        <v>71</v>
      </c>
      <c r="F316" t="s">
        <v>15</v>
      </c>
      <c r="G316" t="s">
        <v>14</v>
      </c>
      <c r="H316">
        <v>28</v>
      </c>
      <c r="I316">
        <v>0</v>
      </c>
    </row>
    <row r="317" spans="1:9" x14ac:dyDescent="0.3">
      <c r="A317">
        <v>2</v>
      </c>
      <c r="B317">
        <v>0</v>
      </c>
      <c r="C317" t="s">
        <v>3</v>
      </c>
      <c r="D317" t="s">
        <v>2</v>
      </c>
      <c r="E317">
        <v>40</v>
      </c>
      <c r="F317" t="s">
        <v>15</v>
      </c>
      <c r="G317" t="s">
        <v>14</v>
      </c>
      <c r="H317">
        <v>2</v>
      </c>
      <c r="I317">
        <v>0</v>
      </c>
    </row>
    <row r="318" spans="1:9" x14ac:dyDescent="0.3">
      <c r="A318">
        <v>2</v>
      </c>
      <c r="B318">
        <v>0</v>
      </c>
      <c r="C318" t="s">
        <v>3</v>
      </c>
      <c r="D318" t="s">
        <v>2</v>
      </c>
      <c r="E318">
        <v>18</v>
      </c>
      <c r="F318" t="s">
        <v>15</v>
      </c>
      <c r="G318" t="s">
        <v>14</v>
      </c>
      <c r="H318">
        <v>2</v>
      </c>
      <c r="I318">
        <v>0</v>
      </c>
    </row>
    <row r="319" spans="1:9" x14ac:dyDescent="0.3">
      <c r="A319">
        <v>2</v>
      </c>
      <c r="B319">
        <v>0</v>
      </c>
      <c r="C319" t="s">
        <v>3</v>
      </c>
      <c r="D319" t="s">
        <v>2</v>
      </c>
      <c r="E319">
        <v>44</v>
      </c>
      <c r="F319" t="s">
        <v>15</v>
      </c>
      <c r="G319" t="s">
        <v>14</v>
      </c>
      <c r="H319">
        <v>24</v>
      </c>
      <c r="I319">
        <v>0</v>
      </c>
    </row>
    <row r="320" spans="1:9" x14ac:dyDescent="0.3">
      <c r="A320">
        <v>2</v>
      </c>
      <c r="B320">
        <v>0</v>
      </c>
      <c r="C320" t="s">
        <v>3</v>
      </c>
      <c r="D320" t="s">
        <v>2</v>
      </c>
      <c r="E320">
        <v>43</v>
      </c>
      <c r="F320" t="s">
        <v>15</v>
      </c>
      <c r="G320" t="s">
        <v>14</v>
      </c>
      <c r="H320">
        <v>10</v>
      </c>
      <c r="I320">
        <v>0</v>
      </c>
    </row>
    <row r="321" spans="1:9" x14ac:dyDescent="0.3">
      <c r="A321">
        <v>2</v>
      </c>
      <c r="B321">
        <v>0</v>
      </c>
      <c r="C321" t="s">
        <v>3</v>
      </c>
      <c r="D321" t="s">
        <v>2</v>
      </c>
      <c r="E321">
        <v>37</v>
      </c>
      <c r="F321" t="s">
        <v>15</v>
      </c>
      <c r="G321" t="s">
        <v>14</v>
      </c>
      <c r="H321">
        <v>3</v>
      </c>
      <c r="I321">
        <v>0</v>
      </c>
    </row>
    <row r="322" spans="1:9" x14ac:dyDescent="0.3">
      <c r="A322">
        <v>2</v>
      </c>
      <c r="B322">
        <v>0</v>
      </c>
      <c r="C322" t="s">
        <v>3</v>
      </c>
      <c r="D322" t="s">
        <v>2</v>
      </c>
      <c r="E322">
        <v>23</v>
      </c>
      <c r="F322" t="s">
        <v>15</v>
      </c>
      <c r="G322" t="s">
        <v>14</v>
      </c>
      <c r="H322">
        <v>2</v>
      </c>
      <c r="I322">
        <v>0</v>
      </c>
    </row>
    <row r="323" spans="1:9" x14ac:dyDescent="0.3">
      <c r="A323">
        <v>2</v>
      </c>
      <c r="B323">
        <v>0</v>
      </c>
      <c r="C323" t="s">
        <v>3</v>
      </c>
      <c r="D323" t="s">
        <v>2</v>
      </c>
      <c r="E323">
        <v>17</v>
      </c>
      <c r="F323" t="s">
        <v>15</v>
      </c>
      <c r="G323" t="s">
        <v>14</v>
      </c>
      <c r="H323">
        <v>2</v>
      </c>
      <c r="I323">
        <v>0</v>
      </c>
    </row>
    <row r="324" spans="1:9" x14ac:dyDescent="0.3">
      <c r="A324">
        <v>2</v>
      </c>
      <c r="B324">
        <v>0</v>
      </c>
      <c r="C324" t="s">
        <v>3</v>
      </c>
      <c r="D324" t="s">
        <v>2</v>
      </c>
      <c r="E324">
        <v>2</v>
      </c>
      <c r="F324" t="s">
        <v>15</v>
      </c>
      <c r="G324" t="s">
        <v>14</v>
      </c>
      <c r="H324">
        <v>15</v>
      </c>
      <c r="I324">
        <v>1</v>
      </c>
    </row>
    <row r="325" spans="1:9" x14ac:dyDescent="0.3">
      <c r="A325">
        <v>2</v>
      </c>
      <c r="B325">
        <v>0</v>
      </c>
      <c r="C325" t="s">
        <v>3</v>
      </c>
      <c r="D325" t="s">
        <v>2</v>
      </c>
      <c r="E325">
        <v>38</v>
      </c>
      <c r="F325" t="s">
        <v>15</v>
      </c>
      <c r="G325" t="s">
        <v>14</v>
      </c>
      <c r="H325">
        <v>0</v>
      </c>
      <c r="I325">
        <v>0</v>
      </c>
    </row>
    <row r="326" spans="1:9" x14ac:dyDescent="0.3">
      <c r="A326">
        <v>2</v>
      </c>
      <c r="B326">
        <v>0</v>
      </c>
      <c r="C326" t="s">
        <v>3</v>
      </c>
      <c r="D326" t="s">
        <v>2</v>
      </c>
      <c r="E326">
        <v>35</v>
      </c>
      <c r="F326" t="s">
        <v>15</v>
      </c>
      <c r="G326" t="s">
        <v>14</v>
      </c>
      <c r="H326">
        <v>0</v>
      </c>
      <c r="I326">
        <v>0</v>
      </c>
    </row>
    <row r="327" spans="1:9" x14ac:dyDescent="0.3">
      <c r="A327">
        <v>2</v>
      </c>
      <c r="B327">
        <v>0</v>
      </c>
      <c r="C327" t="s">
        <v>3</v>
      </c>
      <c r="D327" t="s">
        <v>2</v>
      </c>
      <c r="E327">
        <v>46</v>
      </c>
      <c r="F327" t="s">
        <v>15</v>
      </c>
      <c r="G327" t="s">
        <v>14</v>
      </c>
      <c r="H327">
        <v>2</v>
      </c>
      <c r="I327">
        <v>0</v>
      </c>
    </row>
    <row r="328" spans="1:9" x14ac:dyDescent="0.3">
      <c r="A328">
        <v>2</v>
      </c>
      <c r="B328">
        <v>0</v>
      </c>
      <c r="C328" t="s">
        <v>3</v>
      </c>
      <c r="D328" t="s">
        <v>2</v>
      </c>
      <c r="E328">
        <v>26</v>
      </c>
      <c r="F328" t="s">
        <v>15</v>
      </c>
      <c r="G328" t="s">
        <v>14</v>
      </c>
      <c r="H328">
        <v>2</v>
      </c>
      <c r="I328">
        <v>0</v>
      </c>
    </row>
    <row r="329" spans="1:9" x14ac:dyDescent="0.3">
      <c r="A329">
        <v>2</v>
      </c>
      <c r="B329">
        <v>0</v>
      </c>
      <c r="C329" t="s">
        <v>3</v>
      </c>
      <c r="D329" t="s">
        <v>2</v>
      </c>
      <c r="E329">
        <v>35</v>
      </c>
      <c r="F329" t="s">
        <v>15</v>
      </c>
      <c r="G329" t="s">
        <v>14</v>
      </c>
      <c r="H329">
        <v>5</v>
      </c>
      <c r="I329">
        <v>0</v>
      </c>
    </row>
    <row r="330" spans="1:9" x14ac:dyDescent="0.3">
      <c r="A330">
        <v>2</v>
      </c>
      <c r="B330">
        <v>0</v>
      </c>
      <c r="C330" t="s">
        <v>3</v>
      </c>
      <c r="D330" t="s">
        <v>2</v>
      </c>
      <c r="E330">
        <v>45</v>
      </c>
      <c r="F330" t="s">
        <v>15</v>
      </c>
      <c r="G330" t="s">
        <v>14</v>
      </c>
      <c r="H330">
        <v>0</v>
      </c>
      <c r="I330">
        <v>0</v>
      </c>
    </row>
    <row r="331" spans="1:9" x14ac:dyDescent="0.3">
      <c r="A331">
        <v>2</v>
      </c>
      <c r="B331">
        <v>0</v>
      </c>
      <c r="C331" t="s">
        <v>3</v>
      </c>
      <c r="D331" t="s">
        <v>2</v>
      </c>
      <c r="E331">
        <v>43</v>
      </c>
      <c r="F331" t="s">
        <v>15</v>
      </c>
      <c r="G331" t="s">
        <v>14</v>
      </c>
      <c r="H331">
        <v>2</v>
      </c>
      <c r="I331">
        <v>0</v>
      </c>
    </row>
    <row r="332" spans="1:9" x14ac:dyDescent="0.3">
      <c r="A332">
        <v>2</v>
      </c>
      <c r="B332">
        <v>0</v>
      </c>
      <c r="C332" t="s">
        <v>3</v>
      </c>
      <c r="D332" t="s">
        <v>2</v>
      </c>
      <c r="E332">
        <v>87</v>
      </c>
      <c r="F332" t="s">
        <v>15</v>
      </c>
      <c r="G332" t="s">
        <v>14</v>
      </c>
      <c r="H332">
        <v>8</v>
      </c>
      <c r="I332">
        <v>0</v>
      </c>
    </row>
    <row r="333" spans="1:9" x14ac:dyDescent="0.3">
      <c r="A333">
        <v>2</v>
      </c>
      <c r="B333">
        <v>0</v>
      </c>
      <c r="C333" t="s">
        <v>3</v>
      </c>
      <c r="D333" t="s">
        <v>2</v>
      </c>
      <c r="E333">
        <v>31</v>
      </c>
      <c r="F333" t="s">
        <v>15</v>
      </c>
      <c r="G333" t="s">
        <v>14</v>
      </c>
      <c r="H333">
        <v>6</v>
      </c>
      <c r="I333">
        <v>0</v>
      </c>
    </row>
    <row r="334" spans="1:9" x14ac:dyDescent="0.3">
      <c r="A334">
        <v>2</v>
      </c>
      <c r="B334">
        <v>0</v>
      </c>
      <c r="C334" t="s">
        <v>3</v>
      </c>
      <c r="D334" t="s">
        <v>2</v>
      </c>
      <c r="E334">
        <v>32</v>
      </c>
      <c r="F334" t="s">
        <v>15</v>
      </c>
      <c r="G334" t="s">
        <v>14</v>
      </c>
      <c r="H334">
        <v>0</v>
      </c>
      <c r="I334">
        <v>0</v>
      </c>
    </row>
    <row r="335" spans="1:9" x14ac:dyDescent="0.3">
      <c r="A335">
        <v>2</v>
      </c>
      <c r="B335">
        <v>0</v>
      </c>
      <c r="C335" t="s">
        <v>3</v>
      </c>
      <c r="D335" t="s">
        <v>2</v>
      </c>
      <c r="E335">
        <v>38</v>
      </c>
      <c r="F335" t="s">
        <v>15</v>
      </c>
      <c r="G335" t="s">
        <v>14</v>
      </c>
      <c r="H335">
        <v>0</v>
      </c>
      <c r="I335">
        <v>0</v>
      </c>
    </row>
    <row r="336" spans="1:9" x14ac:dyDescent="0.3">
      <c r="A336">
        <v>2</v>
      </c>
      <c r="B336">
        <v>0</v>
      </c>
      <c r="C336" t="s">
        <v>3</v>
      </c>
      <c r="D336" t="s">
        <v>2</v>
      </c>
      <c r="E336">
        <v>46</v>
      </c>
      <c r="F336" t="s">
        <v>15</v>
      </c>
      <c r="G336" t="s">
        <v>14</v>
      </c>
      <c r="H336">
        <v>11</v>
      </c>
      <c r="I336">
        <v>0</v>
      </c>
    </row>
    <row r="337" spans="1:9" x14ac:dyDescent="0.3">
      <c r="A337">
        <v>2</v>
      </c>
      <c r="B337">
        <v>0</v>
      </c>
      <c r="C337" t="s">
        <v>3</v>
      </c>
      <c r="D337" t="s">
        <v>2</v>
      </c>
      <c r="E337">
        <v>39</v>
      </c>
      <c r="F337" t="s">
        <v>15</v>
      </c>
      <c r="G337" t="s">
        <v>14</v>
      </c>
      <c r="H337">
        <v>4</v>
      </c>
      <c r="I337">
        <v>0</v>
      </c>
    </row>
    <row r="338" spans="1:9" x14ac:dyDescent="0.3">
      <c r="A338">
        <v>2</v>
      </c>
      <c r="B338">
        <v>0</v>
      </c>
      <c r="C338" t="s">
        <v>3</v>
      </c>
      <c r="D338" t="s">
        <v>2</v>
      </c>
      <c r="E338">
        <v>49</v>
      </c>
      <c r="F338" t="s">
        <v>15</v>
      </c>
      <c r="G338" t="s">
        <v>14</v>
      </c>
      <c r="H338">
        <v>17</v>
      </c>
      <c r="I338">
        <v>0</v>
      </c>
    </row>
    <row r="339" spans="1:9" x14ac:dyDescent="0.3">
      <c r="A339">
        <v>2</v>
      </c>
      <c r="B339">
        <v>0</v>
      </c>
      <c r="C339" t="s">
        <v>3</v>
      </c>
      <c r="D339" t="s">
        <v>2</v>
      </c>
      <c r="E339">
        <v>28</v>
      </c>
      <c r="F339" t="s">
        <v>15</v>
      </c>
      <c r="G339" t="s">
        <v>14</v>
      </c>
      <c r="H339">
        <v>0</v>
      </c>
      <c r="I339">
        <v>0</v>
      </c>
    </row>
    <row r="340" spans="1:9" x14ac:dyDescent="0.3">
      <c r="A340">
        <v>2</v>
      </c>
      <c r="B340">
        <v>0</v>
      </c>
      <c r="C340" t="s">
        <v>3</v>
      </c>
      <c r="D340" t="s">
        <v>2</v>
      </c>
      <c r="E340">
        <v>16</v>
      </c>
      <c r="F340" t="s">
        <v>15</v>
      </c>
      <c r="G340" t="s">
        <v>14</v>
      </c>
      <c r="H340">
        <v>10</v>
      </c>
      <c r="I340">
        <v>0</v>
      </c>
    </row>
    <row r="341" spans="1:9" x14ac:dyDescent="0.3">
      <c r="A341">
        <v>2</v>
      </c>
      <c r="B341">
        <v>0</v>
      </c>
      <c r="C341" t="s">
        <v>3</v>
      </c>
      <c r="D341" t="s">
        <v>2</v>
      </c>
      <c r="E341">
        <v>35</v>
      </c>
      <c r="F341" t="s">
        <v>15</v>
      </c>
      <c r="G341" t="s">
        <v>14</v>
      </c>
      <c r="H341">
        <v>16</v>
      </c>
      <c r="I341">
        <v>0</v>
      </c>
    </row>
    <row r="342" spans="1:9" x14ac:dyDescent="0.3">
      <c r="A342">
        <v>2</v>
      </c>
      <c r="B342">
        <v>0</v>
      </c>
      <c r="C342" t="s">
        <v>3</v>
      </c>
      <c r="D342" t="s">
        <v>2</v>
      </c>
      <c r="E342">
        <v>24</v>
      </c>
      <c r="F342" t="s">
        <v>15</v>
      </c>
      <c r="G342" t="s">
        <v>14</v>
      </c>
      <c r="H342">
        <v>20</v>
      </c>
      <c r="I342">
        <v>0</v>
      </c>
    </row>
    <row r="343" spans="1:9" x14ac:dyDescent="0.3">
      <c r="A343">
        <v>2</v>
      </c>
      <c r="B343">
        <v>0</v>
      </c>
      <c r="C343" t="s">
        <v>3</v>
      </c>
      <c r="D343" t="s">
        <v>2</v>
      </c>
      <c r="E343">
        <v>37</v>
      </c>
      <c r="F343" t="s">
        <v>15</v>
      </c>
      <c r="G343" t="s">
        <v>14</v>
      </c>
      <c r="H343">
        <v>10</v>
      </c>
      <c r="I343">
        <v>0</v>
      </c>
    </row>
    <row r="344" spans="1:9" x14ac:dyDescent="0.3">
      <c r="A344">
        <v>2</v>
      </c>
      <c r="B344">
        <v>0</v>
      </c>
      <c r="C344" t="s">
        <v>3</v>
      </c>
      <c r="D344" t="s">
        <v>2</v>
      </c>
      <c r="E344">
        <v>40</v>
      </c>
      <c r="F344" t="s">
        <v>15</v>
      </c>
      <c r="G344" t="s">
        <v>14</v>
      </c>
      <c r="H344">
        <v>2</v>
      </c>
      <c r="I344">
        <v>0</v>
      </c>
    </row>
    <row r="345" spans="1:9" x14ac:dyDescent="0.3">
      <c r="A345">
        <v>2</v>
      </c>
      <c r="B345">
        <v>0</v>
      </c>
      <c r="C345" t="s">
        <v>3</v>
      </c>
      <c r="D345" t="s">
        <v>2</v>
      </c>
      <c r="E345">
        <v>28</v>
      </c>
      <c r="F345" t="s">
        <v>15</v>
      </c>
      <c r="G345" t="s">
        <v>14</v>
      </c>
      <c r="H345">
        <v>0</v>
      </c>
      <c r="I345">
        <v>0</v>
      </c>
    </row>
    <row r="346" spans="1:9" x14ac:dyDescent="0.3">
      <c r="A346">
        <v>2</v>
      </c>
      <c r="B346">
        <v>0</v>
      </c>
      <c r="C346" t="s">
        <v>3</v>
      </c>
      <c r="D346" t="s">
        <v>2</v>
      </c>
      <c r="E346">
        <v>24</v>
      </c>
      <c r="F346" t="s">
        <v>15</v>
      </c>
      <c r="G346" t="s">
        <v>14</v>
      </c>
      <c r="H346">
        <v>2</v>
      </c>
      <c r="I346">
        <v>0</v>
      </c>
    </row>
    <row r="347" spans="1:9" x14ac:dyDescent="0.3">
      <c r="A347">
        <v>2</v>
      </c>
      <c r="B347">
        <v>0</v>
      </c>
      <c r="C347" t="s">
        <v>3</v>
      </c>
      <c r="D347" t="s">
        <v>2</v>
      </c>
      <c r="E347">
        <v>38</v>
      </c>
      <c r="F347" t="s">
        <v>15</v>
      </c>
      <c r="G347" t="s">
        <v>14</v>
      </c>
      <c r="H347">
        <v>5</v>
      </c>
      <c r="I347">
        <v>0</v>
      </c>
    </row>
    <row r="348" spans="1:9" x14ac:dyDescent="0.3">
      <c r="A348">
        <v>2</v>
      </c>
      <c r="B348">
        <v>0</v>
      </c>
      <c r="C348" t="s">
        <v>3</v>
      </c>
      <c r="D348" t="s">
        <v>2</v>
      </c>
      <c r="E348">
        <v>69</v>
      </c>
      <c r="F348" t="s">
        <v>15</v>
      </c>
      <c r="G348" t="s">
        <v>14</v>
      </c>
      <c r="H348">
        <v>16</v>
      </c>
      <c r="I348">
        <v>0</v>
      </c>
    </row>
    <row r="349" spans="1:9" x14ac:dyDescent="0.3">
      <c r="A349">
        <v>2</v>
      </c>
      <c r="B349">
        <v>0</v>
      </c>
      <c r="C349" t="s">
        <v>3</v>
      </c>
      <c r="D349" t="s">
        <v>2</v>
      </c>
      <c r="E349">
        <v>49</v>
      </c>
      <c r="F349" t="s">
        <v>15</v>
      </c>
      <c r="G349" t="s">
        <v>14</v>
      </c>
      <c r="H349">
        <v>0</v>
      </c>
      <c r="I349">
        <v>0</v>
      </c>
    </row>
    <row r="350" spans="1:9" x14ac:dyDescent="0.3">
      <c r="A350">
        <v>2</v>
      </c>
      <c r="B350">
        <v>0</v>
      </c>
      <c r="C350" t="s">
        <v>3</v>
      </c>
      <c r="D350" t="s">
        <v>2</v>
      </c>
      <c r="E350">
        <v>64</v>
      </c>
      <c r="F350" t="s">
        <v>15</v>
      </c>
      <c r="G350" t="s">
        <v>14</v>
      </c>
      <c r="H350">
        <v>0</v>
      </c>
      <c r="I350">
        <v>0</v>
      </c>
    </row>
    <row r="351" spans="1:9" x14ac:dyDescent="0.3">
      <c r="A351">
        <v>2</v>
      </c>
      <c r="B351">
        <v>0</v>
      </c>
      <c r="C351" t="s">
        <v>3</v>
      </c>
      <c r="D351" t="s">
        <v>2</v>
      </c>
      <c r="E351">
        <v>56</v>
      </c>
      <c r="F351" t="s">
        <v>15</v>
      </c>
      <c r="G351" t="s">
        <v>14</v>
      </c>
      <c r="H351">
        <v>19</v>
      </c>
      <c r="I351">
        <v>0</v>
      </c>
    </row>
    <row r="352" spans="1:9" x14ac:dyDescent="0.3">
      <c r="A352">
        <v>2</v>
      </c>
      <c r="B352">
        <v>0</v>
      </c>
      <c r="C352" t="s">
        <v>3</v>
      </c>
      <c r="D352" t="s">
        <v>2</v>
      </c>
      <c r="E352">
        <v>29</v>
      </c>
      <c r="F352" t="s">
        <v>15</v>
      </c>
      <c r="G352" t="s">
        <v>14</v>
      </c>
      <c r="H352">
        <v>0</v>
      </c>
      <c r="I352">
        <v>0</v>
      </c>
    </row>
    <row r="353" spans="1:9" x14ac:dyDescent="0.3">
      <c r="A353">
        <v>2</v>
      </c>
      <c r="B353">
        <v>0</v>
      </c>
      <c r="C353" t="s">
        <v>3</v>
      </c>
      <c r="D353" t="s">
        <v>2</v>
      </c>
      <c r="E353">
        <v>9</v>
      </c>
      <c r="F353" t="s">
        <v>15</v>
      </c>
      <c r="G353" t="s">
        <v>14</v>
      </c>
      <c r="H353">
        <v>0</v>
      </c>
      <c r="I353">
        <v>0</v>
      </c>
    </row>
    <row r="354" spans="1:9" x14ac:dyDescent="0.3">
      <c r="A354">
        <v>2</v>
      </c>
      <c r="B354">
        <v>0</v>
      </c>
      <c r="C354" t="s">
        <v>3</v>
      </c>
      <c r="D354" t="s">
        <v>2</v>
      </c>
      <c r="E354">
        <v>50</v>
      </c>
      <c r="F354" t="s">
        <v>15</v>
      </c>
      <c r="G354" t="s">
        <v>14</v>
      </c>
      <c r="H354">
        <v>0</v>
      </c>
      <c r="I354">
        <v>0</v>
      </c>
    </row>
    <row r="355" spans="1:9" x14ac:dyDescent="0.3">
      <c r="A355">
        <v>2</v>
      </c>
      <c r="B355">
        <v>0</v>
      </c>
      <c r="C355" t="s">
        <v>3</v>
      </c>
      <c r="D355" t="s">
        <v>2</v>
      </c>
      <c r="E355">
        <v>49</v>
      </c>
      <c r="F355" t="s">
        <v>15</v>
      </c>
      <c r="G355" t="s">
        <v>14</v>
      </c>
      <c r="H355">
        <v>7</v>
      </c>
      <c r="I355">
        <v>0</v>
      </c>
    </row>
    <row r="356" spans="1:9" x14ac:dyDescent="0.3">
      <c r="A356">
        <v>2</v>
      </c>
      <c r="B356">
        <v>0</v>
      </c>
      <c r="C356" t="s">
        <v>3</v>
      </c>
      <c r="D356" t="s">
        <v>2</v>
      </c>
      <c r="E356">
        <v>1</v>
      </c>
      <c r="F356" t="s">
        <v>15</v>
      </c>
      <c r="G356" t="s">
        <v>14</v>
      </c>
      <c r="H356">
        <v>18</v>
      </c>
      <c r="I356">
        <v>1</v>
      </c>
    </row>
    <row r="357" spans="1:9" x14ac:dyDescent="0.3">
      <c r="A357">
        <v>2</v>
      </c>
      <c r="B357">
        <v>0</v>
      </c>
      <c r="C357" t="s">
        <v>3</v>
      </c>
      <c r="D357" t="s">
        <v>2</v>
      </c>
      <c r="E357">
        <v>60</v>
      </c>
      <c r="F357" t="s">
        <v>15</v>
      </c>
      <c r="G357" t="s">
        <v>14</v>
      </c>
      <c r="H357">
        <v>13</v>
      </c>
      <c r="I357">
        <v>0</v>
      </c>
    </row>
    <row r="358" spans="1:9" x14ac:dyDescent="0.3">
      <c r="A358">
        <v>2</v>
      </c>
      <c r="B358">
        <v>0</v>
      </c>
      <c r="C358" t="s">
        <v>3</v>
      </c>
      <c r="D358" t="s">
        <v>2</v>
      </c>
      <c r="E358">
        <v>19</v>
      </c>
      <c r="F358" t="s">
        <v>15</v>
      </c>
      <c r="G358" t="s">
        <v>14</v>
      </c>
      <c r="H358">
        <v>2</v>
      </c>
      <c r="I358">
        <v>0</v>
      </c>
    </row>
    <row r="359" spans="1:9" x14ac:dyDescent="0.3">
      <c r="A359">
        <v>2</v>
      </c>
      <c r="B359">
        <v>0</v>
      </c>
      <c r="C359" t="s">
        <v>3</v>
      </c>
      <c r="D359" t="s">
        <v>2</v>
      </c>
      <c r="E359">
        <v>47</v>
      </c>
      <c r="F359" t="s">
        <v>15</v>
      </c>
      <c r="G359" t="s">
        <v>14</v>
      </c>
      <c r="H359">
        <v>2</v>
      </c>
      <c r="I359">
        <v>0</v>
      </c>
    </row>
    <row r="360" spans="1:9" x14ac:dyDescent="0.3">
      <c r="A360">
        <v>2</v>
      </c>
      <c r="B360">
        <v>0</v>
      </c>
      <c r="C360" t="s">
        <v>3</v>
      </c>
      <c r="D360" t="s">
        <v>2</v>
      </c>
      <c r="E360">
        <v>40</v>
      </c>
      <c r="F360" t="s">
        <v>15</v>
      </c>
      <c r="G360" t="s">
        <v>14</v>
      </c>
      <c r="H360">
        <v>0</v>
      </c>
      <c r="I360">
        <v>0</v>
      </c>
    </row>
    <row r="361" spans="1:9" x14ac:dyDescent="0.3">
      <c r="A361">
        <v>2</v>
      </c>
      <c r="B361">
        <v>0</v>
      </c>
      <c r="C361" t="s">
        <v>3</v>
      </c>
      <c r="D361" t="s">
        <v>2</v>
      </c>
      <c r="E361">
        <v>40</v>
      </c>
      <c r="F361" t="s">
        <v>15</v>
      </c>
      <c r="G361" t="s">
        <v>14</v>
      </c>
      <c r="H361">
        <v>9</v>
      </c>
      <c r="I361">
        <v>0</v>
      </c>
    </row>
    <row r="362" spans="1:9" x14ac:dyDescent="0.3">
      <c r="A362">
        <v>2</v>
      </c>
      <c r="B362">
        <v>0</v>
      </c>
      <c r="C362" t="s">
        <v>3</v>
      </c>
      <c r="D362" t="s">
        <v>2</v>
      </c>
      <c r="E362">
        <v>48</v>
      </c>
      <c r="F362" t="s">
        <v>15</v>
      </c>
      <c r="G362" t="s">
        <v>14</v>
      </c>
      <c r="H362">
        <v>2</v>
      </c>
      <c r="I362">
        <v>0</v>
      </c>
    </row>
    <row r="363" spans="1:9" x14ac:dyDescent="0.3">
      <c r="A363">
        <v>2</v>
      </c>
      <c r="B363">
        <v>0</v>
      </c>
      <c r="C363" t="s">
        <v>3</v>
      </c>
      <c r="D363" t="s">
        <v>2</v>
      </c>
      <c r="E363">
        <v>25</v>
      </c>
      <c r="F363" t="s">
        <v>15</v>
      </c>
      <c r="G363" t="s">
        <v>14</v>
      </c>
      <c r="H363">
        <v>9</v>
      </c>
      <c r="I363">
        <v>0</v>
      </c>
    </row>
    <row r="364" spans="1:9" x14ac:dyDescent="0.3">
      <c r="A364">
        <v>2</v>
      </c>
      <c r="B364">
        <v>0</v>
      </c>
      <c r="C364" t="s">
        <v>3</v>
      </c>
      <c r="D364" t="s">
        <v>2</v>
      </c>
      <c r="E364">
        <v>32</v>
      </c>
      <c r="F364" t="s">
        <v>15</v>
      </c>
      <c r="G364" t="s">
        <v>14</v>
      </c>
      <c r="H364">
        <v>3</v>
      </c>
      <c r="I364">
        <v>0</v>
      </c>
    </row>
    <row r="365" spans="1:9" x14ac:dyDescent="0.3">
      <c r="A365">
        <v>2</v>
      </c>
      <c r="B365">
        <v>0</v>
      </c>
      <c r="C365" t="s">
        <v>3</v>
      </c>
      <c r="D365" t="s">
        <v>2</v>
      </c>
      <c r="E365">
        <v>39</v>
      </c>
      <c r="F365" t="s">
        <v>15</v>
      </c>
      <c r="G365" t="s">
        <v>14</v>
      </c>
      <c r="H365">
        <v>9</v>
      </c>
      <c r="I365">
        <v>0</v>
      </c>
    </row>
    <row r="366" spans="1:9" x14ac:dyDescent="0.3">
      <c r="A366">
        <v>2</v>
      </c>
      <c r="B366">
        <v>0</v>
      </c>
      <c r="C366" t="s">
        <v>3</v>
      </c>
      <c r="D366" t="s">
        <v>2</v>
      </c>
      <c r="E366">
        <v>46</v>
      </c>
      <c r="F366" t="s">
        <v>15</v>
      </c>
      <c r="G366" t="s">
        <v>14</v>
      </c>
      <c r="H366">
        <v>2</v>
      </c>
      <c r="I366">
        <v>0</v>
      </c>
    </row>
    <row r="367" spans="1:9" x14ac:dyDescent="0.3">
      <c r="A367">
        <v>2</v>
      </c>
      <c r="B367">
        <v>0</v>
      </c>
      <c r="C367" t="s">
        <v>3</v>
      </c>
      <c r="D367" t="s">
        <v>2</v>
      </c>
      <c r="E367">
        <v>21</v>
      </c>
      <c r="F367" t="s">
        <v>15</v>
      </c>
      <c r="G367" t="s">
        <v>14</v>
      </c>
      <c r="H367">
        <v>0</v>
      </c>
      <c r="I367">
        <v>0</v>
      </c>
    </row>
    <row r="368" spans="1:9" x14ac:dyDescent="0.3">
      <c r="A368">
        <v>2</v>
      </c>
      <c r="B368">
        <v>0</v>
      </c>
      <c r="C368" t="s">
        <v>3</v>
      </c>
      <c r="D368" t="s">
        <v>2</v>
      </c>
      <c r="E368">
        <v>37</v>
      </c>
      <c r="F368" t="s">
        <v>15</v>
      </c>
      <c r="G368" t="s">
        <v>14</v>
      </c>
      <c r="H368">
        <v>4</v>
      </c>
      <c r="I368">
        <v>0</v>
      </c>
    </row>
    <row r="369" spans="1:9" x14ac:dyDescent="0.3">
      <c r="A369">
        <v>2</v>
      </c>
      <c r="B369">
        <v>0</v>
      </c>
      <c r="C369" t="s">
        <v>3</v>
      </c>
      <c r="D369" t="s">
        <v>2</v>
      </c>
      <c r="E369">
        <v>55</v>
      </c>
      <c r="F369" t="s">
        <v>15</v>
      </c>
      <c r="G369" t="s">
        <v>14</v>
      </c>
      <c r="H369">
        <v>8</v>
      </c>
      <c r="I369">
        <v>0</v>
      </c>
    </row>
    <row r="370" spans="1:9" x14ac:dyDescent="0.3">
      <c r="A370">
        <v>2</v>
      </c>
      <c r="B370">
        <v>0</v>
      </c>
      <c r="C370" t="s">
        <v>3</v>
      </c>
      <c r="D370" t="s">
        <v>2</v>
      </c>
      <c r="E370">
        <v>28</v>
      </c>
      <c r="F370" t="s">
        <v>15</v>
      </c>
      <c r="G370" t="s">
        <v>14</v>
      </c>
      <c r="H370">
        <v>0</v>
      </c>
      <c r="I370">
        <v>0</v>
      </c>
    </row>
    <row r="371" spans="1:9" x14ac:dyDescent="0.3">
      <c r="A371">
        <v>2</v>
      </c>
      <c r="B371">
        <v>0</v>
      </c>
      <c r="C371" t="s">
        <v>3</v>
      </c>
      <c r="D371" t="s">
        <v>2</v>
      </c>
      <c r="E371">
        <v>21</v>
      </c>
      <c r="F371" t="s">
        <v>15</v>
      </c>
      <c r="G371" t="s">
        <v>14</v>
      </c>
      <c r="H371">
        <v>0</v>
      </c>
      <c r="I371">
        <v>0</v>
      </c>
    </row>
    <row r="372" spans="1:9" x14ac:dyDescent="0.3">
      <c r="A372">
        <v>2</v>
      </c>
      <c r="B372">
        <v>0</v>
      </c>
      <c r="C372" t="s">
        <v>3</v>
      </c>
      <c r="D372" t="s">
        <v>2</v>
      </c>
      <c r="E372">
        <v>22</v>
      </c>
      <c r="F372" t="s">
        <v>15</v>
      </c>
      <c r="G372" t="s">
        <v>14</v>
      </c>
      <c r="H372">
        <v>7</v>
      </c>
      <c r="I372">
        <v>0</v>
      </c>
    </row>
    <row r="373" spans="1:9" x14ac:dyDescent="0.3">
      <c r="A373">
        <v>2</v>
      </c>
      <c r="B373">
        <v>0</v>
      </c>
      <c r="C373" t="s">
        <v>3</v>
      </c>
      <c r="D373" t="s">
        <v>2</v>
      </c>
      <c r="E373">
        <v>50</v>
      </c>
      <c r="F373" t="s">
        <v>15</v>
      </c>
      <c r="G373" t="s">
        <v>14</v>
      </c>
      <c r="H373">
        <v>6</v>
      </c>
      <c r="I373">
        <v>0</v>
      </c>
    </row>
    <row r="374" spans="1:9" x14ac:dyDescent="0.3">
      <c r="A374">
        <v>2</v>
      </c>
      <c r="B374">
        <v>0</v>
      </c>
      <c r="C374" t="s">
        <v>3</v>
      </c>
      <c r="D374" t="s">
        <v>2</v>
      </c>
      <c r="E374">
        <v>40</v>
      </c>
      <c r="F374" t="s">
        <v>15</v>
      </c>
      <c r="G374" t="s">
        <v>14</v>
      </c>
      <c r="H374">
        <v>0</v>
      </c>
      <c r="I374">
        <v>0</v>
      </c>
    </row>
    <row r="375" spans="1:9" x14ac:dyDescent="0.3">
      <c r="A375">
        <v>2</v>
      </c>
      <c r="B375">
        <v>0</v>
      </c>
      <c r="C375" t="s">
        <v>3</v>
      </c>
      <c r="D375" t="s">
        <v>2</v>
      </c>
      <c r="E375">
        <v>20</v>
      </c>
      <c r="F375" t="s">
        <v>15</v>
      </c>
      <c r="G375" t="s">
        <v>14</v>
      </c>
      <c r="H375">
        <v>5</v>
      </c>
      <c r="I375">
        <v>0</v>
      </c>
    </row>
    <row r="376" spans="1:9" x14ac:dyDescent="0.3">
      <c r="A376">
        <v>2</v>
      </c>
      <c r="B376">
        <v>0</v>
      </c>
      <c r="C376" t="s">
        <v>3</v>
      </c>
      <c r="D376" t="s">
        <v>2</v>
      </c>
      <c r="E376">
        <v>17</v>
      </c>
      <c r="F376" t="s">
        <v>15</v>
      </c>
      <c r="G376" t="s">
        <v>14</v>
      </c>
      <c r="H376">
        <v>0</v>
      </c>
      <c r="I376">
        <v>0</v>
      </c>
    </row>
    <row r="377" spans="1:9" x14ac:dyDescent="0.3">
      <c r="A377">
        <v>2</v>
      </c>
      <c r="B377">
        <v>0</v>
      </c>
      <c r="C377" t="s">
        <v>3</v>
      </c>
      <c r="D377" t="s">
        <v>2</v>
      </c>
      <c r="E377">
        <v>36</v>
      </c>
      <c r="F377" t="s">
        <v>15</v>
      </c>
      <c r="G377" t="s">
        <v>14</v>
      </c>
      <c r="H377">
        <v>0</v>
      </c>
      <c r="I377">
        <v>0</v>
      </c>
    </row>
    <row r="378" spans="1:9" x14ac:dyDescent="0.3">
      <c r="A378">
        <v>2</v>
      </c>
      <c r="B378">
        <v>0</v>
      </c>
      <c r="C378" t="s">
        <v>3</v>
      </c>
      <c r="D378" t="s">
        <v>2</v>
      </c>
      <c r="E378">
        <v>53</v>
      </c>
      <c r="F378" t="s">
        <v>15</v>
      </c>
      <c r="G378" t="s">
        <v>14</v>
      </c>
      <c r="H378">
        <v>0</v>
      </c>
      <c r="I378">
        <v>0</v>
      </c>
    </row>
    <row r="379" spans="1:9" x14ac:dyDescent="0.3">
      <c r="A379">
        <v>2</v>
      </c>
      <c r="B379">
        <v>0</v>
      </c>
      <c r="C379" t="s">
        <v>3</v>
      </c>
      <c r="D379" t="s">
        <v>2</v>
      </c>
      <c r="E379">
        <v>34</v>
      </c>
      <c r="F379" t="s">
        <v>15</v>
      </c>
      <c r="G379" t="s">
        <v>14</v>
      </c>
      <c r="H379">
        <v>5</v>
      </c>
      <c r="I379">
        <v>0</v>
      </c>
    </row>
    <row r="380" spans="1:9" x14ac:dyDescent="0.3">
      <c r="A380">
        <v>2</v>
      </c>
      <c r="B380">
        <v>0</v>
      </c>
      <c r="C380" t="s">
        <v>3</v>
      </c>
      <c r="D380" t="s">
        <v>2</v>
      </c>
      <c r="E380">
        <v>25</v>
      </c>
      <c r="F380" t="s">
        <v>15</v>
      </c>
      <c r="G380" t="s">
        <v>14</v>
      </c>
      <c r="H380">
        <v>0</v>
      </c>
      <c r="I380">
        <v>0</v>
      </c>
    </row>
    <row r="381" spans="1:9" x14ac:dyDescent="0.3">
      <c r="A381">
        <v>2</v>
      </c>
      <c r="B381">
        <v>0</v>
      </c>
      <c r="C381" t="s">
        <v>3</v>
      </c>
      <c r="D381" t="s">
        <v>2</v>
      </c>
      <c r="E381">
        <v>71</v>
      </c>
      <c r="F381" t="s">
        <v>15</v>
      </c>
      <c r="G381" t="s">
        <v>14</v>
      </c>
      <c r="H381">
        <v>2</v>
      </c>
      <c r="I381">
        <v>0</v>
      </c>
    </row>
    <row r="382" spans="1:9" x14ac:dyDescent="0.3">
      <c r="A382">
        <v>2</v>
      </c>
      <c r="B382">
        <v>0</v>
      </c>
      <c r="C382" t="s">
        <v>3</v>
      </c>
      <c r="D382" t="s">
        <v>2</v>
      </c>
      <c r="E382">
        <v>22</v>
      </c>
      <c r="F382" t="s">
        <v>15</v>
      </c>
      <c r="G382" t="s">
        <v>14</v>
      </c>
      <c r="H382">
        <v>6</v>
      </c>
      <c r="I382">
        <v>0</v>
      </c>
    </row>
    <row r="383" spans="1:9" x14ac:dyDescent="0.3">
      <c r="A383">
        <v>2</v>
      </c>
      <c r="B383">
        <v>0</v>
      </c>
      <c r="C383" t="s">
        <v>3</v>
      </c>
      <c r="D383" t="s">
        <v>2</v>
      </c>
      <c r="E383">
        <v>71</v>
      </c>
      <c r="F383" t="s">
        <v>15</v>
      </c>
      <c r="G383" t="s">
        <v>14</v>
      </c>
      <c r="H383">
        <v>0</v>
      </c>
      <c r="I383">
        <v>0</v>
      </c>
    </row>
    <row r="384" spans="1:9" x14ac:dyDescent="0.3">
      <c r="A384">
        <v>2</v>
      </c>
      <c r="B384">
        <v>0</v>
      </c>
      <c r="C384" t="s">
        <v>3</v>
      </c>
      <c r="D384" t="s">
        <v>2</v>
      </c>
      <c r="E384">
        <v>55</v>
      </c>
      <c r="F384" t="s">
        <v>15</v>
      </c>
      <c r="G384" t="s">
        <v>14</v>
      </c>
      <c r="H384">
        <v>0</v>
      </c>
      <c r="I384">
        <v>0</v>
      </c>
    </row>
    <row r="385" spans="1:9" x14ac:dyDescent="0.3">
      <c r="A385">
        <v>2</v>
      </c>
      <c r="B385">
        <v>0</v>
      </c>
      <c r="C385" t="s">
        <v>3</v>
      </c>
      <c r="D385" t="s">
        <v>2</v>
      </c>
      <c r="E385">
        <v>51</v>
      </c>
      <c r="F385" t="s">
        <v>15</v>
      </c>
      <c r="G385" t="s">
        <v>14</v>
      </c>
      <c r="H385">
        <v>4</v>
      </c>
      <c r="I385">
        <v>0</v>
      </c>
    </row>
    <row r="386" spans="1:9" x14ac:dyDescent="0.3">
      <c r="A386">
        <v>2</v>
      </c>
      <c r="B386">
        <v>0</v>
      </c>
      <c r="C386" t="s">
        <v>3</v>
      </c>
      <c r="D386" t="s">
        <v>2</v>
      </c>
      <c r="E386">
        <v>38</v>
      </c>
      <c r="F386" t="s">
        <v>15</v>
      </c>
      <c r="G386" t="s">
        <v>14</v>
      </c>
      <c r="H386">
        <v>7</v>
      </c>
      <c r="I386">
        <v>0</v>
      </c>
    </row>
    <row r="387" spans="1:9" x14ac:dyDescent="0.3">
      <c r="A387">
        <v>2</v>
      </c>
      <c r="B387">
        <v>0</v>
      </c>
      <c r="C387" t="s">
        <v>3</v>
      </c>
      <c r="D387" t="s">
        <v>2</v>
      </c>
      <c r="E387">
        <v>30</v>
      </c>
      <c r="F387" t="s">
        <v>15</v>
      </c>
      <c r="G387" t="s">
        <v>14</v>
      </c>
      <c r="H387">
        <v>3</v>
      </c>
      <c r="I387">
        <v>0</v>
      </c>
    </row>
    <row r="388" spans="1:9" x14ac:dyDescent="0.3">
      <c r="A388">
        <v>2</v>
      </c>
      <c r="B388">
        <v>0</v>
      </c>
      <c r="C388" t="s">
        <v>3</v>
      </c>
      <c r="D388" t="s">
        <v>2</v>
      </c>
      <c r="E388">
        <v>71</v>
      </c>
      <c r="F388" t="s">
        <v>15</v>
      </c>
      <c r="G388" t="s">
        <v>14</v>
      </c>
      <c r="H388">
        <v>2</v>
      </c>
      <c r="I388">
        <v>0</v>
      </c>
    </row>
    <row r="389" spans="1:9" x14ac:dyDescent="0.3">
      <c r="A389">
        <v>2</v>
      </c>
      <c r="B389">
        <v>0</v>
      </c>
      <c r="C389" t="s">
        <v>3</v>
      </c>
      <c r="D389" t="s">
        <v>2</v>
      </c>
      <c r="E389">
        <v>17</v>
      </c>
      <c r="F389" t="s">
        <v>15</v>
      </c>
      <c r="G389" t="s">
        <v>14</v>
      </c>
      <c r="H389">
        <v>2</v>
      </c>
      <c r="I389">
        <v>0</v>
      </c>
    </row>
    <row r="390" spans="1:9" x14ac:dyDescent="0.3">
      <c r="A390">
        <v>2</v>
      </c>
      <c r="B390">
        <v>0</v>
      </c>
      <c r="C390" t="s">
        <v>3</v>
      </c>
      <c r="D390" t="s">
        <v>2</v>
      </c>
      <c r="E390">
        <v>36</v>
      </c>
      <c r="F390" t="s">
        <v>15</v>
      </c>
      <c r="G390" t="s">
        <v>14</v>
      </c>
      <c r="H390">
        <v>23</v>
      </c>
      <c r="I390">
        <v>0</v>
      </c>
    </row>
    <row r="391" spans="1:9" x14ac:dyDescent="0.3">
      <c r="A391">
        <v>2</v>
      </c>
      <c r="B391">
        <v>0</v>
      </c>
      <c r="C391" t="s">
        <v>3</v>
      </c>
      <c r="D391" t="s">
        <v>2</v>
      </c>
      <c r="E391">
        <v>42</v>
      </c>
      <c r="F391" t="s">
        <v>15</v>
      </c>
      <c r="G391" t="s">
        <v>14</v>
      </c>
      <c r="H391">
        <v>2</v>
      </c>
      <c r="I391">
        <v>0</v>
      </c>
    </row>
    <row r="392" spans="1:9" x14ac:dyDescent="0.3">
      <c r="A392">
        <v>2</v>
      </c>
      <c r="B392">
        <v>0</v>
      </c>
      <c r="C392" t="s">
        <v>3</v>
      </c>
      <c r="D392" t="s">
        <v>2</v>
      </c>
      <c r="E392">
        <v>41</v>
      </c>
      <c r="F392" t="s">
        <v>15</v>
      </c>
      <c r="G392" t="s">
        <v>14</v>
      </c>
      <c r="H392">
        <v>3</v>
      </c>
      <c r="I392">
        <v>0</v>
      </c>
    </row>
    <row r="393" spans="1:9" x14ac:dyDescent="0.3">
      <c r="A393">
        <v>2</v>
      </c>
      <c r="B393">
        <v>0</v>
      </c>
      <c r="C393" t="s">
        <v>3</v>
      </c>
      <c r="D393" t="s">
        <v>2</v>
      </c>
      <c r="E393">
        <v>33</v>
      </c>
      <c r="F393" t="s">
        <v>15</v>
      </c>
      <c r="G393" t="s">
        <v>14</v>
      </c>
      <c r="H393">
        <v>0</v>
      </c>
      <c r="I393">
        <v>0</v>
      </c>
    </row>
    <row r="394" spans="1:9" x14ac:dyDescent="0.3">
      <c r="A394">
        <v>2</v>
      </c>
      <c r="B394">
        <v>0</v>
      </c>
      <c r="C394" t="s">
        <v>3</v>
      </c>
      <c r="D394" t="s">
        <v>2</v>
      </c>
      <c r="E394">
        <v>48</v>
      </c>
      <c r="F394" t="s">
        <v>15</v>
      </c>
      <c r="G394" t="s">
        <v>14</v>
      </c>
      <c r="H394">
        <v>0</v>
      </c>
      <c r="I394">
        <v>0</v>
      </c>
    </row>
    <row r="395" spans="1:9" x14ac:dyDescent="0.3">
      <c r="A395">
        <v>2</v>
      </c>
      <c r="B395">
        <v>0</v>
      </c>
      <c r="C395" t="s">
        <v>3</v>
      </c>
      <c r="D395" t="s">
        <v>2</v>
      </c>
      <c r="E395">
        <v>48</v>
      </c>
      <c r="F395" t="s">
        <v>15</v>
      </c>
      <c r="G395" t="s">
        <v>14</v>
      </c>
      <c r="H395">
        <v>7</v>
      </c>
      <c r="I395">
        <v>0</v>
      </c>
    </row>
    <row r="396" spans="1:9" x14ac:dyDescent="0.3">
      <c r="A396">
        <v>2</v>
      </c>
      <c r="B396">
        <v>0</v>
      </c>
      <c r="C396" t="s">
        <v>3</v>
      </c>
      <c r="D396" t="s">
        <v>2</v>
      </c>
      <c r="E396">
        <v>39</v>
      </c>
      <c r="F396" t="s">
        <v>15</v>
      </c>
      <c r="G396" t="s">
        <v>14</v>
      </c>
      <c r="H396">
        <v>18</v>
      </c>
      <c r="I396">
        <v>0</v>
      </c>
    </row>
    <row r="397" spans="1:9" x14ac:dyDescent="0.3">
      <c r="A397">
        <v>2</v>
      </c>
      <c r="B397">
        <v>0</v>
      </c>
      <c r="C397" t="s">
        <v>3</v>
      </c>
      <c r="D397" t="s">
        <v>2</v>
      </c>
      <c r="E397">
        <v>33</v>
      </c>
      <c r="F397" t="s">
        <v>15</v>
      </c>
      <c r="G397" t="s">
        <v>14</v>
      </c>
      <c r="H397">
        <v>11</v>
      </c>
      <c r="I397">
        <v>0</v>
      </c>
    </row>
    <row r="398" spans="1:9" x14ac:dyDescent="0.3">
      <c r="A398">
        <v>2</v>
      </c>
      <c r="B398">
        <v>0</v>
      </c>
      <c r="C398" t="s">
        <v>3</v>
      </c>
      <c r="D398" t="s">
        <v>2</v>
      </c>
      <c r="E398">
        <v>50</v>
      </c>
      <c r="F398" t="s">
        <v>15</v>
      </c>
      <c r="G398" t="s">
        <v>14</v>
      </c>
      <c r="H398">
        <v>0</v>
      </c>
      <c r="I398">
        <v>0</v>
      </c>
    </row>
    <row r="399" spans="1:9" x14ac:dyDescent="0.3">
      <c r="A399">
        <v>2</v>
      </c>
      <c r="B399">
        <v>0</v>
      </c>
      <c r="C399" t="s">
        <v>3</v>
      </c>
      <c r="D399" t="s">
        <v>2</v>
      </c>
      <c r="E399">
        <v>61</v>
      </c>
      <c r="F399" t="s">
        <v>15</v>
      </c>
      <c r="G399" t="s">
        <v>14</v>
      </c>
      <c r="H399">
        <v>2</v>
      </c>
      <c r="I399">
        <v>0</v>
      </c>
    </row>
    <row r="400" spans="1:9" x14ac:dyDescent="0.3">
      <c r="A400">
        <v>2</v>
      </c>
      <c r="B400">
        <v>0</v>
      </c>
      <c r="C400" t="s">
        <v>3</v>
      </c>
      <c r="D400" t="s">
        <v>2</v>
      </c>
      <c r="E400">
        <v>60</v>
      </c>
      <c r="F400" t="s">
        <v>15</v>
      </c>
      <c r="G400" t="s">
        <v>14</v>
      </c>
      <c r="H400">
        <v>2</v>
      </c>
      <c r="I400">
        <v>0</v>
      </c>
    </row>
    <row r="401" spans="1:9" x14ac:dyDescent="0.3">
      <c r="A401">
        <v>2</v>
      </c>
      <c r="B401">
        <v>0</v>
      </c>
      <c r="C401" t="s">
        <v>3</v>
      </c>
      <c r="D401" t="s">
        <v>2</v>
      </c>
      <c r="E401">
        <v>81</v>
      </c>
      <c r="F401" t="s">
        <v>15</v>
      </c>
      <c r="G401" t="s">
        <v>14</v>
      </c>
      <c r="H401">
        <v>2</v>
      </c>
      <c r="I401">
        <v>0</v>
      </c>
    </row>
    <row r="402" spans="1:9" x14ac:dyDescent="0.3">
      <c r="A402">
        <v>2</v>
      </c>
      <c r="B402">
        <v>0</v>
      </c>
      <c r="C402" t="s">
        <v>3</v>
      </c>
      <c r="D402" t="s">
        <v>2</v>
      </c>
      <c r="E402">
        <v>16</v>
      </c>
      <c r="F402" t="s">
        <v>15</v>
      </c>
      <c r="G402" t="s">
        <v>14</v>
      </c>
      <c r="H402">
        <v>0</v>
      </c>
      <c r="I402">
        <v>0</v>
      </c>
    </row>
    <row r="403" spans="1:9" x14ac:dyDescent="0.3">
      <c r="A403">
        <v>2</v>
      </c>
      <c r="B403">
        <v>0</v>
      </c>
      <c r="C403" t="s">
        <v>3</v>
      </c>
      <c r="D403" t="s">
        <v>2</v>
      </c>
      <c r="E403">
        <v>62</v>
      </c>
      <c r="F403" t="s">
        <v>15</v>
      </c>
      <c r="G403" t="s">
        <v>14</v>
      </c>
      <c r="H403">
        <v>8</v>
      </c>
      <c r="I403">
        <v>0</v>
      </c>
    </row>
    <row r="404" spans="1:9" x14ac:dyDescent="0.3">
      <c r="A404">
        <v>2</v>
      </c>
      <c r="B404">
        <v>0</v>
      </c>
      <c r="C404" t="s">
        <v>3</v>
      </c>
      <c r="D404" t="s">
        <v>2</v>
      </c>
      <c r="E404">
        <v>16</v>
      </c>
      <c r="F404" t="s">
        <v>15</v>
      </c>
      <c r="G404" t="s">
        <v>14</v>
      </c>
      <c r="H404">
        <v>12</v>
      </c>
      <c r="I404">
        <v>0</v>
      </c>
    </row>
    <row r="405" spans="1:9" x14ac:dyDescent="0.3">
      <c r="A405">
        <v>2</v>
      </c>
      <c r="B405">
        <v>0</v>
      </c>
      <c r="C405" t="s">
        <v>3</v>
      </c>
      <c r="D405" t="s">
        <v>2</v>
      </c>
      <c r="E405">
        <v>31</v>
      </c>
      <c r="F405" t="s">
        <v>15</v>
      </c>
      <c r="G405" t="s">
        <v>14</v>
      </c>
      <c r="H405">
        <v>0</v>
      </c>
      <c r="I405">
        <v>0</v>
      </c>
    </row>
    <row r="406" spans="1:9" x14ac:dyDescent="0.3">
      <c r="A406">
        <v>2</v>
      </c>
      <c r="B406">
        <v>0</v>
      </c>
      <c r="C406" t="s">
        <v>3</v>
      </c>
      <c r="D406" t="s">
        <v>2</v>
      </c>
      <c r="E406">
        <v>52</v>
      </c>
      <c r="F406" t="s">
        <v>15</v>
      </c>
      <c r="G406" t="s">
        <v>14</v>
      </c>
      <c r="H406">
        <v>4</v>
      </c>
      <c r="I406">
        <v>0</v>
      </c>
    </row>
    <row r="407" spans="1:9" x14ac:dyDescent="0.3">
      <c r="A407">
        <v>2</v>
      </c>
      <c r="B407">
        <v>0</v>
      </c>
      <c r="C407" t="s">
        <v>3</v>
      </c>
      <c r="D407" t="s">
        <v>2</v>
      </c>
      <c r="E407">
        <v>27</v>
      </c>
      <c r="F407" t="s">
        <v>15</v>
      </c>
      <c r="G407" t="s">
        <v>14</v>
      </c>
      <c r="H407">
        <v>7</v>
      </c>
      <c r="I407">
        <v>0</v>
      </c>
    </row>
    <row r="408" spans="1:9" x14ac:dyDescent="0.3">
      <c r="A408">
        <v>2</v>
      </c>
      <c r="B408">
        <v>0</v>
      </c>
      <c r="C408" t="s">
        <v>3</v>
      </c>
      <c r="D408" t="s">
        <v>2</v>
      </c>
      <c r="E408">
        <v>48</v>
      </c>
      <c r="F408" t="s">
        <v>15</v>
      </c>
      <c r="G408" t="s">
        <v>14</v>
      </c>
      <c r="H408">
        <v>0</v>
      </c>
      <c r="I408">
        <v>0</v>
      </c>
    </row>
    <row r="409" spans="1:9" x14ac:dyDescent="0.3">
      <c r="A409">
        <v>2</v>
      </c>
      <c r="B409">
        <v>0</v>
      </c>
      <c r="C409" t="s">
        <v>3</v>
      </c>
      <c r="D409" t="s">
        <v>2</v>
      </c>
      <c r="E409">
        <v>31</v>
      </c>
      <c r="F409" t="s">
        <v>15</v>
      </c>
      <c r="G409" t="s">
        <v>14</v>
      </c>
      <c r="H409">
        <v>13</v>
      </c>
      <c r="I409">
        <v>0</v>
      </c>
    </row>
    <row r="410" spans="1:9" x14ac:dyDescent="0.3">
      <c r="A410">
        <v>2</v>
      </c>
      <c r="B410">
        <v>0</v>
      </c>
      <c r="C410" t="s">
        <v>3</v>
      </c>
      <c r="D410" t="s">
        <v>2</v>
      </c>
      <c r="E410">
        <v>69</v>
      </c>
      <c r="F410" t="s">
        <v>15</v>
      </c>
      <c r="G410" t="s">
        <v>14</v>
      </c>
      <c r="H410">
        <v>6</v>
      </c>
      <c r="I410">
        <v>0</v>
      </c>
    </row>
    <row r="411" spans="1:9" x14ac:dyDescent="0.3">
      <c r="A411">
        <v>2</v>
      </c>
      <c r="B411">
        <v>0</v>
      </c>
      <c r="C411" t="s">
        <v>3</v>
      </c>
      <c r="D411" t="s">
        <v>2</v>
      </c>
      <c r="E411">
        <v>46</v>
      </c>
      <c r="F411" t="s">
        <v>15</v>
      </c>
      <c r="G411" t="s">
        <v>14</v>
      </c>
      <c r="H411">
        <v>1</v>
      </c>
      <c r="I411">
        <v>0</v>
      </c>
    </row>
    <row r="412" spans="1:9" x14ac:dyDescent="0.3">
      <c r="A412">
        <v>2</v>
      </c>
      <c r="B412">
        <v>0</v>
      </c>
      <c r="C412" t="s">
        <v>3</v>
      </c>
      <c r="D412" t="s">
        <v>2</v>
      </c>
      <c r="E412">
        <v>41</v>
      </c>
      <c r="F412" t="s">
        <v>15</v>
      </c>
      <c r="G412" t="s">
        <v>14</v>
      </c>
      <c r="H412">
        <v>9</v>
      </c>
      <c r="I412">
        <v>0</v>
      </c>
    </row>
    <row r="413" spans="1:9" x14ac:dyDescent="0.3">
      <c r="A413">
        <v>2</v>
      </c>
      <c r="B413">
        <v>0</v>
      </c>
      <c r="C413" t="s">
        <v>3</v>
      </c>
      <c r="D413" t="s">
        <v>2</v>
      </c>
      <c r="E413">
        <v>47</v>
      </c>
      <c r="F413" t="s">
        <v>15</v>
      </c>
      <c r="G413" t="s">
        <v>14</v>
      </c>
      <c r="H413">
        <v>13</v>
      </c>
      <c r="I413">
        <v>0</v>
      </c>
    </row>
    <row r="414" spans="1:9" x14ac:dyDescent="0.3">
      <c r="A414">
        <v>2</v>
      </c>
      <c r="B414">
        <v>0</v>
      </c>
      <c r="C414" t="s">
        <v>3</v>
      </c>
      <c r="D414" t="s">
        <v>2</v>
      </c>
      <c r="E414">
        <v>20</v>
      </c>
      <c r="F414" t="s">
        <v>15</v>
      </c>
      <c r="G414" t="s">
        <v>14</v>
      </c>
      <c r="H414">
        <v>0</v>
      </c>
      <c r="I414">
        <v>0</v>
      </c>
    </row>
    <row r="415" spans="1:9" x14ac:dyDescent="0.3">
      <c r="A415">
        <v>2</v>
      </c>
      <c r="B415">
        <v>0</v>
      </c>
      <c r="C415" t="s">
        <v>3</v>
      </c>
      <c r="D415" t="s">
        <v>2</v>
      </c>
      <c r="E415">
        <v>41</v>
      </c>
      <c r="F415" t="s">
        <v>15</v>
      </c>
      <c r="G415" t="s">
        <v>14</v>
      </c>
      <c r="H415">
        <v>0</v>
      </c>
      <c r="I415">
        <v>0</v>
      </c>
    </row>
    <row r="416" spans="1:9" x14ac:dyDescent="0.3">
      <c r="A416">
        <v>2</v>
      </c>
      <c r="B416">
        <v>0</v>
      </c>
      <c r="C416" t="s">
        <v>3</v>
      </c>
      <c r="D416" t="s">
        <v>2</v>
      </c>
      <c r="E416">
        <v>31</v>
      </c>
      <c r="F416" t="s">
        <v>15</v>
      </c>
      <c r="G416" t="s">
        <v>14</v>
      </c>
      <c r="H416">
        <v>3</v>
      </c>
      <c r="I416">
        <v>0</v>
      </c>
    </row>
    <row r="417" spans="1:9" x14ac:dyDescent="0.3">
      <c r="A417">
        <v>2</v>
      </c>
      <c r="B417">
        <v>0</v>
      </c>
      <c r="C417" t="s">
        <v>3</v>
      </c>
      <c r="D417" t="s">
        <v>2</v>
      </c>
      <c r="E417">
        <v>55</v>
      </c>
      <c r="F417" t="s">
        <v>15</v>
      </c>
      <c r="G417" t="s">
        <v>14</v>
      </c>
      <c r="H417">
        <v>0</v>
      </c>
      <c r="I417">
        <v>0</v>
      </c>
    </row>
    <row r="418" spans="1:9" x14ac:dyDescent="0.3">
      <c r="A418">
        <v>2</v>
      </c>
      <c r="B418">
        <v>0</v>
      </c>
      <c r="C418" t="s">
        <v>3</v>
      </c>
      <c r="D418" t="s">
        <v>2</v>
      </c>
      <c r="E418">
        <v>25</v>
      </c>
      <c r="F418" t="s">
        <v>15</v>
      </c>
      <c r="G418" t="s">
        <v>14</v>
      </c>
      <c r="H418">
        <v>19</v>
      </c>
      <c r="I418">
        <v>0</v>
      </c>
    </row>
    <row r="419" spans="1:9" x14ac:dyDescent="0.3">
      <c r="A419">
        <v>2</v>
      </c>
      <c r="B419">
        <v>0</v>
      </c>
      <c r="C419" t="s">
        <v>3</v>
      </c>
      <c r="D419" t="s">
        <v>2</v>
      </c>
      <c r="E419">
        <v>40</v>
      </c>
      <c r="F419" t="s">
        <v>15</v>
      </c>
      <c r="G419" t="s">
        <v>14</v>
      </c>
      <c r="H419">
        <v>12</v>
      </c>
      <c r="I419">
        <v>0</v>
      </c>
    </row>
    <row r="420" spans="1:9" x14ac:dyDescent="0.3">
      <c r="A420">
        <v>2</v>
      </c>
      <c r="B420">
        <v>0</v>
      </c>
      <c r="C420" t="s">
        <v>3</v>
      </c>
      <c r="D420" t="s">
        <v>2</v>
      </c>
      <c r="E420">
        <v>46</v>
      </c>
      <c r="F420" t="s">
        <v>15</v>
      </c>
      <c r="G420" t="s">
        <v>14</v>
      </c>
      <c r="H420">
        <v>13</v>
      </c>
      <c r="I420">
        <v>0</v>
      </c>
    </row>
    <row r="421" spans="1:9" x14ac:dyDescent="0.3">
      <c r="A421">
        <v>2</v>
      </c>
      <c r="B421">
        <v>0</v>
      </c>
      <c r="C421" t="s">
        <v>3</v>
      </c>
      <c r="D421" t="s">
        <v>2</v>
      </c>
      <c r="E421">
        <v>25</v>
      </c>
      <c r="F421" t="s">
        <v>15</v>
      </c>
      <c r="G421" t="s">
        <v>14</v>
      </c>
      <c r="H421">
        <v>5</v>
      </c>
      <c r="I421">
        <v>0</v>
      </c>
    </row>
    <row r="422" spans="1:9" x14ac:dyDescent="0.3">
      <c r="A422">
        <v>2</v>
      </c>
      <c r="B422">
        <v>0</v>
      </c>
      <c r="C422" t="s">
        <v>3</v>
      </c>
      <c r="D422" t="s">
        <v>2</v>
      </c>
      <c r="E422">
        <v>34</v>
      </c>
      <c r="F422" t="s">
        <v>15</v>
      </c>
      <c r="G422" t="s">
        <v>14</v>
      </c>
      <c r="H422">
        <v>13</v>
      </c>
      <c r="I422">
        <v>0</v>
      </c>
    </row>
    <row r="423" spans="1:9" x14ac:dyDescent="0.3">
      <c r="A423">
        <v>2</v>
      </c>
      <c r="B423">
        <v>0</v>
      </c>
      <c r="C423" t="s">
        <v>3</v>
      </c>
      <c r="D423" t="s">
        <v>2</v>
      </c>
      <c r="E423">
        <v>27</v>
      </c>
      <c r="F423" t="s">
        <v>15</v>
      </c>
      <c r="G423" t="s">
        <v>14</v>
      </c>
      <c r="H423">
        <v>6</v>
      </c>
      <c r="I423">
        <v>0</v>
      </c>
    </row>
    <row r="424" spans="1:9" x14ac:dyDescent="0.3">
      <c r="A424">
        <v>2</v>
      </c>
      <c r="B424">
        <v>0</v>
      </c>
      <c r="C424" t="s">
        <v>3</v>
      </c>
      <c r="D424" t="s">
        <v>2</v>
      </c>
      <c r="E424">
        <v>46</v>
      </c>
      <c r="F424" t="s">
        <v>15</v>
      </c>
      <c r="G424" t="s">
        <v>14</v>
      </c>
      <c r="H424">
        <v>0</v>
      </c>
      <c r="I424">
        <v>0</v>
      </c>
    </row>
    <row r="425" spans="1:9" x14ac:dyDescent="0.3">
      <c r="A425">
        <v>2</v>
      </c>
      <c r="B425">
        <v>0</v>
      </c>
      <c r="C425" t="s">
        <v>3</v>
      </c>
      <c r="D425" t="s">
        <v>2</v>
      </c>
      <c r="E425">
        <v>32</v>
      </c>
      <c r="F425" t="s">
        <v>15</v>
      </c>
      <c r="G425" t="s">
        <v>14</v>
      </c>
      <c r="H425">
        <v>1</v>
      </c>
      <c r="I425">
        <v>0</v>
      </c>
    </row>
    <row r="426" spans="1:9" x14ac:dyDescent="0.3">
      <c r="A426">
        <v>2</v>
      </c>
      <c r="B426">
        <v>0</v>
      </c>
      <c r="C426" t="s">
        <v>3</v>
      </c>
      <c r="D426" t="s">
        <v>2</v>
      </c>
      <c r="E426">
        <v>21</v>
      </c>
      <c r="F426" t="s">
        <v>15</v>
      </c>
      <c r="G426" t="s">
        <v>14</v>
      </c>
      <c r="H426">
        <v>2</v>
      </c>
      <c r="I426">
        <v>0</v>
      </c>
    </row>
    <row r="427" spans="1:9" x14ac:dyDescent="0.3">
      <c r="A427">
        <v>2</v>
      </c>
      <c r="B427">
        <v>0</v>
      </c>
      <c r="C427" t="s">
        <v>3</v>
      </c>
      <c r="D427" t="s">
        <v>2</v>
      </c>
      <c r="E427">
        <v>53</v>
      </c>
      <c r="F427" t="s">
        <v>15</v>
      </c>
      <c r="G427" t="s">
        <v>14</v>
      </c>
      <c r="H427">
        <v>0</v>
      </c>
      <c r="I427">
        <v>0</v>
      </c>
    </row>
    <row r="428" spans="1:9" x14ac:dyDescent="0.3">
      <c r="A428">
        <v>2</v>
      </c>
      <c r="B428">
        <v>0</v>
      </c>
      <c r="C428" t="s">
        <v>3</v>
      </c>
      <c r="D428" t="s">
        <v>2</v>
      </c>
      <c r="E428">
        <v>29</v>
      </c>
      <c r="F428" t="s">
        <v>15</v>
      </c>
      <c r="G428" t="s">
        <v>14</v>
      </c>
      <c r="H428">
        <v>14</v>
      </c>
      <c r="I428">
        <v>0</v>
      </c>
    </row>
    <row r="429" spans="1:9" x14ac:dyDescent="0.3">
      <c r="A429">
        <v>2</v>
      </c>
      <c r="B429">
        <v>0</v>
      </c>
      <c r="C429" t="s">
        <v>3</v>
      </c>
      <c r="D429" t="s">
        <v>2</v>
      </c>
      <c r="E429">
        <v>18</v>
      </c>
      <c r="F429" t="s">
        <v>15</v>
      </c>
      <c r="G429" t="s">
        <v>14</v>
      </c>
      <c r="H429">
        <v>7</v>
      </c>
      <c r="I429">
        <v>0</v>
      </c>
    </row>
    <row r="430" spans="1:9" x14ac:dyDescent="0.3">
      <c r="A430">
        <v>2</v>
      </c>
      <c r="B430">
        <v>0</v>
      </c>
      <c r="C430" t="s">
        <v>3</v>
      </c>
      <c r="D430" t="s">
        <v>2</v>
      </c>
      <c r="E430">
        <v>52</v>
      </c>
      <c r="F430" t="s">
        <v>15</v>
      </c>
      <c r="G430" t="s">
        <v>14</v>
      </c>
      <c r="H430">
        <v>9</v>
      </c>
      <c r="I430">
        <v>0</v>
      </c>
    </row>
    <row r="431" spans="1:9" x14ac:dyDescent="0.3">
      <c r="A431">
        <v>2</v>
      </c>
      <c r="B431">
        <v>0</v>
      </c>
      <c r="C431" t="s">
        <v>3</v>
      </c>
      <c r="D431" t="s">
        <v>2</v>
      </c>
      <c r="E431">
        <v>74</v>
      </c>
      <c r="F431" t="s">
        <v>15</v>
      </c>
      <c r="G431" t="s">
        <v>14</v>
      </c>
      <c r="H431">
        <v>9</v>
      </c>
      <c r="I431">
        <v>0</v>
      </c>
    </row>
    <row r="432" spans="1:9" x14ac:dyDescent="0.3">
      <c r="A432">
        <v>2</v>
      </c>
      <c r="B432">
        <v>0</v>
      </c>
      <c r="C432" t="s">
        <v>3</v>
      </c>
      <c r="D432" t="s">
        <v>2</v>
      </c>
      <c r="E432">
        <v>55</v>
      </c>
      <c r="F432" t="s">
        <v>15</v>
      </c>
      <c r="G432" t="s">
        <v>14</v>
      </c>
      <c r="H432">
        <v>2</v>
      </c>
      <c r="I432">
        <v>0</v>
      </c>
    </row>
    <row r="433" spans="1:9" x14ac:dyDescent="0.3">
      <c r="A433">
        <v>2</v>
      </c>
      <c r="B433">
        <v>0</v>
      </c>
      <c r="C433" t="s">
        <v>3</v>
      </c>
      <c r="D433" t="s">
        <v>2</v>
      </c>
      <c r="E433">
        <v>41</v>
      </c>
      <c r="F433" t="s">
        <v>15</v>
      </c>
      <c r="G433" t="s">
        <v>14</v>
      </c>
      <c r="H433">
        <v>2</v>
      </c>
      <c r="I433">
        <v>0</v>
      </c>
    </row>
    <row r="434" spans="1:9" x14ac:dyDescent="0.3">
      <c r="A434">
        <v>2</v>
      </c>
      <c r="B434">
        <v>0</v>
      </c>
      <c r="C434" t="s">
        <v>3</v>
      </c>
      <c r="D434" t="s">
        <v>2</v>
      </c>
      <c r="E434">
        <v>43</v>
      </c>
      <c r="F434" t="s">
        <v>15</v>
      </c>
      <c r="G434" t="s">
        <v>14</v>
      </c>
      <c r="H434">
        <v>5</v>
      </c>
      <c r="I434">
        <v>0</v>
      </c>
    </row>
    <row r="435" spans="1:9" x14ac:dyDescent="0.3">
      <c r="A435">
        <v>2</v>
      </c>
      <c r="B435">
        <v>0</v>
      </c>
      <c r="C435" t="s">
        <v>3</v>
      </c>
      <c r="D435" t="s">
        <v>2</v>
      </c>
      <c r="E435">
        <v>40</v>
      </c>
      <c r="F435" t="s">
        <v>15</v>
      </c>
      <c r="G435" t="s">
        <v>14</v>
      </c>
      <c r="H435">
        <v>6</v>
      </c>
      <c r="I435">
        <v>0</v>
      </c>
    </row>
    <row r="436" spans="1:9" x14ac:dyDescent="0.3">
      <c r="A436">
        <v>2</v>
      </c>
      <c r="B436">
        <v>0</v>
      </c>
      <c r="C436" t="s">
        <v>3</v>
      </c>
      <c r="D436" t="s">
        <v>2</v>
      </c>
      <c r="E436">
        <v>47</v>
      </c>
      <c r="F436" t="s">
        <v>15</v>
      </c>
      <c r="G436" t="s">
        <v>14</v>
      </c>
      <c r="H436">
        <v>0</v>
      </c>
      <c r="I436">
        <v>0</v>
      </c>
    </row>
    <row r="437" spans="1:9" x14ac:dyDescent="0.3">
      <c r="A437">
        <v>2</v>
      </c>
      <c r="B437">
        <v>0</v>
      </c>
      <c r="C437" t="s">
        <v>3</v>
      </c>
      <c r="D437" t="s">
        <v>2</v>
      </c>
      <c r="E437">
        <v>58</v>
      </c>
      <c r="F437" t="s">
        <v>15</v>
      </c>
      <c r="G437" t="s">
        <v>14</v>
      </c>
      <c r="H437">
        <v>10</v>
      </c>
      <c r="I437">
        <v>0</v>
      </c>
    </row>
    <row r="438" spans="1:9" x14ac:dyDescent="0.3">
      <c r="A438">
        <v>2</v>
      </c>
      <c r="B438">
        <v>0</v>
      </c>
      <c r="C438" t="s">
        <v>3</v>
      </c>
      <c r="D438" t="s">
        <v>2</v>
      </c>
      <c r="E438">
        <v>60</v>
      </c>
      <c r="F438" t="s">
        <v>15</v>
      </c>
      <c r="G438" t="s">
        <v>14</v>
      </c>
      <c r="H438">
        <v>7</v>
      </c>
      <c r="I438">
        <v>0</v>
      </c>
    </row>
    <row r="439" spans="1:9" x14ac:dyDescent="0.3">
      <c r="A439">
        <v>2</v>
      </c>
      <c r="B439">
        <v>0</v>
      </c>
      <c r="C439" t="s">
        <v>3</v>
      </c>
      <c r="D439" t="s">
        <v>2</v>
      </c>
      <c r="E439">
        <v>33</v>
      </c>
      <c r="F439" t="s">
        <v>15</v>
      </c>
      <c r="G439" t="s">
        <v>14</v>
      </c>
      <c r="H439">
        <v>0</v>
      </c>
      <c r="I439">
        <v>0</v>
      </c>
    </row>
    <row r="440" spans="1:9" x14ac:dyDescent="0.3">
      <c r="A440">
        <v>2</v>
      </c>
      <c r="B440">
        <v>0</v>
      </c>
      <c r="C440" t="s">
        <v>3</v>
      </c>
      <c r="D440" t="s">
        <v>2</v>
      </c>
      <c r="E440">
        <v>30</v>
      </c>
      <c r="F440" t="s">
        <v>15</v>
      </c>
      <c r="G440" t="s">
        <v>14</v>
      </c>
      <c r="H440">
        <v>3</v>
      </c>
      <c r="I440">
        <v>0</v>
      </c>
    </row>
    <row r="441" spans="1:9" x14ac:dyDescent="0.3">
      <c r="A441">
        <v>2</v>
      </c>
      <c r="B441">
        <v>0</v>
      </c>
      <c r="C441" t="s">
        <v>3</v>
      </c>
      <c r="D441" t="s">
        <v>2</v>
      </c>
      <c r="E441">
        <v>23</v>
      </c>
      <c r="F441" t="s">
        <v>15</v>
      </c>
      <c r="G441" t="s">
        <v>14</v>
      </c>
      <c r="H441">
        <v>0</v>
      </c>
      <c r="I441">
        <v>0</v>
      </c>
    </row>
    <row r="442" spans="1:9" x14ac:dyDescent="0.3">
      <c r="A442">
        <v>2</v>
      </c>
      <c r="B442">
        <v>0</v>
      </c>
      <c r="C442" t="s">
        <v>3</v>
      </c>
      <c r="D442" t="s">
        <v>2</v>
      </c>
      <c r="E442">
        <v>31</v>
      </c>
      <c r="F442" t="s">
        <v>15</v>
      </c>
      <c r="G442" t="s">
        <v>14</v>
      </c>
      <c r="H442">
        <v>0</v>
      </c>
      <c r="I442">
        <v>0</v>
      </c>
    </row>
    <row r="443" spans="1:9" x14ac:dyDescent="0.3">
      <c r="A443">
        <v>2</v>
      </c>
      <c r="B443">
        <v>0</v>
      </c>
      <c r="C443" t="s">
        <v>3</v>
      </c>
      <c r="D443" t="s">
        <v>2</v>
      </c>
      <c r="E443">
        <v>58</v>
      </c>
      <c r="F443" t="s">
        <v>15</v>
      </c>
      <c r="G443" t="s">
        <v>14</v>
      </c>
      <c r="H443">
        <v>5</v>
      </c>
      <c r="I443">
        <v>0</v>
      </c>
    </row>
    <row r="444" spans="1:9" x14ac:dyDescent="0.3">
      <c r="A444">
        <v>2</v>
      </c>
      <c r="B444">
        <v>0</v>
      </c>
      <c r="C444" t="s">
        <v>3</v>
      </c>
      <c r="D444" t="s">
        <v>2</v>
      </c>
      <c r="E444">
        <v>40</v>
      </c>
      <c r="F444" t="s">
        <v>15</v>
      </c>
      <c r="G444" t="s">
        <v>14</v>
      </c>
      <c r="H444">
        <v>5</v>
      </c>
      <c r="I444">
        <v>0</v>
      </c>
    </row>
    <row r="445" spans="1:9" x14ac:dyDescent="0.3">
      <c r="A445">
        <v>2</v>
      </c>
      <c r="B445">
        <v>0</v>
      </c>
      <c r="C445" t="s">
        <v>3</v>
      </c>
      <c r="D445" t="s">
        <v>2</v>
      </c>
      <c r="E445">
        <v>48</v>
      </c>
      <c r="F445" t="s">
        <v>15</v>
      </c>
      <c r="G445" t="s">
        <v>14</v>
      </c>
      <c r="H445">
        <v>0</v>
      </c>
      <c r="I445">
        <v>0</v>
      </c>
    </row>
    <row r="446" spans="1:9" x14ac:dyDescent="0.3">
      <c r="A446">
        <v>2</v>
      </c>
      <c r="B446">
        <v>0</v>
      </c>
      <c r="C446" t="s">
        <v>3</v>
      </c>
      <c r="D446" t="s">
        <v>2</v>
      </c>
      <c r="E446">
        <v>55</v>
      </c>
      <c r="F446" t="s">
        <v>15</v>
      </c>
      <c r="G446" t="s">
        <v>14</v>
      </c>
      <c r="H446">
        <v>2</v>
      </c>
      <c r="I446">
        <v>0</v>
      </c>
    </row>
    <row r="447" spans="1:9" x14ac:dyDescent="0.3">
      <c r="A447">
        <v>2</v>
      </c>
      <c r="B447">
        <v>0</v>
      </c>
      <c r="C447" t="s">
        <v>3</v>
      </c>
      <c r="D447" t="s">
        <v>2</v>
      </c>
      <c r="E447">
        <v>53</v>
      </c>
      <c r="F447" t="s">
        <v>15</v>
      </c>
      <c r="G447" t="s">
        <v>14</v>
      </c>
      <c r="H447">
        <v>8</v>
      </c>
      <c r="I447">
        <v>0</v>
      </c>
    </row>
    <row r="448" spans="1:9" x14ac:dyDescent="0.3">
      <c r="A448">
        <v>2</v>
      </c>
      <c r="B448">
        <v>0</v>
      </c>
      <c r="C448" t="s">
        <v>3</v>
      </c>
      <c r="D448" t="s">
        <v>2</v>
      </c>
      <c r="E448">
        <v>47</v>
      </c>
      <c r="F448" t="s">
        <v>15</v>
      </c>
      <c r="G448" t="s">
        <v>14</v>
      </c>
      <c r="H448">
        <v>0</v>
      </c>
      <c r="I448">
        <v>0</v>
      </c>
    </row>
    <row r="449" spans="1:9" x14ac:dyDescent="0.3">
      <c r="A449">
        <v>2</v>
      </c>
      <c r="B449">
        <v>0</v>
      </c>
      <c r="C449" t="s">
        <v>3</v>
      </c>
      <c r="D449" t="s">
        <v>2</v>
      </c>
      <c r="E449">
        <v>27</v>
      </c>
      <c r="F449" t="s">
        <v>15</v>
      </c>
      <c r="G449" t="s">
        <v>14</v>
      </c>
      <c r="H449">
        <v>2</v>
      </c>
      <c r="I449">
        <v>0</v>
      </c>
    </row>
    <row r="450" spans="1:9" x14ac:dyDescent="0.3">
      <c r="A450">
        <v>2</v>
      </c>
      <c r="B450">
        <v>0</v>
      </c>
      <c r="C450" t="s">
        <v>3</v>
      </c>
      <c r="D450" t="s">
        <v>2</v>
      </c>
      <c r="E450">
        <v>57</v>
      </c>
      <c r="F450" t="s">
        <v>15</v>
      </c>
      <c r="G450" t="s">
        <v>14</v>
      </c>
      <c r="H450">
        <v>4</v>
      </c>
      <c r="I450">
        <v>0</v>
      </c>
    </row>
    <row r="451" spans="1:9" x14ac:dyDescent="0.3">
      <c r="A451">
        <v>2</v>
      </c>
      <c r="B451">
        <v>0</v>
      </c>
      <c r="C451" t="s">
        <v>3</v>
      </c>
      <c r="D451" t="s">
        <v>2</v>
      </c>
      <c r="E451">
        <v>34</v>
      </c>
      <c r="F451" t="s">
        <v>15</v>
      </c>
      <c r="G451" t="s">
        <v>14</v>
      </c>
      <c r="H451">
        <v>1</v>
      </c>
      <c r="I451">
        <v>0</v>
      </c>
    </row>
    <row r="452" spans="1:9" x14ac:dyDescent="0.3">
      <c r="A452">
        <v>2</v>
      </c>
      <c r="B452">
        <v>0</v>
      </c>
      <c r="C452" t="s">
        <v>3</v>
      </c>
      <c r="D452" t="s">
        <v>2</v>
      </c>
      <c r="E452">
        <v>64</v>
      </c>
      <c r="F452" t="s">
        <v>15</v>
      </c>
      <c r="G452" t="s">
        <v>14</v>
      </c>
      <c r="H452">
        <v>25</v>
      </c>
      <c r="I452">
        <v>0</v>
      </c>
    </row>
    <row r="453" spans="1:9" x14ac:dyDescent="0.3">
      <c r="A453">
        <v>2</v>
      </c>
      <c r="B453">
        <v>0</v>
      </c>
      <c r="C453" t="s">
        <v>3</v>
      </c>
      <c r="D453" t="s">
        <v>2</v>
      </c>
      <c r="E453">
        <v>28</v>
      </c>
      <c r="F453" t="s">
        <v>15</v>
      </c>
      <c r="G453" t="s">
        <v>14</v>
      </c>
      <c r="H453">
        <v>0</v>
      </c>
      <c r="I453">
        <v>0</v>
      </c>
    </row>
    <row r="454" spans="1:9" x14ac:dyDescent="0.3">
      <c r="A454">
        <v>2</v>
      </c>
      <c r="B454">
        <v>0</v>
      </c>
      <c r="C454" t="s">
        <v>3</v>
      </c>
      <c r="D454" t="s">
        <v>2</v>
      </c>
      <c r="E454">
        <v>52</v>
      </c>
      <c r="F454" t="s">
        <v>15</v>
      </c>
      <c r="G454" t="s">
        <v>14</v>
      </c>
      <c r="H454">
        <v>2</v>
      </c>
      <c r="I454">
        <v>0</v>
      </c>
    </row>
    <row r="455" spans="1:9" x14ac:dyDescent="0.3">
      <c r="A455">
        <v>2</v>
      </c>
      <c r="B455">
        <v>0</v>
      </c>
      <c r="C455" t="s">
        <v>3</v>
      </c>
      <c r="D455" t="s">
        <v>2</v>
      </c>
      <c r="E455">
        <v>14</v>
      </c>
      <c r="F455" t="s">
        <v>15</v>
      </c>
      <c r="G455" t="s">
        <v>14</v>
      </c>
      <c r="H455">
        <v>2</v>
      </c>
      <c r="I455">
        <v>0</v>
      </c>
    </row>
    <row r="456" spans="1:9" x14ac:dyDescent="0.3">
      <c r="A456">
        <v>2</v>
      </c>
      <c r="B456">
        <v>0</v>
      </c>
      <c r="C456" t="s">
        <v>3</v>
      </c>
      <c r="D456" t="s">
        <v>2</v>
      </c>
      <c r="E456">
        <v>31</v>
      </c>
      <c r="F456" t="s">
        <v>15</v>
      </c>
      <c r="G456" t="s">
        <v>14</v>
      </c>
      <c r="H456">
        <v>12</v>
      </c>
      <c r="I456">
        <v>0</v>
      </c>
    </row>
    <row r="457" spans="1:9" x14ac:dyDescent="0.3">
      <c r="A457">
        <v>2</v>
      </c>
      <c r="B457">
        <v>0</v>
      </c>
      <c r="C457" t="s">
        <v>3</v>
      </c>
      <c r="D457" t="s">
        <v>2</v>
      </c>
      <c r="E457">
        <v>38</v>
      </c>
      <c r="F457" t="s">
        <v>15</v>
      </c>
      <c r="G457" t="s">
        <v>14</v>
      </c>
      <c r="H457">
        <v>4</v>
      </c>
      <c r="I457">
        <v>0</v>
      </c>
    </row>
    <row r="458" spans="1:9" x14ac:dyDescent="0.3">
      <c r="A458">
        <v>2</v>
      </c>
      <c r="B458">
        <v>0</v>
      </c>
      <c r="C458" t="s">
        <v>3</v>
      </c>
      <c r="D458" t="s">
        <v>2</v>
      </c>
      <c r="E458">
        <v>54</v>
      </c>
      <c r="F458" t="s">
        <v>15</v>
      </c>
      <c r="G458" t="s">
        <v>14</v>
      </c>
      <c r="H458">
        <v>8</v>
      </c>
      <c r="I458">
        <v>0</v>
      </c>
    </row>
    <row r="459" spans="1:9" x14ac:dyDescent="0.3">
      <c r="A459">
        <v>2</v>
      </c>
      <c r="B459">
        <v>0</v>
      </c>
      <c r="C459" t="s">
        <v>3</v>
      </c>
      <c r="D459" t="s">
        <v>2</v>
      </c>
      <c r="E459">
        <v>43</v>
      </c>
      <c r="F459" t="s">
        <v>15</v>
      </c>
      <c r="G459" t="s">
        <v>14</v>
      </c>
      <c r="H459">
        <v>9</v>
      </c>
      <c r="I459">
        <v>0</v>
      </c>
    </row>
    <row r="460" spans="1:9" x14ac:dyDescent="0.3">
      <c r="A460">
        <v>2</v>
      </c>
      <c r="B460">
        <v>0</v>
      </c>
      <c r="C460" t="s">
        <v>3</v>
      </c>
      <c r="D460" t="s">
        <v>2</v>
      </c>
      <c r="E460">
        <v>50</v>
      </c>
      <c r="F460" t="s">
        <v>15</v>
      </c>
      <c r="G460" t="s">
        <v>14</v>
      </c>
      <c r="H460">
        <v>0</v>
      </c>
      <c r="I460">
        <v>0</v>
      </c>
    </row>
    <row r="461" spans="1:9" x14ac:dyDescent="0.3">
      <c r="A461">
        <v>2</v>
      </c>
      <c r="B461">
        <v>0</v>
      </c>
      <c r="C461" t="s">
        <v>3</v>
      </c>
      <c r="D461" t="s">
        <v>2</v>
      </c>
      <c r="E461">
        <v>61</v>
      </c>
      <c r="F461" t="s">
        <v>15</v>
      </c>
      <c r="G461" t="s">
        <v>14</v>
      </c>
      <c r="H461">
        <v>18</v>
      </c>
      <c r="I461">
        <v>0</v>
      </c>
    </row>
    <row r="462" spans="1:9" x14ac:dyDescent="0.3">
      <c r="A462">
        <v>2</v>
      </c>
      <c r="B462">
        <v>0</v>
      </c>
      <c r="C462" t="s">
        <v>3</v>
      </c>
      <c r="D462" t="s">
        <v>2</v>
      </c>
      <c r="E462">
        <v>48</v>
      </c>
      <c r="F462" t="s">
        <v>15</v>
      </c>
      <c r="G462" t="s">
        <v>14</v>
      </c>
      <c r="H462">
        <v>25</v>
      </c>
      <c r="I462">
        <v>0</v>
      </c>
    </row>
    <row r="463" spans="1:9" x14ac:dyDescent="0.3">
      <c r="A463">
        <v>2</v>
      </c>
      <c r="B463">
        <v>0</v>
      </c>
      <c r="C463" t="s">
        <v>3</v>
      </c>
      <c r="D463" t="s">
        <v>2</v>
      </c>
      <c r="E463">
        <v>63</v>
      </c>
      <c r="F463" t="s">
        <v>15</v>
      </c>
      <c r="G463" t="s">
        <v>14</v>
      </c>
      <c r="H463">
        <v>4</v>
      </c>
      <c r="I463">
        <v>0</v>
      </c>
    </row>
    <row r="464" spans="1:9" x14ac:dyDescent="0.3">
      <c r="A464">
        <v>2</v>
      </c>
      <c r="B464">
        <v>0</v>
      </c>
      <c r="C464" t="s">
        <v>3</v>
      </c>
      <c r="D464" t="s">
        <v>2</v>
      </c>
      <c r="E464">
        <v>47</v>
      </c>
      <c r="F464" t="s">
        <v>15</v>
      </c>
      <c r="G464" t="s">
        <v>14</v>
      </c>
      <c r="H464">
        <v>30</v>
      </c>
      <c r="I464">
        <v>0</v>
      </c>
    </row>
    <row r="465" spans="1:9" x14ac:dyDescent="0.3">
      <c r="A465">
        <v>2</v>
      </c>
      <c r="B465">
        <v>0</v>
      </c>
      <c r="C465" t="s">
        <v>3</v>
      </c>
      <c r="D465" t="s">
        <v>2</v>
      </c>
      <c r="E465">
        <v>31</v>
      </c>
      <c r="F465" t="s">
        <v>15</v>
      </c>
      <c r="G465" t="s">
        <v>14</v>
      </c>
      <c r="H465">
        <v>0</v>
      </c>
      <c r="I465">
        <v>0</v>
      </c>
    </row>
    <row r="466" spans="1:9" x14ac:dyDescent="0.3">
      <c r="A466">
        <v>2</v>
      </c>
      <c r="B466">
        <v>0</v>
      </c>
      <c r="C466" t="s">
        <v>3</v>
      </c>
      <c r="D466" t="s">
        <v>2</v>
      </c>
      <c r="E466">
        <v>25</v>
      </c>
      <c r="F466" t="s">
        <v>15</v>
      </c>
      <c r="G466" t="s">
        <v>14</v>
      </c>
      <c r="H466">
        <v>9</v>
      </c>
      <c r="I466">
        <v>0</v>
      </c>
    </row>
    <row r="467" spans="1:9" x14ac:dyDescent="0.3">
      <c r="A467">
        <v>2</v>
      </c>
      <c r="B467">
        <v>0</v>
      </c>
      <c r="C467" t="s">
        <v>3</v>
      </c>
      <c r="D467" t="s">
        <v>2</v>
      </c>
      <c r="E467">
        <v>38</v>
      </c>
      <c r="F467" t="s">
        <v>15</v>
      </c>
      <c r="G467" t="s">
        <v>14</v>
      </c>
      <c r="H467">
        <v>0</v>
      </c>
      <c r="I467">
        <v>0</v>
      </c>
    </row>
    <row r="468" spans="1:9" x14ac:dyDescent="0.3">
      <c r="A468">
        <v>2</v>
      </c>
      <c r="B468">
        <v>0</v>
      </c>
      <c r="C468" t="s">
        <v>3</v>
      </c>
      <c r="D468" t="s">
        <v>2</v>
      </c>
      <c r="E468">
        <v>71</v>
      </c>
      <c r="F468" t="s">
        <v>15</v>
      </c>
      <c r="G468" t="s">
        <v>14</v>
      </c>
      <c r="H468">
        <v>14</v>
      </c>
      <c r="I468">
        <v>0</v>
      </c>
    </row>
    <row r="469" spans="1:9" x14ac:dyDescent="0.3">
      <c r="A469">
        <v>2</v>
      </c>
      <c r="B469">
        <v>0</v>
      </c>
      <c r="C469" t="s">
        <v>3</v>
      </c>
      <c r="D469" t="s">
        <v>2</v>
      </c>
      <c r="E469">
        <v>46</v>
      </c>
      <c r="F469" t="s">
        <v>15</v>
      </c>
      <c r="G469" t="s">
        <v>14</v>
      </c>
      <c r="H469">
        <v>17</v>
      </c>
      <c r="I469">
        <v>0</v>
      </c>
    </row>
    <row r="470" spans="1:9" x14ac:dyDescent="0.3">
      <c r="A470">
        <v>2</v>
      </c>
      <c r="B470">
        <v>0</v>
      </c>
      <c r="C470" t="s">
        <v>3</v>
      </c>
      <c r="D470" t="s">
        <v>2</v>
      </c>
      <c r="E470">
        <v>35</v>
      </c>
      <c r="F470" t="s">
        <v>15</v>
      </c>
      <c r="G470" t="s">
        <v>14</v>
      </c>
      <c r="H470">
        <v>2</v>
      </c>
      <c r="I470">
        <v>0</v>
      </c>
    </row>
    <row r="471" spans="1:9" x14ac:dyDescent="0.3">
      <c r="A471">
        <v>2</v>
      </c>
      <c r="B471">
        <v>0</v>
      </c>
      <c r="C471" t="s">
        <v>3</v>
      </c>
      <c r="D471" t="s">
        <v>2</v>
      </c>
      <c r="E471">
        <v>36</v>
      </c>
      <c r="F471" t="s">
        <v>15</v>
      </c>
      <c r="G471" t="s">
        <v>14</v>
      </c>
      <c r="H471">
        <v>0</v>
      </c>
      <c r="I471">
        <v>0</v>
      </c>
    </row>
    <row r="472" spans="1:9" x14ac:dyDescent="0.3">
      <c r="A472">
        <v>2</v>
      </c>
      <c r="B472">
        <v>0</v>
      </c>
      <c r="C472" t="s">
        <v>3</v>
      </c>
      <c r="D472" t="s">
        <v>2</v>
      </c>
      <c r="E472">
        <v>32</v>
      </c>
      <c r="F472" t="s">
        <v>15</v>
      </c>
      <c r="G472" t="s">
        <v>14</v>
      </c>
      <c r="H472">
        <v>0</v>
      </c>
      <c r="I472">
        <v>0</v>
      </c>
    </row>
    <row r="473" spans="1:9" x14ac:dyDescent="0.3">
      <c r="A473">
        <v>2</v>
      </c>
      <c r="B473">
        <v>0</v>
      </c>
      <c r="C473" t="s">
        <v>3</v>
      </c>
      <c r="D473" t="s">
        <v>2</v>
      </c>
      <c r="E473">
        <v>89</v>
      </c>
      <c r="F473" t="s">
        <v>15</v>
      </c>
      <c r="G473" t="s">
        <v>14</v>
      </c>
      <c r="H473">
        <v>3</v>
      </c>
      <c r="I473">
        <v>0</v>
      </c>
    </row>
    <row r="474" spans="1:9" x14ac:dyDescent="0.3">
      <c r="A474">
        <v>2</v>
      </c>
      <c r="B474">
        <v>0</v>
      </c>
      <c r="C474" t="s">
        <v>3</v>
      </c>
      <c r="D474" t="s">
        <v>2</v>
      </c>
      <c r="E474">
        <v>29</v>
      </c>
      <c r="F474" t="s">
        <v>15</v>
      </c>
      <c r="G474" t="s">
        <v>14</v>
      </c>
      <c r="H474">
        <v>13</v>
      </c>
      <c r="I474">
        <v>0</v>
      </c>
    </row>
    <row r="475" spans="1:9" x14ac:dyDescent="0.3">
      <c r="A475">
        <v>2</v>
      </c>
      <c r="B475">
        <v>0</v>
      </c>
      <c r="C475" t="s">
        <v>3</v>
      </c>
      <c r="D475" t="s">
        <v>2</v>
      </c>
      <c r="E475">
        <v>20</v>
      </c>
      <c r="F475" t="s">
        <v>15</v>
      </c>
      <c r="G475" t="s">
        <v>14</v>
      </c>
      <c r="H475">
        <v>0</v>
      </c>
      <c r="I475">
        <v>0</v>
      </c>
    </row>
    <row r="476" spans="1:9" x14ac:dyDescent="0.3">
      <c r="A476">
        <v>2</v>
      </c>
      <c r="B476">
        <v>0</v>
      </c>
      <c r="C476" t="s">
        <v>3</v>
      </c>
      <c r="D476" t="s">
        <v>2</v>
      </c>
      <c r="E476">
        <v>29</v>
      </c>
      <c r="F476" t="s">
        <v>15</v>
      </c>
      <c r="G476" t="s">
        <v>14</v>
      </c>
      <c r="H476">
        <v>6</v>
      </c>
      <c r="I476">
        <v>0</v>
      </c>
    </row>
    <row r="477" spans="1:9" x14ac:dyDescent="0.3">
      <c r="A477">
        <v>2</v>
      </c>
      <c r="B477">
        <v>0</v>
      </c>
      <c r="C477" t="s">
        <v>3</v>
      </c>
      <c r="D477" t="s">
        <v>2</v>
      </c>
      <c r="E477">
        <v>61</v>
      </c>
      <c r="F477" t="s">
        <v>15</v>
      </c>
      <c r="G477" t="s">
        <v>14</v>
      </c>
      <c r="H477">
        <v>13</v>
      </c>
      <c r="I477">
        <v>0</v>
      </c>
    </row>
    <row r="478" spans="1:9" x14ac:dyDescent="0.3">
      <c r="A478">
        <v>2</v>
      </c>
      <c r="B478">
        <v>0</v>
      </c>
      <c r="C478" t="s">
        <v>3</v>
      </c>
      <c r="D478" t="s">
        <v>2</v>
      </c>
      <c r="E478">
        <v>46</v>
      </c>
      <c r="F478" t="s">
        <v>15</v>
      </c>
      <c r="G478" t="s">
        <v>14</v>
      </c>
      <c r="H478">
        <v>6</v>
      </c>
      <c r="I478">
        <v>0</v>
      </c>
    </row>
    <row r="479" spans="1:9" x14ac:dyDescent="0.3">
      <c r="A479">
        <v>2</v>
      </c>
      <c r="B479">
        <v>0</v>
      </c>
      <c r="C479" t="s">
        <v>3</v>
      </c>
      <c r="D479" t="s">
        <v>2</v>
      </c>
      <c r="E479">
        <v>46</v>
      </c>
      <c r="F479" t="s">
        <v>15</v>
      </c>
      <c r="G479" t="s">
        <v>14</v>
      </c>
      <c r="H479">
        <v>18</v>
      </c>
      <c r="I479">
        <v>0</v>
      </c>
    </row>
    <row r="480" spans="1:9" x14ac:dyDescent="0.3">
      <c r="A480">
        <v>2</v>
      </c>
      <c r="B480">
        <v>0</v>
      </c>
      <c r="C480" t="s">
        <v>3</v>
      </c>
      <c r="D480" t="s">
        <v>2</v>
      </c>
      <c r="E480">
        <v>42</v>
      </c>
      <c r="F480" t="s">
        <v>15</v>
      </c>
      <c r="G480" t="s">
        <v>14</v>
      </c>
      <c r="H480">
        <v>0</v>
      </c>
      <c r="I480">
        <v>0</v>
      </c>
    </row>
    <row r="481" spans="1:9" x14ac:dyDescent="0.3">
      <c r="A481">
        <v>2</v>
      </c>
      <c r="B481">
        <v>0</v>
      </c>
      <c r="C481" t="s">
        <v>3</v>
      </c>
      <c r="D481" t="s">
        <v>2</v>
      </c>
      <c r="E481">
        <v>30</v>
      </c>
      <c r="F481" t="s">
        <v>15</v>
      </c>
      <c r="G481" t="s">
        <v>14</v>
      </c>
      <c r="H481">
        <v>0</v>
      </c>
      <c r="I481">
        <v>0</v>
      </c>
    </row>
    <row r="482" spans="1:9" x14ac:dyDescent="0.3">
      <c r="A482">
        <v>2</v>
      </c>
      <c r="B482">
        <v>0</v>
      </c>
      <c r="C482" t="s">
        <v>3</v>
      </c>
      <c r="D482" t="s">
        <v>2</v>
      </c>
      <c r="E482">
        <v>42</v>
      </c>
      <c r="F482" t="s">
        <v>15</v>
      </c>
      <c r="G482" t="s">
        <v>14</v>
      </c>
      <c r="H482">
        <v>0</v>
      </c>
      <c r="I482">
        <v>0</v>
      </c>
    </row>
    <row r="483" spans="1:9" x14ac:dyDescent="0.3">
      <c r="A483">
        <v>2</v>
      </c>
      <c r="B483">
        <v>0</v>
      </c>
      <c r="C483" t="s">
        <v>3</v>
      </c>
      <c r="D483" t="s">
        <v>2</v>
      </c>
      <c r="E483">
        <v>20</v>
      </c>
      <c r="F483" t="s">
        <v>15</v>
      </c>
      <c r="G483" t="s">
        <v>14</v>
      </c>
      <c r="H483">
        <v>0</v>
      </c>
      <c r="I483">
        <v>0</v>
      </c>
    </row>
    <row r="484" spans="1:9" x14ac:dyDescent="0.3">
      <c r="A484">
        <v>2</v>
      </c>
      <c r="B484">
        <v>0</v>
      </c>
      <c r="C484" t="s">
        <v>3</v>
      </c>
      <c r="D484" t="s">
        <v>2</v>
      </c>
      <c r="E484">
        <v>23</v>
      </c>
      <c r="F484" t="s">
        <v>15</v>
      </c>
      <c r="G484" t="s">
        <v>14</v>
      </c>
      <c r="H484">
        <v>14</v>
      </c>
      <c r="I484">
        <v>0</v>
      </c>
    </row>
    <row r="485" spans="1:9" x14ac:dyDescent="0.3">
      <c r="A485">
        <v>2</v>
      </c>
      <c r="B485">
        <v>0</v>
      </c>
      <c r="C485" t="s">
        <v>3</v>
      </c>
      <c r="D485" t="s">
        <v>2</v>
      </c>
      <c r="E485">
        <v>26</v>
      </c>
      <c r="F485" t="s">
        <v>15</v>
      </c>
      <c r="G485" t="s">
        <v>14</v>
      </c>
      <c r="H485">
        <v>0</v>
      </c>
      <c r="I485">
        <v>0</v>
      </c>
    </row>
    <row r="486" spans="1:9" x14ac:dyDescent="0.3">
      <c r="A486">
        <v>2</v>
      </c>
      <c r="B486">
        <v>0</v>
      </c>
      <c r="C486" t="s">
        <v>3</v>
      </c>
      <c r="D486" t="s">
        <v>2</v>
      </c>
      <c r="E486">
        <v>67</v>
      </c>
      <c r="F486" t="s">
        <v>15</v>
      </c>
      <c r="G486" t="s">
        <v>14</v>
      </c>
      <c r="H486">
        <v>1</v>
      </c>
      <c r="I486">
        <v>0</v>
      </c>
    </row>
    <row r="487" spans="1:9" x14ac:dyDescent="0.3">
      <c r="A487">
        <v>2</v>
      </c>
      <c r="B487">
        <v>0</v>
      </c>
      <c r="C487" t="s">
        <v>3</v>
      </c>
      <c r="D487" t="s">
        <v>2</v>
      </c>
      <c r="E487">
        <v>56</v>
      </c>
      <c r="F487" t="s">
        <v>15</v>
      </c>
      <c r="G487" t="s">
        <v>14</v>
      </c>
      <c r="H487">
        <v>25</v>
      </c>
      <c r="I487">
        <v>0</v>
      </c>
    </row>
    <row r="488" spans="1:9" x14ac:dyDescent="0.3">
      <c r="A488">
        <v>2</v>
      </c>
      <c r="B488">
        <v>0</v>
      </c>
      <c r="C488" t="s">
        <v>3</v>
      </c>
      <c r="D488" t="s">
        <v>2</v>
      </c>
      <c r="E488">
        <v>41</v>
      </c>
      <c r="F488" t="s">
        <v>15</v>
      </c>
      <c r="G488" t="s">
        <v>14</v>
      </c>
      <c r="H488">
        <v>9</v>
      </c>
      <c r="I488">
        <v>0</v>
      </c>
    </row>
    <row r="489" spans="1:9" x14ac:dyDescent="0.3">
      <c r="A489">
        <v>2</v>
      </c>
      <c r="B489">
        <v>0</v>
      </c>
      <c r="C489" t="s">
        <v>3</v>
      </c>
      <c r="D489" t="s">
        <v>2</v>
      </c>
      <c r="E489">
        <v>40</v>
      </c>
      <c r="F489" t="s">
        <v>15</v>
      </c>
      <c r="G489" t="s">
        <v>14</v>
      </c>
      <c r="H489">
        <v>0</v>
      </c>
      <c r="I489">
        <v>0</v>
      </c>
    </row>
    <row r="490" spans="1:9" x14ac:dyDescent="0.3">
      <c r="A490">
        <v>2</v>
      </c>
      <c r="B490">
        <v>0</v>
      </c>
      <c r="C490" t="s">
        <v>3</v>
      </c>
      <c r="D490" t="s">
        <v>2</v>
      </c>
      <c r="E490">
        <v>43</v>
      </c>
      <c r="F490" t="s">
        <v>15</v>
      </c>
      <c r="G490" t="s">
        <v>14</v>
      </c>
      <c r="H490">
        <v>0</v>
      </c>
      <c r="I490">
        <v>0</v>
      </c>
    </row>
    <row r="491" spans="1:9" x14ac:dyDescent="0.3">
      <c r="A491">
        <v>2</v>
      </c>
      <c r="B491">
        <v>0</v>
      </c>
      <c r="C491" t="s">
        <v>3</v>
      </c>
      <c r="D491" t="s">
        <v>2</v>
      </c>
      <c r="E491">
        <v>38</v>
      </c>
      <c r="F491" t="s">
        <v>15</v>
      </c>
      <c r="G491" t="s">
        <v>14</v>
      </c>
      <c r="H491">
        <v>6</v>
      </c>
      <c r="I491">
        <v>0</v>
      </c>
    </row>
    <row r="492" spans="1:9" x14ac:dyDescent="0.3">
      <c r="A492">
        <v>2</v>
      </c>
      <c r="B492">
        <v>0</v>
      </c>
      <c r="C492" t="s">
        <v>3</v>
      </c>
      <c r="D492" t="s">
        <v>2</v>
      </c>
      <c r="E492">
        <v>34</v>
      </c>
      <c r="F492" t="s">
        <v>15</v>
      </c>
      <c r="G492" t="s">
        <v>14</v>
      </c>
      <c r="H492">
        <v>2</v>
      </c>
      <c r="I492">
        <v>0</v>
      </c>
    </row>
    <row r="493" spans="1:9" x14ac:dyDescent="0.3">
      <c r="A493">
        <v>2</v>
      </c>
      <c r="B493">
        <v>0</v>
      </c>
      <c r="C493" t="s">
        <v>3</v>
      </c>
      <c r="D493" t="s">
        <v>2</v>
      </c>
      <c r="E493">
        <v>30</v>
      </c>
      <c r="F493" t="s">
        <v>15</v>
      </c>
      <c r="G493" t="s">
        <v>14</v>
      </c>
      <c r="H493">
        <v>2</v>
      </c>
      <c r="I493">
        <v>0</v>
      </c>
    </row>
    <row r="494" spans="1:9" x14ac:dyDescent="0.3">
      <c r="A494">
        <v>2</v>
      </c>
      <c r="B494">
        <v>0</v>
      </c>
      <c r="C494" t="s">
        <v>3</v>
      </c>
      <c r="D494" t="s">
        <v>2</v>
      </c>
      <c r="E494">
        <v>31</v>
      </c>
      <c r="F494" t="s">
        <v>15</v>
      </c>
      <c r="G494" t="s">
        <v>14</v>
      </c>
      <c r="H494">
        <v>2</v>
      </c>
      <c r="I494">
        <v>0</v>
      </c>
    </row>
    <row r="495" spans="1:9" x14ac:dyDescent="0.3">
      <c r="A495">
        <v>2</v>
      </c>
      <c r="B495">
        <v>0</v>
      </c>
      <c r="C495" t="s">
        <v>3</v>
      </c>
      <c r="D495" t="s">
        <v>2</v>
      </c>
      <c r="E495">
        <v>20</v>
      </c>
      <c r="F495" t="s">
        <v>15</v>
      </c>
      <c r="G495" t="s">
        <v>14</v>
      </c>
      <c r="H495">
        <v>17</v>
      </c>
      <c r="I495">
        <v>0</v>
      </c>
    </row>
    <row r="496" spans="1:9" x14ac:dyDescent="0.3">
      <c r="A496">
        <v>2</v>
      </c>
      <c r="B496">
        <v>0</v>
      </c>
      <c r="C496" t="s">
        <v>3</v>
      </c>
      <c r="D496" t="s">
        <v>2</v>
      </c>
      <c r="E496">
        <v>30</v>
      </c>
      <c r="F496" t="s">
        <v>15</v>
      </c>
      <c r="G496" t="s">
        <v>14</v>
      </c>
      <c r="H496">
        <v>0</v>
      </c>
      <c r="I496">
        <v>0</v>
      </c>
    </row>
    <row r="497" spans="1:9" x14ac:dyDescent="0.3">
      <c r="A497">
        <v>2</v>
      </c>
      <c r="B497">
        <v>0</v>
      </c>
      <c r="C497" t="s">
        <v>3</v>
      </c>
      <c r="D497" t="s">
        <v>2</v>
      </c>
      <c r="E497">
        <v>32</v>
      </c>
      <c r="F497" t="s">
        <v>15</v>
      </c>
      <c r="G497" t="s">
        <v>14</v>
      </c>
      <c r="H497">
        <v>2</v>
      </c>
      <c r="I497">
        <v>0</v>
      </c>
    </row>
    <row r="498" spans="1:9" x14ac:dyDescent="0.3">
      <c r="A498">
        <v>2</v>
      </c>
      <c r="B498">
        <v>0</v>
      </c>
      <c r="C498" t="s">
        <v>3</v>
      </c>
      <c r="D498" t="s">
        <v>2</v>
      </c>
      <c r="E498">
        <v>57</v>
      </c>
      <c r="F498" t="s">
        <v>15</v>
      </c>
      <c r="G498" t="s">
        <v>14</v>
      </c>
      <c r="H498">
        <v>2</v>
      </c>
      <c r="I498">
        <v>0</v>
      </c>
    </row>
    <row r="499" spans="1:9" x14ac:dyDescent="0.3">
      <c r="A499">
        <v>2</v>
      </c>
      <c r="B499">
        <v>0</v>
      </c>
      <c r="C499" t="s">
        <v>3</v>
      </c>
      <c r="D499" t="s">
        <v>2</v>
      </c>
      <c r="E499">
        <v>52</v>
      </c>
      <c r="F499" t="s">
        <v>15</v>
      </c>
      <c r="G499" t="s">
        <v>14</v>
      </c>
      <c r="H499">
        <v>2</v>
      </c>
      <c r="I499">
        <v>0</v>
      </c>
    </row>
    <row r="500" spans="1:9" x14ac:dyDescent="0.3">
      <c r="A500">
        <v>2</v>
      </c>
      <c r="B500">
        <v>0</v>
      </c>
      <c r="C500" t="s">
        <v>3</v>
      </c>
      <c r="D500" t="s">
        <v>2</v>
      </c>
      <c r="E500">
        <v>15</v>
      </c>
      <c r="F500" t="s">
        <v>15</v>
      </c>
      <c r="G500" t="s">
        <v>14</v>
      </c>
      <c r="H500">
        <v>2</v>
      </c>
      <c r="I500">
        <v>0</v>
      </c>
    </row>
    <row r="501" spans="1:9" x14ac:dyDescent="0.3">
      <c r="A501">
        <v>2</v>
      </c>
      <c r="B501">
        <v>1</v>
      </c>
      <c r="C501" t="s">
        <v>3</v>
      </c>
      <c r="D501" t="s">
        <v>2</v>
      </c>
      <c r="E501">
        <v>56</v>
      </c>
      <c r="F501" t="s">
        <v>15</v>
      </c>
      <c r="G501" t="s">
        <v>14</v>
      </c>
      <c r="H501">
        <v>0</v>
      </c>
      <c r="I501">
        <v>0</v>
      </c>
    </row>
    <row r="502" spans="1:9" x14ac:dyDescent="0.3">
      <c r="A502">
        <v>2</v>
      </c>
      <c r="B502">
        <v>1</v>
      </c>
      <c r="C502" t="s">
        <v>3</v>
      </c>
      <c r="D502" t="s">
        <v>2</v>
      </c>
      <c r="E502">
        <v>52</v>
      </c>
      <c r="F502" t="s">
        <v>15</v>
      </c>
      <c r="G502" t="s">
        <v>14</v>
      </c>
      <c r="H502">
        <v>3</v>
      </c>
      <c r="I502">
        <v>0</v>
      </c>
    </row>
    <row r="503" spans="1:9" x14ac:dyDescent="0.3">
      <c r="A503">
        <v>2</v>
      </c>
      <c r="B503">
        <v>1</v>
      </c>
      <c r="C503" t="s">
        <v>3</v>
      </c>
      <c r="D503" t="s">
        <v>2</v>
      </c>
      <c r="E503">
        <v>28</v>
      </c>
      <c r="F503" t="s">
        <v>15</v>
      </c>
      <c r="G503" t="s">
        <v>14</v>
      </c>
      <c r="H503">
        <v>7</v>
      </c>
      <c r="I503">
        <v>0</v>
      </c>
    </row>
    <row r="504" spans="1:9" x14ac:dyDescent="0.3">
      <c r="A504">
        <v>2</v>
      </c>
      <c r="B504">
        <v>1</v>
      </c>
      <c r="C504" t="s">
        <v>3</v>
      </c>
      <c r="D504" t="s">
        <v>2</v>
      </c>
      <c r="E504">
        <v>38</v>
      </c>
      <c r="F504" t="s">
        <v>15</v>
      </c>
      <c r="G504" t="s">
        <v>14</v>
      </c>
      <c r="H504">
        <v>8</v>
      </c>
      <c r="I504">
        <v>0</v>
      </c>
    </row>
    <row r="505" spans="1:9" x14ac:dyDescent="0.3">
      <c r="A505">
        <v>2</v>
      </c>
      <c r="B505">
        <v>1</v>
      </c>
      <c r="C505" t="s">
        <v>3</v>
      </c>
      <c r="D505" t="s">
        <v>2</v>
      </c>
      <c r="E505">
        <v>36</v>
      </c>
      <c r="F505" t="s">
        <v>15</v>
      </c>
      <c r="G505" t="s">
        <v>14</v>
      </c>
      <c r="H505">
        <v>7</v>
      </c>
      <c r="I505">
        <v>0</v>
      </c>
    </row>
    <row r="506" spans="1:9" x14ac:dyDescent="0.3">
      <c r="A506">
        <v>2</v>
      </c>
      <c r="B506">
        <v>1</v>
      </c>
      <c r="C506" t="s">
        <v>3</v>
      </c>
      <c r="D506" t="s">
        <v>2</v>
      </c>
      <c r="E506">
        <v>23</v>
      </c>
      <c r="F506" t="s">
        <v>15</v>
      </c>
      <c r="G506" t="s">
        <v>14</v>
      </c>
      <c r="H506">
        <v>2</v>
      </c>
      <c r="I506">
        <v>0</v>
      </c>
    </row>
    <row r="507" spans="1:9" x14ac:dyDescent="0.3">
      <c r="A507">
        <v>2</v>
      </c>
      <c r="B507">
        <v>1</v>
      </c>
      <c r="C507" t="s">
        <v>3</v>
      </c>
      <c r="D507" t="s">
        <v>2</v>
      </c>
      <c r="E507">
        <v>29</v>
      </c>
      <c r="F507" t="s">
        <v>15</v>
      </c>
      <c r="G507" t="s">
        <v>14</v>
      </c>
      <c r="H507">
        <v>0</v>
      </c>
      <c r="I507">
        <v>0</v>
      </c>
    </row>
    <row r="508" spans="1:9" x14ac:dyDescent="0.3">
      <c r="A508">
        <v>2</v>
      </c>
      <c r="B508">
        <v>1</v>
      </c>
      <c r="C508" t="s">
        <v>3</v>
      </c>
      <c r="D508" t="s">
        <v>2</v>
      </c>
      <c r="E508">
        <v>115</v>
      </c>
      <c r="F508" t="s">
        <v>15</v>
      </c>
      <c r="G508" t="s">
        <v>14</v>
      </c>
      <c r="H508">
        <v>25</v>
      </c>
      <c r="I508">
        <v>0</v>
      </c>
    </row>
    <row r="509" spans="1:9" x14ac:dyDescent="0.3">
      <c r="A509">
        <v>2</v>
      </c>
      <c r="B509">
        <v>1</v>
      </c>
      <c r="C509" t="s">
        <v>3</v>
      </c>
      <c r="D509" t="s">
        <v>2</v>
      </c>
      <c r="E509">
        <v>52</v>
      </c>
      <c r="F509" t="s">
        <v>15</v>
      </c>
      <c r="G509" t="s">
        <v>14</v>
      </c>
      <c r="H509">
        <v>0</v>
      </c>
      <c r="I509">
        <v>0</v>
      </c>
    </row>
    <row r="510" spans="1:9" x14ac:dyDescent="0.3">
      <c r="A510">
        <v>2</v>
      </c>
      <c r="B510">
        <v>1</v>
      </c>
      <c r="C510" t="s">
        <v>3</v>
      </c>
      <c r="D510" t="s">
        <v>2</v>
      </c>
      <c r="E510">
        <v>47</v>
      </c>
      <c r="F510" t="s">
        <v>15</v>
      </c>
      <c r="G510" t="s">
        <v>14</v>
      </c>
      <c r="H510">
        <v>2</v>
      </c>
      <c r="I510">
        <v>0</v>
      </c>
    </row>
    <row r="511" spans="1:9" x14ac:dyDescent="0.3">
      <c r="A511">
        <v>2</v>
      </c>
      <c r="B511">
        <v>1</v>
      </c>
      <c r="C511" t="s">
        <v>3</v>
      </c>
      <c r="D511" t="s">
        <v>2</v>
      </c>
      <c r="E511">
        <v>41</v>
      </c>
      <c r="F511" t="s">
        <v>15</v>
      </c>
      <c r="G511" t="s">
        <v>14</v>
      </c>
      <c r="H511">
        <v>5</v>
      </c>
      <c r="I511">
        <v>0</v>
      </c>
    </row>
    <row r="512" spans="1:9" x14ac:dyDescent="0.3">
      <c r="A512">
        <v>2</v>
      </c>
      <c r="B512">
        <v>1</v>
      </c>
      <c r="C512" t="s">
        <v>3</v>
      </c>
      <c r="D512" t="s">
        <v>2</v>
      </c>
      <c r="E512">
        <v>50</v>
      </c>
      <c r="F512" t="s">
        <v>15</v>
      </c>
      <c r="G512" t="s">
        <v>14</v>
      </c>
      <c r="H512">
        <v>0</v>
      </c>
      <c r="I512">
        <v>0</v>
      </c>
    </row>
    <row r="513" spans="1:9" x14ac:dyDescent="0.3">
      <c r="A513">
        <v>2</v>
      </c>
      <c r="B513">
        <v>1</v>
      </c>
      <c r="C513" t="s">
        <v>3</v>
      </c>
      <c r="D513" t="s">
        <v>2</v>
      </c>
      <c r="E513">
        <v>84</v>
      </c>
      <c r="F513" t="s">
        <v>15</v>
      </c>
      <c r="G513" t="s">
        <v>14</v>
      </c>
      <c r="H513">
        <v>0</v>
      </c>
      <c r="I513">
        <v>0</v>
      </c>
    </row>
    <row r="514" spans="1:9" x14ac:dyDescent="0.3">
      <c r="A514">
        <v>2</v>
      </c>
      <c r="B514">
        <v>1</v>
      </c>
      <c r="C514" t="s">
        <v>3</v>
      </c>
      <c r="D514" t="s">
        <v>2</v>
      </c>
      <c r="E514">
        <v>18</v>
      </c>
      <c r="F514" t="s">
        <v>15</v>
      </c>
      <c r="G514" t="s">
        <v>14</v>
      </c>
      <c r="H514">
        <v>0</v>
      </c>
      <c r="I514">
        <v>0</v>
      </c>
    </row>
    <row r="515" spans="1:9" x14ac:dyDescent="0.3">
      <c r="A515">
        <v>2</v>
      </c>
      <c r="B515">
        <v>1</v>
      </c>
      <c r="C515" t="s">
        <v>3</v>
      </c>
      <c r="D515" t="s">
        <v>2</v>
      </c>
      <c r="E515">
        <v>24</v>
      </c>
      <c r="F515" t="s">
        <v>15</v>
      </c>
      <c r="G515" t="s">
        <v>14</v>
      </c>
      <c r="H515">
        <v>5</v>
      </c>
      <c r="I515">
        <v>0</v>
      </c>
    </row>
    <row r="516" spans="1:9" x14ac:dyDescent="0.3">
      <c r="A516">
        <v>2</v>
      </c>
      <c r="B516">
        <v>1</v>
      </c>
      <c r="C516" t="s">
        <v>3</v>
      </c>
      <c r="D516" t="s">
        <v>2</v>
      </c>
      <c r="E516">
        <v>43</v>
      </c>
      <c r="F516" t="s">
        <v>15</v>
      </c>
      <c r="G516" t="s">
        <v>14</v>
      </c>
      <c r="H516">
        <v>6</v>
      </c>
      <c r="I516">
        <v>0</v>
      </c>
    </row>
    <row r="517" spans="1:9" x14ac:dyDescent="0.3">
      <c r="A517">
        <v>2</v>
      </c>
      <c r="B517">
        <v>1</v>
      </c>
      <c r="C517" t="s">
        <v>3</v>
      </c>
      <c r="D517" t="s">
        <v>2</v>
      </c>
      <c r="E517">
        <v>61</v>
      </c>
      <c r="F517" t="s">
        <v>15</v>
      </c>
      <c r="G517" t="s">
        <v>14</v>
      </c>
      <c r="H517">
        <v>4</v>
      </c>
      <c r="I517">
        <v>0</v>
      </c>
    </row>
    <row r="518" spans="1:9" x14ac:dyDescent="0.3">
      <c r="A518">
        <v>2</v>
      </c>
      <c r="B518">
        <v>1</v>
      </c>
      <c r="C518" t="s">
        <v>3</v>
      </c>
      <c r="D518" t="s">
        <v>2</v>
      </c>
      <c r="E518">
        <v>49</v>
      </c>
      <c r="F518" t="s">
        <v>15</v>
      </c>
      <c r="G518" t="s">
        <v>14</v>
      </c>
      <c r="H518">
        <v>2</v>
      </c>
      <c r="I518">
        <v>0</v>
      </c>
    </row>
    <row r="519" spans="1:9" x14ac:dyDescent="0.3">
      <c r="A519">
        <v>2</v>
      </c>
      <c r="B519">
        <v>1</v>
      </c>
      <c r="C519" t="s">
        <v>3</v>
      </c>
      <c r="D519" t="s">
        <v>2</v>
      </c>
      <c r="E519">
        <v>42</v>
      </c>
      <c r="F519" t="s">
        <v>15</v>
      </c>
      <c r="G519" t="s">
        <v>14</v>
      </c>
      <c r="H519">
        <v>0</v>
      </c>
      <c r="I519">
        <v>0</v>
      </c>
    </row>
    <row r="520" spans="1:9" x14ac:dyDescent="0.3">
      <c r="A520">
        <v>2</v>
      </c>
      <c r="B520">
        <v>1</v>
      </c>
      <c r="C520" t="s">
        <v>3</v>
      </c>
      <c r="D520" t="s">
        <v>2</v>
      </c>
      <c r="E520">
        <v>31</v>
      </c>
      <c r="F520" t="s">
        <v>15</v>
      </c>
      <c r="G520" t="s">
        <v>14</v>
      </c>
      <c r="H520">
        <v>2</v>
      </c>
      <c r="I520">
        <v>0</v>
      </c>
    </row>
    <row r="521" spans="1:9" x14ac:dyDescent="0.3">
      <c r="A521">
        <v>2</v>
      </c>
      <c r="B521">
        <v>1</v>
      </c>
      <c r="C521" t="s">
        <v>3</v>
      </c>
      <c r="D521" t="s">
        <v>2</v>
      </c>
      <c r="E521">
        <v>34</v>
      </c>
      <c r="F521" t="s">
        <v>15</v>
      </c>
      <c r="G521" t="s">
        <v>14</v>
      </c>
      <c r="H521">
        <v>12</v>
      </c>
      <c r="I521">
        <v>0</v>
      </c>
    </row>
    <row r="522" spans="1:9" x14ac:dyDescent="0.3">
      <c r="A522">
        <v>2</v>
      </c>
      <c r="B522">
        <v>1</v>
      </c>
      <c r="C522" t="s">
        <v>3</v>
      </c>
      <c r="D522" t="s">
        <v>2</v>
      </c>
      <c r="E522">
        <v>47</v>
      </c>
      <c r="F522" t="s">
        <v>15</v>
      </c>
      <c r="G522" t="s">
        <v>14</v>
      </c>
      <c r="H522">
        <v>2</v>
      </c>
      <c r="I522">
        <v>0</v>
      </c>
    </row>
    <row r="523" spans="1:9" x14ac:dyDescent="0.3">
      <c r="A523">
        <v>2</v>
      </c>
      <c r="B523">
        <v>1</v>
      </c>
      <c r="C523" t="s">
        <v>3</v>
      </c>
      <c r="D523" t="s">
        <v>2</v>
      </c>
      <c r="E523">
        <v>30</v>
      </c>
      <c r="F523" t="s">
        <v>15</v>
      </c>
      <c r="G523" t="s">
        <v>14</v>
      </c>
      <c r="H523">
        <v>21</v>
      </c>
      <c r="I523">
        <v>0</v>
      </c>
    </row>
    <row r="524" spans="1:9" x14ac:dyDescent="0.3">
      <c r="A524">
        <v>2</v>
      </c>
      <c r="B524">
        <v>1</v>
      </c>
      <c r="C524" t="s">
        <v>3</v>
      </c>
      <c r="D524" t="s">
        <v>2</v>
      </c>
      <c r="E524">
        <v>57</v>
      </c>
      <c r="F524" t="s">
        <v>15</v>
      </c>
      <c r="G524" t="s">
        <v>14</v>
      </c>
      <c r="H524">
        <v>5</v>
      </c>
      <c r="I524">
        <v>0</v>
      </c>
    </row>
    <row r="525" spans="1:9" x14ac:dyDescent="0.3">
      <c r="A525">
        <v>2</v>
      </c>
      <c r="B525">
        <v>1</v>
      </c>
      <c r="C525" t="s">
        <v>3</v>
      </c>
      <c r="D525" t="s">
        <v>2</v>
      </c>
      <c r="E525">
        <v>53</v>
      </c>
      <c r="F525" t="s">
        <v>15</v>
      </c>
      <c r="G525" t="s">
        <v>14</v>
      </c>
      <c r="H525">
        <v>21</v>
      </c>
      <c r="I525">
        <v>0</v>
      </c>
    </row>
    <row r="526" spans="1:9" x14ac:dyDescent="0.3">
      <c r="A526">
        <v>2</v>
      </c>
      <c r="B526">
        <v>1</v>
      </c>
      <c r="C526" t="s">
        <v>3</v>
      </c>
      <c r="D526" t="s">
        <v>2</v>
      </c>
      <c r="E526">
        <v>23</v>
      </c>
      <c r="F526" t="s">
        <v>15</v>
      </c>
      <c r="G526" t="s">
        <v>14</v>
      </c>
      <c r="H526">
        <v>2</v>
      </c>
      <c r="I526">
        <v>0</v>
      </c>
    </row>
    <row r="527" spans="1:9" x14ac:dyDescent="0.3">
      <c r="A527">
        <v>2</v>
      </c>
      <c r="B527">
        <v>1</v>
      </c>
      <c r="C527" t="s">
        <v>3</v>
      </c>
      <c r="D527" t="s">
        <v>2</v>
      </c>
      <c r="E527">
        <v>47</v>
      </c>
      <c r="F527" t="s">
        <v>15</v>
      </c>
      <c r="G527" t="s">
        <v>14</v>
      </c>
      <c r="H527">
        <v>1</v>
      </c>
      <c r="I527">
        <v>0</v>
      </c>
    </row>
    <row r="528" spans="1:9" x14ac:dyDescent="0.3">
      <c r="A528">
        <v>2</v>
      </c>
      <c r="B528">
        <v>1</v>
      </c>
      <c r="C528" t="s">
        <v>3</v>
      </c>
      <c r="D528" t="s">
        <v>2</v>
      </c>
      <c r="E528">
        <v>43</v>
      </c>
      <c r="F528" t="s">
        <v>15</v>
      </c>
      <c r="G528" t="s">
        <v>14</v>
      </c>
      <c r="H528">
        <v>11</v>
      </c>
      <c r="I528">
        <v>0</v>
      </c>
    </row>
    <row r="529" spans="1:9" x14ac:dyDescent="0.3">
      <c r="A529">
        <v>2</v>
      </c>
      <c r="B529">
        <v>1</v>
      </c>
      <c r="C529" t="s">
        <v>3</v>
      </c>
      <c r="D529" t="s">
        <v>2</v>
      </c>
      <c r="E529">
        <v>26</v>
      </c>
      <c r="F529" t="s">
        <v>15</v>
      </c>
      <c r="G529" t="s">
        <v>14</v>
      </c>
      <c r="H529">
        <v>0</v>
      </c>
      <c r="I529">
        <v>0</v>
      </c>
    </row>
    <row r="530" spans="1:9" x14ac:dyDescent="0.3">
      <c r="A530">
        <v>2</v>
      </c>
      <c r="B530">
        <v>1</v>
      </c>
      <c r="C530" t="s">
        <v>3</v>
      </c>
      <c r="D530" t="s">
        <v>2</v>
      </c>
      <c r="E530">
        <v>46</v>
      </c>
      <c r="F530" t="s">
        <v>15</v>
      </c>
      <c r="G530" t="s">
        <v>14</v>
      </c>
      <c r="H530">
        <v>5</v>
      </c>
      <c r="I530">
        <v>0</v>
      </c>
    </row>
    <row r="531" spans="1:9" x14ac:dyDescent="0.3">
      <c r="A531">
        <v>2</v>
      </c>
      <c r="B531">
        <v>1</v>
      </c>
      <c r="C531" t="s">
        <v>3</v>
      </c>
      <c r="D531" t="s">
        <v>2</v>
      </c>
      <c r="E531">
        <v>28</v>
      </c>
      <c r="F531" t="s">
        <v>15</v>
      </c>
      <c r="G531" t="s">
        <v>14</v>
      </c>
      <c r="H531">
        <v>22</v>
      </c>
      <c r="I531">
        <v>0</v>
      </c>
    </row>
    <row r="532" spans="1:9" x14ac:dyDescent="0.3">
      <c r="A532">
        <v>2</v>
      </c>
      <c r="B532">
        <v>1</v>
      </c>
      <c r="C532" t="s">
        <v>3</v>
      </c>
      <c r="D532" t="s">
        <v>2</v>
      </c>
      <c r="E532">
        <v>47</v>
      </c>
      <c r="F532" t="s">
        <v>15</v>
      </c>
      <c r="G532" t="s">
        <v>14</v>
      </c>
      <c r="H532">
        <v>1</v>
      </c>
      <c r="I532">
        <v>0</v>
      </c>
    </row>
    <row r="533" spans="1:9" x14ac:dyDescent="0.3">
      <c r="A533">
        <v>2</v>
      </c>
      <c r="B533">
        <v>1</v>
      </c>
      <c r="C533" t="s">
        <v>3</v>
      </c>
      <c r="D533" t="s">
        <v>2</v>
      </c>
      <c r="E533">
        <v>53</v>
      </c>
      <c r="F533" t="s">
        <v>15</v>
      </c>
      <c r="G533" t="s">
        <v>14</v>
      </c>
      <c r="H533">
        <v>9</v>
      </c>
      <c r="I533">
        <v>0</v>
      </c>
    </row>
    <row r="534" spans="1:9" x14ac:dyDescent="0.3">
      <c r="A534">
        <v>2</v>
      </c>
      <c r="B534">
        <v>1</v>
      </c>
      <c r="C534" t="s">
        <v>3</v>
      </c>
      <c r="D534" t="s">
        <v>2</v>
      </c>
      <c r="E534">
        <v>30</v>
      </c>
      <c r="F534" t="s">
        <v>15</v>
      </c>
      <c r="G534" t="s">
        <v>14</v>
      </c>
      <c r="H534">
        <v>2</v>
      </c>
      <c r="I534">
        <v>0</v>
      </c>
    </row>
    <row r="535" spans="1:9" x14ac:dyDescent="0.3">
      <c r="A535">
        <v>2</v>
      </c>
      <c r="B535">
        <v>1</v>
      </c>
      <c r="C535" t="s">
        <v>3</v>
      </c>
      <c r="D535" t="s">
        <v>2</v>
      </c>
      <c r="E535">
        <v>35</v>
      </c>
      <c r="F535" t="s">
        <v>15</v>
      </c>
      <c r="G535" t="s">
        <v>14</v>
      </c>
      <c r="H535">
        <v>0</v>
      </c>
      <c r="I535">
        <v>0</v>
      </c>
    </row>
    <row r="536" spans="1:9" x14ac:dyDescent="0.3">
      <c r="A536">
        <v>2</v>
      </c>
      <c r="B536">
        <v>1</v>
      </c>
      <c r="C536" t="s">
        <v>3</v>
      </c>
      <c r="D536" t="s">
        <v>2</v>
      </c>
      <c r="E536">
        <v>52</v>
      </c>
      <c r="F536" t="s">
        <v>15</v>
      </c>
      <c r="G536" t="s">
        <v>14</v>
      </c>
      <c r="H536">
        <v>2</v>
      </c>
      <c r="I536">
        <v>0</v>
      </c>
    </row>
    <row r="537" spans="1:9" x14ac:dyDescent="0.3">
      <c r="A537">
        <v>2</v>
      </c>
      <c r="B537">
        <v>1</v>
      </c>
      <c r="C537" t="s">
        <v>3</v>
      </c>
      <c r="D537" t="s">
        <v>2</v>
      </c>
      <c r="E537">
        <v>42</v>
      </c>
      <c r="F537" t="s">
        <v>15</v>
      </c>
      <c r="G537" t="s">
        <v>14</v>
      </c>
      <c r="H537">
        <v>2</v>
      </c>
      <c r="I537">
        <v>0</v>
      </c>
    </row>
    <row r="538" spans="1:9" x14ac:dyDescent="0.3">
      <c r="A538">
        <v>2</v>
      </c>
      <c r="B538">
        <v>1</v>
      </c>
      <c r="C538" t="s">
        <v>3</v>
      </c>
      <c r="D538" t="s">
        <v>2</v>
      </c>
      <c r="E538">
        <v>29</v>
      </c>
      <c r="F538" t="s">
        <v>15</v>
      </c>
      <c r="G538" t="s">
        <v>14</v>
      </c>
      <c r="H538">
        <v>2</v>
      </c>
      <c r="I538">
        <v>0</v>
      </c>
    </row>
    <row r="539" spans="1:9" x14ac:dyDescent="0.3">
      <c r="A539">
        <v>2</v>
      </c>
      <c r="B539">
        <v>1</v>
      </c>
      <c r="C539" t="s">
        <v>3</v>
      </c>
      <c r="D539" t="s">
        <v>2</v>
      </c>
      <c r="E539">
        <v>33</v>
      </c>
      <c r="F539" t="s">
        <v>15</v>
      </c>
      <c r="G539" t="s">
        <v>14</v>
      </c>
      <c r="H539">
        <v>2</v>
      </c>
      <c r="I539">
        <v>0</v>
      </c>
    </row>
    <row r="540" spans="1:9" x14ac:dyDescent="0.3">
      <c r="A540">
        <v>2</v>
      </c>
      <c r="B540">
        <v>1</v>
      </c>
      <c r="C540" t="s">
        <v>3</v>
      </c>
      <c r="D540" t="s">
        <v>2</v>
      </c>
      <c r="E540">
        <v>40</v>
      </c>
      <c r="F540" t="s">
        <v>15</v>
      </c>
      <c r="G540" t="s">
        <v>14</v>
      </c>
      <c r="H540">
        <v>20</v>
      </c>
      <c r="I540">
        <v>0</v>
      </c>
    </row>
    <row r="541" spans="1:9" x14ac:dyDescent="0.3">
      <c r="A541">
        <v>2</v>
      </c>
      <c r="B541">
        <v>1</v>
      </c>
      <c r="C541" t="s">
        <v>3</v>
      </c>
      <c r="D541" t="s">
        <v>2</v>
      </c>
      <c r="E541">
        <v>56</v>
      </c>
      <c r="F541" t="s">
        <v>15</v>
      </c>
      <c r="G541" t="s">
        <v>14</v>
      </c>
      <c r="H541">
        <v>6</v>
      </c>
      <c r="I541">
        <v>0</v>
      </c>
    </row>
    <row r="542" spans="1:9" x14ac:dyDescent="0.3">
      <c r="A542">
        <v>2</v>
      </c>
      <c r="B542">
        <v>1</v>
      </c>
      <c r="C542" t="s">
        <v>3</v>
      </c>
      <c r="D542" t="s">
        <v>2</v>
      </c>
      <c r="E542">
        <v>17</v>
      </c>
      <c r="F542" t="s">
        <v>15</v>
      </c>
      <c r="G542" t="s">
        <v>14</v>
      </c>
      <c r="H542">
        <v>0</v>
      </c>
      <c r="I542">
        <v>0</v>
      </c>
    </row>
    <row r="543" spans="1:9" x14ac:dyDescent="0.3">
      <c r="A543">
        <v>2</v>
      </c>
      <c r="B543">
        <v>1</v>
      </c>
      <c r="C543" t="s">
        <v>3</v>
      </c>
      <c r="D543" t="s">
        <v>2</v>
      </c>
      <c r="E543">
        <v>61</v>
      </c>
      <c r="F543" t="s">
        <v>15</v>
      </c>
      <c r="G543" t="s">
        <v>14</v>
      </c>
      <c r="H543">
        <v>16</v>
      </c>
      <c r="I543">
        <v>0</v>
      </c>
    </row>
    <row r="544" spans="1:9" x14ac:dyDescent="0.3">
      <c r="A544">
        <v>2</v>
      </c>
      <c r="B544">
        <v>1</v>
      </c>
      <c r="C544" t="s">
        <v>3</v>
      </c>
      <c r="D544" t="s">
        <v>2</v>
      </c>
      <c r="E544">
        <v>30</v>
      </c>
      <c r="F544" t="s">
        <v>15</v>
      </c>
      <c r="G544" t="s">
        <v>14</v>
      </c>
      <c r="H544">
        <v>0</v>
      </c>
      <c r="I544">
        <v>0</v>
      </c>
    </row>
    <row r="545" spans="1:9" x14ac:dyDescent="0.3">
      <c r="A545">
        <v>2</v>
      </c>
      <c r="B545">
        <v>1</v>
      </c>
      <c r="C545" t="s">
        <v>3</v>
      </c>
      <c r="D545" t="s">
        <v>2</v>
      </c>
      <c r="E545">
        <v>59</v>
      </c>
      <c r="F545" t="s">
        <v>15</v>
      </c>
      <c r="G545" t="s">
        <v>14</v>
      </c>
      <c r="H545">
        <v>2</v>
      </c>
      <c r="I545">
        <v>0</v>
      </c>
    </row>
    <row r="546" spans="1:9" x14ac:dyDescent="0.3">
      <c r="A546">
        <v>2</v>
      </c>
      <c r="B546">
        <v>1</v>
      </c>
      <c r="C546" t="s">
        <v>3</v>
      </c>
      <c r="D546" t="s">
        <v>2</v>
      </c>
      <c r="E546">
        <v>53</v>
      </c>
      <c r="F546" t="s">
        <v>15</v>
      </c>
      <c r="G546" t="s">
        <v>14</v>
      </c>
      <c r="H546">
        <v>10</v>
      </c>
      <c r="I546">
        <v>0</v>
      </c>
    </row>
    <row r="547" spans="1:9" x14ac:dyDescent="0.3">
      <c r="A547">
        <v>2</v>
      </c>
      <c r="B547">
        <v>1</v>
      </c>
      <c r="C547" t="s">
        <v>3</v>
      </c>
      <c r="D547" t="s">
        <v>2</v>
      </c>
      <c r="E547">
        <v>30</v>
      </c>
      <c r="F547" t="s">
        <v>15</v>
      </c>
      <c r="G547" t="s">
        <v>14</v>
      </c>
      <c r="H547">
        <v>21</v>
      </c>
      <c r="I547">
        <v>0</v>
      </c>
    </row>
    <row r="548" spans="1:9" x14ac:dyDescent="0.3">
      <c r="A548">
        <v>2</v>
      </c>
      <c r="B548">
        <v>1</v>
      </c>
      <c r="C548" t="s">
        <v>3</v>
      </c>
      <c r="D548" t="s">
        <v>2</v>
      </c>
      <c r="E548">
        <v>38</v>
      </c>
      <c r="F548" t="s">
        <v>15</v>
      </c>
      <c r="G548" t="s">
        <v>14</v>
      </c>
      <c r="H548">
        <v>5</v>
      </c>
      <c r="I548">
        <v>0</v>
      </c>
    </row>
    <row r="549" spans="1:9" x14ac:dyDescent="0.3">
      <c r="A549">
        <v>2</v>
      </c>
      <c r="B549">
        <v>1</v>
      </c>
      <c r="C549" t="s">
        <v>3</v>
      </c>
      <c r="D549" t="s">
        <v>2</v>
      </c>
      <c r="E549">
        <v>32</v>
      </c>
      <c r="F549" t="s">
        <v>15</v>
      </c>
      <c r="G549" t="s">
        <v>14</v>
      </c>
      <c r="H549">
        <v>11</v>
      </c>
      <c r="I549">
        <v>0</v>
      </c>
    </row>
    <row r="550" spans="1:9" x14ac:dyDescent="0.3">
      <c r="A550">
        <v>2</v>
      </c>
      <c r="B550">
        <v>1</v>
      </c>
      <c r="C550" t="s">
        <v>3</v>
      </c>
      <c r="D550" t="s">
        <v>2</v>
      </c>
      <c r="E550">
        <v>60</v>
      </c>
      <c r="F550" t="s">
        <v>15</v>
      </c>
      <c r="G550" t="s">
        <v>14</v>
      </c>
      <c r="H550">
        <v>9</v>
      </c>
      <c r="I550">
        <v>0</v>
      </c>
    </row>
    <row r="551" spans="1:9" x14ac:dyDescent="0.3">
      <c r="A551">
        <v>2</v>
      </c>
      <c r="B551">
        <v>1</v>
      </c>
      <c r="C551" t="s">
        <v>3</v>
      </c>
      <c r="D551" t="s">
        <v>2</v>
      </c>
      <c r="E551">
        <v>46</v>
      </c>
      <c r="F551" t="s">
        <v>15</v>
      </c>
      <c r="G551" t="s">
        <v>14</v>
      </c>
      <c r="H551">
        <v>12</v>
      </c>
      <c r="I551">
        <v>0</v>
      </c>
    </row>
    <row r="552" spans="1:9" x14ac:dyDescent="0.3">
      <c r="A552">
        <v>2</v>
      </c>
      <c r="B552">
        <v>1</v>
      </c>
      <c r="C552" t="s">
        <v>3</v>
      </c>
      <c r="D552" t="s">
        <v>2</v>
      </c>
      <c r="E552">
        <v>52</v>
      </c>
      <c r="F552" t="s">
        <v>15</v>
      </c>
      <c r="G552" t="s">
        <v>14</v>
      </c>
      <c r="H552">
        <v>6</v>
      </c>
      <c r="I552">
        <v>0</v>
      </c>
    </row>
    <row r="553" spans="1:9" x14ac:dyDescent="0.3">
      <c r="A553">
        <v>2</v>
      </c>
      <c r="B553">
        <v>1</v>
      </c>
      <c r="C553" t="s">
        <v>3</v>
      </c>
      <c r="D553" t="s">
        <v>2</v>
      </c>
      <c r="E553">
        <v>37</v>
      </c>
      <c r="F553" t="s">
        <v>15</v>
      </c>
      <c r="G553" t="s">
        <v>14</v>
      </c>
      <c r="H553">
        <v>0</v>
      </c>
      <c r="I553">
        <v>0</v>
      </c>
    </row>
    <row r="554" spans="1:9" x14ac:dyDescent="0.3">
      <c r="A554">
        <v>2</v>
      </c>
      <c r="B554">
        <v>1</v>
      </c>
      <c r="C554" t="s">
        <v>3</v>
      </c>
      <c r="D554" t="s">
        <v>2</v>
      </c>
      <c r="E554">
        <v>30</v>
      </c>
      <c r="F554" t="s">
        <v>15</v>
      </c>
      <c r="G554" t="s">
        <v>14</v>
      </c>
      <c r="H554">
        <v>3</v>
      </c>
      <c r="I554">
        <v>0</v>
      </c>
    </row>
    <row r="555" spans="1:9" x14ac:dyDescent="0.3">
      <c r="A555">
        <v>2</v>
      </c>
      <c r="B555">
        <v>1</v>
      </c>
      <c r="C555" t="s">
        <v>3</v>
      </c>
      <c r="D555" t="s">
        <v>2</v>
      </c>
      <c r="E555">
        <v>21</v>
      </c>
      <c r="F555" t="s">
        <v>15</v>
      </c>
      <c r="G555" t="s">
        <v>14</v>
      </c>
      <c r="H555">
        <v>7</v>
      </c>
      <c r="I555">
        <v>0</v>
      </c>
    </row>
    <row r="556" spans="1:9" x14ac:dyDescent="0.3">
      <c r="A556">
        <v>2</v>
      </c>
      <c r="B556">
        <v>1</v>
      </c>
      <c r="C556" t="s">
        <v>3</v>
      </c>
      <c r="D556" t="s">
        <v>2</v>
      </c>
      <c r="E556">
        <v>54</v>
      </c>
      <c r="F556" t="s">
        <v>15</v>
      </c>
      <c r="G556" t="s">
        <v>14</v>
      </c>
      <c r="H556">
        <v>2</v>
      </c>
      <c r="I556">
        <v>0</v>
      </c>
    </row>
    <row r="557" spans="1:9" x14ac:dyDescent="0.3">
      <c r="A557">
        <v>2</v>
      </c>
      <c r="B557">
        <v>1</v>
      </c>
      <c r="C557" t="s">
        <v>3</v>
      </c>
      <c r="D557" t="s">
        <v>2</v>
      </c>
      <c r="E557">
        <v>27</v>
      </c>
      <c r="F557" t="s">
        <v>15</v>
      </c>
      <c r="G557" t="s">
        <v>14</v>
      </c>
      <c r="H557">
        <v>0</v>
      </c>
      <c r="I557">
        <v>0</v>
      </c>
    </row>
    <row r="558" spans="1:9" x14ac:dyDescent="0.3">
      <c r="A558">
        <v>2</v>
      </c>
      <c r="B558">
        <v>1</v>
      </c>
      <c r="C558" t="s">
        <v>3</v>
      </c>
      <c r="D558" t="s">
        <v>2</v>
      </c>
      <c r="E558">
        <v>24</v>
      </c>
      <c r="F558" t="s">
        <v>15</v>
      </c>
      <c r="G558" t="s">
        <v>14</v>
      </c>
      <c r="H558">
        <v>13</v>
      </c>
      <c r="I558">
        <v>0</v>
      </c>
    </row>
    <row r="559" spans="1:9" x14ac:dyDescent="0.3">
      <c r="A559">
        <v>2</v>
      </c>
      <c r="B559">
        <v>1</v>
      </c>
      <c r="C559" t="s">
        <v>3</v>
      </c>
      <c r="D559" t="s">
        <v>2</v>
      </c>
      <c r="E559">
        <v>48</v>
      </c>
      <c r="F559" t="s">
        <v>15</v>
      </c>
      <c r="G559" t="s">
        <v>14</v>
      </c>
      <c r="H559">
        <v>0</v>
      </c>
      <c r="I559">
        <v>0</v>
      </c>
    </row>
    <row r="560" spans="1:9" x14ac:dyDescent="0.3">
      <c r="A560">
        <v>2</v>
      </c>
      <c r="B560">
        <v>1</v>
      </c>
      <c r="C560" t="s">
        <v>3</v>
      </c>
      <c r="D560" t="s">
        <v>2</v>
      </c>
      <c r="E560">
        <v>29</v>
      </c>
      <c r="F560" t="s">
        <v>15</v>
      </c>
      <c r="G560" t="s">
        <v>14</v>
      </c>
      <c r="H560">
        <v>2</v>
      </c>
      <c r="I560">
        <v>0</v>
      </c>
    </row>
    <row r="561" spans="1:9" x14ac:dyDescent="0.3">
      <c r="A561">
        <v>2</v>
      </c>
      <c r="B561">
        <v>1</v>
      </c>
      <c r="C561" t="s">
        <v>3</v>
      </c>
      <c r="D561" t="s">
        <v>2</v>
      </c>
      <c r="E561">
        <v>20</v>
      </c>
      <c r="F561" t="s">
        <v>15</v>
      </c>
      <c r="G561" t="s">
        <v>14</v>
      </c>
      <c r="H561">
        <v>3</v>
      </c>
      <c r="I561">
        <v>0</v>
      </c>
    </row>
    <row r="562" spans="1:9" x14ac:dyDescent="0.3">
      <c r="A562">
        <v>2</v>
      </c>
      <c r="B562">
        <v>1</v>
      </c>
      <c r="C562" t="s">
        <v>3</v>
      </c>
      <c r="D562" t="s">
        <v>2</v>
      </c>
      <c r="E562">
        <v>29</v>
      </c>
      <c r="F562" t="s">
        <v>15</v>
      </c>
      <c r="G562" t="s">
        <v>14</v>
      </c>
      <c r="H562">
        <v>9</v>
      </c>
      <c r="I562">
        <v>0</v>
      </c>
    </row>
    <row r="563" spans="1:9" x14ac:dyDescent="0.3">
      <c r="A563">
        <v>2</v>
      </c>
      <c r="B563">
        <v>1</v>
      </c>
      <c r="C563" t="s">
        <v>3</v>
      </c>
      <c r="D563" t="s">
        <v>2</v>
      </c>
      <c r="E563">
        <v>56</v>
      </c>
      <c r="F563" t="s">
        <v>15</v>
      </c>
      <c r="G563" t="s">
        <v>14</v>
      </c>
      <c r="H563">
        <v>0</v>
      </c>
      <c r="I563">
        <v>0</v>
      </c>
    </row>
    <row r="564" spans="1:9" x14ac:dyDescent="0.3">
      <c r="A564">
        <v>2</v>
      </c>
      <c r="B564">
        <v>1</v>
      </c>
      <c r="C564" t="s">
        <v>3</v>
      </c>
      <c r="D564" t="s">
        <v>2</v>
      </c>
      <c r="E564">
        <v>69</v>
      </c>
      <c r="F564" t="s">
        <v>15</v>
      </c>
      <c r="G564" t="s">
        <v>14</v>
      </c>
      <c r="H564">
        <v>3</v>
      </c>
      <c r="I564">
        <v>0</v>
      </c>
    </row>
    <row r="565" spans="1:9" x14ac:dyDescent="0.3">
      <c r="A565">
        <v>2</v>
      </c>
      <c r="B565">
        <v>1</v>
      </c>
      <c r="C565" t="s">
        <v>3</v>
      </c>
      <c r="D565" t="s">
        <v>2</v>
      </c>
      <c r="E565">
        <v>26</v>
      </c>
      <c r="F565" t="s">
        <v>15</v>
      </c>
      <c r="G565" t="s">
        <v>14</v>
      </c>
      <c r="H565">
        <v>10</v>
      </c>
      <c r="I565">
        <v>0</v>
      </c>
    </row>
    <row r="566" spans="1:9" x14ac:dyDescent="0.3">
      <c r="A566">
        <v>2</v>
      </c>
      <c r="B566">
        <v>1</v>
      </c>
      <c r="C566" t="s">
        <v>3</v>
      </c>
      <c r="D566" t="s">
        <v>2</v>
      </c>
      <c r="E566">
        <v>55</v>
      </c>
      <c r="F566" t="s">
        <v>15</v>
      </c>
      <c r="G566" t="s">
        <v>14</v>
      </c>
      <c r="H566">
        <v>5</v>
      </c>
      <c r="I566">
        <v>0</v>
      </c>
    </row>
    <row r="567" spans="1:9" x14ac:dyDescent="0.3">
      <c r="A567">
        <v>2</v>
      </c>
      <c r="B567">
        <v>1</v>
      </c>
      <c r="C567" t="s">
        <v>3</v>
      </c>
      <c r="D567" t="s">
        <v>2</v>
      </c>
      <c r="E567">
        <v>39</v>
      </c>
      <c r="F567" t="s">
        <v>15</v>
      </c>
      <c r="G567" t="s">
        <v>14</v>
      </c>
      <c r="H567">
        <v>8</v>
      </c>
      <c r="I567">
        <v>0</v>
      </c>
    </row>
    <row r="568" spans="1:9" x14ac:dyDescent="0.3">
      <c r="A568">
        <v>2</v>
      </c>
      <c r="B568">
        <v>1</v>
      </c>
      <c r="C568" t="s">
        <v>3</v>
      </c>
      <c r="D568" t="s">
        <v>2</v>
      </c>
      <c r="E568">
        <v>24</v>
      </c>
      <c r="F568" t="s">
        <v>15</v>
      </c>
      <c r="G568" t="s">
        <v>14</v>
      </c>
      <c r="H568">
        <v>19</v>
      </c>
      <c r="I568">
        <v>0</v>
      </c>
    </row>
    <row r="569" spans="1:9" x14ac:dyDescent="0.3">
      <c r="A569">
        <v>2</v>
      </c>
      <c r="B569">
        <v>1</v>
      </c>
      <c r="C569" t="s">
        <v>3</v>
      </c>
      <c r="D569" t="s">
        <v>2</v>
      </c>
      <c r="E569">
        <v>14</v>
      </c>
      <c r="F569" t="s">
        <v>15</v>
      </c>
      <c r="G569" t="s">
        <v>14</v>
      </c>
      <c r="H569">
        <v>7</v>
      </c>
      <c r="I569">
        <v>0</v>
      </c>
    </row>
    <row r="570" spans="1:9" x14ac:dyDescent="0.3">
      <c r="A570">
        <v>2</v>
      </c>
      <c r="B570">
        <v>1</v>
      </c>
      <c r="C570" t="s">
        <v>3</v>
      </c>
      <c r="D570" t="s">
        <v>2</v>
      </c>
      <c r="E570">
        <v>24</v>
      </c>
      <c r="F570" t="s">
        <v>15</v>
      </c>
      <c r="G570" t="s">
        <v>14</v>
      </c>
      <c r="H570">
        <v>2</v>
      </c>
      <c r="I570">
        <v>0</v>
      </c>
    </row>
    <row r="571" spans="1:9" x14ac:dyDescent="0.3">
      <c r="A571">
        <v>2</v>
      </c>
      <c r="B571">
        <v>1</v>
      </c>
      <c r="C571" t="s">
        <v>3</v>
      </c>
      <c r="D571" t="s">
        <v>2</v>
      </c>
      <c r="E571">
        <v>52</v>
      </c>
      <c r="F571" t="s">
        <v>15</v>
      </c>
      <c r="G571" t="s">
        <v>14</v>
      </c>
      <c r="H571">
        <v>0</v>
      </c>
      <c r="I571">
        <v>0</v>
      </c>
    </row>
    <row r="572" spans="1:9" x14ac:dyDescent="0.3">
      <c r="A572">
        <v>2</v>
      </c>
      <c r="B572">
        <v>1</v>
      </c>
      <c r="C572" t="s">
        <v>3</v>
      </c>
      <c r="D572" t="s">
        <v>2</v>
      </c>
      <c r="E572">
        <v>49</v>
      </c>
      <c r="F572" t="s">
        <v>15</v>
      </c>
      <c r="G572" t="s">
        <v>14</v>
      </c>
      <c r="H572">
        <v>2</v>
      </c>
      <c r="I572">
        <v>0</v>
      </c>
    </row>
    <row r="573" spans="1:9" x14ac:dyDescent="0.3">
      <c r="A573">
        <v>2</v>
      </c>
      <c r="B573">
        <v>1</v>
      </c>
      <c r="C573" t="s">
        <v>3</v>
      </c>
      <c r="D573" t="s">
        <v>2</v>
      </c>
      <c r="E573">
        <v>70</v>
      </c>
      <c r="F573" t="s">
        <v>15</v>
      </c>
      <c r="G573" t="s">
        <v>14</v>
      </c>
      <c r="H573">
        <v>45</v>
      </c>
      <c r="I573">
        <v>0</v>
      </c>
    </row>
    <row r="574" spans="1:9" x14ac:dyDescent="0.3">
      <c r="A574">
        <v>2</v>
      </c>
      <c r="B574">
        <v>1</v>
      </c>
      <c r="C574" t="s">
        <v>3</v>
      </c>
      <c r="D574" t="s">
        <v>2</v>
      </c>
      <c r="E574">
        <v>42</v>
      </c>
      <c r="F574" t="s">
        <v>15</v>
      </c>
      <c r="G574" t="s">
        <v>14</v>
      </c>
      <c r="H574">
        <v>0</v>
      </c>
      <c r="I574">
        <v>0</v>
      </c>
    </row>
    <row r="575" spans="1:9" x14ac:dyDescent="0.3">
      <c r="A575">
        <v>2</v>
      </c>
      <c r="B575">
        <v>1</v>
      </c>
      <c r="C575" t="s">
        <v>3</v>
      </c>
      <c r="D575" t="s">
        <v>2</v>
      </c>
      <c r="E575">
        <v>46</v>
      </c>
      <c r="F575" t="s">
        <v>15</v>
      </c>
      <c r="G575" t="s">
        <v>14</v>
      </c>
      <c r="H575">
        <v>11</v>
      </c>
      <c r="I575">
        <v>0</v>
      </c>
    </row>
    <row r="576" spans="1:9" x14ac:dyDescent="0.3">
      <c r="A576">
        <v>2</v>
      </c>
      <c r="B576">
        <v>1</v>
      </c>
      <c r="C576" t="s">
        <v>3</v>
      </c>
      <c r="D576" t="s">
        <v>2</v>
      </c>
      <c r="E576">
        <v>38</v>
      </c>
      <c r="F576" t="s">
        <v>15</v>
      </c>
      <c r="G576" t="s">
        <v>14</v>
      </c>
      <c r="H576">
        <v>0</v>
      </c>
      <c r="I576">
        <v>0</v>
      </c>
    </row>
    <row r="577" spans="1:9" x14ac:dyDescent="0.3">
      <c r="A577">
        <v>2</v>
      </c>
      <c r="B577">
        <v>1</v>
      </c>
      <c r="C577" t="s">
        <v>3</v>
      </c>
      <c r="D577" t="s">
        <v>2</v>
      </c>
      <c r="E577">
        <v>37</v>
      </c>
      <c r="F577" t="s">
        <v>15</v>
      </c>
      <c r="G577" t="s">
        <v>14</v>
      </c>
      <c r="H577">
        <v>4</v>
      </c>
      <c r="I577">
        <v>0</v>
      </c>
    </row>
    <row r="578" spans="1:9" x14ac:dyDescent="0.3">
      <c r="A578">
        <v>2</v>
      </c>
      <c r="B578">
        <v>1</v>
      </c>
      <c r="C578" t="s">
        <v>3</v>
      </c>
      <c r="D578" t="s">
        <v>2</v>
      </c>
      <c r="E578">
        <v>61</v>
      </c>
      <c r="F578" t="s">
        <v>15</v>
      </c>
      <c r="G578" t="s">
        <v>14</v>
      </c>
      <c r="H578">
        <v>0</v>
      </c>
      <c r="I578">
        <v>0</v>
      </c>
    </row>
    <row r="579" spans="1:9" x14ac:dyDescent="0.3">
      <c r="A579">
        <v>2</v>
      </c>
      <c r="B579">
        <v>1</v>
      </c>
      <c r="C579" t="s">
        <v>3</v>
      </c>
      <c r="D579" t="s">
        <v>2</v>
      </c>
      <c r="E579">
        <v>25</v>
      </c>
      <c r="F579" t="s">
        <v>15</v>
      </c>
      <c r="G579" t="s">
        <v>14</v>
      </c>
      <c r="H579">
        <v>24</v>
      </c>
      <c r="I579">
        <v>0</v>
      </c>
    </row>
    <row r="580" spans="1:9" x14ac:dyDescent="0.3">
      <c r="A580">
        <v>2</v>
      </c>
      <c r="B580">
        <v>1</v>
      </c>
      <c r="C580" t="s">
        <v>3</v>
      </c>
      <c r="D580" t="s">
        <v>2</v>
      </c>
      <c r="E580">
        <v>40</v>
      </c>
      <c r="F580" t="s">
        <v>15</v>
      </c>
      <c r="G580" t="s">
        <v>14</v>
      </c>
      <c r="H580">
        <v>7</v>
      </c>
      <c r="I580">
        <v>0</v>
      </c>
    </row>
    <row r="581" spans="1:9" x14ac:dyDescent="0.3">
      <c r="A581">
        <v>2</v>
      </c>
      <c r="B581">
        <v>1</v>
      </c>
      <c r="C581" t="s">
        <v>3</v>
      </c>
      <c r="D581" t="s">
        <v>2</v>
      </c>
      <c r="E581">
        <v>29</v>
      </c>
      <c r="F581" t="s">
        <v>15</v>
      </c>
      <c r="G581" t="s">
        <v>14</v>
      </c>
      <c r="H581">
        <v>1</v>
      </c>
      <c r="I581">
        <v>0</v>
      </c>
    </row>
    <row r="582" spans="1:9" x14ac:dyDescent="0.3">
      <c r="A582">
        <v>2</v>
      </c>
      <c r="B582">
        <v>1</v>
      </c>
      <c r="C582" t="s">
        <v>3</v>
      </c>
      <c r="D582" t="s">
        <v>2</v>
      </c>
      <c r="E582">
        <v>42</v>
      </c>
      <c r="F582" t="s">
        <v>15</v>
      </c>
      <c r="G582" t="s">
        <v>14</v>
      </c>
      <c r="H582">
        <v>8</v>
      </c>
      <c r="I582">
        <v>0</v>
      </c>
    </row>
    <row r="583" spans="1:9" x14ac:dyDescent="0.3">
      <c r="A583">
        <v>2</v>
      </c>
      <c r="B583">
        <v>1</v>
      </c>
      <c r="C583" t="s">
        <v>3</v>
      </c>
      <c r="D583" t="s">
        <v>2</v>
      </c>
      <c r="E583">
        <v>60</v>
      </c>
      <c r="F583" t="s">
        <v>15</v>
      </c>
      <c r="G583" t="s">
        <v>14</v>
      </c>
      <c r="H583">
        <v>30</v>
      </c>
      <c r="I583">
        <v>0</v>
      </c>
    </row>
    <row r="584" spans="1:9" x14ac:dyDescent="0.3">
      <c r="A584">
        <v>2</v>
      </c>
      <c r="B584">
        <v>1</v>
      </c>
      <c r="C584" t="s">
        <v>3</v>
      </c>
      <c r="D584" t="s">
        <v>2</v>
      </c>
      <c r="E584">
        <v>26</v>
      </c>
      <c r="F584" t="s">
        <v>15</v>
      </c>
      <c r="G584" t="s">
        <v>14</v>
      </c>
      <c r="H584">
        <v>2</v>
      </c>
      <c r="I584">
        <v>0</v>
      </c>
    </row>
    <row r="585" spans="1:9" x14ac:dyDescent="0.3">
      <c r="A585">
        <v>2</v>
      </c>
      <c r="B585">
        <v>1</v>
      </c>
      <c r="C585" t="s">
        <v>3</v>
      </c>
      <c r="D585" t="s">
        <v>2</v>
      </c>
      <c r="E585">
        <v>31</v>
      </c>
      <c r="F585" t="s">
        <v>15</v>
      </c>
      <c r="G585" t="s">
        <v>14</v>
      </c>
      <c r="H585">
        <v>14</v>
      </c>
      <c r="I585">
        <v>0</v>
      </c>
    </row>
    <row r="586" spans="1:9" x14ac:dyDescent="0.3">
      <c r="A586">
        <v>2</v>
      </c>
      <c r="B586">
        <v>1</v>
      </c>
      <c r="C586" t="s">
        <v>3</v>
      </c>
      <c r="D586" t="s">
        <v>2</v>
      </c>
      <c r="E586">
        <v>61</v>
      </c>
      <c r="F586" t="s">
        <v>15</v>
      </c>
      <c r="G586" t="s">
        <v>14</v>
      </c>
      <c r="H586">
        <v>0</v>
      </c>
      <c r="I586">
        <v>0</v>
      </c>
    </row>
    <row r="587" spans="1:9" x14ac:dyDescent="0.3">
      <c r="A587">
        <v>2</v>
      </c>
      <c r="B587">
        <v>1</v>
      </c>
      <c r="C587" t="s">
        <v>3</v>
      </c>
      <c r="D587" t="s">
        <v>2</v>
      </c>
      <c r="E587">
        <v>43</v>
      </c>
      <c r="F587" t="s">
        <v>15</v>
      </c>
      <c r="G587" t="s">
        <v>14</v>
      </c>
      <c r="H587">
        <v>2</v>
      </c>
      <c r="I587">
        <v>0</v>
      </c>
    </row>
    <row r="588" spans="1:9" x14ac:dyDescent="0.3">
      <c r="A588">
        <v>2</v>
      </c>
      <c r="B588">
        <v>1</v>
      </c>
      <c r="C588" t="s">
        <v>3</v>
      </c>
      <c r="D588" t="s">
        <v>2</v>
      </c>
      <c r="E588">
        <v>42</v>
      </c>
      <c r="F588" t="s">
        <v>15</v>
      </c>
      <c r="G588" t="s">
        <v>14</v>
      </c>
      <c r="H588">
        <v>6</v>
      </c>
      <c r="I588">
        <v>0</v>
      </c>
    </row>
    <row r="589" spans="1:9" x14ac:dyDescent="0.3">
      <c r="A589">
        <v>2</v>
      </c>
      <c r="B589">
        <v>1</v>
      </c>
      <c r="C589" t="s">
        <v>3</v>
      </c>
      <c r="D589" t="s">
        <v>2</v>
      </c>
      <c r="E589">
        <v>20</v>
      </c>
      <c r="F589" t="s">
        <v>15</v>
      </c>
      <c r="G589" t="s">
        <v>14</v>
      </c>
      <c r="H589">
        <v>10</v>
      </c>
      <c r="I589">
        <v>0</v>
      </c>
    </row>
    <row r="590" spans="1:9" x14ac:dyDescent="0.3">
      <c r="A590">
        <v>2</v>
      </c>
      <c r="B590">
        <v>1</v>
      </c>
      <c r="C590" t="s">
        <v>3</v>
      </c>
      <c r="D590" t="s">
        <v>2</v>
      </c>
      <c r="E590">
        <v>65</v>
      </c>
      <c r="F590" t="s">
        <v>15</v>
      </c>
      <c r="G590" t="s">
        <v>14</v>
      </c>
      <c r="H590">
        <v>0</v>
      </c>
      <c r="I590">
        <v>0</v>
      </c>
    </row>
    <row r="591" spans="1:9" x14ac:dyDescent="0.3">
      <c r="A591">
        <v>2</v>
      </c>
      <c r="B591">
        <v>1</v>
      </c>
      <c r="C591" t="s">
        <v>3</v>
      </c>
      <c r="D591" t="s">
        <v>2</v>
      </c>
      <c r="E591">
        <v>19</v>
      </c>
      <c r="F591" t="s">
        <v>15</v>
      </c>
      <c r="G591" t="s">
        <v>14</v>
      </c>
      <c r="H591">
        <v>0</v>
      </c>
      <c r="I591">
        <v>0</v>
      </c>
    </row>
    <row r="592" spans="1:9" x14ac:dyDescent="0.3">
      <c r="A592">
        <v>2</v>
      </c>
      <c r="B592">
        <v>1</v>
      </c>
      <c r="C592" t="s">
        <v>3</v>
      </c>
      <c r="D592" t="s">
        <v>2</v>
      </c>
      <c r="E592">
        <v>69</v>
      </c>
      <c r="F592" t="s">
        <v>15</v>
      </c>
      <c r="G592" t="s">
        <v>14</v>
      </c>
      <c r="H592">
        <v>22</v>
      </c>
      <c r="I592">
        <v>0</v>
      </c>
    </row>
    <row r="593" spans="1:9" x14ac:dyDescent="0.3">
      <c r="A593">
        <v>2</v>
      </c>
      <c r="B593">
        <v>1</v>
      </c>
      <c r="C593" t="s">
        <v>3</v>
      </c>
      <c r="D593" t="s">
        <v>2</v>
      </c>
      <c r="E593">
        <v>54</v>
      </c>
      <c r="F593" t="s">
        <v>15</v>
      </c>
      <c r="G593" t="s">
        <v>14</v>
      </c>
      <c r="H593">
        <v>8</v>
      </c>
      <c r="I593">
        <v>0</v>
      </c>
    </row>
    <row r="594" spans="1:9" x14ac:dyDescent="0.3">
      <c r="A594">
        <v>2</v>
      </c>
      <c r="B594">
        <v>1</v>
      </c>
      <c r="C594" t="s">
        <v>3</v>
      </c>
      <c r="D594" t="s">
        <v>2</v>
      </c>
      <c r="E594">
        <v>28</v>
      </c>
      <c r="F594" t="s">
        <v>15</v>
      </c>
      <c r="G594" t="s">
        <v>14</v>
      </c>
      <c r="H594">
        <v>0</v>
      </c>
      <c r="I594">
        <v>0</v>
      </c>
    </row>
    <row r="595" spans="1:9" x14ac:dyDescent="0.3">
      <c r="A595">
        <v>2</v>
      </c>
      <c r="B595">
        <v>1</v>
      </c>
      <c r="C595" t="s">
        <v>3</v>
      </c>
      <c r="D595" t="s">
        <v>2</v>
      </c>
      <c r="E595">
        <v>63</v>
      </c>
      <c r="F595" t="s">
        <v>15</v>
      </c>
      <c r="G595" t="s">
        <v>14</v>
      </c>
      <c r="H595">
        <v>0</v>
      </c>
      <c r="I595">
        <v>0</v>
      </c>
    </row>
    <row r="596" spans="1:9" x14ac:dyDescent="0.3">
      <c r="A596">
        <v>2</v>
      </c>
      <c r="B596">
        <v>1</v>
      </c>
      <c r="C596" t="s">
        <v>3</v>
      </c>
      <c r="D596" t="s">
        <v>2</v>
      </c>
      <c r="E596">
        <v>52</v>
      </c>
      <c r="F596" t="s">
        <v>15</v>
      </c>
      <c r="G596" t="s">
        <v>14</v>
      </c>
      <c r="H596">
        <v>11</v>
      </c>
      <c r="I596">
        <v>0</v>
      </c>
    </row>
    <row r="597" spans="1:9" x14ac:dyDescent="0.3">
      <c r="A597">
        <v>2</v>
      </c>
      <c r="B597">
        <v>1</v>
      </c>
      <c r="C597" t="s">
        <v>3</v>
      </c>
      <c r="D597" t="s">
        <v>2</v>
      </c>
      <c r="E597">
        <v>79</v>
      </c>
      <c r="F597" t="s">
        <v>15</v>
      </c>
      <c r="G597" t="s">
        <v>14</v>
      </c>
      <c r="H597">
        <v>6</v>
      </c>
      <c r="I597">
        <v>0</v>
      </c>
    </row>
    <row r="598" spans="1:9" x14ac:dyDescent="0.3">
      <c r="A598">
        <v>2</v>
      </c>
      <c r="B598">
        <v>1</v>
      </c>
      <c r="C598" t="s">
        <v>3</v>
      </c>
      <c r="D598" t="s">
        <v>2</v>
      </c>
      <c r="E598">
        <v>37</v>
      </c>
      <c r="F598" t="s">
        <v>15</v>
      </c>
      <c r="G598" t="s">
        <v>14</v>
      </c>
      <c r="H598">
        <v>2</v>
      </c>
      <c r="I598">
        <v>0</v>
      </c>
    </row>
    <row r="599" spans="1:9" x14ac:dyDescent="0.3">
      <c r="A599">
        <v>2</v>
      </c>
      <c r="B599">
        <v>1</v>
      </c>
      <c r="C599" t="s">
        <v>3</v>
      </c>
      <c r="D599" t="s">
        <v>2</v>
      </c>
      <c r="E599">
        <v>37</v>
      </c>
      <c r="F599" t="s">
        <v>15</v>
      </c>
      <c r="G599" t="s">
        <v>14</v>
      </c>
      <c r="H599">
        <v>17</v>
      </c>
      <c r="I599">
        <v>0</v>
      </c>
    </row>
    <row r="600" spans="1:9" x14ac:dyDescent="0.3">
      <c r="A600">
        <v>2</v>
      </c>
      <c r="B600">
        <v>1</v>
      </c>
      <c r="C600" t="s">
        <v>3</v>
      </c>
      <c r="D600" t="s">
        <v>2</v>
      </c>
      <c r="E600">
        <v>45</v>
      </c>
      <c r="F600" t="s">
        <v>15</v>
      </c>
      <c r="G600" t="s">
        <v>14</v>
      </c>
      <c r="H600">
        <v>0</v>
      </c>
      <c r="I600">
        <v>0</v>
      </c>
    </row>
    <row r="601" spans="1:9" x14ac:dyDescent="0.3">
      <c r="A601">
        <v>2</v>
      </c>
      <c r="B601">
        <v>1</v>
      </c>
      <c r="C601" t="s">
        <v>3</v>
      </c>
      <c r="D601" t="s">
        <v>2</v>
      </c>
      <c r="E601">
        <v>43</v>
      </c>
      <c r="F601" t="s">
        <v>15</v>
      </c>
      <c r="G601" t="s">
        <v>14</v>
      </c>
      <c r="H601">
        <v>11</v>
      </c>
      <c r="I601">
        <v>0</v>
      </c>
    </row>
    <row r="602" spans="1:9" x14ac:dyDescent="0.3">
      <c r="A602">
        <v>2</v>
      </c>
      <c r="B602">
        <v>1</v>
      </c>
      <c r="C602" t="s">
        <v>3</v>
      </c>
      <c r="D602" t="s">
        <v>2</v>
      </c>
      <c r="E602">
        <v>52</v>
      </c>
      <c r="F602" t="s">
        <v>15</v>
      </c>
      <c r="G602" t="s">
        <v>14</v>
      </c>
      <c r="H602">
        <v>0</v>
      </c>
      <c r="I602">
        <v>0</v>
      </c>
    </row>
    <row r="603" spans="1:9" x14ac:dyDescent="0.3">
      <c r="A603">
        <v>2</v>
      </c>
      <c r="B603">
        <v>1</v>
      </c>
      <c r="C603" t="s">
        <v>3</v>
      </c>
      <c r="D603" t="s">
        <v>2</v>
      </c>
      <c r="E603">
        <v>38</v>
      </c>
      <c r="F603" t="s">
        <v>15</v>
      </c>
      <c r="G603" t="s">
        <v>14</v>
      </c>
      <c r="H603">
        <v>9</v>
      </c>
      <c r="I603">
        <v>0</v>
      </c>
    </row>
    <row r="604" spans="1:9" x14ac:dyDescent="0.3">
      <c r="A604">
        <v>2</v>
      </c>
      <c r="B604">
        <v>1</v>
      </c>
      <c r="C604" t="s">
        <v>3</v>
      </c>
      <c r="D604" t="s">
        <v>2</v>
      </c>
      <c r="E604">
        <v>19</v>
      </c>
      <c r="F604" t="s">
        <v>15</v>
      </c>
      <c r="G604" t="s">
        <v>14</v>
      </c>
      <c r="H604">
        <v>2</v>
      </c>
      <c r="I604">
        <v>0</v>
      </c>
    </row>
    <row r="605" spans="1:9" x14ac:dyDescent="0.3">
      <c r="A605">
        <v>2</v>
      </c>
      <c r="B605">
        <v>1</v>
      </c>
      <c r="C605" t="s">
        <v>3</v>
      </c>
      <c r="D605" t="s">
        <v>2</v>
      </c>
      <c r="E605">
        <v>46</v>
      </c>
      <c r="F605" t="s">
        <v>15</v>
      </c>
      <c r="G605" t="s">
        <v>14</v>
      </c>
      <c r="H605">
        <v>0</v>
      </c>
      <c r="I605">
        <v>0</v>
      </c>
    </row>
    <row r="606" spans="1:9" x14ac:dyDescent="0.3">
      <c r="A606">
        <v>2</v>
      </c>
      <c r="B606">
        <v>1</v>
      </c>
      <c r="C606" t="s">
        <v>3</v>
      </c>
      <c r="D606" t="s">
        <v>2</v>
      </c>
      <c r="E606">
        <v>64</v>
      </c>
      <c r="F606" t="s">
        <v>15</v>
      </c>
      <c r="G606" t="s">
        <v>14</v>
      </c>
      <c r="H606">
        <v>2</v>
      </c>
      <c r="I606">
        <v>0</v>
      </c>
    </row>
    <row r="607" spans="1:9" x14ac:dyDescent="0.3">
      <c r="A607">
        <v>2</v>
      </c>
      <c r="B607">
        <v>1</v>
      </c>
      <c r="C607" t="s">
        <v>3</v>
      </c>
      <c r="D607" t="s">
        <v>2</v>
      </c>
      <c r="E607">
        <v>62</v>
      </c>
      <c r="F607" t="s">
        <v>15</v>
      </c>
      <c r="G607" t="s">
        <v>14</v>
      </c>
      <c r="H607">
        <v>2</v>
      </c>
      <c r="I607">
        <v>0</v>
      </c>
    </row>
    <row r="608" spans="1:9" x14ac:dyDescent="0.3">
      <c r="A608">
        <v>2</v>
      </c>
      <c r="B608">
        <v>1</v>
      </c>
      <c r="C608" t="s">
        <v>3</v>
      </c>
      <c r="D608" t="s">
        <v>2</v>
      </c>
      <c r="E608">
        <v>35</v>
      </c>
      <c r="F608" t="s">
        <v>15</v>
      </c>
      <c r="G608" t="s">
        <v>14</v>
      </c>
      <c r="H608">
        <v>4</v>
      </c>
      <c r="I608">
        <v>0</v>
      </c>
    </row>
    <row r="609" spans="1:9" x14ac:dyDescent="0.3">
      <c r="A609">
        <v>2</v>
      </c>
      <c r="B609">
        <v>1</v>
      </c>
      <c r="C609" t="s">
        <v>3</v>
      </c>
      <c r="D609" t="s">
        <v>2</v>
      </c>
      <c r="E609">
        <v>49</v>
      </c>
      <c r="F609" t="s">
        <v>15</v>
      </c>
      <c r="G609" t="s">
        <v>14</v>
      </c>
      <c r="H609">
        <v>0</v>
      </c>
      <c r="I609">
        <v>0</v>
      </c>
    </row>
    <row r="610" spans="1:9" x14ac:dyDescent="0.3">
      <c r="A610">
        <v>2</v>
      </c>
      <c r="B610">
        <v>1</v>
      </c>
      <c r="C610" t="s">
        <v>3</v>
      </c>
      <c r="D610" t="s">
        <v>2</v>
      </c>
      <c r="E610">
        <v>62</v>
      </c>
      <c r="F610" t="s">
        <v>15</v>
      </c>
      <c r="G610" t="s">
        <v>14</v>
      </c>
      <c r="H610">
        <v>3</v>
      </c>
      <c r="I610">
        <v>0</v>
      </c>
    </row>
    <row r="611" spans="1:9" x14ac:dyDescent="0.3">
      <c r="A611">
        <v>2</v>
      </c>
      <c r="B611">
        <v>1</v>
      </c>
      <c r="C611" t="s">
        <v>3</v>
      </c>
      <c r="D611" t="s">
        <v>2</v>
      </c>
      <c r="E611">
        <v>31</v>
      </c>
      <c r="F611" t="s">
        <v>15</v>
      </c>
      <c r="G611" t="s">
        <v>14</v>
      </c>
      <c r="H611">
        <v>8</v>
      </c>
      <c r="I611">
        <v>0</v>
      </c>
    </row>
    <row r="612" spans="1:9" x14ac:dyDescent="0.3">
      <c r="A612">
        <v>2</v>
      </c>
      <c r="B612">
        <v>1</v>
      </c>
      <c r="C612" t="s">
        <v>3</v>
      </c>
      <c r="D612" t="s">
        <v>2</v>
      </c>
      <c r="E612">
        <v>64</v>
      </c>
      <c r="F612" t="s">
        <v>15</v>
      </c>
      <c r="G612" t="s">
        <v>14</v>
      </c>
      <c r="H612">
        <v>3</v>
      </c>
      <c r="I612">
        <v>0</v>
      </c>
    </row>
    <row r="613" spans="1:9" x14ac:dyDescent="0.3">
      <c r="A613">
        <v>2</v>
      </c>
      <c r="B613">
        <v>1</v>
      </c>
      <c r="C613" t="s">
        <v>3</v>
      </c>
      <c r="D613" t="s">
        <v>2</v>
      </c>
      <c r="E613">
        <v>45</v>
      </c>
      <c r="F613" t="s">
        <v>15</v>
      </c>
      <c r="G613" t="s">
        <v>14</v>
      </c>
      <c r="H613">
        <v>0</v>
      </c>
      <c r="I613">
        <v>0</v>
      </c>
    </row>
    <row r="614" spans="1:9" x14ac:dyDescent="0.3">
      <c r="A614">
        <v>2</v>
      </c>
      <c r="B614">
        <v>1</v>
      </c>
      <c r="C614" t="s">
        <v>3</v>
      </c>
      <c r="D614" t="s">
        <v>2</v>
      </c>
      <c r="E614">
        <v>38</v>
      </c>
      <c r="F614" t="s">
        <v>15</v>
      </c>
      <c r="G614" t="s">
        <v>14</v>
      </c>
      <c r="H614">
        <v>34</v>
      </c>
      <c r="I614">
        <v>0</v>
      </c>
    </row>
    <row r="615" spans="1:9" x14ac:dyDescent="0.3">
      <c r="A615">
        <v>2</v>
      </c>
      <c r="B615">
        <v>1</v>
      </c>
      <c r="C615" t="s">
        <v>3</v>
      </c>
      <c r="D615" t="s">
        <v>2</v>
      </c>
      <c r="E615">
        <v>38</v>
      </c>
      <c r="F615" t="s">
        <v>15</v>
      </c>
      <c r="G615" t="s">
        <v>14</v>
      </c>
      <c r="H615">
        <v>2</v>
      </c>
      <c r="I615">
        <v>0</v>
      </c>
    </row>
    <row r="616" spans="1:9" x14ac:dyDescent="0.3">
      <c r="A616">
        <v>2</v>
      </c>
      <c r="B616">
        <v>1</v>
      </c>
      <c r="C616" t="s">
        <v>3</v>
      </c>
      <c r="D616" t="s">
        <v>2</v>
      </c>
      <c r="E616">
        <v>55</v>
      </c>
      <c r="F616" t="s">
        <v>15</v>
      </c>
      <c r="G616" t="s">
        <v>14</v>
      </c>
      <c r="H616">
        <v>15</v>
      </c>
      <c r="I616">
        <v>0</v>
      </c>
    </row>
    <row r="617" spans="1:9" x14ac:dyDescent="0.3">
      <c r="A617">
        <v>2</v>
      </c>
      <c r="B617">
        <v>1</v>
      </c>
      <c r="C617" t="s">
        <v>3</v>
      </c>
      <c r="D617" t="s">
        <v>2</v>
      </c>
      <c r="E617">
        <v>59</v>
      </c>
      <c r="F617" t="s">
        <v>15</v>
      </c>
      <c r="G617" t="s">
        <v>14</v>
      </c>
      <c r="H617">
        <v>0</v>
      </c>
      <c r="I617">
        <v>0</v>
      </c>
    </row>
    <row r="618" spans="1:9" x14ac:dyDescent="0.3">
      <c r="A618">
        <v>2</v>
      </c>
      <c r="B618">
        <v>1</v>
      </c>
      <c r="C618" t="s">
        <v>3</v>
      </c>
      <c r="D618" t="s">
        <v>2</v>
      </c>
      <c r="E618">
        <v>47</v>
      </c>
      <c r="F618" t="s">
        <v>15</v>
      </c>
      <c r="G618" t="s">
        <v>14</v>
      </c>
      <c r="H618">
        <v>7</v>
      </c>
      <c r="I618">
        <v>0</v>
      </c>
    </row>
    <row r="619" spans="1:9" x14ac:dyDescent="0.3">
      <c r="A619">
        <v>2</v>
      </c>
      <c r="B619">
        <v>1</v>
      </c>
      <c r="C619" t="s">
        <v>3</v>
      </c>
      <c r="D619" t="s">
        <v>2</v>
      </c>
      <c r="E619">
        <v>46</v>
      </c>
      <c r="F619" t="s">
        <v>15</v>
      </c>
      <c r="G619" t="s">
        <v>14</v>
      </c>
      <c r="H619">
        <v>0</v>
      </c>
      <c r="I619">
        <v>0</v>
      </c>
    </row>
    <row r="620" spans="1:9" x14ac:dyDescent="0.3">
      <c r="A620">
        <v>2</v>
      </c>
      <c r="B620">
        <v>1</v>
      </c>
      <c r="C620" t="s">
        <v>3</v>
      </c>
      <c r="D620" t="s">
        <v>2</v>
      </c>
      <c r="E620">
        <v>22</v>
      </c>
      <c r="F620" t="s">
        <v>15</v>
      </c>
      <c r="G620" t="s">
        <v>14</v>
      </c>
      <c r="H620">
        <v>8</v>
      </c>
      <c r="I620">
        <v>0</v>
      </c>
    </row>
    <row r="621" spans="1:9" x14ac:dyDescent="0.3">
      <c r="A621">
        <v>2</v>
      </c>
      <c r="B621">
        <v>1</v>
      </c>
      <c r="C621" t="s">
        <v>3</v>
      </c>
      <c r="D621" t="s">
        <v>2</v>
      </c>
      <c r="E621">
        <v>83</v>
      </c>
      <c r="F621" t="s">
        <v>15</v>
      </c>
      <c r="G621" t="s">
        <v>14</v>
      </c>
      <c r="H621">
        <v>9</v>
      </c>
      <c r="I621">
        <v>0</v>
      </c>
    </row>
    <row r="622" spans="1:9" x14ac:dyDescent="0.3">
      <c r="A622">
        <v>2</v>
      </c>
      <c r="B622">
        <v>1</v>
      </c>
      <c r="C622" t="s">
        <v>3</v>
      </c>
      <c r="D622" t="s">
        <v>2</v>
      </c>
      <c r="E622">
        <v>23</v>
      </c>
      <c r="F622" t="s">
        <v>15</v>
      </c>
      <c r="G622" t="s">
        <v>14</v>
      </c>
      <c r="H622">
        <v>10</v>
      </c>
      <c r="I622">
        <v>0</v>
      </c>
    </row>
    <row r="623" spans="1:9" x14ac:dyDescent="0.3">
      <c r="A623">
        <v>2</v>
      </c>
      <c r="B623">
        <v>1</v>
      </c>
      <c r="C623" t="s">
        <v>3</v>
      </c>
      <c r="D623" t="s">
        <v>2</v>
      </c>
      <c r="E623">
        <v>63</v>
      </c>
      <c r="F623" t="s">
        <v>15</v>
      </c>
      <c r="G623" t="s">
        <v>14</v>
      </c>
      <c r="H623">
        <v>0</v>
      </c>
      <c r="I623">
        <v>0</v>
      </c>
    </row>
    <row r="624" spans="1:9" x14ac:dyDescent="0.3">
      <c r="A624">
        <v>2</v>
      </c>
      <c r="B624">
        <v>1</v>
      </c>
      <c r="C624" t="s">
        <v>3</v>
      </c>
      <c r="D624" t="s">
        <v>2</v>
      </c>
      <c r="E624">
        <v>34</v>
      </c>
      <c r="F624" t="s">
        <v>15</v>
      </c>
      <c r="G624" t="s">
        <v>14</v>
      </c>
      <c r="H624">
        <v>4</v>
      </c>
      <c r="I624">
        <v>0</v>
      </c>
    </row>
    <row r="625" spans="1:9" x14ac:dyDescent="0.3">
      <c r="A625">
        <v>2</v>
      </c>
      <c r="B625">
        <v>1</v>
      </c>
      <c r="C625" t="s">
        <v>3</v>
      </c>
      <c r="D625" t="s">
        <v>2</v>
      </c>
      <c r="E625">
        <v>28</v>
      </c>
      <c r="F625" t="s">
        <v>15</v>
      </c>
      <c r="G625" t="s">
        <v>14</v>
      </c>
      <c r="H625">
        <v>14</v>
      </c>
      <c r="I625">
        <v>0</v>
      </c>
    </row>
    <row r="626" spans="1:9" x14ac:dyDescent="0.3">
      <c r="A626">
        <v>2</v>
      </c>
      <c r="B626">
        <v>1</v>
      </c>
      <c r="C626" t="s">
        <v>3</v>
      </c>
      <c r="D626" t="s">
        <v>2</v>
      </c>
      <c r="E626">
        <v>23</v>
      </c>
      <c r="F626" t="s">
        <v>15</v>
      </c>
      <c r="G626" t="s">
        <v>14</v>
      </c>
      <c r="H626">
        <v>5</v>
      </c>
      <c r="I626">
        <v>0</v>
      </c>
    </row>
    <row r="627" spans="1:9" x14ac:dyDescent="0.3">
      <c r="A627">
        <v>2</v>
      </c>
      <c r="B627">
        <v>1</v>
      </c>
      <c r="C627" t="s">
        <v>3</v>
      </c>
      <c r="D627" t="s">
        <v>2</v>
      </c>
      <c r="E627">
        <v>44</v>
      </c>
      <c r="F627" t="s">
        <v>15</v>
      </c>
      <c r="G627" t="s">
        <v>14</v>
      </c>
      <c r="H627">
        <v>28</v>
      </c>
      <c r="I627">
        <v>0</v>
      </c>
    </row>
    <row r="628" spans="1:9" x14ac:dyDescent="0.3">
      <c r="A628">
        <v>2</v>
      </c>
      <c r="B628">
        <v>1</v>
      </c>
      <c r="C628" t="s">
        <v>3</v>
      </c>
      <c r="D628" t="s">
        <v>2</v>
      </c>
      <c r="E628">
        <v>49</v>
      </c>
      <c r="F628" t="s">
        <v>15</v>
      </c>
      <c r="G628" t="s">
        <v>14</v>
      </c>
      <c r="H628">
        <v>8</v>
      </c>
      <c r="I628">
        <v>0</v>
      </c>
    </row>
    <row r="629" spans="1:9" x14ac:dyDescent="0.3">
      <c r="A629">
        <v>2</v>
      </c>
      <c r="B629">
        <v>1</v>
      </c>
      <c r="C629" t="s">
        <v>3</v>
      </c>
      <c r="D629" t="s">
        <v>2</v>
      </c>
      <c r="E629">
        <v>41</v>
      </c>
      <c r="F629" t="s">
        <v>15</v>
      </c>
      <c r="G629" t="s">
        <v>14</v>
      </c>
      <c r="H629">
        <v>9</v>
      </c>
      <c r="I629">
        <v>0</v>
      </c>
    </row>
    <row r="630" spans="1:9" x14ac:dyDescent="0.3">
      <c r="A630">
        <v>2</v>
      </c>
      <c r="B630">
        <v>1</v>
      </c>
      <c r="C630" t="s">
        <v>3</v>
      </c>
      <c r="D630" t="s">
        <v>2</v>
      </c>
      <c r="E630">
        <v>46</v>
      </c>
      <c r="F630" t="s">
        <v>15</v>
      </c>
      <c r="G630" t="s">
        <v>14</v>
      </c>
      <c r="H630">
        <v>0</v>
      </c>
      <c r="I630">
        <v>0</v>
      </c>
    </row>
    <row r="631" spans="1:9" x14ac:dyDescent="0.3">
      <c r="A631">
        <v>2</v>
      </c>
      <c r="B631">
        <v>1</v>
      </c>
      <c r="C631" t="s">
        <v>3</v>
      </c>
      <c r="D631" t="s">
        <v>2</v>
      </c>
      <c r="E631">
        <v>27</v>
      </c>
      <c r="F631" t="s">
        <v>15</v>
      </c>
      <c r="G631" t="s">
        <v>14</v>
      </c>
      <c r="H631">
        <v>0</v>
      </c>
      <c r="I631">
        <v>0</v>
      </c>
    </row>
    <row r="632" spans="1:9" x14ac:dyDescent="0.3">
      <c r="A632">
        <v>2</v>
      </c>
      <c r="B632">
        <v>1</v>
      </c>
      <c r="C632" t="s">
        <v>3</v>
      </c>
      <c r="D632" t="s">
        <v>2</v>
      </c>
      <c r="E632">
        <v>21</v>
      </c>
      <c r="F632" t="s">
        <v>15</v>
      </c>
      <c r="G632" t="s">
        <v>14</v>
      </c>
      <c r="H632">
        <v>0</v>
      </c>
      <c r="I632">
        <v>0</v>
      </c>
    </row>
    <row r="633" spans="1:9" x14ac:dyDescent="0.3">
      <c r="A633">
        <v>2</v>
      </c>
      <c r="B633">
        <v>1</v>
      </c>
      <c r="C633" t="s">
        <v>3</v>
      </c>
      <c r="D633" t="s">
        <v>2</v>
      </c>
      <c r="E633">
        <v>40</v>
      </c>
      <c r="F633" t="s">
        <v>15</v>
      </c>
      <c r="G633" t="s">
        <v>14</v>
      </c>
      <c r="H633">
        <v>7</v>
      </c>
      <c r="I633">
        <v>0</v>
      </c>
    </row>
    <row r="634" spans="1:9" x14ac:dyDescent="0.3">
      <c r="A634">
        <v>2</v>
      </c>
      <c r="B634">
        <v>1</v>
      </c>
      <c r="C634" t="s">
        <v>3</v>
      </c>
      <c r="D634" t="s">
        <v>2</v>
      </c>
      <c r="E634">
        <v>36</v>
      </c>
      <c r="F634" t="s">
        <v>15</v>
      </c>
      <c r="G634" t="s">
        <v>14</v>
      </c>
      <c r="H634">
        <v>18</v>
      </c>
      <c r="I634">
        <v>0</v>
      </c>
    </row>
    <row r="635" spans="1:9" x14ac:dyDescent="0.3">
      <c r="A635">
        <v>2</v>
      </c>
      <c r="B635">
        <v>1</v>
      </c>
      <c r="C635" t="s">
        <v>3</v>
      </c>
      <c r="D635" t="s">
        <v>2</v>
      </c>
      <c r="E635">
        <v>58</v>
      </c>
      <c r="F635" t="s">
        <v>15</v>
      </c>
      <c r="G635" t="s">
        <v>14</v>
      </c>
      <c r="H635">
        <v>2</v>
      </c>
      <c r="I635">
        <v>0</v>
      </c>
    </row>
    <row r="636" spans="1:9" x14ac:dyDescent="0.3">
      <c r="A636">
        <v>2</v>
      </c>
      <c r="B636">
        <v>1</v>
      </c>
      <c r="C636" t="s">
        <v>3</v>
      </c>
      <c r="D636" t="s">
        <v>2</v>
      </c>
      <c r="E636">
        <v>64</v>
      </c>
      <c r="F636" t="s">
        <v>15</v>
      </c>
      <c r="G636" t="s">
        <v>14</v>
      </c>
      <c r="H636">
        <v>17</v>
      </c>
      <c r="I636">
        <v>0</v>
      </c>
    </row>
    <row r="637" spans="1:9" x14ac:dyDescent="0.3">
      <c r="A637">
        <v>2</v>
      </c>
      <c r="B637">
        <v>1</v>
      </c>
      <c r="C637" t="s">
        <v>3</v>
      </c>
      <c r="D637" t="s">
        <v>2</v>
      </c>
      <c r="E637">
        <v>17</v>
      </c>
      <c r="F637" t="s">
        <v>15</v>
      </c>
      <c r="G637" t="s">
        <v>14</v>
      </c>
      <c r="H637">
        <v>2</v>
      </c>
      <c r="I637">
        <v>0</v>
      </c>
    </row>
    <row r="638" spans="1:9" x14ac:dyDescent="0.3">
      <c r="A638">
        <v>2</v>
      </c>
      <c r="B638">
        <v>1</v>
      </c>
      <c r="C638" t="s">
        <v>3</v>
      </c>
      <c r="D638" t="s">
        <v>2</v>
      </c>
      <c r="E638">
        <v>36</v>
      </c>
      <c r="F638" t="s">
        <v>15</v>
      </c>
      <c r="G638" t="s">
        <v>14</v>
      </c>
      <c r="H638">
        <v>16</v>
      </c>
      <c r="I638">
        <v>0</v>
      </c>
    </row>
    <row r="639" spans="1:9" x14ac:dyDescent="0.3">
      <c r="A639">
        <v>2</v>
      </c>
      <c r="B639">
        <v>1</v>
      </c>
      <c r="C639" t="s">
        <v>3</v>
      </c>
      <c r="D639" t="s">
        <v>2</v>
      </c>
      <c r="E639">
        <v>76</v>
      </c>
      <c r="F639" t="s">
        <v>15</v>
      </c>
      <c r="G639" t="s">
        <v>14</v>
      </c>
      <c r="H639">
        <v>15</v>
      </c>
      <c r="I639">
        <v>0</v>
      </c>
    </row>
    <row r="640" spans="1:9" x14ac:dyDescent="0.3">
      <c r="A640">
        <v>2</v>
      </c>
      <c r="B640">
        <v>1</v>
      </c>
      <c r="C640" t="s">
        <v>3</v>
      </c>
      <c r="D640" t="s">
        <v>2</v>
      </c>
      <c r="E640">
        <v>41</v>
      </c>
      <c r="F640" t="s">
        <v>15</v>
      </c>
      <c r="G640" t="s">
        <v>14</v>
      </c>
      <c r="H640">
        <v>0</v>
      </c>
      <c r="I640">
        <v>0</v>
      </c>
    </row>
    <row r="641" spans="1:9" x14ac:dyDescent="0.3">
      <c r="A641">
        <v>2</v>
      </c>
      <c r="B641">
        <v>1</v>
      </c>
      <c r="C641" t="s">
        <v>3</v>
      </c>
      <c r="D641" t="s">
        <v>2</v>
      </c>
      <c r="E641">
        <v>21</v>
      </c>
      <c r="F641" t="s">
        <v>15</v>
      </c>
      <c r="G641" t="s">
        <v>14</v>
      </c>
      <c r="H641">
        <v>2</v>
      </c>
      <c r="I641">
        <v>0</v>
      </c>
    </row>
    <row r="642" spans="1:9" x14ac:dyDescent="0.3">
      <c r="A642">
        <v>2</v>
      </c>
      <c r="B642">
        <v>1</v>
      </c>
      <c r="C642" t="s">
        <v>3</v>
      </c>
      <c r="D642" t="s">
        <v>2</v>
      </c>
      <c r="E642">
        <v>28</v>
      </c>
      <c r="F642" t="s">
        <v>15</v>
      </c>
      <c r="G642" t="s">
        <v>14</v>
      </c>
      <c r="H642">
        <v>0</v>
      </c>
      <c r="I642">
        <v>0</v>
      </c>
    </row>
    <row r="643" spans="1:9" x14ac:dyDescent="0.3">
      <c r="A643">
        <v>2</v>
      </c>
      <c r="B643">
        <v>1</v>
      </c>
      <c r="C643" t="s">
        <v>3</v>
      </c>
      <c r="D643" t="s">
        <v>2</v>
      </c>
      <c r="E643">
        <v>31</v>
      </c>
      <c r="F643" t="s">
        <v>15</v>
      </c>
      <c r="G643" t="s">
        <v>14</v>
      </c>
      <c r="H643">
        <v>9</v>
      </c>
      <c r="I643">
        <v>0</v>
      </c>
    </row>
    <row r="644" spans="1:9" x14ac:dyDescent="0.3">
      <c r="A644">
        <v>2</v>
      </c>
      <c r="B644">
        <v>1</v>
      </c>
      <c r="C644" t="s">
        <v>3</v>
      </c>
      <c r="D644" t="s">
        <v>2</v>
      </c>
      <c r="E644">
        <v>34</v>
      </c>
      <c r="F644" t="s">
        <v>15</v>
      </c>
      <c r="G644" t="s">
        <v>14</v>
      </c>
      <c r="H644">
        <v>8</v>
      </c>
      <c r="I644">
        <v>0</v>
      </c>
    </row>
    <row r="645" spans="1:9" x14ac:dyDescent="0.3">
      <c r="A645">
        <v>2</v>
      </c>
      <c r="B645">
        <v>1</v>
      </c>
      <c r="C645" t="s">
        <v>3</v>
      </c>
      <c r="D645" t="s">
        <v>2</v>
      </c>
      <c r="E645">
        <v>1</v>
      </c>
      <c r="F645" t="s">
        <v>15</v>
      </c>
      <c r="G645" t="s">
        <v>14</v>
      </c>
      <c r="H645">
        <v>2</v>
      </c>
      <c r="I645">
        <v>1</v>
      </c>
    </row>
    <row r="646" spans="1:9" x14ac:dyDescent="0.3">
      <c r="A646">
        <v>2</v>
      </c>
      <c r="B646">
        <v>1</v>
      </c>
      <c r="C646" t="s">
        <v>3</v>
      </c>
      <c r="D646" t="s">
        <v>2</v>
      </c>
      <c r="E646">
        <v>46</v>
      </c>
      <c r="F646" t="s">
        <v>15</v>
      </c>
      <c r="G646" t="s">
        <v>14</v>
      </c>
      <c r="H646">
        <v>13</v>
      </c>
      <c r="I646">
        <v>0</v>
      </c>
    </row>
    <row r="647" spans="1:9" x14ac:dyDescent="0.3">
      <c r="A647">
        <v>2</v>
      </c>
      <c r="B647">
        <v>1</v>
      </c>
      <c r="C647" t="s">
        <v>3</v>
      </c>
      <c r="D647" t="s">
        <v>2</v>
      </c>
      <c r="E647">
        <v>43</v>
      </c>
      <c r="F647" t="s">
        <v>15</v>
      </c>
      <c r="G647" t="s">
        <v>14</v>
      </c>
      <c r="H647">
        <v>0</v>
      </c>
      <c r="I647">
        <v>0</v>
      </c>
    </row>
    <row r="648" spans="1:9" x14ac:dyDescent="0.3">
      <c r="A648">
        <v>2</v>
      </c>
      <c r="B648">
        <v>1</v>
      </c>
      <c r="C648" t="s">
        <v>3</v>
      </c>
      <c r="D648" t="s">
        <v>2</v>
      </c>
      <c r="E648">
        <v>50</v>
      </c>
      <c r="F648" t="s">
        <v>15</v>
      </c>
      <c r="G648" t="s">
        <v>14</v>
      </c>
      <c r="H648">
        <v>0</v>
      </c>
      <c r="I648">
        <v>0</v>
      </c>
    </row>
    <row r="649" spans="1:9" x14ac:dyDescent="0.3">
      <c r="A649">
        <v>2</v>
      </c>
      <c r="B649">
        <v>1</v>
      </c>
      <c r="C649" t="s">
        <v>3</v>
      </c>
      <c r="D649" t="s">
        <v>2</v>
      </c>
      <c r="E649">
        <v>34</v>
      </c>
      <c r="F649" t="s">
        <v>15</v>
      </c>
      <c r="G649" t="s">
        <v>14</v>
      </c>
      <c r="H649">
        <v>28</v>
      </c>
      <c r="I649">
        <v>0</v>
      </c>
    </row>
    <row r="650" spans="1:9" x14ac:dyDescent="0.3">
      <c r="A650">
        <v>2</v>
      </c>
      <c r="B650">
        <v>1</v>
      </c>
      <c r="C650" t="s">
        <v>3</v>
      </c>
      <c r="D650" t="s">
        <v>2</v>
      </c>
      <c r="E650">
        <v>29</v>
      </c>
      <c r="F650" t="s">
        <v>15</v>
      </c>
      <c r="G650" t="s">
        <v>14</v>
      </c>
      <c r="H650">
        <v>3</v>
      </c>
      <c r="I650">
        <v>0</v>
      </c>
    </row>
    <row r="651" spans="1:9" x14ac:dyDescent="0.3">
      <c r="A651">
        <v>2</v>
      </c>
      <c r="B651">
        <v>1</v>
      </c>
      <c r="C651" t="s">
        <v>3</v>
      </c>
      <c r="D651" t="s">
        <v>2</v>
      </c>
      <c r="E651">
        <v>12</v>
      </c>
      <c r="F651" t="s">
        <v>15</v>
      </c>
      <c r="G651" t="s">
        <v>14</v>
      </c>
      <c r="H651">
        <v>9</v>
      </c>
      <c r="I651">
        <v>0</v>
      </c>
    </row>
    <row r="652" spans="1:9" x14ac:dyDescent="0.3">
      <c r="A652">
        <v>2</v>
      </c>
      <c r="B652">
        <v>1</v>
      </c>
      <c r="C652" t="s">
        <v>3</v>
      </c>
      <c r="D652" t="s">
        <v>2</v>
      </c>
      <c r="E652">
        <v>53</v>
      </c>
      <c r="F652" t="s">
        <v>15</v>
      </c>
      <c r="G652" t="s">
        <v>14</v>
      </c>
      <c r="H652">
        <v>10</v>
      </c>
      <c r="I652">
        <v>0</v>
      </c>
    </row>
    <row r="653" spans="1:9" x14ac:dyDescent="0.3">
      <c r="A653">
        <v>2</v>
      </c>
      <c r="B653">
        <v>1</v>
      </c>
      <c r="C653" t="s">
        <v>3</v>
      </c>
      <c r="D653" t="s">
        <v>2</v>
      </c>
      <c r="E653">
        <v>25</v>
      </c>
      <c r="F653" t="s">
        <v>15</v>
      </c>
      <c r="G653" t="s">
        <v>14</v>
      </c>
      <c r="H653">
        <v>0</v>
      </c>
      <c r="I653">
        <v>0</v>
      </c>
    </row>
    <row r="654" spans="1:9" x14ac:dyDescent="0.3">
      <c r="A654">
        <v>2</v>
      </c>
      <c r="B654">
        <v>1</v>
      </c>
      <c r="C654" t="s">
        <v>3</v>
      </c>
      <c r="D654" t="s">
        <v>2</v>
      </c>
      <c r="E654">
        <v>38</v>
      </c>
      <c r="F654" t="s">
        <v>15</v>
      </c>
      <c r="G654" t="s">
        <v>14</v>
      </c>
      <c r="H654">
        <v>2</v>
      </c>
      <c r="I654">
        <v>0</v>
      </c>
    </row>
    <row r="655" spans="1:9" x14ac:dyDescent="0.3">
      <c r="A655">
        <v>2</v>
      </c>
      <c r="B655">
        <v>1</v>
      </c>
      <c r="C655" t="s">
        <v>3</v>
      </c>
      <c r="D655" t="s">
        <v>2</v>
      </c>
      <c r="E655">
        <v>74</v>
      </c>
      <c r="F655" t="s">
        <v>15</v>
      </c>
      <c r="G655" t="s">
        <v>14</v>
      </c>
      <c r="H655">
        <v>5</v>
      </c>
      <c r="I655">
        <v>0</v>
      </c>
    </row>
    <row r="656" spans="1:9" x14ac:dyDescent="0.3">
      <c r="A656">
        <v>2</v>
      </c>
      <c r="B656">
        <v>1</v>
      </c>
      <c r="C656" t="s">
        <v>3</v>
      </c>
      <c r="D656" t="s">
        <v>2</v>
      </c>
      <c r="E656">
        <v>72</v>
      </c>
      <c r="F656" t="s">
        <v>15</v>
      </c>
      <c r="G656" t="s">
        <v>14</v>
      </c>
      <c r="H656">
        <v>9</v>
      </c>
      <c r="I656">
        <v>0</v>
      </c>
    </row>
    <row r="657" spans="1:9" x14ac:dyDescent="0.3">
      <c r="A657">
        <v>2</v>
      </c>
      <c r="B657">
        <v>1</v>
      </c>
      <c r="C657" t="s">
        <v>3</v>
      </c>
      <c r="D657" t="s">
        <v>2</v>
      </c>
      <c r="E657">
        <v>35</v>
      </c>
      <c r="F657" t="s">
        <v>15</v>
      </c>
      <c r="G657" t="s">
        <v>14</v>
      </c>
      <c r="H657">
        <v>11</v>
      </c>
      <c r="I657">
        <v>0</v>
      </c>
    </row>
    <row r="658" spans="1:9" x14ac:dyDescent="0.3">
      <c r="A658">
        <v>2</v>
      </c>
      <c r="B658">
        <v>1</v>
      </c>
      <c r="C658" t="s">
        <v>3</v>
      </c>
      <c r="D658" t="s">
        <v>2</v>
      </c>
      <c r="E658">
        <v>16</v>
      </c>
      <c r="F658" t="s">
        <v>15</v>
      </c>
      <c r="G658" t="s">
        <v>14</v>
      </c>
      <c r="H658">
        <v>5</v>
      </c>
      <c r="I658">
        <v>0</v>
      </c>
    </row>
    <row r="659" spans="1:9" x14ac:dyDescent="0.3">
      <c r="A659">
        <v>2</v>
      </c>
      <c r="B659">
        <v>1</v>
      </c>
      <c r="C659" t="s">
        <v>3</v>
      </c>
      <c r="D659" t="s">
        <v>2</v>
      </c>
      <c r="E659">
        <v>63</v>
      </c>
      <c r="F659" t="s">
        <v>15</v>
      </c>
      <c r="G659" t="s">
        <v>14</v>
      </c>
      <c r="H659">
        <v>32</v>
      </c>
      <c r="I659">
        <v>0</v>
      </c>
    </row>
    <row r="660" spans="1:9" x14ac:dyDescent="0.3">
      <c r="A660">
        <v>2</v>
      </c>
      <c r="B660">
        <v>1</v>
      </c>
      <c r="C660" t="s">
        <v>3</v>
      </c>
      <c r="D660" t="s">
        <v>2</v>
      </c>
      <c r="E660">
        <v>39</v>
      </c>
      <c r="F660" t="s">
        <v>15</v>
      </c>
      <c r="G660" t="s">
        <v>14</v>
      </c>
      <c r="H660">
        <v>2</v>
      </c>
      <c r="I660">
        <v>0</v>
      </c>
    </row>
    <row r="661" spans="1:9" x14ac:dyDescent="0.3">
      <c r="A661">
        <v>2</v>
      </c>
      <c r="B661">
        <v>1</v>
      </c>
      <c r="C661" t="s">
        <v>3</v>
      </c>
      <c r="D661" t="s">
        <v>2</v>
      </c>
      <c r="E661">
        <v>26</v>
      </c>
      <c r="F661" t="s">
        <v>15</v>
      </c>
      <c r="G661" t="s">
        <v>14</v>
      </c>
      <c r="H661">
        <v>13</v>
      </c>
      <c r="I661">
        <v>0</v>
      </c>
    </row>
    <row r="662" spans="1:9" x14ac:dyDescent="0.3">
      <c r="A662">
        <v>2</v>
      </c>
      <c r="B662">
        <v>1</v>
      </c>
      <c r="C662" t="s">
        <v>3</v>
      </c>
      <c r="D662" t="s">
        <v>2</v>
      </c>
      <c r="E662">
        <v>36</v>
      </c>
      <c r="F662" t="s">
        <v>15</v>
      </c>
      <c r="G662" t="s">
        <v>14</v>
      </c>
      <c r="H662">
        <v>3</v>
      </c>
      <c r="I662">
        <v>0</v>
      </c>
    </row>
    <row r="663" spans="1:9" x14ac:dyDescent="0.3">
      <c r="A663">
        <v>2</v>
      </c>
      <c r="B663">
        <v>1</v>
      </c>
      <c r="C663" t="s">
        <v>3</v>
      </c>
      <c r="D663" t="s">
        <v>2</v>
      </c>
      <c r="E663">
        <v>70</v>
      </c>
      <c r="F663" t="s">
        <v>15</v>
      </c>
      <c r="G663" t="s">
        <v>14</v>
      </c>
      <c r="H663">
        <v>0</v>
      </c>
      <c r="I663">
        <v>0</v>
      </c>
    </row>
    <row r="664" spans="1:9" x14ac:dyDescent="0.3">
      <c r="A664">
        <v>2</v>
      </c>
      <c r="B664">
        <v>1</v>
      </c>
      <c r="C664" t="s">
        <v>3</v>
      </c>
      <c r="D664" t="s">
        <v>2</v>
      </c>
      <c r="E664">
        <v>33</v>
      </c>
      <c r="F664" t="s">
        <v>15</v>
      </c>
      <c r="G664" t="s">
        <v>14</v>
      </c>
      <c r="H664">
        <v>7</v>
      </c>
      <c r="I664">
        <v>0</v>
      </c>
    </row>
    <row r="665" spans="1:9" x14ac:dyDescent="0.3">
      <c r="A665">
        <v>2</v>
      </c>
      <c r="B665">
        <v>1</v>
      </c>
      <c r="C665" t="s">
        <v>3</v>
      </c>
      <c r="D665" t="s">
        <v>2</v>
      </c>
      <c r="E665">
        <v>40</v>
      </c>
      <c r="F665" t="s">
        <v>15</v>
      </c>
      <c r="G665" t="s">
        <v>14</v>
      </c>
      <c r="H665">
        <v>0</v>
      </c>
      <c r="I665">
        <v>0</v>
      </c>
    </row>
    <row r="666" spans="1:9" x14ac:dyDescent="0.3">
      <c r="A666">
        <v>2</v>
      </c>
      <c r="B666">
        <v>1</v>
      </c>
      <c r="C666" t="s">
        <v>3</v>
      </c>
      <c r="D666" t="s">
        <v>2</v>
      </c>
      <c r="E666">
        <v>46</v>
      </c>
      <c r="F666" t="s">
        <v>15</v>
      </c>
      <c r="G666" t="s">
        <v>14</v>
      </c>
      <c r="H666">
        <v>2</v>
      </c>
      <c r="I666">
        <v>0</v>
      </c>
    </row>
    <row r="667" spans="1:9" x14ac:dyDescent="0.3">
      <c r="A667">
        <v>2</v>
      </c>
      <c r="B667">
        <v>1</v>
      </c>
      <c r="C667" t="s">
        <v>3</v>
      </c>
      <c r="D667" t="s">
        <v>2</v>
      </c>
      <c r="E667">
        <v>42</v>
      </c>
      <c r="F667" t="s">
        <v>15</v>
      </c>
      <c r="G667" t="s">
        <v>14</v>
      </c>
      <c r="H667">
        <v>2</v>
      </c>
      <c r="I667">
        <v>0</v>
      </c>
    </row>
    <row r="668" spans="1:9" x14ac:dyDescent="0.3">
      <c r="A668">
        <v>2</v>
      </c>
      <c r="B668">
        <v>1</v>
      </c>
      <c r="C668" t="s">
        <v>3</v>
      </c>
      <c r="D668" t="s">
        <v>2</v>
      </c>
      <c r="E668">
        <v>46</v>
      </c>
      <c r="F668" t="s">
        <v>15</v>
      </c>
      <c r="G668" t="s">
        <v>14</v>
      </c>
      <c r="H668">
        <v>2</v>
      </c>
      <c r="I668">
        <v>0</v>
      </c>
    </row>
    <row r="669" spans="1:9" x14ac:dyDescent="0.3">
      <c r="A669">
        <v>2</v>
      </c>
      <c r="B669">
        <v>1</v>
      </c>
      <c r="C669" t="s">
        <v>3</v>
      </c>
      <c r="D669" t="s">
        <v>2</v>
      </c>
      <c r="E669">
        <v>46</v>
      </c>
      <c r="F669" t="s">
        <v>15</v>
      </c>
      <c r="G669" t="s">
        <v>14</v>
      </c>
      <c r="H669">
        <v>8</v>
      </c>
      <c r="I669">
        <v>0</v>
      </c>
    </row>
    <row r="670" spans="1:9" x14ac:dyDescent="0.3">
      <c r="A670">
        <v>2</v>
      </c>
      <c r="B670">
        <v>1</v>
      </c>
      <c r="C670" t="s">
        <v>3</v>
      </c>
      <c r="D670" t="s">
        <v>2</v>
      </c>
      <c r="E670">
        <v>38</v>
      </c>
      <c r="F670" t="s">
        <v>15</v>
      </c>
      <c r="G670" t="s">
        <v>14</v>
      </c>
      <c r="H670">
        <v>0</v>
      </c>
      <c r="I670">
        <v>0</v>
      </c>
    </row>
    <row r="671" spans="1:9" x14ac:dyDescent="0.3">
      <c r="A671">
        <v>2</v>
      </c>
      <c r="B671">
        <v>1</v>
      </c>
      <c r="C671" t="s">
        <v>3</v>
      </c>
      <c r="D671" t="s">
        <v>2</v>
      </c>
      <c r="E671">
        <v>66</v>
      </c>
      <c r="F671" t="s">
        <v>15</v>
      </c>
      <c r="G671" t="s">
        <v>14</v>
      </c>
      <c r="H671">
        <v>0</v>
      </c>
      <c r="I671">
        <v>0</v>
      </c>
    </row>
    <row r="672" spans="1:9" x14ac:dyDescent="0.3">
      <c r="A672">
        <v>2</v>
      </c>
      <c r="B672">
        <v>1</v>
      </c>
      <c r="C672" t="s">
        <v>3</v>
      </c>
      <c r="D672" t="s">
        <v>2</v>
      </c>
      <c r="E672">
        <v>64</v>
      </c>
      <c r="F672" t="s">
        <v>15</v>
      </c>
      <c r="G672" t="s">
        <v>14</v>
      </c>
      <c r="H672">
        <v>8</v>
      </c>
      <c r="I672">
        <v>0</v>
      </c>
    </row>
    <row r="673" spans="1:9" x14ac:dyDescent="0.3">
      <c r="A673">
        <v>2</v>
      </c>
      <c r="B673">
        <v>1</v>
      </c>
      <c r="C673" t="s">
        <v>3</v>
      </c>
      <c r="D673" t="s">
        <v>2</v>
      </c>
      <c r="E673">
        <v>32</v>
      </c>
      <c r="F673" t="s">
        <v>15</v>
      </c>
      <c r="G673" t="s">
        <v>14</v>
      </c>
      <c r="H673">
        <v>8</v>
      </c>
      <c r="I673">
        <v>0</v>
      </c>
    </row>
    <row r="674" spans="1:9" x14ac:dyDescent="0.3">
      <c r="A674">
        <v>2</v>
      </c>
      <c r="B674">
        <v>1</v>
      </c>
      <c r="C674" t="s">
        <v>3</v>
      </c>
      <c r="D674" t="s">
        <v>2</v>
      </c>
      <c r="E674">
        <v>30</v>
      </c>
      <c r="F674" t="s">
        <v>15</v>
      </c>
      <c r="G674" t="s">
        <v>14</v>
      </c>
      <c r="H674">
        <v>4</v>
      </c>
      <c r="I674">
        <v>0</v>
      </c>
    </row>
    <row r="675" spans="1:9" x14ac:dyDescent="0.3">
      <c r="A675">
        <v>2</v>
      </c>
      <c r="B675">
        <v>1</v>
      </c>
      <c r="C675" t="s">
        <v>3</v>
      </c>
      <c r="D675" t="s">
        <v>2</v>
      </c>
      <c r="E675">
        <v>65</v>
      </c>
      <c r="F675" t="s">
        <v>15</v>
      </c>
      <c r="G675" t="s">
        <v>14</v>
      </c>
      <c r="H675">
        <v>13</v>
      </c>
      <c r="I675">
        <v>0</v>
      </c>
    </row>
    <row r="676" spans="1:9" x14ac:dyDescent="0.3">
      <c r="A676">
        <v>2</v>
      </c>
      <c r="B676">
        <v>1</v>
      </c>
      <c r="C676" t="s">
        <v>3</v>
      </c>
      <c r="D676" t="s">
        <v>2</v>
      </c>
      <c r="E676">
        <v>43</v>
      </c>
      <c r="F676" t="s">
        <v>15</v>
      </c>
      <c r="G676" t="s">
        <v>14</v>
      </c>
      <c r="H676">
        <v>15</v>
      </c>
      <c r="I676">
        <v>0</v>
      </c>
    </row>
    <row r="677" spans="1:9" x14ac:dyDescent="0.3">
      <c r="A677">
        <v>2</v>
      </c>
      <c r="B677">
        <v>1</v>
      </c>
      <c r="C677" t="s">
        <v>3</v>
      </c>
      <c r="D677" t="s">
        <v>2</v>
      </c>
      <c r="E677">
        <v>50</v>
      </c>
      <c r="F677" t="s">
        <v>15</v>
      </c>
      <c r="G677" t="s">
        <v>14</v>
      </c>
      <c r="H677">
        <v>22</v>
      </c>
      <c r="I677">
        <v>0</v>
      </c>
    </row>
    <row r="678" spans="1:9" x14ac:dyDescent="0.3">
      <c r="A678">
        <v>2</v>
      </c>
      <c r="B678">
        <v>1</v>
      </c>
      <c r="C678" t="s">
        <v>3</v>
      </c>
      <c r="D678" t="s">
        <v>2</v>
      </c>
      <c r="E678">
        <v>40</v>
      </c>
      <c r="F678" t="s">
        <v>15</v>
      </c>
      <c r="G678" t="s">
        <v>14</v>
      </c>
      <c r="H678">
        <v>2</v>
      </c>
      <c r="I678">
        <v>0</v>
      </c>
    </row>
    <row r="679" spans="1:9" x14ac:dyDescent="0.3">
      <c r="A679">
        <v>2</v>
      </c>
      <c r="B679">
        <v>1</v>
      </c>
      <c r="C679" t="s">
        <v>3</v>
      </c>
      <c r="D679" t="s">
        <v>2</v>
      </c>
      <c r="E679">
        <v>67</v>
      </c>
      <c r="F679" t="s">
        <v>15</v>
      </c>
      <c r="G679" t="s">
        <v>14</v>
      </c>
      <c r="H679">
        <v>0</v>
      </c>
      <c r="I679">
        <v>0</v>
      </c>
    </row>
    <row r="680" spans="1:9" x14ac:dyDescent="0.3">
      <c r="A680">
        <v>2</v>
      </c>
      <c r="B680">
        <v>1</v>
      </c>
      <c r="C680" t="s">
        <v>3</v>
      </c>
      <c r="D680" t="s">
        <v>2</v>
      </c>
      <c r="E680">
        <v>47</v>
      </c>
      <c r="F680" t="s">
        <v>15</v>
      </c>
      <c r="G680" t="s">
        <v>14</v>
      </c>
      <c r="H680">
        <v>0</v>
      </c>
      <c r="I680">
        <v>0</v>
      </c>
    </row>
    <row r="681" spans="1:9" x14ac:dyDescent="0.3">
      <c r="A681">
        <v>2</v>
      </c>
      <c r="B681">
        <v>1</v>
      </c>
      <c r="C681" t="s">
        <v>3</v>
      </c>
      <c r="D681" t="s">
        <v>2</v>
      </c>
      <c r="E681">
        <v>15</v>
      </c>
      <c r="F681" t="s">
        <v>15</v>
      </c>
      <c r="G681" t="s">
        <v>14</v>
      </c>
      <c r="H681">
        <v>0</v>
      </c>
      <c r="I681">
        <v>0</v>
      </c>
    </row>
    <row r="682" spans="1:9" x14ac:dyDescent="0.3">
      <c r="A682">
        <v>2</v>
      </c>
      <c r="B682">
        <v>1</v>
      </c>
      <c r="C682" t="s">
        <v>3</v>
      </c>
      <c r="D682" t="s">
        <v>2</v>
      </c>
      <c r="E682">
        <v>70</v>
      </c>
      <c r="F682" t="s">
        <v>15</v>
      </c>
      <c r="G682" t="s">
        <v>14</v>
      </c>
      <c r="H682">
        <v>0</v>
      </c>
      <c r="I682">
        <v>0</v>
      </c>
    </row>
    <row r="683" spans="1:9" x14ac:dyDescent="0.3">
      <c r="A683">
        <v>2</v>
      </c>
      <c r="B683">
        <v>1</v>
      </c>
      <c r="C683" t="s">
        <v>3</v>
      </c>
      <c r="D683" t="s">
        <v>2</v>
      </c>
      <c r="E683">
        <v>46</v>
      </c>
      <c r="F683" t="s">
        <v>15</v>
      </c>
      <c r="G683" t="s">
        <v>14</v>
      </c>
      <c r="H683">
        <v>7</v>
      </c>
      <c r="I683">
        <v>0</v>
      </c>
    </row>
    <row r="684" spans="1:9" x14ac:dyDescent="0.3">
      <c r="A684">
        <v>2</v>
      </c>
      <c r="B684">
        <v>1</v>
      </c>
      <c r="C684" t="s">
        <v>3</v>
      </c>
      <c r="D684" t="s">
        <v>2</v>
      </c>
      <c r="E684">
        <v>13</v>
      </c>
      <c r="F684" t="s">
        <v>15</v>
      </c>
      <c r="G684" t="s">
        <v>14</v>
      </c>
      <c r="H684">
        <v>6</v>
      </c>
      <c r="I684">
        <v>0</v>
      </c>
    </row>
    <row r="685" spans="1:9" x14ac:dyDescent="0.3">
      <c r="A685">
        <v>2</v>
      </c>
      <c r="B685">
        <v>1</v>
      </c>
      <c r="C685" t="s">
        <v>3</v>
      </c>
      <c r="D685" t="s">
        <v>2</v>
      </c>
      <c r="E685">
        <v>43</v>
      </c>
      <c r="F685" t="s">
        <v>15</v>
      </c>
      <c r="G685" t="s">
        <v>14</v>
      </c>
      <c r="H685">
        <v>0</v>
      </c>
      <c r="I685">
        <v>0</v>
      </c>
    </row>
    <row r="686" spans="1:9" x14ac:dyDescent="0.3">
      <c r="A686">
        <v>2</v>
      </c>
      <c r="B686">
        <v>1</v>
      </c>
      <c r="C686" t="s">
        <v>3</v>
      </c>
      <c r="D686" t="s">
        <v>2</v>
      </c>
      <c r="E686">
        <v>38</v>
      </c>
      <c r="F686" t="s">
        <v>15</v>
      </c>
      <c r="G686" t="s">
        <v>14</v>
      </c>
      <c r="H686">
        <v>1</v>
      </c>
      <c r="I686">
        <v>0</v>
      </c>
    </row>
    <row r="687" spans="1:9" x14ac:dyDescent="0.3">
      <c r="A687">
        <v>2</v>
      </c>
      <c r="B687">
        <v>1</v>
      </c>
      <c r="C687" t="s">
        <v>3</v>
      </c>
      <c r="D687" t="s">
        <v>2</v>
      </c>
      <c r="E687">
        <v>39</v>
      </c>
      <c r="F687" t="s">
        <v>15</v>
      </c>
      <c r="G687" t="s">
        <v>14</v>
      </c>
      <c r="H687">
        <v>1</v>
      </c>
      <c r="I687">
        <v>0</v>
      </c>
    </row>
    <row r="688" spans="1:9" x14ac:dyDescent="0.3">
      <c r="A688">
        <v>2</v>
      </c>
      <c r="B688">
        <v>1</v>
      </c>
      <c r="C688" t="s">
        <v>3</v>
      </c>
      <c r="D688" t="s">
        <v>2</v>
      </c>
      <c r="E688">
        <v>45</v>
      </c>
      <c r="F688" t="s">
        <v>15</v>
      </c>
      <c r="G688" t="s">
        <v>14</v>
      </c>
      <c r="H688">
        <v>16</v>
      </c>
      <c r="I688">
        <v>0</v>
      </c>
    </row>
    <row r="689" spans="1:9" x14ac:dyDescent="0.3">
      <c r="A689">
        <v>2</v>
      </c>
      <c r="B689">
        <v>1</v>
      </c>
      <c r="C689" t="s">
        <v>3</v>
      </c>
      <c r="D689" t="s">
        <v>2</v>
      </c>
      <c r="E689">
        <v>68</v>
      </c>
      <c r="F689" t="s">
        <v>15</v>
      </c>
      <c r="G689" t="s">
        <v>14</v>
      </c>
      <c r="H689">
        <v>2</v>
      </c>
      <c r="I689">
        <v>0</v>
      </c>
    </row>
    <row r="690" spans="1:9" x14ac:dyDescent="0.3">
      <c r="A690">
        <v>2</v>
      </c>
      <c r="B690">
        <v>1</v>
      </c>
      <c r="C690" t="s">
        <v>3</v>
      </c>
      <c r="D690" t="s">
        <v>2</v>
      </c>
      <c r="E690">
        <v>61</v>
      </c>
      <c r="F690" t="s">
        <v>15</v>
      </c>
      <c r="G690" t="s">
        <v>14</v>
      </c>
      <c r="H690">
        <v>0</v>
      </c>
      <c r="I690">
        <v>0</v>
      </c>
    </row>
    <row r="691" spans="1:9" x14ac:dyDescent="0.3">
      <c r="A691">
        <v>2</v>
      </c>
      <c r="B691">
        <v>1</v>
      </c>
      <c r="C691" t="s">
        <v>3</v>
      </c>
      <c r="D691" t="s">
        <v>2</v>
      </c>
      <c r="E691">
        <v>43</v>
      </c>
      <c r="F691" t="s">
        <v>15</v>
      </c>
      <c r="G691" t="s">
        <v>14</v>
      </c>
      <c r="H691">
        <v>14</v>
      </c>
      <c r="I691">
        <v>0</v>
      </c>
    </row>
    <row r="692" spans="1:9" x14ac:dyDescent="0.3">
      <c r="A692">
        <v>2</v>
      </c>
      <c r="B692">
        <v>1</v>
      </c>
      <c r="C692" t="s">
        <v>3</v>
      </c>
      <c r="D692" t="s">
        <v>2</v>
      </c>
      <c r="E692">
        <v>48</v>
      </c>
      <c r="F692" t="s">
        <v>15</v>
      </c>
      <c r="G692" t="s">
        <v>14</v>
      </c>
      <c r="H692">
        <v>2</v>
      </c>
      <c r="I692">
        <v>0</v>
      </c>
    </row>
    <row r="693" spans="1:9" x14ac:dyDescent="0.3">
      <c r="A693">
        <v>2</v>
      </c>
      <c r="B693">
        <v>1</v>
      </c>
      <c r="C693" t="s">
        <v>3</v>
      </c>
      <c r="D693" t="s">
        <v>2</v>
      </c>
      <c r="E693">
        <v>71</v>
      </c>
      <c r="F693" t="s">
        <v>15</v>
      </c>
      <c r="G693" t="s">
        <v>14</v>
      </c>
      <c r="H693">
        <v>4</v>
      </c>
      <c r="I693">
        <v>0</v>
      </c>
    </row>
    <row r="694" spans="1:9" x14ac:dyDescent="0.3">
      <c r="A694">
        <v>2</v>
      </c>
      <c r="B694">
        <v>1</v>
      </c>
      <c r="C694" t="s">
        <v>3</v>
      </c>
      <c r="D694" t="s">
        <v>2</v>
      </c>
      <c r="E694">
        <v>52</v>
      </c>
      <c r="F694" t="s">
        <v>15</v>
      </c>
      <c r="G694" t="s">
        <v>14</v>
      </c>
      <c r="H694">
        <v>6</v>
      </c>
      <c r="I694">
        <v>0</v>
      </c>
    </row>
    <row r="695" spans="1:9" x14ac:dyDescent="0.3">
      <c r="A695">
        <v>2</v>
      </c>
      <c r="B695">
        <v>1</v>
      </c>
      <c r="C695" t="s">
        <v>3</v>
      </c>
      <c r="D695" t="s">
        <v>2</v>
      </c>
      <c r="E695">
        <v>31</v>
      </c>
      <c r="F695" t="s">
        <v>15</v>
      </c>
      <c r="G695" t="s">
        <v>14</v>
      </c>
      <c r="H695">
        <v>0</v>
      </c>
      <c r="I695">
        <v>0</v>
      </c>
    </row>
    <row r="696" spans="1:9" x14ac:dyDescent="0.3">
      <c r="A696">
        <v>2</v>
      </c>
      <c r="B696">
        <v>1</v>
      </c>
      <c r="C696" t="s">
        <v>3</v>
      </c>
      <c r="D696" t="s">
        <v>2</v>
      </c>
      <c r="E696">
        <v>56</v>
      </c>
      <c r="F696" t="s">
        <v>15</v>
      </c>
      <c r="G696" t="s">
        <v>14</v>
      </c>
      <c r="H696">
        <v>2</v>
      </c>
      <c r="I696">
        <v>0</v>
      </c>
    </row>
    <row r="697" spans="1:9" x14ac:dyDescent="0.3">
      <c r="A697">
        <v>2</v>
      </c>
      <c r="B697">
        <v>1</v>
      </c>
      <c r="C697" t="s">
        <v>3</v>
      </c>
      <c r="D697" t="s">
        <v>2</v>
      </c>
      <c r="E697">
        <v>27</v>
      </c>
      <c r="F697" t="s">
        <v>15</v>
      </c>
      <c r="G697" t="s">
        <v>14</v>
      </c>
      <c r="H697">
        <v>16</v>
      </c>
      <c r="I697">
        <v>0</v>
      </c>
    </row>
    <row r="698" spans="1:9" x14ac:dyDescent="0.3">
      <c r="A698">
        <v>2</v>
      </c>
      <c r="B698">
        <v>1</v>
      </c>
      <c r="C698" t="s">
        <v>3</v>
      </c>
      <c r="D698" t="s">
        <v>2</v>
      </c>
      <c r="E698">
        <v>43</v>
      </c>
      <c r="F698" t="s">
        <v>15</v>
      </c>
      <c r="G698" t="s">
        <v>14</v>
      </c>
      <c r="H698">
        <v>6</v>
      </c>
      <c r="I698">
        <v>0</v>
      </c>
    </row>
    <row r="699" spans="1:9" x14ac:dyDescent="0.3">
      <c r="A699">
        <v>2</v>
      </c>
      <c r="B699">
        <v>1</v>
      </c>
      <c r="C699" t="s">
        <v>3</v>
      </c>
      <c r="D699" t="s">
        <v>2</v>
      </c>
      <c r="E699">
        <v>28</v>
      </c>
      <c r="F699" t="s">
        <v>15</v>
      </c>
      <c r="G699" t="s">
        <v>14</v>
      </c>
      <c r="H699">
        <v>24</v>
      </c>
      <c r="I699">
        <v>0</v>
      </c>
    </row>
    <row r="700" spans="1:9" x14ac:dyDescent="0.3">
      <c r="A700">
        <v>2</v>
      </c>
      <c r="B700">
        <v>1</v>
      </c>
      <c r="C700" t="s">
        <v>3</v>
      </c>
      <c r="D700" t="s">
        <v>2</v>
      </c>
      <c r="E700">
        <v>33</v>
      </c>
      <c r="F700" t="s">
        <v>15</v>
      </c>
      <c r="G700" t="s">
        <v>14</v>
      </c>
      <c r="H700">
        <v>2</v>
      </c>
      <c r="I700">
        <v>0</v>
      </c>
    </row>
    <row r="701" spans="1:9" x14ac:dyDescent="0.3">
      <c r="A701">
        <v>2</v>
      </c>
      <c r="B701">
        <v>1</v>
      </c>
      <c r="C701" t="s">
        <v>3</v>
      </c>
      <c r="D701" t="s">
        <v>2</v>
      </c>
      <c r="E701">
        <v>18</v>
      </c>
      <c r="F701" t="s">
        <v>15</v>
      </c>
      <c r="G701" t="s">
        <v>14</v>
      </c>
      <c r="H701">
        <v>0</v>
      </c>
      <c r="I701">
        <v>0</v>
      </c>
    </row>
    <row r="702" spans="1:9" x14ac:dyDescent="0.3">
      <c r="A702">
        <v>2</v>
      </c>
      <c r="B702">
        <v>1</v>
      </c>
      <c r="C702" t="s">
        <v>3</v>
      </c>
      <c r="D702" t="s">
        <v>2</v>
      </c>
      <c r="E702">
        <v>40</v>
      </c>
      <c r="F702" t="s">
        <v>15</v>
      </c>
      <c r="G702" t="s">
        <v>14</v>
      </c>
      <c r="H702">
        <v>2</v>
      </c>
      <c r="I702">
        <v>0</v>
      </c>
    </row>
    <row r="703" spans="1:9" x14ac:dyDescent="0.3">
      <c r="A703">
        <v>2</v>
      </c>
      <c r="B703">
        <v>1</v>
      </c>
      <c r="C703" t="s">
        <v>3</v>
      </c>
      <c r="D703" t="s">
        <v>2</v>
      </c>
      <c r="E703">
        <v>44</v>
      </c>
      <c r="F703" t="s">
        <v>15</v>
      </c>
      <c r="G703" t="s">
        <v>14</v>
      </c>
      <c r="H703">
        <v>7</v>
      </c>
      <c r="I703">
        <v>0</v>
      </c>
    </row>
    <row r="704" spans="1:9" x14ac:dyDescent="0.3">
      <c r="A704">
        <v>2</v>
      </c>
      <c r="B704">
        <v>1</v>
      </c>
      <c r="C704" t="s">
        <v>3</v>
      </c>
      <c r="D704" t="s">
        <v>2</v>
      </c>
      <c r="E704">
        <v>36</v>
      </c>
      <c r="F704" t="s">
        <v>15</v>
      </c>
      <c r="G704" t="s">
        <v>14</v>
      </c>
      <c r="H704">
        <v>0</v>
      </c>
      <c r="I704">
        <v>0</v>
      </c>
    </row>
    <row r="705" spans="1:9" x14ac:dyDescent="0.3">
      <c r="A705">
        <v>2</v>
      </c>
      <c r="B705">
        <v>1</v>
      </c>
      <c r="C705" t="s">
        <v>3</v>
      </c>
      <c r="D705" t="s">
        <v>2</v>
      </c>
      <c r="E705">
        <v>47</v>
      </c>
      <c r="F705" t="s">
        <v>15</v>
      </c>
      <c r="G705" t="s">
        <v>14</v>
      </c>
      <c r="H705">
        <v>9</v>
      </c>
      <c r="I705">
        <v>0</v>
      </c>
    </row>
    <row r="706" spans="1:9" x14ac:dyDescent="0.3">
      <c r="A706">
        <v>2</v>
      </c>
      <c r="B706">
        <v>1</v>
      </c>
      <c r="C706" t="s">
        <v>3</v>
      </c>
      <c r="D706" t="s">
        <v>2</v>
      </c>
      <c r="E706">
        <v>77</v>
      </c>
      <c r="F706" t="s">
        <v>15</v>
      </c>
      <c r="G706" t="s">
        <v>14</v>
      </c>
      <c r="H706">
        <v>3</v>
      </c>
      <c r="I706">
        <v>0</v>
      </c>
    </row>
    <row r="707" spans="1:9" x14ac:dyDescent="0.3">
      <c r="A707">
        <v>2</v>
      </c>
      <c r="B707">
        <v>1</v>
      </c>
      <c r="C707" t="s">
        <v>3</v>
      </c>
      <c r="D707" t="s">
        <v>2</v>
      </c>
      <c r="E707">
        <v>53</v>
      </c>
      <c r="F707" t="s">
        <v>15</v>
      </c>
      <c r="G707" t="s">
        <v>14</v>
      </c>
      <c r="H707">
        <v>5</v>
      </c>
      <c r="I707">
        <v>0</v>
      </c>
    </row>
    <row r="708" spans="1:9" x14ac:dyDescent="0.3">
      <c r="A708">
        <v>2</v>
      </c>
      <c r="B708">
        <v>1</v>
      </c>
      <c r="C708" t="s">
        <v>3</v>
      </c>
      <c r="D708" t="s">
        <v>2</v>
      </c>
      <c r="E708">
        <v>88</v>
      </c>
      <c r="F708" t="s">
        <v>15</v>
      </c>
      <c r="G708" t="s">
        <v>14</v>
      </c>
      <c r="H708">
        <v>10</v>
      </c>
      <c r="I708">
        <v>0</v>
      </c>
    </row>
    <row r="709" spans="1:9" x14ac:dyDescent="0.3">
      <c r="A709">
        <v>2</v>
      </c>
      <c r="B709">
        <v>1</v>
      </c>
      <c r="C709" t="s">
        <v>3</v>
      </c>
      <c r="D709" t="s">
        <v>2</v>
      </c>
      <c r="E709">
        <v>50</v>
      </c>
      <c r="F709" t="s">
        <v>15</v>
      </c>
      <c r="G709" t="s">
        <v>14</v>
      </c>
      <c r="H709">
        <v>11</v>
      </c>
      <c r="I709">
        <v>0</v>
      </c>
    </row>
    <row r="710" spans="1:9" x14ac:dyDescent="0.3">
      <c r="A710">
        <v>2</v>
      </c>
      <c r="B710">
        <v>1</v>
      </c>
      <c r="C710" t="s">
        <v>3</v>
      </c>
      <c r="D710" t="s">
        <v>2</v>
      </c>
      <c r="E710">
        <v>56</v>
      </c>
      <c r="F710" t="s">
        <v>15</v>
      </c>
      <c r="G710" t="s">
        <v>14</v>
      </c>
      <c r="H710">
        <v>10</v>
      </c>
      <c r="I710">
        <v>0</v>
      </c>
    </row>
    <row r="711" spans="1:9" x14ac:dyDescent="0.3">
      <c r="A711">
        <v>2</v>
      </c>
      <c r="B711">
        <v>1</v>
      </c>
      <c r="C711" t="s">
        <v>3</v>
      </c>
      <c r="D711" t="s">
        <v>2</v>
      </c>
      <c r="E711">
        <v>18</v>
      </c>
      <c r="F711" t="s">
        <v>15</v>
      </c>
      <c r="G711" t="s">
        <v>14</v>
      </c>
      <c r="H711">
        <v>11</v>
      </c>
      <c r="I711">
        <v>0</v>
      </c>
    </row>
    <row r="712" spans="1:9" x14ac:dyDescent="0.3">
      <c r="A712">
        <v>2</v>
      </c>
      <c r="B712">
        <v>1</v>
      </c>
      <c r="C712" t="s">
        <v>3</v>
      </c>
      <c r="D712" t="s">
        <v>2</v>
      </c>
      <c r="E712">
        <v>33</v>
      </c>
      <c r="F712" t="s">
        <v>15</v>
      </c>
      <c r="G712" t="s">
        <v>14</v>
      </c>
      <c r="H712">
        <v>2</v>
      </c>
      <c r="I712">
        <v>0</v>
      </c>
    </row>
    <row r="713" spans="1:9" x14ac:dyDescent="0.3">
      <c r="A713">
        <v>2</v>
      </c>
      <c r="B713">
        <v>1</v>
      </c>
      <c r="C713" t="s">
        <v>3</v>
      </c>
      <c r="D713" t="s">
        <v>2</v>
      </c>
      <c r="E713">
        <v>48</v>
      </c>
      <c r="F713" t="s">
        <v>15</v>
      </c>
      <c r="G713" t="s">
        <v>14</v>
      </c>
      <c r="H713">
        <v>2</v>
      </c>
      <c r="I713">
        <v>0</v>
      </c>
    </row>
    <row r="714" spans="1:9" x14ac:dyDescent="0.3">
      <c r="A714">
        <v>2</v>
      </c>
      <c r="B714">
        <v>1</v>
      </c>
      <c r="C714" t="s">
        <v>3</v>
      </c>
      <c r="D714" t="s">
        <v>2</v>
      </c>
      <c r="E714">
        <v>50</v>
      </c>
      <c r="F714" t="s">
        <v>15</v>
      </c>
      <c r="G714" t="s">
        <v>14</v>
      </c>
      <c r="H714">
        <v>13</v>
      </c>
      <c r="I714">
        <v>0</v>
      </c>
    </row>
    <row r="715" spans="1:9" x14ac:dyDescent="0.3">
      <c r="A715">
        <v>2</v>
      </c>
      <c r="B715">
        <v>1</v>
      </c>
      <c r="C715" t="s">
        <v>3</v>
      </c>
      <c r="D715" t="s">
        <v>2</v>
      </c>
      <c r="E715">
        <v>53</v>
      </c>
      <c r="F715" t="s">
        <v>15</v>
      </c>
      <c r="G715" t="s">
        <v>14</v>
      </c>
      <c r="H715">
        <v>0</v>
      </c>
      <c r="I715">
        <v>0</v>
      </c>
    </row>
    <row r="716" spans="1:9" x14ac:dyDescent="0.3">
      <c r="A716">
        <v>2</v>
      </c>
      <c r="B716">
        <v>1</v>
      </c>
      <c r="C716" t="s">
        <v>3</v>
      </c>
      <c r="D716" t="s">
        <v>2</v>
      </c>
      <c r="E716">
        <v>44</v>
      </c>
      <c r="F716" t="s">
        <v>15</v>
      </c>
      <c r="G716" t="s">
        <v>14</v>
      </c>
      <c r="H716">
        <v>0</v>
      </c>
      <c r="I716">
        <v>0</v>
      </c>
    </row>
    <row r="717" spans="1:9" x14ac:dyDescent="0.3">
      <c r="A717">
        <v>2</v>
      </c>
      <c r="B717">
        <v>1</v>
      </c>
      <c r="C717" t="s">
        <v>3</v>
      </c>
      <c r="D717" t="s">
        <v>2</v>
      </c>
      <c r="E717">
        <v>36</v>
      </c>
      <c r="F717" t="s">
        <v>15</v>
      </c>
      <c r="G717" t="s">
        <v>14</v>
      </c>
      <c r="H717">
        <v>0</v>
      </c>
      <c r="I717">
        <v>0</v>
      </c>
    </row>
    <row r="718" spans="1:9" x14ac:dyDescent="0.3">
      <c r="A718">
        <v>2</v>
      </c>
      <c r="B718">
        <v>1</v>
      </c>
      <c r="C718" t="s">
        <v>3</v>
      </c>
      <c r="D718" t="s">
        <v>2</v>
      </c>
      <c r="E718">
        <v>32</v>
      </c>
      <c r="F718" t="s">
        <v>15</v>
      </c>
      <c r="G718" t="s">
        <v>14</v>
      </c>
      <c r="H718">
        <v>7</v>
      </c>
      <c r="I718">
        <v>0</v>
      </c>
    </row>
    <row r="719" spans="1:9" x14ac:dyDescent="0.3">
      <c r="A719">
        <v>2</v>
      </c>
      <c r="B719">
        <v>1</v>
      </c>
      <c r="C719" t="s">
        <v>3</v>
      </c>
      <c r="D719" t="s">
        <v>2</v>
      </c>
      <c r="E719">
        <v>23</v>
      </c>
      <c r="F719" t="s">
        <v>15</v>
      </c>
      <c r="G719" t="s">
        <v>14</v>
      </c>
      <c r="H719">
        <v>0</v>
      </c>
      <c r="I719">
        <v>0</v>
      </c>
    </row>
    <row r="720" spans="1:9" x14ac:dyDescent="0.3">
      <c r="A720">
        <v>2</v>
      </c>
      <c r="B720">
        <v>1</v>
      </c>
      <c r="C720" t="s">
        <v>3</v>
      </c>
      <c r="D720" t="s">
        <v>2</v>
      </c>
      <c r="E720">
        <v>47</v>
      </c>
      <c r="F720" t="s">
        <v>15</v>
      </c>
      <c r="G720" t="s">
        <v>14</v>
      </c>
      <c r="H720">
        <v>2</v>
      </c>
      <c r="I720">
        <v>0</v>
      </c>
    </row>
    <row r="721" spans="1:9" x14ac:dyDescent="0.3">
      <c r="A721">
        <v>2</v>
      </c>
      <c r="B721">
        <v>1</v>
      </c>
      <c r="C721" t="s">
        <v>3</v>
      </c>
      <c r="D721" t="s">
        <v>2</v>
      </c>
      <c r="E721">
        <v>68</v>
      </c>
      <c r="F721" t="s">
        <v>15</v>
      </c>
      <c r="G721" t="s">
        <v>14</v>
      </c>
      <c r="H721">
        <v>12</v>
      </c>
      <c r="I721">
        <v>0</v>
      </c>
    </row>
    <row r="722" spans="1:9" x14ac:dyDescent="0.3">
      <c r="A722">
        <v>2</v>
      </c>
      <c r="B722">
        <v>1</v>
      </c>
      <c r="C722" t="s">
        <v>3</v>
      </c>
      <c r="D722" t="s">
        <v>2</v>
      </c>
      <c r="E722">
        <v>19</v>
      </c>
      <c r="F722" t="s">
        <v>15</v>
      </c>
      <c r="G722" t="s">
        <v>14</v>
      </c>
      <c r="H722">
        <v>0</v>
      </c>
      <c r="I722">
        <v>0</v>
      </c>
    </row>
    <row r="723" spans="1:9" x14ac:dyDescent="0.3">
      <c r="A723">
        <v>2</v>
      </c>
      <c r="B723">
        <v>1</v>
      </c>
      <c r="C723" t="s">
        <v>3</v>
      </c>
      <c r="D723" t="s">
        <v>2</v>
      </c>
      <c r="E723">
        <v>44</v>
      </c>
      <c r="F723" t="s">
        <v>15</v>
      </c>
      <c r="G723" t="s">
        <v>14</v>
      </c>
      <c r="H723">
        <v>2</v>
      </c>
      <c r="I723">
        <v>0</v>
      </c>
    </row>
    <row r="724" spans="1:9" x14ac:dyDescent="0.3">
      <c r="A724">
        <v>2</v>
      </c>
      <c r="B724">
        <v>1</v>
      </c>
      <c r="C724" t="s">
        <v>3</v>
      </c>
      <c r="D724" t="s">
        <v>2</v>
      </c>
      <c r="E724">
        <v>29</v>
      </c>
      <c r="F724" t="s">
        <v>15</v>
      </c>
      <c r="G724" t="s">
        <v>14</v>
      </c>
      <c r="H724">
        <v>11</v>
      </c>
      <c r="I724">
        <v>0</v>
      </c>
    </row>
    <row r="725" spans="1:9" x14ac:dyDescent="0.3">
      <c r="A725">
        <v>2</v>
      </c>
      <c r="B725">
        <v>1</v>
      </c>
      <c r="C725" t="s">
        <v>3</v>
      </c>
      <c r="D725" t="s">
        <v>2</v>
      </c>
      <c r="E725">
        <v>12</v>
      </c>
      <c r="F725" t="s">
        <v>15</v>
      </c>
      <c r="G725" t="s">
        <v>14</v>
      </c>
      <c r="H725">
        <v>0</v>
      </c>
      <c r="I725">
        <v>0</v>
      </c>
    </row>
    <row r="726" spans="1:9" x14ac:dyDescent="0.3">
      <c r="A726">
        <v>2</v>
      </c>
      <c r="B726">
        <v>1</v>
      </c>
      <c r="C726" t="s">
        <v>3</v>
      </c>
      <c r="D726" t="s">
        <v>2</v>
      </c>
      <c r="E726">
        <v>29</v>
      </c>
      <c r="F726" t="s">
        <v>15</v>
      </c>
      <c r="G726" t="s">
        <v>14</v>
      </c>
      <c r="H726">
        <v>4</v>
      </c>
      <c r="I726">
        <v>0</v>
      </c>
    </row>
    <row r="727" spans="1:9" x14ac:dyDescent="0.3">
      <c r="A727">
        <v>2</v>
      </c>
      <c r="B727">
        <v>1</v>
      </c>
      <c r="C727" t="s">
        <v>3</v>
      </c>
      <c r="D727" t="s">
        <v>2</v>
      </c>
      <c r="E727">
        <v>54</v>
      </c>
      <c r="F727" t="s">
        <v>15</v>
      </c>
      <c r="G727" t="s">
        <v>14</v>
      </c>
      <c r="H727">
        <v>9</v>
      </c>
      <c r="I727">
        <v>0</v>
      </c>
    </row>
    <row r="728" spans="1:9" x14ac:dyDescent="0.3">
      <c r="A728">
        <v>2</v>
      </c>
      <c r="B728">
        <v>1</v>
      </c>
      <c r="C728" t="s">
        <v>3</v>
      </c>
      <c r="D728" t="s">
        <v>2</v>
      </c>
      <c r="E728">
        <v>38</v>
      </c>
      <c r="F728" t="s">
        <v>15</v>
      </c>
      <c r="G728" t="s">
        <v>14</v>
      </c>
      <c r="H728">
        <v>2</v>
      </c>
      <c r="I728">
        <v>0</v>
      </c>
    </row>
    <row r="729" spans="1:9" x14ac:dyDescent="0.3">
      <c r="A729">
        <v>2</v>
      </c>
      <c r="B729">
        <v>1</v>
      </c>
      <c r="C729" t="s">
        <v>3</v>
      </c>
      <c r="D729" t="s">
        <v>2</v>
      </c>
      <c r="E729">
        <v>31</v>
      </c>
      <c r="F729" t="s">
        <v>15</v>
      </c>
      <c r="G729" t="s">
        <v>14</v>
      </c>
      <c r="H729">
        <v>2</v>
      </c>
      <c r="I729">
        <v>0</v>
      </c>
    </row>
    <row r="730" spans="1:9" x14ac:dyDescent="0.3">
      <c r="A730">
        <v>2</v>
      </c>
      <c r="B730">
        <v>1</v>
      </c>
      <c r="C730" t="s">
        <v>3</v>
      </c>
      <c r="D730" t="s">
        <v>2</v>
      </c>
      <c r="E730">
        <v>39</v>
      </c>
      <c r="F730" t="s">
        <v>15</v>
      </c>
      <c r="G730" t="s">
        <v>14</v>
      </c>
      <c r="H730">
        <v>1</v>
      </c>
      <c r="I730">
        <v>0</v>
      </c>
    </row>
    <row r="731" spans="1:9" x14ac:dyDescent="0.3">
      <c r="A731">
        <v>2</v>
      </c>
      <c r="B731">
        <v>1</v>
      </c>
      <c r="C731" t="s">
        <v>3</v>
      </c>
      <c r="D731" t="s">
        <v>2</v>
      </c>
      <c r="E731">
        <v>28</v>
      </c>
      <c r="F731" t="s">
        <v>15</v>
      </c>
      <c r="G731" t="s">
        <v>14</v>
      </c>
      <c r="H731">
        <v>0</v>
      </c>
      <c r="I731">
        <v>0</v>
      </c>
    </row>
    <row r="732" spans="1:9" x14ac:dyDescent="0.3">
      <c r="A732">
        <v>2</v>
      </c>
      <c r="B732">
        <v>1</v>
      </c>
      <c r="C732" t="s">
        <v>3</v>
      </c>
      <c r="D732" t="s">
        <v>2</v>
      </c>
      <c r="E732">
        <v>68</v>
      </c>
      <c r="F732" t="s">
        <v>15</v>
      </c>
      <c r="G732" t="s">
        <v>14</v>
      </c>
      <c r="H732">
        <v>0</v>
      </c>
      <c r="I732">
        <v>0</v>
      </c>
    </row>
    <row r="733" spans="1:9" x14ac:dyDescent="0.3">
      <c r="A733">
        <v>2</v>
      </c>
      <c r="B733">
        <v>1</v>
      </c>
      <c r="C733" t="s">
        <v>3</v>
      </c>
      <c r="D733" t="s">
        <v>2</v>
      </c>
      <c r="E733">
        <v>48</v>
      </c>
      <c r="F733" t="s">
        <v>15</v>
      </c>
      <c r="G733" t="s">
        <v>14</v>
      </c>
      <c r="H733">
        <v>5</v>
      </c>
      <c r="I733">
        <v>0</v>
      </c>
    </row>
    <row r="734" spans="1:9" x14ac:dyDescent="0.3">
      <c r="A734">
        <v>2</v>
      </c>
      <c r="B734">
        <v>1</v>
      </c>
      <c r="C734" t="s">
        <v>3</v>
      </c>
      <c r="D734" t="s">
        <v>2</v>
      </c>
      <c r="E734">
        <v>20</v>
      </c>
      <c r="F734" t="s">
        <v>15</v>
      </c>
      <c r="G734" t="s">
        <v>14</v>
      </c>
      <c r="H734">
        <v>7</v>
      </c>
      <c r="I734">
        <v>0</v>
      </c>
    </row>
    <row r="735" spans="1:9" x14ac:dyDescent="0.3">
      <c r="A735">
        <v>2</v>
      </c>
      <c r="B735">
        <v>1</v>
      </c>
      <c r="C735" t="s">
        <v>3</v>
      </c>
      <c r="D735" t="s">
        <v>2</v>
      </c>
      <c r="E735">
        <v>35</v>
      </c>
      <c r="F735" t="s">
        <v>15</v>
      </c>
      <c r="G735" t="s">
        <v>14</v>
      </c>
      <c r="H735">
        <v>0</v>
      </c>
      <c r="I735">
        <v>0</v>
      </c>
    </row>
    <row r="736" spans="1:9" x14ac:dyDescent="0.3">
      <c r="A736">
        <v>2</v>
      </c>
      <c r="B736">
        <v>1</v>
      </c>
      <c r="C736" t="s">
        <v>3</v>
      </c>
      <c r="D736" t="s">
        <v>2</v>
      </c>
      <c r="E736">
        <v>56</v>
      </c>
      <c r="F736" t="s">
        <v>15</v>
      </c>
      <c r="G736" t="s">
        <v>14</v>
      </c>
      <c r="H736">
        <v>13</v>
      </c>
      <c r="I736">
        <v>0</v>
      </c>
    </row>
    <row r="737" spans="1:9" x14ac:dyDescent="0.3">
      <c r="A737">
        <v>2</v>
      </c>
      <c r="B737">
        <v>1</v>
      </c>
      <c r="C737" t="s">
        <v>3</v>
      </c>
      <c r="D737" t="s">
        <v>2</v>
      </c>
      <c r="E737">
        <v>19</v>
      </c>
      <c r="F737" t="s">
        <v>15</v>
      </c>
      <c r="G737" t="s">
        <v>14</v>
      </c>
      <c r="H737">
        <v>16</v>
      </c>
      <c r="I737">
        <v>0</v>
      </c>
    </row>
    <row r="738" spans="1:9" x14ac:dyDescent="0.3">
      <c r="A738">
        <v>2</v>
      </c>
      <c r="B738">
        <v>1</v>
      </c>
      <c r="C738" t="s">
        <v>3</v>
      </c>
      <c r="D738" t="s">
        <v>2</v>
      </c>
      <c r="E738">
        <v>45</v>
      </c>
      <c r="F738" t="s">
        <v>15</v>
      </c>
      <c r="G738" t="s">
        <v>14</v>
      </c>
      <c r="H738">
        <v>0</v>
      </c>
      <c r="I738">
        <v>0</v>
      </c>
    </row>
    <row r="739" spans="1:9" x14ac:dyDescent="0.3">
      <c r="A739">
        <v>2</v>
      </c>
      <c r="B739">
        <v>1</v>
      </c>
      <c r="C739" t="s">
        <v>3</v>
      </c>
      <c r="D739" t="s">
        <v>2</v>
      </c>
      <c r="E739">
        <v>15</v>
      </c>
      <c r="F739" t="s">
        <v>15</v>
      </c>
      <c r="G739" t="s">
        <v>14</v>
      </c>
      <c r="H739">
        <v>4</v>
      </c>
      <c r="I739">
        <v>0</v>
      </c>
    </row>
    <row r="740" spans="1:9" x14ac:dyDescent="0.3">
      <c r="A740">
        <v>2</v>
      </c>
      <c r="B740">
        <v>1</v>
      </c>
      <c r="C740" t="s">
        <v>3</v>
      </c>
      <c r="D740" t="s">
        <v>2</v>
      </c>
      <c r="E740">
        <v>29</v>
      </c>
      <c r="F740" t="s">
        <v>15</v>
      </c>
      <c r="G740" t="s">
        <v>14</v>
      </c>
      <c r="H740">
        <v>0</v>
      </c>
      <c r="I740">
        <v>0</v>
      </c>
    </row>
    <row r="741" spans="1:9" x14ac:dyDescent="0.3">
      <c r="A741">
        <v>2</v>
      </c>
      <c r="B741">
        <v>1</v>
      </c>
      <c r="C741" t="s">
        <v>3</v>
      </c>
      <c r="D741" t="s">
        <v>2</v>
      </c>
      <c r="E741">
        <v>45</v>
      </c>
      <c r="F741" t="s">
        <v>15</v>
      </c>
      <c r="G741" t="s">
        <v>14</v>
      </c>
      <c r="H741">
        <v>0</v>
      </c>
      <c r="I741">
        <v>0</v>
      </c>
    </row>
    <row r="742" spans="1:9" x14ac:dyDescent="0.3">
      <c r="A742">
        <v>2</v>
      </c>
      <c r="B742">
        <v>1</v>
      </c>
      <c r="C742" t="s">
        <v>3</v>
      </c>
      <c r="D742" t="s">
        <v>2</v>
      </c>
      <c r="E742">
        <v>53</v>
      </c>
      <c r="F742" t="s">
        <v>15</v>
      </c>
      <c r="G742" t="s">
        <v>14</v>
      </c>
      <c r="H742">
        <v>2</v>
      </c>
      <c r="I742">
        <v>0</v>
      </c>
    </row>
    <row r="743" spans="1:9" x14ac:dyDescent="0.3">
      <c r="A743">
        <v>2</v>
      </c>
      <c r="B743">
        <v>1</v>
      </c>
      <c r="C743" t="s">
        <v>3</v>
      </c>
      <c r="D743" t="s">
        <v>2</v>
      </c>
      <c r="E743">
        <v>15</v>
      </c>
      <c r="F743" t="s">
        <v>15</v>
      </c>
      <c r="G743" t="s">
        <v>14</v>
      </c>
      <c r="H743">
        <v>0</v>
      </c>
      <c r="I743">
        <v>0</v>
      </c>
    </row>
    <row r="744" spans="1:9" x14ac:dyDescent="0.3">
      <c r="A744">
        <v>2</v>
      </c>
      <c r="B744">
        <v>1</v>
      </c>
      <c r="C744" t="s">
        <v>3</v>
      </c>
      <c r="D744" t="s">
        <v>2</v>
      </c>
      <c r="E744">
        <v>26</v>
      </c>
      <c r="F744" t="s">
        <v>15</v>
      </c>
      <c r="G744" t="s">
        <v>14</v>
      </c>
      <c r="H744">
        <v>5</v>
      </c>
      <c r="I744">
        <v>0</v>
      </c>
    </row>
    <row r="745" spans="1:9" x14ac:dyDescent="0.3">
      <c r="A745">
        <v>2</v>
      </c>
      <c r="B745">
        <v>1</v>
      </c>
      <c r="C745" t="s">
        <v>3</v>
      </c>
      <c r="D745" t="s">
        <v>2</v>
      </c>
      <c r="E745">
        <v>40</v>
      </c>
      <c r="F745" t="s">
        <v>15</v>
      </c>
      <c r="G745" t="s">
        <v>14</v>
      </c>
      <c r="H745">
        <v>10</v>
      </c>
      <c r="I745">
        <v>0</v>
      </c>
    </row>
    <row r="746" spans="1:9" x14ac:dyDescent="0.3">
      <c r="A746">
        <v>2</v>
      </c>
      <c r="B746">
        <v>1</v>
      </c>
      <c r="C746" t="s">
        <v>3</v>
      </c>
      <c r="D746" t="s">
        <v>2</v>
      </c>
      <c r="E746">
        <v>92</v>
      </c>
      <c r="F746" t="s">
        <v>15</v>
      </c>
      <c r="G746" t="s">
        <v>14</v>
      </c>
      <c r="H746">
        <v>7</v>
      </c>
      <c r="I746">
        <v>0</v>
      </c>
    </row>
    <row r="747" spans="1:9" x14ac:dyDescent="0.3">
      <c r="A747">
        <v>2</v>
      </c>
      <c r="B747">
        <v>1</v>
      </c>
      <c r="C747" t="s">
        <v>3</v>
      </c>
      <c r="D747" t="s">
        <v>2</v>
      </c>
      <c r="E747">
        <v>46</v>
      </c>
      <c r="F747" t="s">
        <v>15</v>
      </c>
      <c r="G747" t="s">
        <v>14</v>
      </c>
      <c r="H747">
        <v>0</v>
      </c>
      <c r="I747">
        <v>0</v>
      </c>
    </row>
    <row r="748" spans="1:9" x14ac:dyDescent="0.3">
      <c r="A748">
        <v>2</v>
      </c>
      <c r="B748">
        <v>1</v>
      </c>
      <c r="C748" t="s">
        <v>3</v>
      </c>
      <c r="D748" t="s">
        <v>2</v>
      </c>
      <c r="E748">
        <v>40</v>
      </c>
      <c r="F748" t="s">
        <v>15</v>
      </c>
      <c r="G748" t="s">
        <v>14</v>
      </c>
      <c r="H748">
        <v>11</v>
      </c>
      <c r="I748">
        <v>0</v>
      </c>
    </row>
    <row r="749" spans="1:9" x14ac:dyDescent="0.3">
      <c r="A749">
        <v>2</v>
      </c>
      <c r="B749">
        <v>1</v>
      </c>
      <c r="C749" t="s">
        <v>3</v>
      </c>
      <c r="D749" t="s">
        <v>2</v>
      </c>
      <c r="E749">
        <v>70</v>
      </c>
      <c r="F749" t="s">
        <v>15</v>
      </c>
      <c r="G749" t="s">
        <v>14</v>
      </c>
      <c r="H749">
        <v>0</v>
      </c>
      <c r="I749">
        <v>0</v>
      </c>
    </row>
    <row r="750" spans="1:9" x14ac:dyDescent="0.3">
      <c r="A750">
        <v>2</v>
      </c>
      <c r="B750">
        <v>1</v>
      </c>
      <c r="C750" t="s">
        <v>3</v>
      </c>
      <c r="D750" t="s">
        <v>2</v>
      </c>
      <c r="E750">
        <v>63</v>
      </c>
      <c r="F750" t="s">
        <v>15</v>
      </c>
      <c r="G750" t="s">
        <v>14</v>
      </c>
      <c r="H750">
        <v>21</v>
      </c>
      <c r="I750">
        <v>0</v>
      </c>
    </row>
    <row r="751" spans="1:9" x14ac:dyDescent="0.3">
      <c r="A751">
        <v>2</v>
      </c>
      <c r="B751">
        <v>1</v>
      </c>
      <c r="C751" t="s">
        <v>3</v>
      </c>
      <c r="D751" t="s">
        <v>2</v>
      </c>
      <c r="E751">
        <v>39</v>
      </c>
      <c r="F751" t="s">
        <v>15</v>
      </c>
      <c r="G751" t="s">
        <v>14</v>
      </c>
      <c r="H751">
        <v>19</v>
      </c>
      <c r="I751">
        <v>0</v>
      </c>
    </row>
    <row r="752" spans="1:9" x14ac:dyDescent="0.3">
      <c r="A752">
        <v>2</v>
      </c>
      <c r="B752">
        <v>1</v>
      </c>
      <c r="C752" t="s">
        <v>3</v>
      </c>
      <c r="D752" t="s">
        <v>2</v>
      </c>
      <c r="E752">
        <v>17</v>
      </c>
      <c r="F752" t="s">
        <v>15</v>
      </c>
      <c r="G752" t="s">
        <v>14</v>
      </c>
      <c r="H752">
        <v>0</v>
      </c>
      <c r="I752">
        <v>0</v>
      </c>
    </row>
    <row r="753" spans="1:9" x14ac:dyDescent="0.3">
      <c r="A753">
        <v>2</v>
      </c>
      <c r="B753">
        <v>1</v>
      </c>
      <c r="C753" t="s">
        <v>3</v>
      </c>
      <c r="D753" t="s">
        <v>2</v>
      </c>
      <c r="E753">
        <v>47</v>
      </c>
      <c r="F753" t="s">
        <v>15</v>
      </c>
      <c r="G753" t="s">
        <v>14</v>
      </c>
      <c r="H753">
        <v>6</v>
      </c>
      <c r="I753">
        <v>0</v>
      </c>
    </row>
    <row r="754" spans="1:9" x14ac:dyDescent="0.3">
      <c r="A754">
        <v>2</v>
      </c>
      <c r="B754">
        <v>1</v>
      </c>
      <c r="C754" t="s">
        <v>3</v>
      </c>
      <c r="D754" t="s">
        <v>2</v>
      </c>
      <c r="E754">
        <v>38</v>
      </c>
      <c r="F754" t="s">
        <v>15</v>
      </c>
      <c r="G754" t="s">
        <v>14</v>
      </c>
      <c r="H754">
        <v>0</v>
      </c>
      <c r="I754">
        <v>0</v>
      </c>
    </row>
    <row r="755" spans="1:9" x14ac:dyDescent="0.3">
      <c r="A755">
        <v>2</v>
      </c>
      <c r="B755">
        <v>1</v>
      </c>
      <c r="C755" t="s">
        <v>3</v>
      </c>
      <c r="D755" t="s">
        <v>2</v>
      </c>
      <c r="E755">
        <v>37</v>
      </c>
      <c r="F755" t="s">
        <v>15</v>
      </c>
      <c r="G755" t="s">
        <v>14</v>
      </c>
      <c r="H755">
        <v>23</v>
      </c>
      <c r="I755">
        <v>0</v>
      </c>
    </row>
    <row r="756" spans="1:9" x14ac:dyDescent="0.3">
      <c r="A756">
        <v>2</v>
      </c>
      <c r="B756">
        <v>1</v>
      </c>
      <c r="C756" t="s">
        <v>3</v>
      </c>
      <c r="D756" t="s">
        <v>2</v>
      </c>
      <c r="E756">
        <v>38</v>
      </c>
      <c r="F756" t="s">
        <v>15</v>
      </c>
      <c r="G756" t="s">
        <v>14</v>
      </c>
      <c r="H756">
        <v>2</v>
      </c>
      <c r="I756">
        <v>0</v>
      </c>
    </row>
    <row r="757" spans="1:9" x14ac:dyDescent="0.3">
      <c r="A757">
        <v>2</v>
      </c>
      <c r="B757">
        <v>1</v>
      </c>
      <c r="C757" t="s">
        <v>3</v>
      </c>
      <c r="D757" t="s">
        <v>2</v>
      </c>
      <c r="E757">
        <v>4</v>
      </c>
      <c r="F757" t="s">
        <v>15</v>
      </c>
      <c r="G757" t="s">
        <v>14</v>
      </c>
      <c r="H757">
        <v>5</v>
      </c>
      <c r="I757">
        <v>1</v>
      </c>
    </row>
    <row r="758" spans="1:9" x14ac:dyDescent="0.3">
      <c r="A758">
        <v>2</v>
      </c>
      <c r="B758">
        <v>1</v>
      </c>
      <c r="C758" t="s">
        <v>3</v>
      </c>
      <c r="D758" t="s">
        <v>2</v>
      </c>
      <c r="E758">
        <v>22</v>
      </c>
      <c r="F758" t="s">
        <v>15</v>
      </c>
      <c r="G758" t="s">
        <v>14</v>
      </c>
      <c r="H758">
        <v>2</v>
      </c>
      <c r="I758">
        <v>0</v>
      </c>
    </row>
    <row r="759" spans="1:9" x14ac:dyDescent="0.3">
      <c r="A759">
        <v>2</v>
      </c>
      <c r="B759">
        <v>1</v>
      </c>
      <c r="C759" t="s">
        <v>3</v>
      </c>
      <c r="D759" t="s">
        <v>2</v>
      </c>
      <c r="E759">
        <v>43</v>
      </c>
      <c r="F759" t="s">
        <v>15</v>
      </c>
      <c r="G759" t="s">
        <v>14</v>
      </c>
      <c r="H759">
        <v>17</v>
      </c>
      <c r="I759">
        <v>0</v>
      </c>
    </row>
    <row r="760" spans="1:9" x14ac:dyDescent="0.3">
      <c r="A760">
        <v>2</v>
      </c>
      <c r="B760">
        <v>1</v>
      </c>
      <c r="C760" t="s">
        <v>3</v>
      </c>
      <c r="D760" t="s">
        <v>2</v>
      </c>
      <c r="E760">
        <v>41</v>
      </c>
      <c r="F760" t="s">
        <v>15</v>
      </c>
      <c r="G760" t="s">
        <v>14</v>
      </c>
      <c r="H760">
        <v>5</v>
      </c>
      <c r="I760">
        <v>0</v>
      </c>
    </row>
    <row r="761" spans="1:9" x14ac:dyDescent="0.3">
      <c r="A761">
        <v>2</v>
      </c>
      <c r="B761">
        <v>1</v>
      </c>
      <c r="C761" t="s">
        <v>3</v>
      </c>
      <c r="D761" t="s">
        <v>2</v>
      </c>
      <c r="E761">
        <v>60</v>
      </c>
      <c r="F761" t="s">
        <v>15</v>
      </c>
      <c r="G761" t="s">
        <v>14</v>
      </c>
      <c r="H761">
        <v>27</v>
      </c>
      <c r="I761">
        <v>0</v>
      </c>
    </row>
    <row r="762" spans="1:9" x14ac:dyDescent="0.3">
      <c r="A762">
        <v>2</v>
      </c>
      <c r="B762">
        <v>1</v>
      </c>
      <c r="C762" t="s">
        <v>3</v>
      </c>
      <c r="D762" t="s">
        <v>2</v>
      </c>
      <c r="E762">
        <v>34</v>
      </c>
      <c r="F762" t="s">
        <v>15</v>
      </c>
      <c r="G762" t="s">
        <v>14</v>
      </c>
      <c r="H762">
        <v>7</v>
      </c>
      <c r="I762">
        <v>0</v>
      </c>
    </row>
    <row r="763" spans="1:9" x14ac:dyDescent="0.3">
      <c r="A763">
        <v>2</v>
      </c>
      <c r="B763">
        <v>1</v>
      </c>
      <c r="C763" t="s">
        <v>3</v>
      </c>
      <c r="D763" t="s">
        <v>2</v>
      </c>
      <c r="E763">
        <v>77</v>
      </c>
      <c r="F763" t="s">
        <v>15</v>
      </c>
      <c r="G763" t="s">
        <v>14</v>
      </c>
      <c r="H763">
        <v>0</v>
      </c>
      <c r="I763">
        <v>0</v>
      </c>
    </row>
    <row r="764" spans="1:9" x14ac:dyDescent="0.3">
      <c r="A764">
        <v>2</v>
      </c>
      <c r="B764">
        <v>1</v>
      </c>
      <c r="C764" t="s">
        <v>3</v>
      </c>
      <c r="D764" t="s">
        <v>2</v>
      </c>
      <c r="E764">
        <v>64</v>
      </c>
      <c r="F764" t="s">
        <v>15</v>
      </c>
      <c r="G764" t="s">
        <v>14</v>
      </c>
      <c r="H764">
        <v>0</v>
      </c>
      <c r="I764">
        <v>0</v>
      </c>
    </row>
    <row r="765" spans="1:9" x14ac:dyDescent="0.3">
      <c r="A765">
        <v>2</v>
      </c>
      <c r="B765">
        <v>1</v>
      </c>
      <c r="C765" t="s">
        <v>3</v>
      </c>
      <c r="D765" t="s">
        <v>2</v>
      </c>
      <c r="E765">
        <v>37</v>
      </c>
      <c r="F765" t="s">
        <v>15</v>
      </c>
      <c r="G765" t="s">
        <v>14</v>
      </c>
      <c r="H765">
        <v>2</v>
      </c>
      <c r="I765">
        <v>0</v>
      </c>
    </row>
    <row r="766" spans="1:9" x14ac:dyDescent="0.3">
      <c r="A766">
        <v>2</v>
      </c>
      <c r="B766">
        <v>1</v>
      </c>
      <c r="C766" t="s">
        <v>3</v>
      </c>
      <c r="D766" t="s">
        <v>2</v>
      </c>
      <c r="E766">
        <v>62</v>
      </c>
      <c r="F766" t="s">
        <v>15</v>
      </c>
      <c r="G766" t="s">
        <v>14</v>
      </c>
      <c r="H766">
        <v>3</v>
      </c>
      <c r="I766">
        <v>0</v>
      </c>
    </row>
    <row r="767" spans="1:9" x14ac:dyDescent="0.3">
      <c r="A767">
        <v>2</v>
      </c>
      <c r="B767">
        <v>1</v>
      </c>
      <c r="C767" t="s">
        <v>3</v>
      </c>
      <c r="D767" t="s">
        <v>2</v>
      </c>
      <c r="E767">
        <v>49</v>
      </c>
      <c r="F767" t="s">
        <v>15</v>
      </c>
      <c r="G767" t="s">
        <v>14</v>
      </c>
      <c r="H767">
        <v>0</v>
      </c>
      <c r="I767">
        <v>0</v>
      </c>
    </row>
    <row r="768" spans="1:9" x14ac:dyDescent="0.3">
      <c r="A768">
        <v>2</v>
      </c>
      <c r="B768">
        <v>1</v>
      </c>
      <c r="C768" t="s">
        <v>3</v>
      </c>
      <c r="D768" t="s">
        <v>2</v>
      </c>
      <c r="E768">
        <v>55</v>
      </c>
      <c r="F768" t="s">
        <v>15</v>
      </c>
      <c r="G768" t="s">
        <v>14</v>
      </c>
      <c r="H768">
        <v>11</v>
      </c>
      <c r="I768">
        <v>0</v>
      </c>
    </row>
    <row r="769" spans="1:9" x14ac:dyDescent="0.3">
      <c r="A769">
        <v>2</v>
      </c>
      <c r="B769">
        <v>1</v>
      </c>
      <c r="C769" t="s">
        <v>3</v>
      </c>
      <c r="D769" t="s">
        <v>2</v>
      </c>
      <c r="E769">
        <v>51</v>
      </c>
      <c r="F769" t="s">
        <v>15</v>
      </c>
      <c r="G769" t="s">
        <v>14</v>
      </c>
      <c r="H769">
        <v>2</v>
      </c>
      <c r="I769">
        <v>0</v>
      </c>
    </row>
    <row r="770" spans="1:9" x14ac:dyDescent="0.3">
      <c r="A770">
        <v>2</v>
      </c>
      <c r="B770">
        <v>1</v>
      </c>
      <c r="C770" t="s">
        <v>3</v>
      </c>
      <c r="D770" t="s">
        <v>2</v>
      </c>
      <c r="E770">
        <v>45</v>
      </c>
      <c r="F770" t="s">
        <v>15</v>
      </c>
      <c r="G770" t="s">
        <v>14</v>
      </c>
      <c r="H770">
        <v>11</v>
      </c>
      <c r="I770">
        <v>0</v>
      </c>
    </row>
    <row r="771" spans="1:9" x14ac:dyDescent="0.3">
      <c r="A771">
        <v>2</v>
      </c>
      <c r="B771">
        <v>1</v>
      </c>
      <c r="C771" t="s">
        <v>3</v>
      </c>
      <c r="D771" t="s">
        <v>2</v>
      </c>
      <c r="E771">
        <v>48</v>
      </c>
      <c r="F771" t="s">
        <v>15</v>
      </c>
      <c r="G771" t="s">
        <v>14</v>
      </c>
      <c r="H771">
        <v>0</v>
      </c>
      <c r="I771">
        <v>0</v>
      </c>
    </row>
    <row r="772" spans="1:9" x14ac:dyDescent="0.3">
      <c r="A772">
        <v>2</v>
      </c>
      <c r="B772">
        <v>1</v>
      </c>
      <c r="C772" t="s">
        <v>3</v>
      </c>
      <c r="D772" t="s">
        <v>2</v>
      </c>
      <c r="E772">
        <v>43</v>
      </c>
      <c r="F772" t="s">
        <v>15</v>
      </c>
      <c r="G772" t="s">
        <v>14</v>
      </c>
      <c r="H772">
        <v>9</v>
      </c>
      <c r="I772">
        <v>0</v>
      </c>
    </row>
    <row r="773" spans="1:9" x14ac:dyDescent="0.3">
      <c r="A773">
        <v>2</v>
      </c>
      <c r="B773">
        <v>1</v>
      </c>
      <c r="C773" t="s">
        <v>3</v>
      </c>
      <c r="D773" t="s">
        <v>2</v>
      </c>
      <c r="E773">
        <v>40</v>
      </c>
      <c r="F773" t="s">
        <v>15</v>
      </c>
      <c r="G773" t="s">
        <v>14</v>
      </c>
      <c r="H773">
        <v>10</v>
      </c>
      <c r="I773">
        <v>0</v>
      </c>
    </row>
    <row r="774" spans="1:9" x14ac:dyDescent="0.3">
      <c r="A774">
        <v>2</v>
      </c>
      <c r="B774">
        <v>1</v>
      </c>
      <c r="C774" t="s">
        <v>3</v>
      </c>
      <c r="D774" t="s">
        <v>2</v>
      </c>
      <c r="E774">
        <v>45</v>
      </c>
      <c r="F774" t="s">
        <v>15</v>
      </c>
      <c r="G774" t="s">
        <v>14</v>
      </c>
      <c r="H774">
        <v>2</v>
      </c>
      <c r="I774">
        <v>0</v>
      </c>
    </row>
    <row r="775" spans="1:9" x14ac:dyDescent="0.3">
      <c r="A775">
        <v>2</v>
      </c>
      <c r="B775">
        <v>1</v>
      </c>
      <c r="C775" t="s">
        <v>3</v>
      </c>
      <c r="D775" t="s">
        <v>2</v>
      </c>
      <c r="E775">
        <v>29</v>
      </c>
      <c r="F775" t="s">
        <v>15</v>
      </c>
      <c r="G775" t="s">
        <v>14</v>
      </c>
      <c r="H775">
        <v>10</v>
      </c>
      <c r="I775">
        <v>0</v>
      </c>
    </row>
    <row r="776" spans="1:9" x14ac:dyDescent="0.3">
      <c r="A776">
        <v>2</v>
      </c>
      <c r="B776">
        <v>1</v>
      </c>
      <c r="C776" t="s">
        <v>3</v>
      </c>
      <c r="D776" t="s">
        <v>2</v>
      </c>
      <c r="E776">
        <v>49</v>
      </c>
      <c r="F776" t="s">
        <v>15</v>
      </c>
      <c r="G776" t="s">
        <v>14</v>
      </c>
      <c r="H776">
        <v>0</v>
      </c>
      <c r="I776">
        <v>0</v>
      </c>
    </row>
    <row r="777" spans="1:9" x14ac:dyDescent="0.3">
      <c r="A777">
        <v>2</v>
      </c>
      <c r="B777">
        <v>1</v>
      </c>
      <c r="C777" t="s">
        <v>3</v>
      </c>
      <c r="D777" t="s">
        <v>2</v>
      </c>
      <c r="E777">
        <v>39</v>
      </c>
      <c r="F777" t="s">
        <v>15</v>
      </c>
      <c r="G777" t="s">
        <v>14</v>
      </c>
      <c r="H777">
        <v>19</v>
      </c>
      <c r="I777">
        <v>0</v>
      </c>
    </row>
    <row r="778" spans="1:9" x14ac:dyDescent="0.3">
      <c r="A778">
        <v>2</v>
      </c>
      <c r="B778">
        <v>1</v>
      </c>
      <c r="C778" t="s">
        <v>3</v>
      </c>
      <c r="D778" t="s">
        <v>2</v>
      </c>
      <c r="E778">
        <v>69</v>
      </c>
      <c r="F778" t="s">
        <v>15</v>
      </c>
      <c r="G778" t="s">
        <v>14</v>
      </c>
      <c r="H778">
        <v>0</v>
      </c>
      <c r="I778">
        <v>0</v>
      </c>
    </row>
    <row r="779" spans="1:9" x14ac:dyDescent="0.3">
      <c r="A779">
        <v>2</v>
      </c>
      <c r="B779">
        <v>1</v>
      </c>
      <c r="C779" t="s">
        <v>3</v>
      </c>
      <c r="D779" t="s">
        <v>2</v>
      </c>
      <c r="E779">
        <v>73</v>
      </c>
      <c r="F779" t="s">
        <v>15</v>
      </c>
      <c r="G779" t="s">
        <v>14</v>
      </c>
      <c r="H779">
        <v>7</v>
      </c>
      <c r="I779">
        <v>0</v>
      </c>
    </row>
    <row r="780" spans="1:9" x14ac:dyDescent="0.3">
      <c r="A780">
        <v>2</v>
      </c>
      <c r="B780">
        <v>1</v>
      </c>
      <c r="C780" t="s">
        <v>3</v>
      </c>
      <c r="D780" t="s">
        <v>2</v>
      </c>
      <c r="E780">
        <v>45</v>
      </c>
      <c r="F780" t="s">
        <v>15</v>
      </c>
      <c r="G780" t="s">
        <v>14</v>
      </c>
      <c r="H780">
        <v>4</v>
      </c>
      <c r="I780">
        <v>0</v>
      </c>
    </row>
    <row r="781" spans="1:9" x14ac:dyDescent="0.3">
      <c r="A781">
        <v>2</v>
      </c>
      <c r="B781">
        <v>1</v>
      </c>
      <c r="C781" t="s">
        <v>3</v>
      </c>
      <c r="D781" t="s">
        <v>2</v>
      </c>
      <c r="E781">
        <v>36</v>
      </c>
      <c r="F781" t="s">
        <v>15</v>
      </c>
      <c r="G781" t="s">
        <v>14</v>
      </c>
      <c r="H781">
        <v>2</v>
      </c>
      <c r="I781">
        <v>0</v>
      </c>
    </row>
    <row r="782" spans="1:9" x14ac:dyDescent="0.3">
      <c r="A782">
        <v>2</v>
      </c>
      <c r="B782">
        <v>1</v>
      </c>
      <c r="C782" t="s">
        <v>3</v>
      </c>
      <c r="D782" t="s">
        <v>2</v>
      </c>
      <c r="E782">
        <v>50</v>
      </c>
      <c r="F782" t="s">
        <v>15</v>
      </c>
      <c r="G782" t="s">
        <v>14</v>
      </c>
      <c r="H782">
        <v>0</v>
      </c>
      <c r="I782">
        <v>0</v>
      </c>
    </row>
    <row r="783" spans="1:9" x14ac:dyDescent="0.3">
      <c r="A783">
        <v>2</v>
      </c>
      <c r="B783">
        <v>1</v>
      </c>
      <c r="C783" t="s">
        <v>3</v>
      </c>
      <c r="D783" t="s">
        <v>2</v>
      </c>
      <c r="E783">
        <v>33</v>
      </c>
      <c r="F783" t="s">
        <v>15</v>
      </c>
      <c r="G783" t="s">
        <v>14</v>
      </c>
      <c r="H783">
        <v>4</v>
      </c>
      <c r="I783">
        <v>0</v>
      </c>
    </row>
    <row r="784" spans="1:9" x14ac:dyDescent="0.3">
      <c r="A784">
        <v>2</v>
      </c>
      <c r="B784">
        <v>1</v>
      </c>
      <c r="C784" t="s">
        <v>3</v>
      </c>
      <c r="D784" t="s">
        <v>2</v>
      </c>
      <c r="E784">
        <v>21</v>
      </c>
      <c r="F784" t="s">
        <v>15</v>
      </c>
      <c r="G784" t="s">
        <v>14</v>
      </c>
      <c r="H784">
        <v>11</v>
      </c>
      <c r="I784">
        <v>0</v>
      </c>
    </row>
    <row r="785" spans="1:9" x14ac:dyDescent="0.3">
      <c r="A785">
        <v>2</v>
      </c>
      <c r="B785">
        <v>1</v>
      </c>
      <c r="C785" t="s">
        <v>3</v>
      </c>
      <c r="D785" t="s">
        <v>2</v>
      </c>
      <c r="E785">
        <v>54</v>
      </c>
      <c r="F785" t="s">
        <v>15</v>
      </c>
      <c r="G785" t="s">
        <v>14</v>
      </c>
      <c r="H785">
        <v>0</v>
      </c>
      <c r="I785">
        <v>0</v>
      </c>
    </row>
    <row r="786" spans="1:9" x14ac:dyDescent="0.3">
      <c r="A786">
        <v>2</v>
      </c>
      <c r="B786">
        <v>1</v>
      </c>
      <c r="C786" t="s">
        <v>3</v>
      </c>
      <c r="D786" t="s">
        <v>2</v>
      </c>
      <c r="E786">
        <v>21</v>
      </c>
      <c r="F786" t="s">
        <v>15</v>
      </c>
      <c r="G786" t="s">
        <v>14</v>
      </c>
      <c r="H786">
        <v>4</v>
      </c>
      <c r="I786">
        <v>0</v>
      </c>
    </row>
    <row r="787" spans="1:9" x14ac:dyDescent="0.3">
      <c r="A787">
        <v>2</v>
      </c>
      <c r="B787">
        <v>1</v>
      </c>
      <c r="C787" t="s">
        <v>3</v>
      </c>
      <c r="D787" t="s">
        <v>2</v>
      </c>
      <c r="E787">
        <v>78</v>
      </c>
      <c r="F787" t="s">
        <v>15</v>
      </c>
      <c r="G787" t="s">
        <v>14</v>
      </c>
      <c r="H787">
        <v>6</v>
      </c>
      <c r="I787">
        <v>0</v>
      </c>
    </row>
    <row r="788" spans="1:9" x14ac:dyDescent="0.3">
      <c r="A788">
        <v>2</v>
      </c>
      <c r="B788">
        <v>1</v>
      </c>
      <c r="C788" t="s">
        <v>3</v>
      </c>
      <c r="D788" t="s">
        <v>2</v>
      </c>
      <c r="E788">
        <v>52</v>
      </c>
      <c r="F788" t="s">
        <v>15</v>
      </c>
      <c r="G788" t="s">
        <v>14</v>
      </c>
      <c r="H788">
        <v>16</v>
      </c>
      <c r="I788">
        <v>0</v>
      </c>
    </row>
    <row r="789" spans="1:9" x14ac:dyDescent="0.3">
      <c r="A789">
        <v>2</v>
      </c>
      <c r="B789">
        <v>1</v>
      </c>
      <c r="C789" t="s">
        <v>3</v>
      </c>
      <c r="D789" t="s">
        <v>2</v>
      </c>
      <c r="E789">
        <v>30</v>
      </c>
      <c r="F789" t="s">
        <v>15</v>
      </c>
      <c r="G789" t="s">
        <v>14</v>
      </c>
      <c r="H789">
        <v>4</v>
      </c>
      <c r="I789">
        <v>0</v>
      </c>
    </row>
    <row r="790" spans="1:9" x14ac:dyDescent="0.3">
      <c r="A790">
        <v>2</v>
      </c>
      <c r="B790">
        <v>1</v>
      </c>
      <c r="C790" t="s">
        <v>3</v>
      </c>
      <c r="D790" t="s">
        <v>2</v>
      </c>
      <c r="E790">
        <v>54</v>
      </c>
      <c r="F790" t="s">
        <v>15</v>
      </c>
      <c r="G790" t="s">
        <v>14</v>
      </c>
      <c r="H790">
        <v>11</v>
      </c>
      <c r="I790">
        <v>0</v>
      </c>
    </row>
    <row r="791" spans="1:9" x14ac:dyDescent="0.3">
      <c r="A791">
        <v>2</v>
      </c>
      <c r="B791">
        <v>1</v>
      </c>
      <c r="C791" t="s">
        <v>3</v>
      </c>
      <c r="D791" t="s">
        <v>2</v>
      </c>
      <c r="E791">
        <v>69</v>
      </c>
      <c r="F791" t="s">
        <v>15</v>
      </c>
      <c r="G791" t="s">
        <v>14</v>
      </c>
      <c r="H791">
        <v>2</v>
      </c>
      <c r="I791">
        <v>0</v>
      </c>
    </row>
    <row r="792" spans="1:9" x14ac:dyDescent="0.3">
      <c r="A792">
        <v>2</v>
      </c>
      <c r="B792">
        <v>1</v>
      </c>
      <c r="C792" t="s">
        <v>3</v>
      </c>
      <c r="D792" t="s">
        <v>2</v>
      </c>
      <c r="E792">
        <v>54</v>
      </c>
      <c r="F792" t="s">
        <v>15</v>
      </c>
      <c r="G792" t="s">
        <v>14</v>
      </c>
      <c r="H792">
        <v>6</v>
      </c>
      <c r="I792">
        <v>0</v>
      </c>
    </row>
    <row r="793" spans="1:9" x14ac:dyDescent="0.3">
      <c r="A793">
        <v>2</v>
      </c>
      <c r="B793">
        <v>1</v>
      </c>
      <c r="C793" t="s">
        <v>3</v>
      </c>
      <c r="D793" t="s">
        <v>2</v>
      </c>
      <c r="E793">
        <v>37</v>
      </c>
      <c r="F793" t="s">
        <v>15</v>
      </c>
      <c r="G793" t="s">
        <v>14</v>
      </c>
      <c r="H793">
        <v>20</v>
      </c>
      <c r="I793">
        <v>0</v>
      </c>
    </row>
    <row r="794" spans="1:9" x14ac:dyDescent="0.3">
      <c r="A794">
        <v>2</v>
      </c>
      <c r="B794">
        <v>1</v>
      </c>
      <c r="C794" t="s">
        <v>3</v>
      </c>
      <c r="D794" t="s">
        <v>2</v>
      </c>
      <c r="E794">
        <v>61</v>
      </c>
      <c r="F794" t="s">
        <v>15</v>
      </c>
      <c r="G794" t="s">
        <v>14</v>
      </c>
      <c r="H794">
        <v>7</v>
      </c>
      <c r="I794">
        <v>0</v>
      </c>
    </row>
    <row r="795" spans="1:9" x14ac:dyDescent="0.3">
      <c r="A795">
        <v>2</v>
      </c>
      <c r="B795">
        <v>1</v>
      </c>
      <c r="C795" t="s">
        <v>3</v>
      </c>
      <c r="D795" t="s">
        <v>2</v>
      </c>
      <c r="E795">
        <v>18</v>
      </c>
      <c r="F795" t="s">
        <v>15</v>
      </c>
      <c r="G795" t="s">
        <v>14</v>
      </c>
      <c r="H795">
        <v>10</v>
      </c>
      <c r="I795">
        <v>0</v>
      </c>
    </row>
    <row r="796" spans="1:9" x14ac:dyDescent="0.3">
      <c r="A796">
        <v>2</v>
      </c>
      <c r="B796">
        <v>1</v>
      </c>
      <c r="C796" t="s">
        <v>3</v>
      </c>
      <c r="D796" t="s">
        <v>2</v>
      </c>
      <c r="E796">
        <v>40</v>
      </c>
      <c r="F796" t="s">
        <v>15</v>
      </c>
      <c r="G796" t="s">
        <v>14</v>
      </c>
      <c r="H796">
        <v>7</v>
      </c>
      <c r="I796">
        <v>0</v>
      </c>
    </row>
    <row r="797" spans="1:9" x14ac:dyDescent="0.3">
      <c r="A797">
        <v>2</v>
      </c>
      <c r="B797">
        <v>1</v>
      </c>
      <c r="C797" t="s">
        <v>3</v>
      </c>
      <c r="D797" t="s">
        <v>2</v>
      </c>
      <c r="E797">
        <v>32</v>
      </c>
      <c r="F797" t="s">
        <v>15</v>
      </c>
      <c r="G797" t="s">
        <v>14</v>
      </c>
      <c r="H797">
        <v>5</v>
      </c>
      <c r="I797">
        <v>0</v>
      </c>
    </row>
    <row r="798" spans="1:9" x14ac:dyDescent="0.3">
      <c r="A798">
        <v>2</v>
      </c>
      <c r="B798">
        <v>1</v>
      </c>
      <c r="C798" t="s">
        <v>3</v>
      </c>
      <c r="D798" t="s">
        <v>2</v>
      </c>
      <c r="E798">
        <v>46</v>
      </c>
      <c r="F798" t="s">
        <v>15</v>
      </c>
      <c r="G798" t="s">
        <v>14</v>
      </c>
      <c r="H798">
        <v>2</v>
      </c>
      <c r="I798">
        <v>0</v>
      </c>
    </row>
    <row r="799" spans="1:9" x14ac:dyDescent="0.3">
      <c r="A799">
        <v>2</v>
      </c>
      <c r="B799">
        <v>1</v>
      </c>
      <c r="C799" t="s">
        <v>3</v>
      </c>
      <c r="D799" t="s">
        <v>2</v>
      </c>
      <c r="E799">
        <v>38</v>
      </c>
      <c r="F799" t="s">
        <v>15</v>
      </c>
      <c r="G799" t="s">
        <v>14</v>
      </c>
      <c r="H799">
        <v>5</v>
      </c>
      <c r="I799">
        <v>0</v>
      </c>
    </row>
    <row r="800" spans="1:9" x14ac:dyDescent="0.3">
      <c r="A800">
        <v>2</v>
      </c>
      <c r="B800">
        <v>1</v>
      </c>
      <c r="C800" t="s">
        <v>3</v>
      </c>
      <c r="D800" t="s">
        <v>2</v>
      </c>
      <c r="E800">
        <v>64</v>
      </c>
      <c r="F800" t="s">
        <v>15</v>
      </c>
      <c r="G800" t="s">
        <v>14</v>
      </c>
      <c r="H800">
        <v>2</v>
      </c>
      <c r="I800">
        <v>0</v>
      </c>
    </row>
    <row r="801" spans="1:9" x14ac:dyDescent="0.3">
      <c r="A801">
        <v>2</v>
      </c>
      <c r="B801">
        <v>1</v>
      </c>
      <c r="C801" t="s">
        <v>3</v>
      </c>
      <c r="D801" t="s">
        <v>2</v>
      </c>
      <c r="E801">
        <v>48</v>
      </c>
      <c r="F801" t="s">
        <v>15</v>
      </c>
      <c r="G801" t="s">
        <v>14</v>
      </c>
      <c r="H801">
        <v>21</v>
      </c>
      <c r="I801">
        <v>0</v>
      </c>
    </row>
    <row r="802" spans="1:9" x14ac:dyDescent="0.3">
      <c r="A802">
        <v>2</v>
      </c>
      <c r="B802">
        <v>1</v>
      </c>
      <c r="C802" t="s">
        <v>3</v>
      </c>
      <c r="D802" t="s">
        <v>2</v>
      </c>
      <c r="E802">
        <v>99</v>
      </c>
      <c r="F802" t="s">
        <v>15</v>
      </c>
      <c r="G802" t="s">
        <v>14</v>
      </c>
      <c r="H802">
        <v>32</v>
      </c>
      <c r="I802">
        <v>0</v>
      </c>
    </row>
    <row r="803" spans="1:9" x14ac:dyDescent="0.3">
      <c r="A803">
        <v>2</v>
      </c>
      <c r="B803">
        <v>1</v>
      </c>
      <c r="C803" t="s">
        <v>3</v>
      </c>
      <c r="D803" t="s">
        <v>2</v>
      </c>
      <c r="E803">
        <v>37</v>
      </c>
      <c r="F803" t="s">
        <v>15</v>
      </c>
      <c r="G803" t="s">
        <v>14</v>
      </c>
      <c r="H803">
        <v>2</v>
      </c>
      <c r="I803">
        <v>0</v>
      </c>
    </row>
    <row r="804" spans="1:9" x14ac:dyDescent="0.3">
      <c r="A804">
        <v>2</v>
      </c>
      <c r="B804">
        <v>1</v>
      </c>
      <c r="C804" t="s">
        <v>3</v>
      </c>
      <c r="D804" t="s">
        <v>2</v>
      </c>
      <c r="E804">
        <v>46</v>
      </c>
      <c r="F804" t="s">
        <v>15</v>
      </c>
      <c r="G804" t="s">
        <v>14</v>
      </c>
      <c r="H804">
        <v>4</v>
      </c>
      <c r="I804">
        <v>0</v>
      </c>
    </row>
    <row r="805" spans="1:9" x14ac:dyDescent="0.3">
      <c r="A805">
        <v>2</v>
      </c>
      <c r="B805">
        <v>1</v>
      </c>
      <c r="C805" t="s">
        <v>3</v>
      </c>
      <c r="D805" t="s">
        <v>2</v>
      </c>
      <c r="E805">
        <v>53</v>
      </c>
      <c r="F805" t="s">
        <v>15</v>
      </c>
      <c r="G805" t="s">
        <v>14</v>
      </c>
      <c r="H805">
        <v>0</v>
      </c>
      <c r="I805">
        <v>0</v>
      </c>
    </row>
    <row r="806" spans="1:9" x14ac:dyDescent="0.3">
      <c r="A806">
        <v>2</v>
      </c>
      <c r="B806">
        <v>1</v>
      </c>
      <c r="C806" t="s">
        <v>3</v>
      </c>
      <c r="D806" t="s">
        <v>2</v>
      </c>
      <c r="E806">
        <v>24</v>
      </c>
      <c r="F806" t="s">
        <v>15</v>
      </c>
      <c r="G806" t="s">
        <v>14</v>
      </c>
      <c r="H806">
        <v>0</v>
      </c>
      <c r="I806">
        <v>0</v>
      </c>
    </row>
    <row r="807" spans="1:9" x14ac:dyDescent="0.3">
      <c r="A807">
        <v>2</v>
      </c>
      <c r="B807">
        <v>1</v>
      </c>
      <c r="C807" t="s">
        <v>3</v>
      </c>
      <c r="D807" t="s">
        <v>2</v>
      </c>
      <c r="E807">
        <v>47</v>
      </c>
      <c r="F807" t="s">
        <v>15</v>
      </c>
      <c r="G807" t="s">
        <v>14</v>
      </c>
      <c r="H807">
        <v>5</v>
      </c>
      <c r="I807">
        <v>0</v>
      </c>
    </row>
    <row r="808" spans="1:9" x14ac:dyDescent="0.3">
      <c r="A808">
        <v>2</v>
      </c>
      <c r="B808">
        <v>1</v>
      </c>
      <c r="C808" t="s">
        <v>3</v>
      </c>
      <c r="D808" t="s">
        <v>2</v>
      </c>
      <c r="E808">
        <v>2</v>
      </c>
      <c r="F808" t="s">
        <v>15</v>
      </c>
      <c r="G808" t="s">
        <v>14</v>
      </c>
      <c r="H808">
        <v>9</v>
      </c>
      <c r="I808">
        <v>1</v>
      </c>
    </row>
    <row r="809" spans="1:9" x14ac:dyDescent="0.3">
      <c r="A809">
        <v>2</v>
      </c>
      <c r="B809">
        <v>1</v>
      </c>
      <c r="C809" t="s">
        <v>3</v>
      </c>
      <c r="D809" t="s">
        <v>2</v>
      </c>
      <c r="E809">
        <v>7</v>
      </c>
      <c r="F809" t="s">
        <v>15</v>
      </c>
      <c r="G809" t="s">
        <v>14</v>
      </c>
      <c r="H809">
        <v>48</v>
      </c>
      <c r="I809">
        <v>1</v>
      </c>
    </row>
    <row r="810" spans="1:9" x14ac:dyDescent="0.3">
      <c r="A810">
        <v>2</v>
      </c>
      <c r="B810">
        <v>1</v>
      </c>
      <c r="C810" t="s">
        <v>3</v>
      </c>
      <c r="D810" t="s">
        <v>2</v>
      </c>
      <c r="E810">
        <v>18</v>
      </c>
      <c r="F810" t="s">
        <v>15</v>
      </c>
      <c r="G810" t="s">
        <v>14</v>
      </c>
      <c r="H810">
        <v>2</v>
      </c>
      <c r="I810">
        <v>0</v>
      </c>
    </row>
    <row r="811" spans="1:9" x14ac:dyDescent="0.3">
      <c r="A811">
        <v>2</v>
      </c>
      <c r="B811">
        <v>1</v>
      </c>
      <c r="C811" t="s">
        <v>3</v>
      </c>
      <c r="D811" t="s">
        <v>2</v>
      </c>
      <c r="E811">
        <v>38</v>
      </c>
      <c r="F811" t="s">
        <v>15</v>
      </c>
      <c r="G811" t="s">
        <v>14</v>
      </c>
      <c r="H811">
        <v>19</v>
      </c>
      <c r="I811">
        <v>0</v>
      </c>
    </row>
    <row r="812" spans="1:9" x14ac:dyDescent="0.3">
      <c r="A812">
        <v>2</v>
      </c>
      <c r="B812">
        <v>1</v>
      </c>
      <c r="C812" t="s">
        <v>3</v>
      </c>
      <c r="D812" t="s">
        <v>2</v>
      </c>
      <c r="E812">
        <v>51</v>
      </c>
      <c r="F812" t="s">
        <v>15</v>
      </c>
      <c r="G812" t="s">
        <v>14</v>
      </c>
      <c r="H812">
        <v>17</v>
      </c>
      <c r="I812">
        <v>0</v>
      </c>
    </row>
    <row r="813" spans="1:9" x14ac:dyDescent="0.3">
      <c r="A813">
        <v>2</v>
      </c>
      <c r="B813">
        <v>1</v>
      </c>
      <c r="C813" t="s">
        <v>3</v>
      </c>
      <c r="D813" t="s">
        <v>2</v>
      </c>
      <c r="E813">
        <v>38</v>
      </c>
      <c r="F813" t="s">
        <v>15</v>
      </c>
      <c r="G813" t="s">
        <v>14</v>
      </c>
      <c r="H813">
        <v>25</v>
      </c>
      <c r="I813">
        <v>0</v>
      </c>
    </row>
    <row r="814" spans="1:9" x14ac:dyDescent="0.3">
      <c r="A814">
        <v>2</v>
      </c>
      <c r="B814">
        <v>1</v>
      </c>
      <c r="C814" t="s">
        <v>3</v>
      </c>
      <c r="D814" t="s">
        <v>2</v>
      </c>
      <c r="E814">
        <v>33</v>
      </c>
      <c r="F814" t="s">
        <v>15</v>
      </c>
      <c r="G814" t="s">
        <v>14</v>
      </c>
      <c r="H814">
        <v>2</v>
      </c>
      <c r="I814">
        <v>0</v>
      </c>
    </row>
    <row r="815" spans="1:9" x14ac:dyDescent="0.3">
      <c r="A815">
        <v>2</v>
      </c>
      <c r="B815">
        <v>1</v>
      </c>
      <c r="C815" t="s">
        <v>3</v>
      </c>
      <c r="D815" t="s">
        <v>2</v>
      </c>
      <c r="E815">
        <v>33</v>
      </c>
      <c r="F815" t="s">
        <v>15</v>
      </c>
      <c r="G815" t="s">
        <v>14</v>
      </c>
      <c r="H815">
        <v>0</v>
      </c>
      <c r="I815">
        <v>0</v>
      </c>
    </row>
    <row r="816" spans="1:9" x14ac:dyDescent="0.3">
      <c r="A816">
        <v>2</v>
      </c>
      <c r="B816">
        <v>1</v>
      </c>
      <c r="C816" t="s">
        <v>3</v>
      </c>
      <c r="D816" t="s">
        <v>2</v>
      </c>
      <c r="E816">
        <v>66</v>
      </c>
      <c r="F816" t="s">
        <v>15</v>
      </c>
      <c r="G816" t="s">
        <v>14</v>
      </c>
      <c r="H816">
        <v>2</v>
      </c>
      <c r="I816">
        <v>0</v>
      </c>
    </row>
    <row r="817" spans="1:9" x14ac:dyDescent="0.3">
      <c r="A817">
        <v>2</v>
      </c>
      <c r="B817">
        <v>1</v>
      </c>
      <c r="C817" t="s">
        <v>3</v>
      </c>
      <c r="D817" t="s">
        <v>2</v>
      </c>
      <c r="E817">
        <v>38</v>
      </c>
      <c r="F817" t="s">
        <v>15</v>
      </c>
      <c r="G817" t="s">
        <v>14</v>
      </c>
      <c r="H817">
        <v>1</v>
      </c>
      <c r="I817">
        <v>0</v>
      </c>
    </row>
    <row r="818" spans="1:9" x14ac:dyDescent="0.3">
      <c r="A818">
        <v>2</v>
      </c>
      <c r="B818">
        <v>1</v>
      </c>
      <c r="C818" t="s">
        <v>3</v>
      </c>
      <c r="D818" t="s">
        <v>2</v>
      </c>
      <c r="E818">
        <v>28</v>
      </c>
      <c r="F818" t="s">
        <v>15</v>
      </c>
      <c r="G818" t="s">
        <v>14</v>
      </c>
      <c r="H818">
        <v>4</v>
      </c>
      <c r="I818">
        <v>0</v>
      </c>
    </row>
    <row r="819" spans="1:9" x14ac:dyDescent="0.3">
      <c r="A819">
        <v>2</v>
      </c>
      <c r="B819">
        <v>1</v>
      </c>
      <c r="C819" t="s">
        <v>3</v>
      </c>
      <c r="D819" t="s">
        <v>2</v>
      </c>
      <c r="E819">
        <v>52</v>
      </c>
      <c r="F819" t="s">
        <v>15</v>
      </c>
      <c r="G819" t="s">
        <v>14</v>
      </c>
      <c r="H819">
        <v>8</v>
      </c>
      <c r="I819">
        <v>0</v>
      </c>
    </row>
    <row r="820" spans="1:9" x14ac:dyDescent="0.3">
      <c r="A820">
        <v>2</v>
      </c>
      <c r="B820">
        <v>1</v>
      </c>
      <c r="C820" t="s">
        <v>3</v>
      </c>
      <c r="D820" t="s">
        <v>2</v>
      </c>
      <c r="E820">
        <v>65</v>
      </c>
      <c r="F820" t="s">
        <v>15</v>
      </c>
      <c r="G820" t="s">
        <v>14</v>
      </c>
      <c r="H820">
        <v>23</v>
      </c>
      <c r="I820">
        <v>0</v>
      </c>
    </row>
    <row r="821" spans="1:9" x14ac:dyDescent="0.3">
      <c r="A821">
        <v>2</v>
      </c>
      <c r="B821">
        <v>1</v>
      </c>
      <c r="C821" t="s">
        <v>3</v>
      </c>
      <c r="D821" t="s">
        <v>2</v>
      </c>
      <c r="E821">
        <v>25</v>
      </c>
      <c r="F821" t="s">
        <v>15</v>
      </c>
      <c r="G821" t="s">
        <v>14</v>
      </c>
      <c r="H821">
        <v>0</v>
      </c>
      <c r="I821">
        <v>0</v>
      </c>
    </row>
    <row r="822" spans="1:9" x14ac:dyDescent="0.3">
      <c r="A822">
        <v>2</v>
      </c>
      <c r="B822">
        <v>1</v>
      </c>
      <c r="C822" t="s">
        <v>3</v>
      </c>
      <c r="D822" t="s">
        <v>2</v>
      </c>
      <c r="E822">
        <v>41</v>
      </c>
      <c r="F822" t="s">
        <v>15</v>
      </c>
      <c r="G822" t="s">
        <v>14</v>
      </c>
      <c r="H822">
        <v>4</v>
      </c>
      <c r="I822">
        <v>0</v>
      </c>
    </row>
    <row r="823" spans="1:9" x14ac:dyDescent="0.3">
      <c r="A823">
        <v>2</v>
      </c>
      <c r="B823">
        <v>1</v>
      </c>
      <c r="C823" t="s">
        <v>3</v>
      </c>
      <c r="D823" t="s">
        <v>2</v>
      </c>
      <c r="E823">
        <v>72</v>
      </c>
      <c r="F823" t="s">
        <v>15</v>
      </c>
      <c r="G823" t="s">
        <v>14</v>
      </c>
      <c r="H823">
        <v>14</v>
      </c>
      <c r="I823">
        <v>0</v>
      </c>
    </row>
    <row r="824" spans="1:9" x14ac:dyDescent="0.3">
      <c r="A824">
        <v>2</v>
      </c>
      <c r="B824">
        <v>1</v>
      </c>
      <c r="C824" t="s">
        <v>3</v>
      </c>
      <c r="D824" t="s">
        <v>2</v>
      </c>
      <c r="E824">
        <v>32</v>
      </c>
      <c r="F824" t="s">
        <v>15</v>
      </c>
      <c r="G824" t="s">
        <v>14</v>
      </c>
      <c r="H824">
        <v>0</v>
      </c>
      <c r="I824">
        <v>0</v>
      </c>
    </row>
    <row r="825" spans="1:9" x14ac:dyDescent="0.3">
      <c r="A825">
        <v>2</v>
      </c>
      <c r="B825">
        <v>1</v>
      </c>
      <c r="C825" t="s">
        <v>3</v>
      </c>
      <c r="D825" t="s">
        <v>2</v>
      </c>
      <c r="E825">
        <v>38</v>
      </c>
      <c r="F825" t="s">
        <v>15</v>
      </c>
      <c r="G825" t="s">
        <v>14</v>
      </c>
      <c r="H825">
        <v>0</v>
      </c>
      <c r="I825">
        <v>0</v>
      </c>
    </row>
    <row r="826" spans="1:9" x14ac:dyDescent="0.3">
      <c r="A826">
        <v>2</v>
      </c>
      <c r="B826">
        <v>1</v>
      </c>
      <c r="C826" t="s">
        <v>3</v>
      </c>
      <c r="D826" t="s">
        <v>2</v>
      </c>
      <c r="E826">
        <v>31</v>
      </c>
      <c r="F826" t="s">
        <v>15</v>
      </c>
      <c r="G826" t="s">
        <v>14</v>
      </c>
      <c r="H826">
        <v>0</v>
      </c>
      <c r="I826">
        <v>0</v>
      </c>
    </row>
    <row r="827" spans="1:9" x14ac:dyDescent="0.3">
      <c r="A827">
        <v>2</v>
      </c>
      <c r="B827">
        <v>1</v>
      </c>
      <c r="C827" t="s">
        <v>3</v>
      </c>
      <c r="D827" t="s">
        <v>2</v>
      </c>
      <c r="E827">
        <v>20</v>
      </c>
      <c r="F827" t="s">
        <v>15</v>
      </c>
      <c r="G827" t="s">
        <v>14</v>
      </c>
      <c r="H827">
        <v>8</v>
      </c>
      <c r="I827">
        <v>0</v>
      </c>
    </row>
    <row r="828" spans="1:9" x14ac:dyDescent="0.3">
      <c r="A828">
        <v>2</v>
      </c>
      <c r="B828">
        <v>1</v>
      </c>
      <c r="C828" t="s">
        <v>3</v>
      </c>
      <c r="D828" t="s">
        <v>2</v>
      </c>
      <c r="E828">
        <v>37</v>
      </c>
      <c r="F828" t="s">
        <v>15</v>
      </c>
      <c r="G828" t="s">
        <v>14</v>
      </c>
      <c r="H828">
        <v>5</v>
      </c>
      <c r="I828">
        <v>0</v>
      </c>
    </row>
    <row r="829" spans="1:9" x14ac:dyDescent="0.3">
      <c r="A829">
        <v>2</v>
      </c>
      <c r="B829">
        <v>1</v>
      </c>
      <c r="C829" t="s">
        <v>3</v>
      </c>
      <c r="D829" t="s">
        <v>2</v>
      </c>
      <c r="E829">
        <v>20</v>
      </c>
      <c r="F829" t="s">
        <v>15</v>
      </c>
      <c r="G829" t="s">
        <v>14</v>
      </c>
      <c r="H829">
        <v>6</v>
      </c>
      <c r="I829">
        <v>0</v>
      </c>
    </row>
    <row r="830" spans="1:9" x14ac:dyDescent="0.3">
      <c r="A830">
        <v>2</v>
      </c>
      <c r="B830">
        <v>1</v>
      </c>
      <c r="C830" t="s">
        <v>3</v>
      </c>
      <c r="D830" t="s">
        <v>2</v>
      </c>
      <c r="E830">
        <v>54</v>
      </c>
      <c r="F830" t="s">
        <v>15</v>
      </c>
      <c r="G830" t="s">
        <v>14</v>
      </c>
      <c r="H830">
        <v>0</v>
      </c>
      <c r="I830">
        <v>0</v>
      </c>
    </row>
    <row r="831" spans="1:9" x14ac:dyDescent="0.3">
      <c r="A831">
        <v>2</v>
      </c>
      <c r="B831">
        <v>1</v>
      </c>
      <c r="C831" t="s">
        <v>3</v>
      </c>
      <c r="D831" t="s">
        <v>2</v>
      </c>
      <c r="E831">
        <v>40</v>
      </c>
      <c r="F831" t="s">
        <v>15</v>
      </c>
      <c r="G831" t="s">
        <v>14</v>
      </c>
      <c r="H831">
        <v>0</v>
      </c>
      <c r="I831">
        <v>0</v>
      </c>
    </row>
    <row r="832" spans="1:9" x14ac:dyDescent="0.3">
      <c r="A832">
        <v>2</v>
      </c>
      <c r="B832">
        <v>1</v>
      </c>
      <c r="C832" t="s">
        <v>3</v>
      </c>
      <c r="D832" t="s">
        <v>2</v>
      </c>
      <c r="E832">
        <v>24</v>
      </c>
      <c r="F832" t="s">
        <v>15</v>
      </c>
      <c r="G832" t="s">
        <v>14</v>
      </c>
      <c r="H832">
        <v>11</v>
      </c>
      <c r="I832">
        <v>0</v>
      </c>
    </row>
    <row r="833" spans="1:9" x14ac:dyDescent="0.3">
      <c r="A833">
        <v>2</v>
      </c>
      <c r="B833">
        <v>1</v>
      </c>
      <c r="C833" t="s">
        <v>3</v>
      </c>
      <c r="D833" t="s">
        <v>2</v>
      </c>
      <c r="E833">
        <v>20</v>
      </c>
      <c r="F833" t="s">
        <v>15</v>
      </c>
      <c r="G833" t="s">
        <v>14</v>
      </c>
      <c r="H833">
        <v>20</v>
      </c>
      <c r="I833">
        <v>0</v>
      </c>
    </row>
    <row r="834" spans="1:9" x14ac:dyDescent="0.3">
      <c r="A834">
        <v>2</v>
      </c>
      <c r="B834">
        <v>1</v>
      </c>
      <c r="C834" t="s">
        <v>3</v>
      </c>
      <c r="D834" t="s">
        <v>2</v>
      </c>
      <c r="E834">
        <v>17</v>
      </c>
      <c r="F834" t="s">
        <v>15</v>
      </c>
      <c r="G834" t="s">
        <v>14</v>
      </c>
      <c r="H834">
        <v>2</v>
      </c>
      <c r="I834">
        <v>0</v>
      </c>
    </row>
    <row r="835" spans="1:9" x14ac:dyDescent="0.3">
      <c r="A835">
        <v>2</v>
      </c>
      <c r="B835">
        <v>1</v>
      </c>
      <c r="C835" t="s">
        <v>3</v>
      </c>
      <c r="D835" t="s">
        <v>2</v>
      </c>
      <c r="E835">
        <v>32</v>
      </c>
      <c r="F835" t="s">
        <v>15</v>
      </c>
      <c r="G835" t="s">
        <v>14</v>
      </c>
      <c r="H835">
        <v>7</v>
      </c>
      <c r="I835">
        <v>0</v>
      </c>
    </row>
    <row r="836" spans="1:9" x14ac:dyDescent="0.3">
      <c r="A836">
        <v>2</v>
      </c>
      <c r="B836">
        <v>1</v>
      </c>
      <c r="C836" t="s">
        <v>3</v>
      </c>
      <c r="D836" t="s">
        <v>2</v>
      </c>
      <c r="E836">
        <v>42</v>
      </c>
      <c r="F836" t="s">
        <v>15</v>
      </c>
      <c r="G836" t="s">
        <v>14</v>
      </c>
      <c r="H836">
        <v>0</v>
      </c>
      <c r="I836">
        <v>0</v>
      </c>
    </row>
    <row r="837" spans="1:9" x14ac:dyDescent="0.3">
      <c r="A837">
        <v>2</v>
      </c>
      <c r="B837">
        <v>1</v>
      </c>
      <c r="C837" t="s">
        <v>3</v>
      </c>
      <c r="D837" t="s">
        <v>2</v>
      </c>
      <c r="E837">
        <v>64</v>
      </c>
      <c r="F837" t="s">
        <v>15</v>
      </c>
      <c r="G837" t="s">
        <v>14</v>
      </c>
      <c r="H837">
        <v>0</v>
      </c>
      <c r="I837">
        <v>0</v>
      </c>
    </row>
    <row r="838" spans="1:9" x14ac:dyDescent="0.3">
      <c r="A838">
        <v>2</v>
      </c>
      <c r="B838">
        <v>1</v>
      </c>
      <c r="C838" t="s">
        <v>3</v>
      </c>
      <c r="D838" t="s">
        <v>2</v>
      </c>
      <c r="E838">
        <v>24</v>
      </c>
      <c r="F838" t="s">
        <v>15</v>
      </c>
      <c r="G838" t="s">
        <v>14</v>
      </c>
      <c r="H838">
        <v>2</v>
      </c>
      <c r="I838">
        <v>0</v>
      </c>
    </row>
    <row r="839" spans="1:9" x14ac:dyDescent="0.3">
      <c r="A839">
        <v>2</v>
      </c>
      <c r="B839">
        <v>1</v>
      </c>
      <c r="C839" t="s">
        <v>3</v>
      </c>
      <c r="D839" t="s">
        <v>2</v>
      </c>
      <c r="E839">
        <v>24</v>
      </c>
      <c r="F839" t="s">
        <v>15</v>
      </c>
      <c r="G839" t="s">
        <v>14</v>
      </c>
      <c r="H839">
        <v>7</v>
      </c>
      <c r="I839">
        <v>0</v>
      </c>
    </row>
    <row r="840" spans="1:9" x14ac:dyDescent="0.3">
      <c r="A840">
        <v>2</v>
      </c>
      <c r="B840">
        <v>1</v>
      </c>
      <c r="C840" t="s">
        <v>3</v>
      </c>
      <c r="D840" t="s">
        <v>2</v>
      </c>
      <c r="E840">
        <v>57</v>
      </c>
      <c r="F840" t="s">
        <v>15</v>
      </c>
      <c r="G840" t="s">
        <v>14</v>
      </c>
      <c r="H840">
        <v>0</v>
      </c>
      <c r="I840">
        <v>0</v>
      </c>
    </row>
    <row r="841" spans="1:9" x14ac:dyDescent="0.3">
      <c r="A841">
        <v>2</v>
      </c>
      <c r="B841">
        <v>1</v>
      </c>
      <c r="C841" t="s">
        <v>3</v>
      </c>
      <c r="D841" t="s">
        <v>2</v>
      </c>
      <c r="E841">
        <v>39</v>
      </c>
      <c r="F841" t="s">
        <v>15</v>
      </c>
      <c r="G841" t="s">
        <v>14</v>
      </c>
      <c r="H841">
        <v>0</v>
      </c>
      <c r="I841">
        <v>0</v>
      </c>
    </row>
    <row r="842" spans="1:9" x14ac:dyDescent="0.3">
      <c r="A842">
        <v>2</v>
      </c>
      <c r="B842">
        <v>1</v>
      </c>
      <c r="C842" t="s">
        <v>3</v>
      </c>
      <c r="D842" t="s">
        <v>2</v>
      </c>
      <c r="E842">
        <v>37</v>
      </c>
      <c r="F842" t="s">
        <v>15</v>
      </c>
      <c r="G842" t="s">
        <v>14</v>
      </c>
      <c r="H842">
        <v>13</v>
      </c>
      <c r="I842">
        <v>0</v>
      </c>
    </row>
    <row r="843" spans="1:9" x14ac:dyDescent="0.3">
      <c r="A843">
        <v>2</v>
      </c>
      <c r="B843">
        <v>1</v>
      </c>
      <c r="C843" t="s">
        <v>3</v>
      </c>
      <c r="D843" t="s">
        <v>2</v>
      </c>
      <c r="E843">
        <v>27</v>
      </c>
      <c r="F843" t="s">
        <v>15</v>
      </c>
      <c r="G843" t="s">
        <v>14</v>
      </c>
      <c r="H843">
        <v>3</v>
      </c>
      <c r="I843">
        <v>0</v>
      </c>
    </row>
    <row r="844" spans="1:9" x14ac:dyDescent="0.3">
      <c r="A844">
        <v>2</v>
      </c>
      <c r="B844">
        <v>1</v>
      </c>
      <c r="C844" t="s">
        <v>3</v>
      </c>
      <c r="D844" t="s">
        <v>2</v>
      </c>
      <c r="E844">
        <v>47</v>
      </c>
      <c r="F844" t="s">
        <v>15</v>
      </c>
      <c r="G844" t="s">
        <v>14</v>
      </c>
      <c r="H844">
        <v>7</v>
      </c>
      <c r="I844">
        <v>0</v>
      </c>
    </row>
    <row r="845" spans="1:9" x14ac:dyDescent="0.3">
      <c r="A845">
        <v>2</v>
      </c>
      <c r="B845">
        <v>1</v>
      </c>
      <c r="C845" t="s">
        <v>3</v>
      </c>
      <c r="D845" t="s">
        <v>2</v>
      </c>
      <c r="E845">
        <v>52</v>
      </c>
      <c r="F845" t="s">
        <v>15</v>
      </c>
      <c r="G845" t="s">
        <v>14</v>
      </c>
      <c r="H845">
        <v>2</v>
      </c>
      <c r="I845">
        <v>0</v>
      </c>
    </row>
    <row r="846" spans="1:9" x14ac:dyDescent="0.3">
      <c r="A846">
        <v>2</v>
      </c>
      <c r="B846">
        <v>1</v>
      </c>
      <c r="C846" t="s">
        <v>3</v>
      </c>
      <c r="D846" t="s">
        <v>2</v>
      </c>
      <c r="E846">
        <v>29</v>
      </c>
      <c r="F846" t="s">
        <v>15</v>
      </c>
      <c r="G846" t="s">
        <v>14</v>
      </c>
      <c r="H846">
        <v>11</v>
      </c>
      <c r="I846">
        <v>0</v>
      </c>
    </row>
    <row r="847" spans="1:9" x14ac:dyDescent="0.3">
      <c r="A847">
        <v>2</v>
      </c>
      <c r="B847">
        <v>1</v>
      </c>
      <c r="C847" t="s">
        <v>3</v>
      </c>
      <c r="D847" t="s">
        <v>2</v>
      </c>
      <c r="E847">
        <v>36</v>
      </c>
      <c r="F847" t="s">
        <v>15</v>
      </c>
      <c r="G847" t="s">
        <v>14</v>
      </c>
      <c r="H847">
        <v>0</v>
      </c>
      <c r="I847">
        <v>0</v>
      </c>
    </row>
    <row r="848" spans="1:9" x14ac:dyDescent="0.3">
      <c r="A848">
        <v>2</v>
      </c>
      <c r="B848">
        <v>1</v>
      </c>
      <c r="C848" t="s">
        <v>3</v>
      </c>
      <c r="D848" t="s">
        <v>2</v>
      </c>
      <c r="E848">
        <v>50</v>
      </c>
      <c r="F848" t="s">
        <v>15</v>
      </c>
      <c r="G848" t="s">
        <v>14</v>
      </c>
      <c r="H848">
        <v>22</v>
      </c>
      <c r="I848">
        <v>0</v>
      </c>
    </row>
    <row r="849" spans="1:9" x14ac:dyDescent="0.3">
      <c r="A849">
        <v>2</v>
      </c>
      <c r="B849">
        <v>1</v>
      </c>
      <c r="C849" t="s">
        <v>3</v>
      </c>
      <c r="D849" t="s">
        <v>2</v>
      </c>
      <c r="E849">
        <v>21</v>
      </c>
      <c r="F849" t="s">
        <v>15</v>
      </c>
      <c r="G849" t="s">
        <v>14</v>
      </c>
      <c r="H849">
        <v>6</v>
      </c>
      <c r="I849">
        <v>0</v>
      </c>
    </row>
    <row r="850" spans="1:9" x14ac:dyDescent="0.3">
      <c r="A850">
        <v>2</v>
      </c>
      <c r="B850">
        <v>1</v>
      </c>
      <c r="C850" t="s">
        <v>3</v>
      </c>
      <c r="D850" t="s">
        <v>2</v>
      </c>
      <c r="E850">
        <v>34</v>
      </c>
      <c r="F850" t="s">
        <v>15</v>
      </c>
      <c r="G850" t="s">
        <v>14</v>
      </c>
      <c r="H850">
        <v>7</v>
      </c>
      <c r="I850">
        <v>0</v>
      </c>
    </row>
    <row r="851" spans="1:9" x14ac:dyDescent="0.3">
      <c r="A851">
        <v>2</v>
      </c>
      <c r="B851">
        <v>1</v>
      </c>
      <c r="C851" t="s">
        <v>3</v>
      </c>
      <c r="D851" t="s">
        <v>2</v>
      </c>
      <c r="E851">
        <v>23</v>
      </c>
      <c r="F851" t="s">
        <v>15</v>
      </c>
      <c r="G851" t="s">
        <v>14</v>
      </c>
      <c r="H851">
        <v>12</v>
      </c>
      <c r="I851">
        <v>0</v>
      </c>
    </row>
    <row r="852" spans="1:9" x14ac:dyDescent="0.3">
      <c r="A852">
        <v>2</v>
      </c>
      <c r="B852">
        <v>1</v>
      </c>
      <c r="C852" t="s">
        <v>3</v>
      </c>
      <c r="D852" t="s">
        <v>2</v>
      </c>
      <c r="E852">
        <v>33</v>
      </c>
      <c r="F852" t="s">
        <v>15</v>
      </c>
      <c r="G852" t="s">
        <v>14</v>
      </c>
      <c r="H852">
        <v>2</v>
      </c>
      <c r="I852">
        <v>0</v>
      </c>
    </row>
    <row r="853" spans="1:9" x14ac:dyDescent="0.3">
      <c r="A853">
        <v>2</v>
      </c>
      <c r="B853">
        <v>1</v>
      </c>
      <c r="C853" t="s">
        <v>3</v>
      </c>
      <c r="D853" t="s">
        <v>2</v>
      </c>
      <c r="E853">
        <v>42</v>
      </c>
      <c r="F853" t="s">
        <v>15</v>
      </c>
      <c r="G853" t="s">
        <v>14</v>
      </c>
      <c r="H853">
        <v>7</v>
      </c>
      <c r="I853">
        <v>0</v>
      </c>
    </row>
    <row r="854" spans="1:9" x14ac:dyDescent="0.3">
      <c r="A854">
        <v>2</v>
      </c>
      <c r="B854">
        <v>1</v>
      </c>
      <c r="C854" t="s">
        <v>3</v>
      </c>
      <c r="D854" t="s">
        <v>2</v>
      </c>
      <c r="E854">
        <v>52</v>
      </c>
      <c r="F854" t="s">
        <v>15</v>
      </c>
      <c r="G854" t="s">
        <v>14</v>
      </c>
      <c r="H854">
        <v>11</v>
      </c>
      <c r="I854">
        <v>0</v>
      </c>
    </row>
    <row r="855" spans="1:9" x14ac:dyDescent="0.3">
      <c r="A855">
        <v>2</v>
      </c>
      <c r="B855">
        <v>1</v>
      </c>
      <c r="C855" t="s">
        <v>3</v>
      </c>
      <c r="D855" t="s">
        <v>2</v>
      </c>
      <c r="E855">
        <v>59</v>
      </c>
      <c r="F855" t="s">
        <v>15</v>
      </c>
      <c r="G855" t="s">
        <v>14</v>
      </c>
      <c r="H855">
        <v>0</v>
      </c>
      <c r="I855">
        <v>0</v>
      </c>
    </row>
    <row r="856" spans="1:9" x14ac:dyDescent="0.3">
      <c r="A856">
        <v>2</v>
      </c>
      <c r="B856">
        <v>1</v>
      </c>
      <c r="C856" t="s">
        <v>3</v>
      </c>
      <c r="D856" t="s">
        <v>2</v>
      </c>
      <c r="E856">
        <v>25</v>
      </c>
      <c r="F856" t="s">
        <v>15</v>
      </c>
      <c r="G856" t="s">
        <v>14</v>
      </c>
      <c r="H856">
        <v>15</v>
      </c>
      <c r="I856">
        <v>0</v>
      </c>
    </row>
    <row r="857" spans="1:9" x14ac:dyDescent="0.3">
      <c r="A857">
        <v>2</v>
      </c>
      <c r="B857">
        <v>1</v>
      </c>
      <c r="C857" t="s">
        <v>3</v>
      </c>
      <c r="D857" t="s">
        <v>2</v>
      </c>
      <c r="E857">
        <v>50</v>
      </c>
      <c r="F857" t="s">
        <v>15</v>
      </c>
      <c r="G857" t="s">
        <v>14</v>
      </c>
      <c r="H857">
        <v>0</v>
      </c>
      <c r="I857">
        <v>0</v>
      </c>
    </row>
    <row r="858" spans="1:9" x14ac:dyDescent="0.3">
      <c r="A858">
        <v>2</v>
      </c>
      <c r="B858">
        <v>1</v>
      </c>
      <c r="C858" t="s">
        <v>3</v>
      </c>
      <c r="D858" t="s">
        <v>2</v>
      </c>
      <c r="E858">
        <v>27</v>
      </c>
      <c r="F858" t="s">
        <v>15</v>
      </c>
      <c r="G858" t="s">
        <v>14</v>
      </c>
      <c r="H858">
        <v>2</v>
      </c>
      <c r="I858">
        <v>0</v>
      </c>
    </row>
    <row r="859" spans="1:9" x14ac:dyDescent="0.3">
      <c r="A859">
        <v>2</v>
      </c>
      <c r="B859">
        <v>1</v>
      </c>
      <c r="C859" t="s">
        <v>3</v>
      </c>
      <c r="D859" t="s">
        <v>2</v>
      </c>
      <c r="E859">
        <v>32</v>
      </c>
      <c r="F859" t="s">
        <v>15</v>
      </c>
      <c r="G859" t="s">
        <v>14</v>
      </c>
      <c r="H859">
        <v>14</v>
      </c>
      <c r="I859">
        <v>0</v>
      </c>
    </row>
    <row r="860" spans="1:9" x14ac:dyDescent="0.3">
      <c r="A860">
        <v>2</v>
      </c>
      <c r="B860">
        <v>1</v>
      </c>
      <c r="C860" t="s">
        <v>3</v>
      </c>
      <c r="D860" t="s">
        <v>2</v>
      </c>
      <c r="E860">
        <v>38</v>
      </c>
      <c r="F860" t="s">
        <v>15</v>
      </c>
      <c r="G860" t="s">
        <v>14</v>
      </c>
      <c r="H860">
        <v>2</v>
      </c>
      <c r="I860">
        <v>0</v>
      </c>
    </row>
    <row r="861" spans="1:9" x14ac:dyDescent="0.3">
      <c r="A861">
        <v>2</v>
      </c>
      <c r="B861">
        <v>1</v>
      </c>
      <c r="C861" t="s">
        <v>3</v>
      </c>
      <c r="D861" t="s">
        <v>2</v>
      </c>
      <c r="E861">
        <v>58</v>
      </c>
      <c r="F861" t="s">
        <v>15</v>
      </c>
      <c r="G861" t="s">
        <v>14</v>
      </c>
      <c r="H861">
        <v>3</v>
      </c>
      <c r="I861">
        <v>0</v>
      </c>
    </row>
    <row r="862" spans="1:9" x14ac:dyDescent="0.3">
      <c r="A862">
        <v>2</v>
      </c>
      <c r="B862">
        <v>1</v>
      </c>
      <c r="C862" t="s">
        <v>3</v>
      </c>
      <c r="D862" t="s">
        <v>2</v>
      </c>
      <c r="E862">
        <v>15</v>
      </c>
      <c r="F862" t="s">
        <v>15</v>
      </c>
      <c r="G862" t="s">
        <v>14</v>
      </c>
      <c r="H862">
        <v>2</v>
      </c>
      <c r="I862">
        <v>0</v>
      </c>
    </row>
    <row r="863" spans="1:9" x14ac:dyDescent="0.3">
      <c r="A863">
        <v>2</v>
      </c>
      <c r="B863">
        <v>1</v>
      </c>
      <c r="C863" t="s">
        <v>3</v>
      </c>
      <c r="D863" t="s">
        <v>2</v>
      </c>
      <c r="E863">
        <v>19</v>
      </c>
      <c r="F863" t="s">
        <v>15</v>
      </c>
      <c r="G863" t="s">
        <v>14</v>
      </c>
      <c r="H863">
        <v>5</v>
      </c>
      <c r="I863">
        <v>0</v>
      </c>
    </row>
    <row r="864" spans="1:9" x14ac:dyDescent="0.3">
      <c r="A864">
        <v>2</v>
      </c>
      <c r="B864">
        <v>1</v>
      </c>
      <c r="C864" t="s">
        <v>3</v>
      </c>
      <c r="D864" t="s">
        <v>2</v>
      </c>
      <c r="E864">
        <v>38</v>
      </c>
      <c r="F864" t="s">
        <v>15</v>
      </c>
      <c r="G864" t="s">
        <v>14</v>
      </c>
      <c r="H864">
        <v>20</v>
      </c>
      <c r="I864">
        <v>0</v>
      </c>
    </row>
    <row r="865" spans="1:9" x14ac:dyDescent="0.3">
      <c r="A865">
        <v>2</v>
      </c>
      <c r="B865">
        <v>1</v>
      </c>
      <c r="C865" t="s">
        <v>3</v>
      </c>
      <c r="D865" t="s">
        <v>2</v>
      </c>
      <c r="E865">
        <v>43</v>
      </c>
      <c r="F865" t="s">
        <v>15</v>
      </c>
      <c r="G865" t="s">
        <v>14</v>
      </c>
      <c r="H865">
        <v>0</v>
      </c>
      <c r="I865">
        <v>0</v>
      </c>
    </row>
    <row r="866" spans="1:9" x14ac:dyDescent="0.3">
      <c r="A866">
        <v>2</v>
      </c>
      <c r="B866">
        <v>1</v>
      </c>
      <c r="C866" t="s">
        <v>3</v>
      </c>
      <c r="D866" t="s">
        <v>2</v>
      </c>
      <c r="E866">
        <v>45</v>
      </c>
      <c r="F866" t="s">
        <v>15</v>
      </c>
      <c r="G866" t="s">
        <v>14</v>
      </c>
      <c r="H866">
        <v>0</v>
      </c>
      <c r="I866">
        <v>0</v>
      </c>
    </row>
    <row r="867" spans="1:9" x14ac:dyDescent="0.3">
      <c r="A867">
        <v>2</v>
      </c>
      <c r="B867">
        <v>1</v>
      </c>
      <c r="C867" t="s">
        <v>3</v>
      </c>
      <c r="D867" t="s">
        <v>2</v>
      </c>
      <c r="E867">
        <v>13</v>
      </c>
      <c r="F867" t="s">
        <v>15</v>
      </c>
      <c r="G867" t="s">
        <v>14</v>
      </c>
      <c r="H867">
        <v>0</v>
      </c>
      <c r="I867">
        <v>0</v>
      </c>
    </row>
    <row r="868" spans="1:9" x14ac:dyDescent="0.3">
      <c r="A868">
        <v>2</v>
      </c>
      <c r="B868">
        <v>1</v>
      </c>
      <c r="C868" t="s">
        <v>3</v>
      </c>
      <c r="D868" t="s">
        <v>2</v>
      </c>
      <c r="E868">
        <v>30</v>
      </c>
      <c r="F868" t="s">
        <v>15</v>
      </c>
      <c r="G868" t="s">
        <v>14</v>
      </c>
      <c r="H868">
        <v>2</v>
      </c>
      <c r="I868">
        <v>0</v>
      </c>
    </row>
    <row r="869" spans="1:9" x14ac:dyDescent="0.3">
      <c r="A869">
        <v>2</v>
      </c>
      <c r="B869">
        <v>1</v>
      </c>
      <c r="C869" t="s">
        <v>3</v>
      </c>
      <c r="D869" t="s">
        <v>2</v>
      </c>
      <c r="E869">
        <v>42</v>
      </c>
      <c r="F869" t="s">
        <v>15</v>
      </c>
      <c r="G869" t="s">
        <v>14</v>
      </c>
      <c r="H869">
        <v>0</v>
      </c>
      <c r="I869">
        <v>0</v>
      </c>
    </row>
    <row r="870" spans="1:9" x14ac:dyDescent="0.3">
      <c r="A870">
        <v>2</v>
      </c>
      <c r="B870">
        <v>1</v>
      </c>
      <c r="C870" t="s">
        <v>3</v>
      </c>
      <c r="D870" t="s">
        <v>2</v>
      </c>
      <c r="E870">
        <v>67</v>
      </c>
      <c r="F870" t="s">
        <v>15</v>
      </c>
      <c r="G870" t="s">
        <v>14</v>
      </c>
      <c r="H870">
        <v>4</v>
      </c>
      <c r="I870">
        <v>0</v>
      </c>
    </row>
    <row r="871" spans="1:9" x14ac:dyDescent="0.3">
      <c r="A871">
        <v>2</v>
      </c>
      <c r="B871">
        <v>1</v>
      </c>
      <c r="C871" t="s">
        <v>3</v>
      </c>
      <c r="D871" t="s">
        <v>2</v>
      </c>
      <c r="E871">
        <v>46</v>
      </c>
      <c r="F871" t="s">
        <v>15</v>
      </c>
      <c r="G871" t="s">
        <v>14</v>
      </c>
      <c r="H871">
        <v>5</v>
      </c>
      <c r="I871">
        <v>0</v>
      </c>
    </row>
    <row r="872" spans="1:9" x14ac:dyDescent="0.3">
      <c r="A872">
        <v>2</v>
      </c>
      <c r="B872">
        <v>1</v>
      </c>
      <c r="C872" t="s">
        <v>3</v>
      </c>
      <c r="D872" t="s">
        <v>2</v>
      </c>
      <c r="E872">
        <v>60</v>
      </c>
      <c r="F872" t="s">
        <v>15</v>
      </c>
      <c r="G872" t="s">
        <v>14</v>
      </c>
      <c r="H872">
        <v>4</v>
      </c>
      <c r="I872">
        <v>0</v>
      </c>
    </row>
    <row r="873" spans="1:9" x14ac:dyDescent="0.3">
      <c r="A873">
        <v>2</v>
      </c>
      <c r="B873">
        <v>1</v>
      </c>
      <c r="C873" t="s">
        <v>3</v>
      </c>
      <c r="D873" t="s">
        <v>2</v>
      </c>
      <c r="E873">
        <v>61</v>
      </c>
      <c r="F873" t="s">
        <v>15</v>
      </c>
      <c r="G873" t="s">
        <v>14</v>
      </c>
      <c r="H873">
        <v>11</v>
      </c>
      <c r="I873">
        <v>0</v>
      </c>
    </row>
    <row r="874" spans="1:9" x14ac:dyDescent="0.3">
      <c r="A874">
        <v>2</v>
      </c>
      <c r="B874">
        <v>1</v>
      </c>
      <c r="C874" t="s">
        <v>3</v>
      </c>
      <c r="D874" t="s">
        <v>2</v>
      </c>
      <c r="E874">
        <v>60</v>
      </c>
      <c r="F874" t="s">
        <v>15</v>
      </c>
      <c r="G874" t="s">
        <v>14</v>
      </c>
      <c r="H874">
        <v>5</v>
      </c>
      <c r="I874">
        <v>0</v>
      </c>
    </row>
    <row r="875" spans="1:9" x14ac:dyDescent="0.3">
      <c r="A875">
        <v>2</v>
      </c>
      <c r="B875">
        <v>1</v>
      </c>
      <c r="C875" t="s">
        <v>3</v>
      </c>
      <c r="D875" t="s">
        <v>2</v>
      </c>
      <c r="E875">
        <v>43</v>
      </c>
      <c r="F875" t="s">
        <v>15</v>
      </c>
      <c r="G875" t="s">
        <v>14</v>
      </c>
      <c r="H875">
        <v>0</v>
      </c>
      <c r="I875">
        <v>0</v>
      </c>
    </row>
    <row r="876" spans="1:9" x14ac:dyDescent="0.3">
      <c r="A876">
        <v>2</v>
      </c>
      <c r="B876">
        <v>1</v>
      </c>
      <c r="C876" t="s">
        <v>3</v>
      </c>
      <c r="D876" t="s">
        <v>2</v>
      </c>
      <c r="E876">
        <v>43</v>
      </c>
      <c r="F876" t="s">
        <v>15</v>
      </c>
      <c r="G876" t="s">
        <v>14</v>
      </c>
      <c r="H876">
        <v>0</v>
      </c>
      <c r="I876">
        <v>0</v>
      </c>
    </row>
    <row r="877" spans="1:9" x14ac:dyDescent="0.3">
      <c r="A877">
        <v>2</v>
      </c>
      <c r="B877">
        <v>1</v>
      </c>
      <c r="C877" t="s">
        <v>3</v>
      </c>
      <c r="D877" t="s">
        <v>2</v>
      </c>
      <c r="E877">
        <v>28</v>
      </c>
      <c r="F877" t="s">
        <v>15</v>
      </c>
      <c r="G877" t="s">
        <v>14</v>
      </c>
      <c r="H877">
        <v>6</v>
      </c>
      <c r="I877">
        <v>0</v>
      </c>
    </row>
    <row r="878" spans="1:9" x14ac:dyDescent="0.3">
      <c r="A878">
        <v>2</v>
      </c>
      <c r="B878">
        <v>1</v>
      </c>
      <c r="C878" t="s">
        <v>3</v>
      </c>
      <c r="D878" t="s">
        <v>2</v>
      </c>
      <c r="E878">
        <v>35</v>
      </c>
      <c r="F878" t="s">
        <v>15</v>
      </c>
      <c r="G878" t="s">
        <v>14</v>
      </c>
      <c r="H878">
        <v>13</v>
      </c>
      <c r="I878">
        <v>0</v>
      </c>
    </row>
    <row r="879" spans="1:9" x14ac:dyDescent="0.3">
      <c r="A879">
        <v>2</v>
      </c>
      <c r="B879">
        <v>1</v>
      </c>
      <c r="C879" t="s">
        <v>3</v>
      </c>
      <c r="D879" t="s">
        <v>2</v>
      </c>
      <c r="E879">
        <v>43</v>
      </c>
      <c r="F879" t="s">
        <v>15</v>
      </c>
      <c r="G879" t="s">
        <v>14</v>
      </c>
      <c r="H879">
        <v>0</v>
      </c>
      <c r="I879">
        <v>0</v>
      </c>
    </row>
    <row r="880" spans="1:9" x14ac:dyDescent="0.3">
      <c r="A880">
        <v>2</v>
      </c>
      <c r="B880">
        <v>1</v>
      </c>
      <c r="C880" t="s">
        <v>3</v>
      </c>
      <c r="D880" t="s">
        <v>2</v>
      </c>
      <c r="E880">
        <v>28</v>
      </c>
      <c r="F880" t="s">
        <v>15</v>
      </c>
      <c r="G880" t="s">
        <v>14</v>
      </c>
      <c r="H880">
        <v>0</v>
      </c>
      <c r="I880">
        <v>0</v>
      </c>
    </row>
    <row r="881" spans="1:9" x14ac:dyDescent="0.3">
      <c r="A881">
        <v>2</v>
      </c>
      <c r="B881">
        <v>1</v>
      </c>
      <c r="C881" t="s">
        <v>3</v>
      </c>
      <c r="D881" t="s">
        <v>2</v>
      </c>
      <c r="E881">
        <v>22</v>
      </c>
      <c r="F881" t="s">
        <v>15</v>
      </c>
      <c r="G881" t="s">
        <v>14</v>
      </c>
      <c r="H881">
        <v>22</v>
      </c>
      <c r="I881">
        <v>0</v>
      </c>
    </row>
    <row r="882" spans="1:9" x14ac:dyDescent="0.3">
      <c r="A882">
        <v>2</v>
      </c>
      <c r="B882">
        <v>1</v>
      </c>
      <c r="C882" t="s">
        <v>3</v>
      </c>
      <c r="D882" t="s">
        <v>2</v>
      </c>
      <c r="E882">
        <v>26</v>
      </c>
      <c r="F882" t="s">
        <v>15</v>
      </c>
      <c r="G882" t="s">
        <v>14</v>
      </c>
      <c r="H882">
        <v>9</v>
      </c>
      <c r="I882">
        <v>0</v>
      </c>
    </row>
    <row r="883" spans="1:9" x14ac:dyDescent="0.3">
      <c r="A883">
        <v>2</v>
      </c>
      <c r="B883">
        <v>1</v>
      </c>
      <c r="C883" t="s">
        <v>3</v>
      </c>
      <c r="D883" t="s">
        <v>2</v>
      </c>
      <c r="E883">
        <v>75</v>
      </c>
      <c r="F883" t="s">
        <v>15</v>
      </c>
      <c r="G883" t="s">
        <v>14</v>
      </c>
      <c r="H883">
        <v>2</v>
      </c>
      <c r="I883">
        <v>0</v>
      </c>
    </row>
    <row r="884" spans="1:9" x14ac:dyDescent="0.3">
      <c r="A884">
        <v>2</v>
      </c>
      <c r="B884">
        <v>1</v>
      </c>
      <c r="C884" t="s">
        <v>3</v>
      </c>
      <c r="D884" t="s">
        <v>2</v>
      </c>
      <c r="E884">
        <v>32</v>
      </c>
      <c r="F884" t="s">
        <v>15</v>
      </c>
      <c r="G884" t="s">
        <v>14</v>
      </c>
      <c r="H884">
        <v>30</v>
      </c>
      <c r="I884">
        <v>0</v>
      </c>
    </row>
    <row r="885" spans="1:9" x14ac:dyDescent="0.3">
      <c r="A885">
        <v>2</v>
      </c>
      <c r="B885">
        <v>1</v>
      </c>
      <c r="C885" t="s">
        <v>3</v>
      </c>
      <c r="D885" t="s">
        <v>2</v>
      </c>
      <c r="E885">
        <v>51</v>
      </c>
      <c r="F885" t="s">
        <v>15</v>
      </c>
      <c r="G885" t="s">
        <v>14</v>
      </c>
      <c r="H885">
        <v>0</v>
      </c>
      <c r="I885">
        <v>0</v>
      </c>
    </row>
    <row r="886" spans="1:9" x14ac:dyDescent="0.3">
      <c r="A886">
        <v>2</v>
      </c>
      <c r="B886">
        <v>1</v>
      </c>
      <c r="C886" t="s">
        <v>3</v>
      </c>
      <c r="D886" t="s">
        <v>2</v>
      </c>
      <c r="E886">
        <v>46</v>
      </c>
      <c r="F886" t="s">
        <v>15</v>
      </c>
      <c r="G886" t="s">
        <v>14</v>
      </c>
      <c r="H886">
        <v>0</v>
      </c>
      <c r="I886">
        <v>0</v>
      </c>
    </row>
    <row r="887" spans="1:9" x14ac:dyDescent="0.3">
      <c r="A887">
        <v>2</v>
      </c>
      <c r="B887">
        <v>1</v>
      </c>
      <c r="C887" t="s">
        <v>3</v>
      </c>
      <c r="D887" t="s">
        <v>2</v>
      </c>
      <c r="E887">
        <v>57</v>
      </c>
      <c r="F887" t="s">
        <v>15</v>
      </c>
      <c r="G887" t="s">
        <v>14</v>
      </c>
      <c r="H887">
        <v>0</v>
      </c>
      <c r="I887">
        <v>0</v>
      </c>
    </row>
    <row r="888" spans="1:9" x14ac:dyDescent="0.3">
      <c r="A888">
        <v>2</v>
      </c>
      <c r="B888">
        <v>1</v>
      </c>
      <c r="C888" t="s">
        <v>3</v>
      </c>
      <c r="D888" t="s">
        <v>2</v>
      </c>
      <c r="E888">
        <v>36</v>
      </c>
      <c r="F888" t="s">
        <v>15</v>
      </c>
      <c r="G888" t="s">
        <v>14</v>
      </c>
      <c r="H888">
        <v>0</v>
      </c>
      <c r="I888">
        <v>0</v>
      </c>
    </row>
    <row r="889" spans="1:9" x14ac:dyDescent="0.3">
      <c r="A889">
        <v>2</v>
      </c>
      <c r="B889">
        <v>1</v>
      </c>
      <c r="C889" t="s">
        <v>3</v>
      </c>
      <c r="D889" t="s">
        <v>2</v>
      </c>
      <c r="E889">
        <v>34</v>
      </c>
      <c r="F889" t="s">
        <v>15</v>
      </c>
      <c r="G889" t="s">
        <v>14</v>
      </c>
      <c r="H889">
        <v>10</v>
      </c>
      <c r="I889">
        <v>0</v>
      </c>
    </row>
    <row r="890" spans="1:9" x14ac:dyDescent="0.3">
      <c r="A890">
        <v>2</v>
      </c>
      <c r="B890">
        <v>1</v>
      </c>
      <c r="C890" t="s">
        <v>3</v>
      </c>
      <c r="D890" t="s">
        <v>2</v>
      </c>
      <c r="E890">
        <v>85</v>
      </c>
      <c r="F890" t="s">
        <v>15</v>
      </c>
      <c r="G890" t="s">
        <v>14</v>
      </c>
      <c r="H890">
        <v>2</v>
      </c>
      <c r="I890">
        <v>0</v>
      </c>
    </row>
    <row r="891" spans="1:9" x14ac:dyDescent="0.3">
      <c r="A891">
        <v>2</v>
      </c>
      <c r="B891">
        <v>1</v>
      </c>
      <c r="C891" t="s">
        <v>3</v>
      </c>
      <c r="D891" t="s">
        <v>2</v>
      </c>
      <c r="E891">
        <v>28</v>
      </c>
      <c r="F891" t="s">
        <v>15</v>
      </c>
      <c r="G891" t="s">
        <v>14</v>
      </c>
      <c r="H891">
        <v>0</v>
      </c>
      <c r="I891">
        <v>0</v>
      </c>
    </row>
    <row r="892" spans="1:9" x14ac:dyDescent="0.3">
      <c r="A892">
        <v>2</v>
      </c>
      <c r="B892">
        <v>1</v>
      </c>
      <c r="C892" t="s">
        <v>3</v>
      </c>
      <c r="D892" t="s">
        <v>2</v>
      </c>
      <c r="E892">
        <v>8</v>
      </c>
      <c r="F892" t="s">
        <v>15</v>
      </c>
      <c r="G892" t="s">
        <v>14</v>
      </c>
      <c r="H892">
        <v>16</v>
      </c>
      <c r="I892">
        <v>1</v>
      </c>
    </row>
    <row r="893" spans="1:9" x14ac:dyDescent="0.3">
      <c r="A893">
        <v>2</v>
      </c>
      <c r="B893">
        <v>1</v>
      </c>
      <c r="C893" t="s">
        <v>3</v>
      </c>
      <c r="D893" t="s">
        <v>2</v>
      </c>
      <c r="E893">
        <v>46</v>
      </c>
      <c r="F893" t="s">
        <v>15</v>
      </c>
      <c r="G893" t="s">
        <v>14</v>
      </c>
      <c r="H893">
        <v>20</v>
      </c>
      <c r="I893">
        <v>0</v>
      </c>
    </row>
    <row r="894" spans="1:9" x14ac:dyDescent="0.3">
      <c r="A894">
        <v>2</v>
      </c>
      <c r="B894">
        <v>1</v>
      </c>
      <c r="C894" t="s">
        <v>3</v>
      </c>
      <c r="D894" t="s">
        <v>2</v>
      </c>
      <c r="E894">
        <v>39</v>
      </c>
      <c r="F894" t="s">
        <v>15</v>
      </c>
      <c r="G894" t="s">
        <v>14</v>
      </c>
      <c r="H894">
        <v>9</v>
      </c>
      <c r="I894">
        <v>0</v>
      </c>
    </row>
    <row r="895" spans="1:9" x14ac:dyDescent="0.3">
      <c r="A895">
        <v>2</v>
      </c>
      <c r="B895">
        <v>1</v>
      </c>
      <c r="C895" t="s">
        <v>3</v>
      </c>
      <c r="D895" t="s">
        <v>2</v>
      </c>
      <c r="E895">
        <v>51</v>
      </c>
      <c r="F895" t="s">
        <v>15</v>
      </c>
      <c r="G895" t="s">
        <v>14</v>
      </c>
      <c r="H895">
        <v>0</v>
      </c>
      <c r="I895">
        <v>0</v>
      </c>
    </row>
    <row r="896" spans="1:9" x14ac:dyDescent="0.3">
      <c r="A896">
        <v>2</v>
      </c>
      <c r="B896">
        <v>1</v>
      </c>
      <c r="C896" t="s">
        <v>3</v>
      </c>
      <c r="D896" t="s">
        <v>2</v>
      </c>
      <c r="E896">
        <v>30</v>
      </c>
      <c r="F896" t="s">
        <v>15</v>
      </c>
      <c r="G896" t="s">
        <v>14</v>
      </c>
      <c r="H896">
        <v>2</v>
      </c>
      <c r="I896">
        <v>0</v>
      </c>
    </row>
    <row r="897" spans="1:9" x14ac:dyDescent="0.3">
      <c r="A897">
        <v>2</v>
      </c>
      <c r="B897">
        <v>1</v>
      </c>
      <c r="C897" t="s">
        <v>3</v>
      </c>
      <c r="D897" t="s">
        <v>2</v>
      </c>
      <c r="E897">
        <v>58</v>
      </c>
      <c r="F897" t="s">
        <v>15</v>
      </c>
      <c r="G897" t="s">
        <v>14</v>
      </c>
      <c r="H897">
        <v>5</v>
      </c>
      <c r="I897">
        <v>0</v>
      </c>
    </row>
    <row r="898" spans="1:9" x14ac:dyDescent="0.3">
      <c r="A898">
        <v>2</v>
      </c>
      <c r="B898">
        <v>1</v>
      </c>
      <c r="C898" t="s">
        <v>3</v>
      </c>
      <c r="D898" t="s">
        <v>2</v>
      </c>
      <c r="E898">
        <v>34</v>
      </c>
      <c r="F898" t="s">
        <v>15</v>
      </c>
      <c r="G898" t="s">
        <v>14</v>
      </c>
      <c r="H898">
        <v>0</v>
      </c>
      <c r="I898">
        <v>0</v>
      </c>
    </row>
    <row r="899" spans="1:9" x14ac:dyDescent="0.3">
      <c r="A899">
        <v>2</v>
      </c>
      <c r="B899">
        <v>1</v>
      </c>
      <c r="C899" t="s">
        <v>3</v>
      </c>
      <c r="D899" t="s">
        <v>2</v>
      </c>
      <c r="E899">
        <v>28</v>
      </c>
      <c r="F899" t="s">
        <v>15</v>
      </c>
      <c r="G899" t="s">
        <v>14</v>
      </c>
      <c r="H899">
        <v>11</v>
      </c>
      <c r="I899">
        <v>0</v>
      </c>
    </row>
    <row r="900" spans="1:9" x14ac:dyDescent="0.3">
      <c r="A900">
        <v>2</v>
      </c>
      <c r="B900">
        <v>1</v>
      </c>
      <c r="C900" t="s">
        <v>3</v>
      </c>
      <c r="D900" t="s">
        <v>2</v>
      </c>
      <c r="E900">
        <v>40</v>
      </c>
      <c r="F900" t="s">
        <v>15</v>
      </c>
      <c r="G900" t="s">
        <v>14</v>
      </c>
      <c r="H900">
        <v>6</v>
      </c>
      <c r="I900">
        <v>0</v>
      </c>
    </row>
    <row r="901" spans="1:9" x14ac:dyDescent="0.3">
      <c r="A901">
        <v>2</v>
      </c>
      <c r="B901">
        <v>1</v>
      </c>
      <c r="C901" t="s">
        <v>3</v>
      </c>
      <c r="D901" t="s">
        <v>2</v>
      </c>
      <c r="E901">
        <v>85</v>
      </c>
      <c r="F901" t="s">
        <v>15</v>
      </c>
      <c r="G901" t="s">
        <v>14</v>
      </c>
      <c r="H901">
        <v>0</v>
      </c>
      <c r="I901">
        <v>0</v>
      </c>
    </row>
    <row r="902" spans="1:9" x14ac:dyDescent="0.3">
      <c r="A902">
        <v>2</v>
      </c>
      <c r="B902">
        <v>1</v>
      </c>
      <c r="C902" t="s">
        <v>3</v>
      </c>
      <c r="D902" t="s">
        <v>2</v>
      </c>
      <c r="E902">
        <v>30</v>
      </c>
      <c r="F902" t="s">
        <v>15</v>
      </c>
      <c r="G902" t="s">
        <v>14</v>
      </c>
      <c r="H902">
        <v>2</v>
      </c>
      <c r="I902">
        <v>0</v>
      </c>
    </row>
    <row r="903" spans="1:9" x14ac:dyDescent="0.3">
      <c r="A903">
        <v>2</v>
      </c>
      <c r="B903">
        <v>1</v>
      </c>
      <c r="C903" t="s">
        <v>3</v>
      </c>
      <c r="D903" t="s">
        <v>2</v>
      </c>
      <c r="E903">
        <v>49</v>
      </c>
      <c r="F903" t="s">
        <v>15</v>
      </c>
      <c r="G903" t="s">
        <v>14</v>
      </c>
      <c r="H903">
        <v>1</v>
      </c>
      <c r="I903">
        <v>0</v>
      </c>
    </row>
    <row r="904" spans="1:9" x14ac:dyDescent="0.3">
      <c r="A904">
        <v>2</v>
      </c>
      <c r="B904">
        <v>1</v>
      </c>
      <c r="C904" t="s">
        <v>3</v>
      </c>
      <c r="D904" t="s">
        <v>2</v>
      </c>
      <c r="E904">
        <v>47</v>
      </c>
      <c r="F904" t="s">
        <v>15</v>
      </c>
      <c r="G904" t="s">
        <v>14</v>
      </c>
      <c r="H904">
        <v>8</v>
      </c>
      <c r="I904">
        <v>0</v>
      </c>
    </row>
    <row r="905" spans="1:9" x14ac:dyDescent="0.3">
      <c r="A905">
        <v>2</v>
      </c>
      <c r="B905">
        <v>1</v>
      </c>
      <c r="C905" t="s">
        <v>3</v>
      </c>
      <c r="D905" t="s">
        <v>2</v>
      </c>
      <c r="E905">
        <v>53</v>
      </c>
      <c r="F905" t="s">
        <v>15</v>
      </c>
      <c r="G905" t="s">
        <v>14</v>
      </c>
      <c r="H905">
        <v>7</v>
      </c>
      <c r="I905">
        <v>0</v>
      </c>
    </row>
    <row r="906" spans="1:9" x14ac:dyDescent="0.3">
      <c r="A906">
        <v>2</v>
      </c>
      <c r="B906">
        <v>1</v>
      </c>
      <c r="C906" t="s">
        <v>3</v>
      </c>
      <c r="D906" t="s">
        <v>2</v>
      </c>
      <c r="E906">
        <v>32</v>
      </c>
      <c r="F906" t="s">
        <v>15</v>
      </c>
      <c r="G906" t="s">
        <v>14</v>
      </c>
      <c r="H906">
        <v>25</v>
      </c>
      <c r="I906">
        <v>0</v>
      </c>
    </row>
    <row r="907" spans="1:9" x14ac:dyDescent="0.3">
      <c r="A907">
        <v>2</v>
      </c>
      <c r="B907">
        <v>1</v>
      </c>
      <c r="C907" t="s">
        <v>3</v>
      </c>
      <c r="D907" t="s">
        <v>2</v>
      </c>
      <c r="E907">
        <v>13</v>
      </c>
      <c r="F907" t="s">
        <v>15</v>
      </c>
      <c r="G907" t="s">
        <v>14</v>
      </c>
      <c r="H907">
        <v>0</v>
      </c>
      <c r="I907">
        <v>0</v>
      </c>
    </row>
    <row r="908" spans="1:9" x14ac:dyDescent="0.3">
      <c r="A908">
        <v>2</v>
      </c>
      <c r="B908">
        <v>1</v>
      </c>
      <c r="C908" t="s">
        <v>3</v>
      </c>
      <c r="D908" t="s">
        <v>2</v>
      </c>
      <c r="E908">
        <v>69</v>
      </c>
      <c r="F908" t="s">
        <v>15</v>
      </c>
      <c r="G908" t="s">
        <v>14</v>
      </c>
      <c r="H908">
        <v>0</v>
      </c>
      <c r="I908">
        <v>0</v>
      </c>
    </row>
    <row r="909" spans="1:9" x14ac:dyDescent="0.3">
      <c r="A909">
        <v>2</v>
      </c>
      <c r="B909">
        <v>1</v>
      </c>
      <c r="C909" t="s">
        <v>3</v>
      </c>
      <c r="D909" t="s">
        <v>2</v>
      </c>
      <c r="E909">
        <v>48</v>
      </c>
      <c r="F909" t="s">
        <v>15</v>
      </c>
      <c r="G909" t="s">
        <v>14</v>
      </c>
      <c r="H909">
        <v>0</v>
      </c>
      <c r="I909">
        <v>0</v>
      </c>
    </row>
    <row r="910" spans="1:9" x14ac:dyDescent="0.3">
      <c r="A910">
        <v>2</v>
      </c>
      <c r="B910">
        <v>1</v>
      </c>
      <c r="C910" t="s">
        <v>3</v>
      </c>
      <c r="D910" t="s">
        <v>2</v>
      </c>
      <c r="E910">
        <v>41</v>
      </c>
      <c r="F910" t="s">
        <v>15</v>
      </c>
      <c r="G910" t="s">
        <v>14</v>
      </c>
      <c r="H910">
        <v>8</v>
      </c>
      <c r="I910">
        <v>0</v>
      </c>
    </row>
    <row r="911" spans="1:9" x14ac:dyDescent="0.3">
      <c r="A911">
        <v>2</v>
      </c>
      <c r="B911">
        <v>1</v>
      </c>
      <c r="C911" t="s">
        <v>3</v>
      </c>
      <c r="D911" t="s">
        <v>2</v>
      </c>
      <c r="E911">
        <v>61</v>
      </c>
      <c r="F911" t="s">
        <v>15</v>
      </c>
      <c r="G911" t="s">
        <v>14</v>
      </c>
      <c r="H911">
        <v>4</v>
      </c>
      <c r="I911">
        <v>0</v>
      </c>
    </row>
    <row r="912" spans="1:9" x14ac:dyDescent="0.3">
      <c r="A912">
        <v>2</v>
      </c>
      <c r="B912">
        <v>1</v>
      </c>
      <c r="C912" t="s">
        <v>3</v>
      </c>
      <c r="D912" t="s">
        <v>2</v>
      </c>
      <c r="E912">
        <v>43</v>
      </c>
      <c r="F912" t="s">
        <v>15</v>
      </c>
      <c r="G912" t="s">
        <v>14</v>
      </c>
      <c r="H912">
        <v>0</v>
      </c>
      <c r="I912">
        <v>0</v>
      </c>
    </row>
    <row r="913" spans="1:9" x14ac:dyDescent="0.3">
      <c r="A913">
        <v>2</v>
      </c>
      <c r="B913">
        <v>1</v>
      </c>
      <c r="C913" t="s">
        <v>3</v>
      </c>
      <c r="D913" t="s">
        <v>2</v>
      </c>
      <c r="E913">
        <v>33</v>
      </c>
      <c r="F913" t="s">
        <v>15</v>
      </c>
      <c r="G913" t="s">
        <v>14</v>
      </c>
      <c r="H913">
        <v>2</v>
      </c>
      <c r="I913">
        <v>0</v>
      </c>
    </row>
    <row r="914" spans="1:9" x14ac:dyDescent="0.3">
      <c r="A914">
        <v>2</v>
      </c>
      <c r="B914">
        <v>1</v>
      </c>
      <c r="C914" t="s">
        <v>3</v>
      </c>
      <c r="D914" t="s">
        <v>2</v>
      </c>
      <c r="E914">
        <v>32</v>
      </c>
      <c r="F914" t="s">
        <v>15</v>
      </c>
      <c r="G914" t="s">
        <v>14</v>
      </c>
      <c r="H914">
        <v>13</v>
      </c>
      <c r="I914">
        <v>0</v>
      </c>
    </row>
    <row r="915" spans="1:9" x14ac:dyDescent="0.3">
      <c r="A915">
        <v>2</v>
      </c>
      <c r="B915">
        <v>1</v>
      </c>
      <c r="C915" t="s">
        <v>3</v>
      </c>
      <c r="D915" t="s">
        <v>2</v>
      </c>
      <c r="E915">
        <v>72</v>
      </c>
      <c r="F915" t="s">
        <v>15</v>
      </c>
      <c r="G915" t="s">
        <v>14</v>
      </c>
      <c r="H915">
        <v>12</v>
      </c>
      <c r="I915">
        <v>0</v>
      </c>
    </row>
    <row r="916" spans="1:9" x14ac:dyDescent="0.3">
      <c r="A916">
        <v>2</v>
      </c>
      <c r="B916">
        <v>1</v>
      </c>
      <c r="C916" t="s">
        <v>3</v>
      </c>
      <c r="D916" t="s">
        <v>2</v>
      </c>
      <c r="E916">
        <v>31</v>
      </c>
      <c r="F916" t="s">
        <v>15</v>
      </c>
      <c r="G916" t="s">
        <v>14</v>
      </c>
      <c r="H916">
        <v>16</v>
      </c>
      <c r="I916">
        <v>0</v>
      </c>
    </row>
    <row r="917" spans="1:9" x14ac:dyDescent="0.3">
      <c r="A917">
        <v>2</v>
      </c>
      <c r="B917">
        <v>1</v>
      </c>
      <c r="C917" t="s">
        <v>3</v>
      </c>
      <c r="D917" t="s">
        <v>2</v>
      </c>
      <c r="E917">
        <v>31</v>
      </c>
      <c r="F917" t="s">
        <v>15</v>
      </c>
      <c r="G917" t="s">
        <v>14</v>
      </c>
      <c r="H917">
        <v>0</v>
      </c>
      <c r="I917">
        <v>0</v>
      </c>
    </row>
    <row r="918" spans="1:9" x14ac:dyDescent="0.3">
      <c r="A918">
        <v>2</v>
      </c>
      <c r="B918">
        <v>1</v>
      </c>
      <c r="C918" t="s">
        <v>3</v>
      </c>
      <c r="D918" t="s">
        <v>2</v>
      </c>
      <c r="E918">
        <v>14</v>
      </c>
      <c r="F918" t="s">
        <v>15</v>
      </c>
      <c r="G918" t="s">
        <v>14</v>
      </c>
      <c r="H918">
        <v>15</v>
      </c>
      <c r="I918">
        <v>1</v>
      </c>
    </row>
    <row r="919" spans="1:9" x14ac:dyDescent="0.3">
      <c r="A919">
        <v>2</v>
      </c>
      <c r="B919">
        <v>1</v>
      </c>
      <c r="C919" t="s">
        <v>3</v>
      </c>
      <c r="D919" t="s">
        <v>2</v>
      </c>
      <c r="E919">
        <v>45</v>
      </c>
      <c r="F919" t="s">
        <v>15</v>
      </c>
      <c r="G919" t="s">
        <v>14</v>
      </c>
      <c r="H919">
        <v>23</v>
      </c>
      <c r="I919">
        <v>0</v>
      </c>
    </row>
    <row r="920" spans="1:9" x14ac:dyDescent="0.3">
      <c r="A920">
        <v>2</v>
      </c>
      <c r="B920">
        <v>1</v>
      </c>
      <c r="C920" t="s">
        <v>3</v>
      </c>
      <c r="D920" t="s">
        <v>2</v>
      </c>
      <c r="E920">
        <v>101</v>
      </c>
      <c r="F920" t="s">
        <v>15</v>
      </c>
      <c r="G920" t="s">
        <v>14</v>
      </c>
      <c r="H920">
        <v>7</v>
      </c>
      <c r="I920">
        <v>0</v>
      </c>
    </row>
    <row r="921" spans="1:9" x14ac:dyDescent="0.3">
      <c r="A921">
        <v>2</v>
      </c>
      <c r="B921">
        <v>1</v>
      </c>
      <c r="C921" t="s">
        <v>3</v>
      </c>
      <c r="D921" t="s">
        <v>2</v>
      </c>
      <c r="E921">
        <v>57</v>
      </c>
      <c r="F921" t="s">
        <v>15</v>
      </c>
      <c r="G921" t="s">
        <v>14</v>
      </c>
      <c r="H921">
        <v>9</v>
      </c>
      <c r="I921">
        <v>0</v>
      </c>
    </row>
    <row r="922" spans="1:9" x14ac:dyDescent="0.3">
      <c r="A922">
        <v>2</v>
      </c>
      <c r="B922">
        <v>1</v>
      </c>
      <c r="C922" t="s">
        <v>3</v>
      </c>
      <c r="D922" t="s">
        <v>2</v>
      </c>
      <c r="E922">
        <v>45</v>
      </c>
      <c r="F922" t="s">
        <v>15</v>
      </c>
      <c r="G922" t="s">
        <v>14</v>
      </c>
      <c r="H922">
        <v>0</v>
      </c>
      <c r="I922">
        <v>0</v>
      </c>
    </row>
    <row r="923" spans="1:9" x14ac:dyDescent="0.3">
      <c r="A923">
        <v>2</v>
      </c>
      <c r="B923">
        <v>1</v>
      </c>
      <c r="C923" t="s">
        <v>3</v>
      </c>
      <c r="D923" t="s">
        <v>2</v>
      </c>
      <c r="E923">
        <v>50</v>
      </c>
      <c r="F923" t="s">
        <v>15</v>
      </c>
      <c r="G923" t="s">
        <v>14</v>
      </c>
      <c r="H923">
        <v>3</v>
      </c>
      <c r="I923">
        <v>0</v>
      </c>
    </row>
    <row r="924" spans="1:9" x14ac:dyDescent="0.3">
      <c r="A924">
        <v>2</v>
      </c>
      <c r="B924">
        <v>1</v>
      </c>
      <c r="C924" t="s">
        <v>3</v>
      </c>
      <c r="D924" t="s">
        <v>2</v>
      </c>
      <c r="E924">
        <v>31</v>
      </c>
      <c r="F924" t="s">
        <v>15</v>
      </c>
      <c r="G924" t="s">
        <v>14</v>
      </c>
      <c r="H924">
        <v>16</v>
      </c>
      <c r="I924">
        <v>0</v>
      </c>
    </row>
    <row r="925" spans="1:9" x14ac:dyDescent="0.3">
      <c r="A925">
        <v>2</v>
      </c>
      <c r="B925">
        <v>1</v>
      </c>
      <c r="C925" t="s">
        <v>3</v>
      </c>
      <c r="D925" t="s">
        <v>2</v>
      </c>
      <c r="E925">
        <v>30</v>
      </c>
      <c r="F925" t="s">
        <v>15</v>
      </c>
      <c r="G925" t="s">
        <v>14</v>
      </c>
      <c r="H925">
        <v>0</v>
      </c>
      <c r="I925">
        <v>0</v>
      </c>
    </row>
    <row r="926" spans="1:9" x14ac:dyDescent="0.3">
      <c r="A926">
        <v>2</v>
      </c>
      <c r="B926">
        <v>1</v>
      </c>
      <c r="C926" t="s">
        <v>3</v>
      </c>
      <c r="D926" t="s">
        <v>2</v>
      </c>
      <c r="E926">
        <v>26</v>
      </c>
      <c r="F926" t="s">
        <v>15</v>
      </c>
      <c r="G926" t="s">
        <v>14</v>
      </c>
      <c r="H926">
        <v>4</v>
      </c>
      <c r="I926">
        <v>0</v>
      </c>
    </row>
    <row r="927" spans="1:9" x14ac:dyDescent="0.3">
      <c r="A927">
        <v>2</v>
      </c>
      <c r="B927">
        <v>1</v>
      </c>
      <c r="C927" t="s">
        <v>3</v>
      </c>
      <c r="D927" t="s">
        <v>2</v>
      </c>
      <c r="E927">
        <v>56</v>
      </c>
      <c r="F927" t="s">
        <v>15</v>
      </c>
      <c r="G927" t="s">
        <v>14</v>
      </c>
      <c r="H927">
        <v>0</v>
      </c>
      <c r="I927">
        <v>0</v>
      </c>
    </row>
    <row r="928" spans="1:9" x14ac:dyDescent="0.3">
      <c r="A928">
        <v>2</v>
      </c>
      <c r="B928">
        <v>1</v>
      </c>
      <c r="C928" t="s">
        <v>3</v>
      </c>
      <c r="D928" t="s">
        <v>2</v>
      </c>
      <c r="E928">
        <v>39</v>
      </c>
      <c r="F928" t="s">
        <v>15</v>
      </c>
      <c r="G928" t="s">
        <v>14</v>
      </c>
      <c r="H928">
        <v>2</v>
      </c>
      <c r="I928">
        <v>0</v>
      </c>
    </row>
    <row r="929" spans="1:9" x14ac:dyDescent="0.3">
      <c r="A929">
        <v>2</v>
      </c>
      <c r="B929">
        <v>1</v>
      </c>
      <c r="C929" t="s">
        <v>3</v>
      </c>
      <c r="D929" t="s">
        <v>2</v>
      </c>
      <c r="E929">
        <v>36</v>
      </c>
      <c r="F929" t="s">
        <v>15</v>
      </c>
      <c r="G929" t="s">
        <v>14</v>
      </c>
      <c r="H929">
        <v>9</v>
      </c>
      <c r="I929">
        <v>0</v>
      </c>
    </row>
    <row r="930" spans="1:9" x14ac:dyDescent="0.3">
      <c r="A930">
        <v>2</v>
      </c>
      <c r="B930">
        <v>1</v>
      </c>
      <c r="C930" t="s">
        <v>3</v>
      </c>
      <c r="D930" t="s">
        <v>2</v>
      </c>
      <c r="E930">
        <v>37</v>
      </c>
      <c r="F930" t="s">
        <v>15</v>
      </c>
      <c r="G930" t="s">
        <v>14</v>
      </c>
      <c r="H930">
        <v>4</v>
      </c>
      <c r="I930">
        <v>0</v>
      </c>
    </row>
    <row r="931" spans="1:9" x14ac:dyDescent="0.3">
      <c r="A931">
        <v>2</v>
      </c>
      <c r="B931">
        <v>1</v>
      </c>
      <c r="C931" t="s">
        <v>3</v>
      </c>
      <c r="D931" t="s">
        <v>2</v>
      </c>
      <c r="E931">
        <v>27</v>
      </c>
      <c r="F931" t="s">
        <v>15</v>
      </c>
      <c r="G931" t="s">
        <v>14</v>
      </c>
      <c r="H931">
        <v>7</v>
      </c>
      <c r="I931">
        <v>0</v>
      </c>
    </row>
    <row r="932" spans="1:9" x14ac:dyDescent="0.3">
      <c r="A932">
        <v>2</v>
      </c>
      <c r="B932">
        <v>1</v>
      </c>
      <c r="C932" t="s">
        <v>3</v>
      </c>
      <c r="D932" t="s">
        <v>2</v>
      </c>
      <c r="E932">
        <v>75</v>
      </c>
      <c r="F932" t="s">
        <v>15</v>
      </c>
      <c r="G932" t="s">
        <v>14</v>
      </c>
      <c r="H932">
        <v>10</v>
      </c>
      <c r="I932">
        <v>0</v>
      </c>
    </row>
    <row r="933" spans="1:9" x14ac:dyDescent="0.3">
      <c r="A933">
        <v>2</v>
      </c>
      <c r="B933">
        <v>1</v>
      </c>
      <c r="C933" t="s">
        <v>3</v>
      </c>
      <c r="D933" t="s">
        <v>2</v>
      </c>
      <c r="E933">
        <v>40</v>
      </c>
      <c r="F933" t="s">
        <v>15</v>
      </c>
      <c r="G933" t="s">
        <v>14</v>
      </c>
      <c r="H933">
        <v>3</v>
      </c>
      <c r="I933">
        <v>0</v>
      </c>
    </row>
    <row r="934" spans="1:9" x14ac:dyDescent="0.3">
      <c r="A934">
        <v>2</v>
      </c>
      <c r="B934">
        <v>1</v>
      </c>
      <c r="C934" t="s">
        <v>3</v>
      </c>
      <c r="D934" t="s">
        <v>2</v>
      </c>
      <c r="E934">
        <v>40</v>
      </c>
      <c r="F934" t="s">
        <v>15</v>
      </c>
      <c r="G934" t="s">
        <v>14</v>
      </c>
      <c r="H934">
        <v>0</v>
      </c>
      <c r="I934">
        <v>0</v>
      </c>
    </row>
    <row r="935" spans="1:9" x14ac:dyDescent="0.3">
      <c r="A935">
        <v>2</v>
      </c>
      <c r="B935">
        <v>1</v>
      </c>
      <c r="C935" t="s">
        <v>3</v>
      </c>
      <c r="D935" t="s">
        <v>2</v>
      </c>
      <c r="E935">
        <v>22</v>
      </c>
      <c r="F935" t="s">
        <v>15</v>
      </c>
      <c r="G935" t="s">
        <v>14</v>
      </c>
      <c r="H935">
        <v>0</v>
      </c>
      <c r="I935">
        <v>0</v>
      </c>
    </row>
    <row r="936" spans="1:9" x14ac:dyDescent="0.3">
      <c r="A936">
        <v>2</v>
      </c>
      <c r="B936">
        <v>1</v>
      </c>
      <c r="C936" t="s">
        <v>3</v>
      </c>
      <c r="D936" t="s">
        <v>2</v>
      </c>
      <c r="E936">
        <v>56</v>
      </c>
      <c r="F936" t="s">
        <v>15</v>
      </c>
      <c r="G936" t="s">
        <v>14</v>
      </c>
      <c r="H936">
        <v>34</v>
      </c>
      <c r="I936">
        <v>0</v>
      </c>
    </row>
    <row r="937" spans="1:9" x14ac:dyDescent="0.3">
      <c r="A937">
        <v>2</v>
      </c>
      <c r="B937">
        <v>1</v>
      </c>
      <c r="C937" t="s">
        <v>3</v>
      </c>
      <c r="D937" t="s">
        <v>2</v>
      </c>
      <c r="E937">
        <v>49</v>
      </c>
      <c r="F937" t="s">
        <v>15</v>
      </c>
      <c r="G937" t="s">
        <v>14</v>
      </c>
      <c r="H937">
        <v>0</v>
      </c>
      <c r="I937">
        <v>0</v>
      </c>
    </row>
    <row r="938" spans="1:9" x14ac:dyDescent="0.3">
      <c r="A938">
        <v>2</v>
      </c>
      <c r="B938">
        <v>1</v>
      </c>
      <c r="C938" t="s">
        <v>3</v>
      </c>
      <c r="D938" t="s">
        <v>2</v>
      </c>
      <c r="E938">
        <v>17</v>
      </c>
      <c r="F938" t="s">
        <v>15</v>
      </c>
      <c r="G938" t="s">
        <v>14</v>
      </c>
      <c r="H938">
        <v>0</v>
      </c>
      <c r="I938">
        <v>0</v>
      </c>
    </row>
    <row r="939" spans="1:9" x14ac:dyDescent="0.3">
      <c r="A939">
        <v>2</v>
      </c>
      <c r="B939">
        <v>1</v>
      </c>
      <c r="C939" t="s">
        <v>3</v>
      </c>
      <c r="D939" t="s">
        <v>2</v>
      </c>
      <c r="E939">
        <v>21</v>
      </c>
      <c r="F939" t="s">
        <v>15</v>
      </c>
      <c r="G939" t="s">
        <v>14</v>
      </c>
      <c r="H939">
        <v>11</v>
      </c>
      <c r="I939">
        <v>0</v>
      </c>
    </row>
    <row r="940" spans="1:9" x14ac:dyDescent="0.3">
      <c r="A940">
        <v>2</v>
      </c>
      <c r="B940">
        <v>1</v>
      </c>
      <c r="C940" t="s">
        <v>3</v>
      </c>
      <c r="D940" t="s">
        <v>2</v>
      </c>
      <c r="E940">
        <v>54</v>
      </c>
      <c r="F940" t="s">
        <v>15</v>
      </c>
      <c r="G940" t="s">
        <v>14</v>
      </c>
      <c r="H940">
        <v>27</v>
      </c>
      <c r="I940">
        <v>0</v>
      </c>
    </row>
    <row r="941" spans="1:9" x14ac:dyDescent="0.3">
      <c r="A941">
        <v>2</v>
      </c>
      <c r="B941">
        <v>1</v>
      </c>
      <c r="C941" t="s">
        <v>3</v>
      </c>
      <c r="D941" t="s">
        <v>2</v>
      </c>
      <c r="E941">
        <v>32</v>
      </c>
      <c r="F941" t="s">
        <v>15</v>
      </c>
      <c r="G941" t="s">
        <v>14</v>
      </c>
      <c r="H941">
        <v>17</v>
      </c>
      <c r="I941">
        <v>0</v>
      </c>
    </row>
    <row r="942" spans="1:9" x14ac:dyDescent="0.3">
      <c r="A942">
        <v>2</v>
      </c>
      <c r="B942">
        <v>1</v>
      </c>
      <c r="C942" t="s">
        <v>3</v>
      </c>
      <c r="D942" t="s">
        <v>2</v>
      </c>
      <c r="E942">
        <v>38</v>
      </c>
      <c r="F942" t="s">
        <v>15</v>
      </c>
      <c r="G942" t="s">
        <v>14</v>
      </c>
      <c r="H942">
        <v>0</v>
      </c>
      <c r="I942">
        <v>0</v>
      </c>
    </row>
    <row r="943" spans="1:9" x14ac:dyDescent="0.3">
      <c r="A943">
        <v>2</v>
      </c>
      <c r="B943">
        <v>1</v>
      </c>
      <c r="C943" t="s">
        <v>3</v>
      </c>
      <c r="D943" t="s">
        <v>2</v>
      </c>
      <c r="E943">
        <v>33</v>
      </c>
      <c r="F943" t="s">
        <v>15</v>
      </c>
      <c r="G943" t="s">
        <v>14</v>
      </c>
      <c r="H943">
        <v>0</v>
      </c>
      <c r="I943">
        <v>0</v>
      </c>
    </row>
    <row r="944" spans="1:9" x14ac:dyDescent="0.3">
      <c r="A944">
        <v>2</v>
      </c>
      <c r="B944">
        <v>1</v>
      </c>
      <c r="C944" t="s">
        <v>3</v>
      </c>
      <c r="D944" t="s">
        <v>2</v>
      </c>
      <c r="E944">
        <v>51</v>
      </c>
      <c r="F944" t="s">
        <v>15</v>
      </c>
      <c r="G944" t="s">
        <v>14</v>
      </c>
      <c r="H944">
        <v>10</v>
      </c>
      <c r="I944">
        <v>0</v>
      </c>
    </row>
    <row r="945" spans="1:9" x14ac:dyDescent="0.3">
      <c r="A945">
        <v>2</v>
      </c>
      <c r="B945">
        <v>1</v>
      </c>
      <c r="C945" t="s">
        <v>3</v>
      </c>
      <c r="D945" t="s">
        <v>2</v>
      </c>
      <c r="E945">
        <v>71</v>
      </c>
      <c r="F945" t="s">
        <v>15</v>
      </c>
      <c r="G945" t="s">
        <v>14</v>
      </c>
      <c r="H945">
        <v>0</v>
      </c>
      <c r="I945">
        <v>0</v>
      </c>
    </row>
    <row r="946" spans="1:9" x14ac:dyDescent="0.3">
      <c r="A946">
        <v>2</v>
      </c>
      <c r="B946">
        <v>1</v>
      </c>
      <c r="C946" t="s">
        <v>3</v>
      </c>
      <c r="D946" t="s">
        <v>2</v>
      </c>
      <c r="E946">
        <v>43</v>
      </c>
      <c r="F946" t="s">
        <v>15</v>
      </c>
      <c r="G946" t="s">
        <v>14</v>
      </c>
      <c r="H946">
        <v>5</v>
      </c>
      <c r="I946">
        <v>0</v>
      </c>
    </row>
    <row r="947" spans="1:9" x14ac:dyDescent="0.3">
      <c r="A947">
        <v>2</v>
      </c>
      <c r="B947">
        <v>1</v>
      </c>
      <c r="C947" t="s">
        <v>3</v>
      </c>
      <c r="D947" t="s">
        <v>2</v>
      </c>
      <c r="E947">
        <v>64</v>
      </c>
      <c r="F947" t="s">
        <v>15</v>
      </c>
      <c r="G947" t="s">
        <v>14</v>
      </c>
      <c r="H947">
        <v>4</v>
      </c>
      <c r="I947">
        <v>0</v>
      </c>
    </row>
    <row r="948" spans="1:9" x14ac:dyDescent="0.3">
      <c r="A948">
        <v>2</v>
      </c>
      <c r="B948">
        <v>1</v>
      </c>
      <c r="C948" t="s">
        <v>3</v>
      </c>
      <c r="D948" t="s">
        <v>2</v>
      </c>
      <c r="E948">
        <v>54</v>
      </c>
      <c r="F948" t="s">
        <v>15</v>
      </c>
      <c r="G948" t="s">
        <v>14</v>
      </c>
      <c r="H948">
        <v>0</v>
      </c>
      <c r="I948">
        <v>0</v>
      </c>
    </row>
    <row r="949" spans="1:9" x14ac:dyDescent="0.3">
      <c r="A949">
        <v>2</v>
      </c>
      <c r="B949">
        <v>1</v>
      </c>
      <c r="C949" t="s">
        <v>3</v>
      </c>
      <c r="D949" t="s">
        <v>2</v>
      </c>
      <c r="E949">
        <v>48</v>
      </c>
      <c r="F949" t="s">
        <v>15</v>
      </c>
      <c r="G949" t="s">
        <v>14</v>
      </c>
      <c r="H949">
        <v>0</v>
      </c>
      <c r="I949">
        <v>0</v>
      </c>
    </row>
    <row r="950" spans="1:9" x14ac:dyDescent="0.3">
      <c r="A950">
        <v>2</v>
      </c>
      <c r="B950">
        <v>1</v>
      </c>
      <c r="C950" t="s">
        <v>3</v>
      </c>
      <c r="D950" t="s">
        <v>2</v>
      </c>
      <c r="E950">
        <v>32</v>
      </c>
      <c r="F950" t="s">
        <v>15</v>
      </c>
      <c r="G950" t="s">
        <v>14</v>
      </c>
      <c r="H950">
        <v>13</v>
      </c>
      <c r="I950">
        <v>0</v>
      </c>
    </row>
    <row r="951" spans="1:9" x14ac:dyDescent="0.3">
      <c r="A951">
        <v>2</v>
      </c>
      <c r="B951">
        <v>1</v>
      </c>
      <c r="C951" t="s">
        <v>3</v>
      </c>
      <c r="D951" t="s">
        <v>2</v>
      </c>
      <c r="E951">
        <v>34</v>
      </c>
      <c r="F951" t="s">
        <v>15</v>
      </c>
      <c r="G951" t="s">
        <v>14</v>
      </c>
      <c r="H951">
        <v>4</v>
      </c>
      <c r="I951">
        <v>0</v>
      </c>
    </row>
    <row r="952" spans="1:9" x14ac:dyDescent="0.3">
      <c r="A952">
        <v>2</v>
      </c>
      <c r="B952">
        <v>1</v>
      </c>
      <c r="C952" t="s">
        <v>3</v>
      </c>
      <c r="D952" t="s">
        <v>2</v>
      </c>
      <c r="E952">
        <v>25</v>
      </c>
      <c r="F952" t="s">
        <v>15</v>
      </c>
      <c r="G952" t="s">
        <v>14</v>
      </c>
      <c r="H952">
        <v>6</v>
      </c>
      <c r="I952">
        <v>0</v>
      </c>
    </row>
    <row r="953" spans="1:9" x14ac:dyDescent="0.3">
      <c r="A953">
        <v>2</v>
      </c>
      <c r="B953">
        <v>1</v>
      </c>
      <c r="C953" t="s">
        <v>3</v>
      </c>
      <c r="D953" t="s">
        <v>2</v>
      </c>
      <c r="E953">
        <v>19</v>
      </c>
      <c r="F953" t="s">
        <v>15</v>
      </c>
      <c r="G953" t="s">
        <v>14</v>
      </c>
      <c r="H953">
        <v>18</v>
      </c>
      <c r="I953">
        <v>0</v>
      </c>
    </row>
    <row r="954" spans="1:9" x14ac:dyDescent="0.3">
      <c r="A954">
        <v>2</v>
      </c>
      <c r="B954">
        <v>1</v>
      </c>
      <c r="C954" t="s">
        <v>3</v>
      </c>
      <c r="D954" t="s">
        <v>2</v>
      </c>
      <c r="E954">
        <v>60</v>
      </c>
      <c r="F954" t="s">
        <v>15</v>
      </c>
      <c r="G954" t="s">
        <v>14</v>
      </c>
      <c r="H954">
        <v>0</v>
      </c>
      <c r="I954">
        <v>0</v>
      </c>
    </row>
    <row r="955" spans="1:9" x14ac:dyDescent="0.3">
      <c r="A955">
        <v>2</v>
      </c>
      <c r="B955">
        <v>1</v>
      </c>
      <c r="C955" t="s">
        <v>3</v>
      </c>
      <c r="D955" t="s">
        <v>2</v>
      </c>
      <c r="E955">
        <v>33</v>
      </c>
      <c r="F955" t="s">
        <v>15</v>
      </c>
      <c r="G955" t="s">
        <v>14</v>
      </c>
      <c r="H955">
        <v>6</v>
      </c>
      <c r="I955">
        <v>0</v>
      </c>
    </row>
    <row r="956" spans="1:9" x14ac:dyDescent="0.3">
      <c r="A956">
        <v>2</v>
      </c>
      <c r="B956">
        <v>1</v>
      </c>
      <c r="C956" t="s">
        <v>3</v>
      </c>
      <c r="D956" t="s">
        <v>2</v>
      </c>
      <c r="E956">
        <v>42</v>
      </c>
      <c r="F956" t="s">
        <v>15</v>
      </c>
      <c r="G956" t="s">
        <v>14</v>
      </c>
      <c r="H956">
        <v>6</v>
      </c>
      <c r="I956">
        <v>0</v>
      </c>
    </row>
    <row r="957" spans="1:9" x14ac:dyDescent="0.3">
      <c r="A957">
        <v>2</v>
      </c>
      <c r="B957">
        <v>1</v>
      </c>
      <c r="C957" t="s">
        <v>3</v>
      </c>
      <c r="D957" t="s">
        <v>2</v>
      </c>
      <c r="E957">
        <v>26</v>
      </c>
      <c r="F957" t="s">
        <v>15</v>
      </c>
      <c r="G957" t="s">
        <v>14</v>
      </c>
      <c r="H957">
        <v>12</v>
      </c>
      <c r="I957">
        <v>0</v>
      </c>
    </row>
    <row r="958" spans="1:9" x14ac:dyDescent="0.3">
      <c r="A958">
        <v>2</v>
      </c>
      <c r="B958">
        <v>1</v>
      </c>
      <c r="C958" t="s">
        <v>3</v>
      </c>
      <c r="D958" t="s">
        <v>2</v>
      </c>
      <c r="E958">
        <v>45</v>
      </c>
      <c r="F958" t="s">
        <v>15</v>
      </c>
      <c r="G958" t="s">
        <v>14</v>
      </c>
      <c r="H958">
        <v>7</v>
      </c>
      <c r="I958">
        <v>0</v>
      </c>
    </row>
    <row r="959" spans="1:9" x14ac:dyDescent="0.3">
      <c r="A959">
        <v>2</v>
      </c>
      <c r="B959">
        <v>1</v>
      </c>
      <c r="C959" t="s">
        <v>3</v>
      </c>
      <c r="D959" t="s">
        <v>2</v>
      </c>
      <c r="E959">
        <v>55</v>
      </c>
      <c r="F959" t="s">
        <v>15</v>
      </c>
      <c r="G959" t="s">
        <v>14</v>
      </c>
      <c r="H959">
        <v>10</v>
      </c>
      <c r="I959">
        <v>0</v>
      </c>
    </row>
    <row r="960" spans="1:9" x14ac:dyDescent="0.3">
      <c r="A960">
        <v>2</v>
      </c>
      <c r="B960">
        <v>1</v>
      </c>
      <c r="C960" t="s">
        <v>3</v>
      </c>
      <c r="D960" t="s">
        <v>2</v>
      </c>
      <c r="E960">
        <v>54</v>
      </c>
      <c r="F960" t="s">
        <v>15</v>
      </c>
      <c r="G960" t="s">
        <v>14</v>
      </c>
      <c r="H960">
        <v>0</v>
      </c>
      <c r="I960">
        <v>0</v>
      </c>
    </row>
    <row r="961" spans="1:9" x14ac:dyDescent="0.3">
      <c r="A961">
        <v>2</v>
      </c>
      <c r="B961">
        <v>1</v>
      </c>
      <c r="C961" t="s">
        <v>3</v>
      </c>
      <c r="D961" t="s">
        <v>2</v>
      </c>
      <c r="E961">
        <v>65</v>
      </c>
      <c r="F961" t="s">
        <v>15</v>
      </c>
      <c r="G961" t="s">
        <v>14</v>
      </c>
      <c r="H961">
        <v>0</v>
      </c>
      <c r="I961">
        <v>0</v>
      </c>
    </row>
    <row r="962" spans="1:9" x14ac:dyDescent="0.3">
      <c r="A962">
        <v>2</v>
      </c>
      <c r="B962">
        <v>1</v>
      </c>
      <c r="C962" t="s">
        <v>3</v>
      </c>
      <c r="D962" t="s">
        <v>2</v>
      </c>
      <c r="E962">
        <v>47</v>
      </c>
      <c r="F962" t="s">
        <v>15</v>
      </c>
      <c r="G962" t="s">
        <v>14</v>
      </c>
      <c r="H962">
        <v>2</v>
      </c>
      <c r="I962">
        <v>0</v>
      </c>
    </row>
    <row r="963" spans="1:9" x14ac:dyDescent="0.3">
      <c r="A963">
        <v>2</v>
      </c>
      <c r="B963">
        <v>1</v>
      </c>
      <c r="C963" t="s">
        <v>3</v>
      </c>
      <c r="D963" t="s">
        <v>2</v>
      </c>
      <c r="E963">
        <v>25</v>
      </c>
      <c r="F963" t="s">
        <v>15</v>
      </c>
      <c r="G963" t="s">
        <v>14</v>
      </c>
      <c r="H963">
        <v>0</v>
      </c>
      <c r="I963">
        <v>0</v>
      </c>
    </row>
    <row r="964" spans="1:9" x14ac:dyDescent="0.3">
      <c r="A964">
        <v>2</v>
      </c>
      <c r="B964">
        <v>1</v>
      </c>
      <c r="C964" t="s">
        <v>3</v>
      </c>
      <c r="D964" t="s">
        <v>2</v>
      </c>
      <c r="E964">
        <v>22</v>
      </c>
      <c r="F964" t="s">
        <v>15</v>
      </c>
      <c r="G964" t="s">
        <v>14</v>
      </c>
      <c r="H964">
        <v>2</v>
      </c>
      <c r="I964">
        <v>0</v>
      </c>
    </row>
    <row r="965" spans="1:9" x14ac:dyDescent="0.3">
      <c r="A965">
        <v>2</v>
      </c>
      <c r="B965">
        <v>1</v>
      </c>
      <c r="C965" t="s">
        <v>3</v>
      </c>
      <c r="D965" t="s">
        <v>2</v>
      </c>
      <c r="E965">
        <v>34</v>
      </c>
      <c r="F965" t="s">
        <v>15</v>
      </c>
      <c r="G965" t="s">
        <v>14</v>
      </c>
      <c r="H965">
        <v>2</v>
      </c>
      <c r="I965">
        <v>0</v>
      </c>
    </row>
    <row r="966" spans="1:9" x14ac:dyDescent="0.3">
      <c r="A966">
        <v>2</v>
      </c>
      <c r="B966">
        <v>1</v>
      </c>
      <c r="C966" t="s">
        <v>3</v>
      </c>
      <c r="D966" t="s">
        <v>2</v>
      </c>
      <c r="E966">
        <v>37</v>
      </c>
      <c r="F966" t="s">
        <v>15</v>
      </c>
      <c r="G966" t="s">
        <v>14</v>
      </c>
      <c r="H966">
        <v>14</v>
      </c>
      <c r="I966">
        <v>0</v>
      </c>
    </row>
    <row r="967" spans="1:9" x14ac:dyDescent="0.3">
      <c r="A967">
        <v>2</v>
      </c>
      <c r="B967">
        <v>1</v>
      </c>
      <c r="C967" t="s">
        <v>3</v>
      </c>
      <c r="D967" t="s">
        <v>2</v>
      </c>
      <c r="E967">
        <v>21</v>
      </c>
      <c r="F967" t="s">
        <v>15</v>
      </c>
      <c r="G967" t="s">
        <v>14</v>
      </c>
      <c r="H967">
        <v>0</v>
      </c>
      <c r="I967">
        <v>0</v>
      </c>
    </row>
    <row r="968" spans="1:9" x14ac:dyDescent="0.3">
      <c r="A968">
        <v>2</v>
      </c>
      <c r="B968">
        <v>1</v>
      </c>
      <c r="C968" t="s">
        <v>3</v>
      </c>
      <c r="D968" t="s">
        <v>2</v>
      </c>
      <c r="E968">
        <v>34</v>
      </c>
      <c r="F968" t="s">
        <v>15</v>
      </c>
      <c r="G968" t="s">
        <v>14</v>
      </c>
      <c r="H968">
        <v>0</v>
      </c>
      <c r="I968">
        <v>0</v>
      </c>
    </row>
    <row r="969" spans="1:9" x14ac:dyDescent="0.3">
      <c r="A969">
        <v>2</v>
      </c>
      <c r="B969">
        <v>1</v>
      </c>
      <c r="C969" t="s">
        <v>3</v>
      </c>
      <c r="D969" t="s">
        <v>2</v>
      </c>
      <c r="E969">
        <v>44</v>
      </c>
      <c r="F969" t="s">
        <v>15</v>
      </c>
      <c r="G969" t="s">
        <v>14</v>
      </c>
      <c r="H969">
        <v>10</v>
      </c>
      <c r="I969">
        <v>0</v>
      </c>
    </row>
    <row r="970" spans="1:9" x14ac:dyDescent="0.3">
      <c r="A970">
        <v>2</v>
      </c>
      <c r="B970">
        <v>1</v>
      </c>
      <c r="C970" t="s">
        <v>3</v>
      </c>
      <c r="D970" t="s">
        <v>2</v>
      </c>
      <c r="E970">
        <v>29</v>
      </c>
      <c r="F970" t="s">
        <v>15</v>
      </c>
      <c r="G970" t="s">
        <v>14</v>
      </c>
      <c r="H970">
        <v>4</v>
      </c>
      <c r="I970">
        <v>0</v>
      </c>
    </row>
    <row r="971" spans="1:9" x14ac:dyDescent="0.3">
      <c r="A971">
        <v>2</v>
      </c>
      <c r="B971">
        <v>1</v>
      </c>
      <c r="C971" t="s">
        <v>3</v>
      </c>
      <c r="D971" t="s">
        <v>2</v>
      </c>
      <c r="E971">
        <v>44</v>
      </c>
      <c r="F971" t="s">
        <v>15</v>
      </c>
      <c r="G971" t="s">
        <v>14</v>
      </c>
      <c r="H971">
        <v>0</v>
      </c>
      <c r="I971">
        <v>0</v>
      </c>
    </row>
    <row r="972" spans="1:9" x14ac:dyDescent="0.3">
      <c r="A972">
        <v>2</v>
      </c>
      <c r="B972">
        <v>1</v>
      </c>
      <c r="C972" t="s">
        <v>3</v>
      </c>
      <c r="D972" t="s">
        <v>2</v>
      </c>
      <c r="E972">
        <v>21</v>
      </c>
      <c r="F972" t="s">
        <v>15</v>
      </c>
      <c r="G972" t="s">
        <v>14</v>
      </c>
      <c r="H972">
        <v>8</v>
      </c>
      <c r="I972">
        <v>0</v>
      </c>
    </row>
    <row r="973" spans="1:9" x14ac:dyDescent="0.3">
      <c r="A973">
        <v>2</v>
      </c>
      <c r="B973">
        <v>1</v>
      </c>
      <c r="C973" t="s">
        <v>3</v>
      </c>
      <c r="D973" t="s">
        <v>2</v>
      </c>
      <c r="E973">
        <v>51</v>
      </c>
      <c r="F973" t="s">
        <v>15</v>
      </c>
      <c r="G973" t="s">
        <v>14</v>
      </c>
      <c r="H973">
        <v>21</v>
      </c>
      <c r="I973">
        <v>0</v>
      </c>
    </row>
    <row r="974" spans="1:9" x14ac:dyDescent="0.3">
      <c r="A974">
        <v>2</v>
      </c>
      <c r="B974">
        <v>1</v>
      </c>
      <c r="C974" t="s">
        <v>3</v>
      </c>
      <c r="D974" t="s">
        <v>2</v>
      </c>
      <c r="E974">
        <v>7</v>
      </c>
      <c r="F974" t="s">
        <v>15</v>
      </c>
      <c r="G974" t="s">
        <v>14</v>
      </c>
      <c r="H974">
        <v>2</v>
      </c>
      <c r="I974">
        <v>0</v>
      </c>
    </row>
    <row r="975" spans="1:9" x14ac:dyDescent="0.3">
      <c r="A975">
        <v>2</v>
      </c>
      <c r="B975">
        <v>1</v>
      </c>
      <c r="C975" t="s">
        <v>3</v>
      </c>
      <c r="D975" t="s">
        <v>2</v>
      </c>
      <c r="E975">
        <v>35</v>
      </c>
      <c r="F975" t="s">
        <v>15</v>
      </c>
      <c r="G975" t="s">
        <v>14</v>
      </c>
      <c r="H975">
        <v>8</v>
      </c>
      <c r="I975">
        <v>0</v>
      </c>
    </row>
    <row r="976" spans="1:9" x14ac:dyDescent="0.3">
      <c r="A976">
        <v>2</v>
      </c>
      <c r="B976">
        <v>1</v>
      </c>
      <c r="C976" t="s">
        <v>3</v>
      </c>
      <c r="D976" t="s">
        <v>2</v>
      </c>
      <c r="E976">
        <v>45</v>
      </c>
      <c r="F976" t="s">
        <v>15</v>
      </c>
      <c r="G976" t="s">
        <v>14</v>
      </c>
      <c r="H976">
        <v>0</v>
      </c>
      <c r="I976">
        <v>0</v>
      </c>
    </row>
    <row r="977" spans="1:9" x14ac:dyDescent="0.3">
      <c r="A977">
        <v>2</v>
      </c>
      <c r="B977">
        <v>1</v>
      </c>
      <c r="C977" t="s">
        <v>3</v>
      </c>
      <c r="D977" t="s">
        <v>2</v>
      </c>
      <c r="E977">
        <v>46</v>
      </c>
      <c r="F977" t="s">
        <v>15</v>
      </c>
      <c r="G977" t="s">
        <v>14</v>
      </c>
      <c r="H977">
        <v>1</v>
      </c>
      <c r="I977">
        <v>0</v>
      </c>
    </row>
    <row r="978" spans="1:9" x14ac:dyDescent="0.3">
      <c r="A978">
        <v>2</v>
      </c>
      <c r="B978">
        <v>1</v>
      </c>
      <c r="C978" t="s">
        <v>3</v>
      </c>
      <c r="D978" t="s">
        <v>2</v>
      </c>
      <c r="E978">
        <v>43</v>
      </c>
      <c r="F978" t="s">
        <v>15</v>
      </c>
      <c r="G978" t="s">
        <v>14</v>
      </c>
      <c r="H978">
        <v>0</v>
      </c>
      <c r="I978">
        <v>0</v>
      </c>
    </row>
    <row r="979" spans="1:9" x14ac:dyDescent="0.3">
      <c r="A979">
        <v>2</v>
      </c>
      <c r="B979">
        <v>1</v>
      </c>
      <c r="C979" t="s">
        <v>3</v>
      </c>
      <c r="D979" t="s">
        <v>2</v>
      </c>
      <c r="E979">
        <v>35</v>
      </c>
      <c r="F979" t="s">
        <v>15</v>
      </c>
      <c r="G979" t="s">
        <v>14</v>
      </c>
      <c r="H979">
        <v>0</v>
      </c>
      <c r="I979">
        <v>0</v>
      </c>
    </row>
    <row r="980" spans="1:9" x14ac:dyDescent="0.3">
      <c r="A980">
        <v>2</v>
      </c>
      <c r="B980">
        <v>1</v>
      </c>
      <c r="C980" t="s">
        <v>3</v>
      </c>
      <c r="D980" t="s">
        <v>2</v>
      </c>
      <c r="E980">
        <v>41</v>
      </c>
      <c r="F980" t="s">
        <v>15</v>
      </c>
      <c r="G980" t="s">
        <v>14</v>
      </c>
      <c r="H980">
        <v>6</v>
      </c>
      <c r="I980">
        <v>0</v>
      </c>
    </row>
    <row r="981" spans="1:9" x14ac:dyDescent="0.3">
      <c r="A981">
        <v>2</v>
      </c>
      <c r="B981">
        <v>1</v>
      </c>
      <c r="C981" t="s">
        <v>3</v>
      </c>
      <c r="D981" t="s">
        <v>2</v>
      </c>
      <c r="E981">
        <v>43</v>
      </c>
      <c r="F981" t="s">
        <v>15</v>
      </c>
      <c r="G981" t="s">
        <v>14</v>
      </c>
      <c r="H981">
        <v>18</v>
      </c>
      <c r="I981">
        <v>0</v>
      </c>
    </row>
    <row r="982" spans="1:9" x14ac:dyDescent="0.3">
      <c r="A982">
        <v>2</v>
      </c>
      <c r="B982">
        <v>1</v>
      </c>
      <c r="C982" t="s">
        <v>3</v>
      </c>
      <c r="D982" t="s">
        <v>2</v>
      </c>
      <c r="E982">
        <v>51</v>
      </c>
      <c r="F982" t="s">
        <v>15</v>
      </c>
      <c r="G982" t="s">
        <v>14</v>
      </c>
      <c r="H982">
        <v>3</v>
      </c>
      <c r="I982">
        <v>0</v>
      </c>
    </row>
    <row r="983" spans="1:9" x14ac:dyDescent="0.3">
      <c r="A983">
        <v>2</v>
      </c>
      <c r="B983">
        <v>1</v>
      </c>
      <c r="C983" t="s">
        <v>3</v>
      </c>
      <c r="D983" t="s">
        <v>2</v>
      </c>
      <c r="E983">
        <v>24</v>
      </c>
      <c r="F983" t="s">
        <v>15</v>
      </c>
      <c r="G983" t="s">
        <v>14</v>
      </c>
      <c r="H983">
        <v>0</v>
      </c>
      <c r="I983">
        <v>0</v>
      </c>
    </row>
    <row r="984" spans="1:9" x14ac:dyDescent="0.3">
      <c r="A984">
        <v>2</v>
      </c>
      <c r="B984">
        <v>1</v>
      </c>
      <c r="C984" t="s">
        <v>3</v>
      </c>
      <c r="D984" t="s">
        <v>2</v>
      </c>
      <c r="E984">
        <v>28</v>
      </c>
      <c r="F984" t="s">
        <v>15</v>
      </c>
      <c r="G984" t="s">
        <v>14</v>
      </c>
      <c r="H984">
        <v>27</v>
      </c>
      <c r="I984">
        <v>0</v>
      </c>
    </row>
    <row r="985" spans="1:9" x14ac:dyDescent="0.3">
      <c r="A985">
        <v>2</v>
      </c>
      <c r="B985">
        <v>1</v>
      </c>
      <c r="C985" t="s">
        <v>3</v>
      </c>
      <c r="D985" t="s">
        <v>2</v>
      </c>
      <c r="E985">
        <v>50</v>
      </c>
      <c r="F985" t="s">
        <v>15</v>
      </c>
      <c r="G985" t="s">
        <v>14</v>
      </c>
      <c r="H985">
        <v>7</v>
      </c>
      <c r="I985">
        <v>0</v>
      </c>
    </row>
    <row r="986" spans="1:9" x14ac:dyDescent="0.3">
      <c r="A986">
        <v>2</v>
      </c>
      <c r="B986">
        <v>1</v>
      </c>
      <c r="C986" t="s">
        <v>3</v>
      </c>
      <c r="D986" t="s">
        <v>2</v>
      </c>
      <c r="E986">
        <v>28</v>
      </c>
      <c r="F986" t="s">
        <v>15</v>
      </c>
      <c r="G986" t="s">
        <v>14</v>
      </c>
      <c r="H986">
        <v>0</v>
      </c>
      <c r="I986">
        <v>0</v>
      </c>
    </row>
    <row r="987" spans="1:9" x14ac:dyDescent="0.3">
      <c r="A987">
        <v>2</v>
      </c>
      <c r="B987">
        <v>1</v>
      </c>
      <c r="C987" t="s">
        <v>3</v>
      </c>
      <c r="D987" t="s">
        <v>2</v>
      </c>
      <c r="E987">
        <v>25</v>
      </c>
      <c r="F987" t="s">
        <v>15</v>
      </c>
      <c r="G987" t="s">
        <v>14</v>
      </c>
      <c r="H987">
        <v>0</v>
      </c>
      <c r="I987">
        <v>0</v>
      </c>
    </row>
    <row r="988" spans="1:9" x14ac:dyDescent="0.3">
      <c r="A988">
        <v>2</v>
      </c>
      <c r="B988">
        <v>1</v>
      </c>
      <c r="C988" t="s">
        <v>3</v>
      </c>
      <c r="D988" t="s">
        <v>2</v>
      </c>
      <c r="E988">
        <v>26</v>
      </c>
      <c r="F988" t="s">
        <v>15</v>
      </c>
      <c r="G988" t="s">
        <v>14</v>
      </c>
      <c r="H988">
        <v>2</v>
      </c>
      <c r="I988">
        <v>0</v>
      </c>
    </row>
    <row r="989" spans="1:9" x14ac:dyDescent="0.3">
      <c r="A989">
        <v>2</v>
      </c>
      <c r="B989">
        <v>1</v>
      </c>
      <c r="C989" t="s">
        <v>3</v>
      </c>
      <c r="D989" t="s">
        <v>2</v>
      </c>
      <c r="E989">
        <v>54</v>
      </c>
      <c r="F989" t="s">
        <v>15</v>
      </c>
      <c r="G989" t="s">
        <v>14</v>
      </c>
      <c r="H989">
        <v>3</v>
      </c>
      <c r="I989">
        <v>0</v>
      </c>
    </row>
    <row r="990" spans="1:9" x14ac:dyDescent="0.3">
      <c r="A990">
        <v>2</v>
      </c>
      <c r="B990">
        <v>1</v>
      </c>
      <c r="C990" t="s">
        <v>3</v>
      </c>
      <c r="D990" t="s">
        <v>2</v>
      </c>
      <c r="E990">
        <v>27</v>
      </c>
      <c r="F990" t="s">
        <v>15</v>
      </c>
      <c r="G990" t="s">
        <v>14</v>
      </c>
      <c r="H990">
        <v>2</v>
      </c>
      <c r="I990">
        <v>0</v>
      </c>
    </row>
    <row r="991" spans="1:9" x14ac:dyDescent="0.3">
      <c r="A991">
        <v>2</v>
      </c>
      <c r="B991">
        <v>1</v>
      </c>
      <c r="C991" t="s">
        <v>3</v>
      </c>
      <c r="D991" t="s">
        <v>2</v>
      </c>
      <c r="E991">
        <v>42</v>
      </c>
      <c r="F991" t="s">
        <v>15</v>
      </c>
      <c r="G991" t="s">
        <v>14</v>
      </c>
      <c r="H991">
        <v>0</v>
      </c>
      <c r="I991">
        <v>0</v>
      </c>
    </row>
    <row r="992" spans="1:9" x14ac:dyDescent="0.3">
      <c r="A992">
        <v>2</v>
      </c>
      <c r="B992">
        <v>1</v>
      </c>
      <c r="C992" t="s">
        <v>3</v>
      </c>
      <c r="D992" t="s">
        <v>2</v>
      </c>
      <c r="E992">
        <v>43</v>
      </c>
      <c r="F992" t="s">
        <v>15</v>
      </c>
      <c r="G992" t="s">
        <v>14</v>
      </c>
      <c r="H992">
        <v>11</v>
      </c>
      <c r="I992">
        <v>0</v>
      </c>
    </row>
    <row r="993" spans="1:9" x14ac:dyDescent="0.3">
      <c r="A993">
        <v>2</v>
      </c>
      <c r="B993">
        <v>1</v>
      </c>
      <c r="C993" t="s">
        <v>3</v>
      </c>
      <c r="D993" t="s">
        <v>2</v>
      </c>
      <c r="E993">
        <v>39</v>
      </c>
      <c r="F993" t="s">
        <v>15</v>
      </c>
      <c r="G993" t="s">
        <v>14</v>
      </c>
      <c r="H993">
        <v>6</v>
      </c>
      <c r="I993">
        <v>0</v>
      </c>
    </row>
    <row r="994" spans="1:9" x14ac:dyDescent="0.3">
      <c r="A994">
        <v>2</v>
      </c>
      <c r="B994">
        <v>1</v>
      </c>
      <c r="C994" t="s">
        <v>3</v>
      </c>
      <c r="D994" t="s">
        <v>2</v>
      </c>
      <c r="E994">
        <v>66</v>
      </c>
      <c r="F994" t="s">
        <v>15</v>
      </c>
      <c r="G994" t="s">
        <v>14</v>
      </c>
      <c r="H994">
        <v>28</v>
      </c>
      <c r="I994">
        <v>0</v>
      </c>
    </row>
    <row r="995" spans="1:9" x14ac:dyDescent="0.3">
      <c r="A995">
        <v>2</v>
      </c>
      <c r="B995">
        <v>1</v>
      </c>
      <c r="C995" t="s">
        <v>3</v>
      </c>
      <c r="D995" t="s">
        <v>2</v>
      </c>
      <c r="E995">
        <v>52</v>
      </c>
      <c r="F995" t="s">
        <v>15</v>
      </c>
      <c r="G995" t="s">
        <v>14</v>
      </c>
      <c r="H995">
        <v>2</v>
      </c>
      <c r="I995">
        <v>0</v>
      </c>
    </row>
    <row r="996" spans="1:9" x14ac:dyDescent="0.3">
      <c r="A996">
        <v>2</v>
      </c>
      <c r="B996">
        <v>1</v>
      </c>
      <c r="C996" t="s">
        <v>3</v>
      </c>
      <c r="D996" t="s">
        <v>2</v>
      </c>
      <c r="E996">
        <v>11</v>
      </c>
      <c r="F996" t="s">
        <v>15</v>
      </c>
      <c r="G996" t="s">
        <v>14</v>
      </c>
      <c r="H996">
        <v>7</v>
      </c>
      <c r="I996">
        <v>0</v>
      </c>
    </row>
    <row r="997" spans="1:9" x14ac:dyDescent="0.3">
      <c r="A997">
        <v>2</v>
      </c>
      <c r="B997">
        <v>1</v>
      </c>
      <c r="C997" t="s">
        <v>3</v>
      </c>
      <c r="D997" t="s">
        <v>2</v>
      </c>
      <c r="E997">
        <v>42</v>
      </c>
      <c r="F997" t="s">
        <v>15</v>
      </c>
      <c r="G997" t="s">
        <v>14</v>
      </c>
      <c r="H997">
        <v>0</v>
      </c>
      <c r="I997">
        <v>0</v>
      </c>
    </row>
    <row r="998" spans="1:9" x14ac:dyDescent="0.3">
      <c r="A998">
        <v>2</v>
      </c>
      <c r="B998">
        <v>1</v>
      </c>
      <c r="C998" t="s">
        <v>3</v>
      </c>
      <c r="D998" t="s">
        <v>2</v>
      </c>
      <c r="E998">
        <v>40</v>
      </c>
      <c r="F998" t="s">
        <v>15</v>
      </c>
      <c r="G998" t="s">
        <v>14</v>
      </c>
      <c r="H998">
        <v>10</v>
      </c>
      <c r="I998">
        <v>0</v>
      </c>
    </row>
    <row r="999" spans="1:9" x14ac:dyDescent="0.3">
      <c r="A999">
        <v>2</v>
      </c>
      <c r="B999">
        <v>1</v>
      </c>
      <c r="C999" t="s">
        <v>3</v>
      </c>
      <c r="D999" t="s">
        <v>2</v>
      </c>
      <c r="E999">
        <v>30</v>
      </c>
      <c r="F999" t="s">
        <v>15</v>
      </c>
      <c r="G999" t="s">
        <v>14</v>
      </c>
      <c r="H999">
        <v>2</v>
      </c>
      <c r="I999">
        <v>0</v>
      </c>
    </row>
    <row r="1000" spans="1:9" x14ac:dyDescent="0.3">
      <c r="A1000">
        <v>2</v>
      </c>
      <c r="B1000">
        <v>1</v>
      </c>
      <c r="C1000" t="s">
        <v>3</v>
      </c>
      <c r="D1000" t="s">
        <v>2</v>
      </c>
      <c r="E1000">
        <v>53</v>
      </c>
      <c r="F1000" t="s">
        <v>15</v>
      </c>
      <c r="G1000" t="s">
        <v>14</v>
      </c>
      <c r="H1000">
        <v>0</v>
      </c>
      <c r="I1000">
        <v>0</v>
      </c>
    </row>
  </sheetData>
  <mergeCells count="26">
    <mergeCell ref="K14:L16"/>
    <mergeCell ref="M14:N16"/>
    <mergeCell ref="O14:P16"/>
    <mergeCell ref="Q14:R16"/>
    <mergeCell ref="M8:N9"/>
    <mergeCell ref="O8:P9"/>
    <mergeCell ref="Q8:R9"/>
    <mergeCell ref="K12:L13"/>
    <mergeCell ref="M10:N11"/>
    <mergeCell ref="O10:P11"/>
    <mergeCell ref="Q10:R11"/>
    <mergeCell ref="M12:N13"/>
    <mergeCell ref="O12:P13"/>
    <mergeCell ref="Q12:R13"/>
    <mergeCell ref="K10:L11"/>
    <mergeCell ref="O1:P2"/>
    <mergeCell ref="M1:N2"/>
    <mergeCell ref="Q1:R2"/>
    <mergeCell ref="K3:L4"/>
    <mergeCell ref="K5:L6"/>
    <mergeCell ref="M3:N4"/>
    <mergeCell ref="O3:P4"/>
    <mergeCell ref="Q3:R4"/>
    <mergeCell ref="M5:N6"/>
    <mergeCell ref="O5:P6"/>
    <mergeCell ref="Q5:R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91913-3751-459F-B619-C64C3A8BC3E0}">
  <dimension ref="A1:T100"/>
  <sheetViews>
    <sheetView topLeftCell="J1" workbookViewId="0">
      <selection activeCell="V17" sqref="V17"/>
    </sheetView>
  </sheetViews>
  <sheetFormatPr defaultRowHeight="14.4" x14ac:dyDescent="0.3"/>
  <sheetData>
    <row r="1" spans="1:20" ht="14.4" customHeight="1" x14ac:dyDescent="0.3">
      <c r="A1">
        <v>2</v>
      </c>
      <c r="B1">
        <v>0</v>
      </c>
      <c r="C1" t="s">
        <v>3</v>
      </c>
      <c r="D1" t="s">
        <v>2</v>
      </c>
      <c r="E1">
        <v>13</v>
      </c>
      <c r="F1" t="s">
        <v>1</v>
      </c>
      <c r="G1" t="s">
        <v>0</v>
      </c>
      <c r="H1">
        <v>54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3</v>
      </c>
      <c r="D2" t="s">
        <v>2</v>
      </c>
      <c r="E2">
        <v>14</v>
      </c>
      <c r="F2" t="s">
        <v>1</v>
      </c>
      <c r="G2" t="s">
        <v>0</v>
      </c>
      <c r="H2">
        <v>56</v>
      </c>
      <c r="I2">
        <v>1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ht="14.4" customHeight="1" x14ac:dyDescent="0.3">
      <c r="A3">
        <v>2</v>
      </c>
      <c r="B3">
        <v>0</v>
      </c>
      <c r="C3" t="s">
        <v>3</v>
      </c>
      <c r="D3" t="s">
        <v>2</v>
      </c>
      <c r="E3">
        <v>38</v>
      </c>
      <c r="F3" t="s">
        <v>1</v>
      </c>
      <c r="G3" t="s">
        <v>0</v>
      </c>
      <c r="H3">
        <v>21</v>
      </c>
      <c r="I3">
        <v>0</v>
      </c>
      <c r="K3" s="8" t="s">
        <v>11</v>
      </c>
      <c r="L3" s="8"/>
      <c r="M3" s="10">
        <f>COUNTIF($I$1:$I$100, 0)</f>
        <v>6</v>
      </c>
      <c r="N3" s="10"/>
      <c r="O3" s="10">
        <f>COUNTIFS($I$1:$I$100, 0, $B$1:$B$100, 0)</f>
        <v>2</v>
      </c>
      <c r="P3" s="10"/>
      <c r="Q3" s="11">
        <f>COUNTIFS($I$1:$I$100, 0, $B$1:$B$100, 1)</f>
        <v>4</v>
      </c>
      <c r="R3" s="12"/>
      <c r="T3" cm="1">
        <f t="array" ref="T3">SUMPRODUCT(--($E$1:$E$100=$H$1:$H$100))</f>
        <v>2</v>
      </c>
    </row>
    <row r="4" spans="1:20" x14ac:dyDescent="0.3">
      <c r="A4">
        <v>2</v>
      </c>
      <c r="B4">
        <v>0</v>
      </c>
      <c r="C4" t="s">
        <v>3</v>
      </c>
      <c r="D4" t="s">
        <v>2</v>
      </c>
      <c r="E4">
        <v>3</v>
      </c>
      <c r="F4" t="s">
        <v>1</v>
      </c>
      <c r="G4" t="s">
        <v>0</v>
      </c>
      <c r="H4">
        <v>22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ht="14.4" customHeight="1" x14ac:dyDescent="0.3">
      <c r="A5">
        <v>2</v>
      </c>
      <c r="B5">
        <v>0</v>
      </c>
      <c r="C5" t="s">
        <v>3</v>
      </c>
      <c r="D5" t="s">
        <v>2</v>
      </c>
      <c r="E5">
        <v>25</v>
      </c>
      <c r="F5" t="s">
        <v>1</v>
      </c>
      <c r="G5" t="s">
        <v>0</v>
      </c>
      <c r="H5">
        <v>55</v>
      </c>
      <c r="I5">
        <v>1</v>
      </c>
      <c r="K5" s="8" t="s">
        <v>10</v>
      </c>
      <c r="L5" s="8"/>
      <c r="M5" s="14">
        <f>COUNTIF($I$1:$I$100, 1)</f>
        <v>94</v>
      </c>
      <c r="N5" s="10"/>
      <c r="O5" s="10">
        <f>COUNTIFS($I$1:$I$100, 1, $B$1:$B$100, 0)</f>
        <v>48</v>
      </c>
      <c r="P5" s="10"/>
      <c r="Q5" s="10">
        <f>COUNTIFS($I$1:$I$100, 1, $B$1:$B$100, 1)</f>
        <v>46</v>
      </c>
      <c r="R5" s="13"/>
    </row>
    <row r="6" spans="1:20" x14ac:dyDescent="0.3">
      <c r="A6">
        <v>2</v>
      </c>
      <c r="B6">
        <v>0</v>
      </c>
      <c r="C6" t="s">
        <v>3</v>
      </c>
      <c r="D6" t="s">
        <v>2</v>
      </c>
      <c r="E6">
        <v>12</v>
      </c>
      <c r="F6" t="s">
        <v>1</v>
      </c>
      <c r="G6" t="s">
        <v>0</v>
      </c>
      <c r="H6">
        <v>54</v>
      </c>
      <c r="I6">
        <v>1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3</v>
      </c>
      <c r="D7" t="s">
        <v>2</v>
      </c>
      <c r="E7">
        <v>37</v>
      </c>
      <c r="F7" t="s">
        <v>1</v>
      </c>
      <c r="G7" t="s">
        <v>0</v>
      </c>
      <c r="H7">
        <v>55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ht="14.4" customHeight="1" x14ac:dyDescent="0.3">
      <c r="A8">
        <v>2</v>
      </c>
      <c r="B8">
        <v>0</v>
      </c>
      <c r="C8" t="s">
        <v>3</v>
      </c>
      <c r="D8" t="s">
        <v>2</v>
      </c>
      <c r="E8">
        <v>0</v>
      </c>
      <c r="F8" t="s">
        <v>1</v>
      </c>
      <c r="G8" t="s">
        <v>0</v>
      </c>
      <c r="H8">
        <v>55</v>
      </c>
      <c r="I8">
        <v>1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3</v>
      </c>
      <c r="D9" t="s">
        <v>2</v>
      </c>
      <c r="E9">
        <v>10</v>
      </c>
      <c r="F9" t="s">
        <v>1</v>
      </c>
      <c r="G9" t="s">
        <v>0</v>
      </c>
      <c r="H9">
        <v>57</v>
      </c>
      <c r="I9">
        <v>1</v>
      </c>
      <c r="K9" s="2"/>
      <c r="L9" s="1"/>
      <c r="M9" s="18"/>
      <c r="N9" s="18"/>
      <c r="O9" s="18"/>
      <c r="P9" s="18"/>
      <c r="Q9" s="18"/>
      <c r="R9" s="18"/>
    </row>
    <row r="10" spans="1:20" ht="14.4" customHeight="1" x14ac:dyDescent="0.3">
      <c r="A10">
        <v>2</v>
      </c>
      <c r="B10">
        <v>0</v>
      </c>
      <c r="C10" t="s">
        <v>3</v>
      </c>
      <c r="D10" t="s">
        <v>2</v>
      </c>
      <c r="E10">
        <v>5</v>
      </c>
      <c r="F10" t="s">
        <v>1</v>
      </c>
      <c r="G10" t="s">
        <v>0</v>
      </c>
      <c r="H10">
        <v>53</v>
      </c>
      <c r="I10">
        <v>1</v>
      </c>
      <c r="K10" s="8" t="s">
        <v>6</v>
      </c>
      <c r="L10" s="8"/>
      <c r="M10" s="10">
        <f>AVERAGE($E$1:$E$100,)</f>
        <v>13.326732673267326</v>
      </c>
      <c r="N10" s="10"/>
      <c r="O10" s="10" cm="1">
        <f t="array" ref="O10">AVERAGE(_xlfn._xlws.FILTER($E$1:$E$100,$I$1:$I$100 = 0))</f>
        <v>31.333333333333332</v>
      </c>
      <c r="P10" s="10"/>
      <c r="Q10" s="11" cm="1">
        <f t="array" ref="Q10">AVERAGE(_xlfn._xlws.FILTER($E$1:$E$100,$I$1:$I$100 = 1))</f>
        <v>12.319148936170214</v>
      </c>
      <c r="R10" s="12"/>
    </row>
    <row r="11" spans="1:20" x14ac:dyDescent="0.3">
      <c r="A11">
        <v>2</v>
      </c>
      <c r="B11">
        <v>0</v>
      </c>
      <c r="C11" t="s">
        <v>3</v>
      </c>
      <c r="D11" t="s">
        <v>2</v>
      </c>
      <c r="E11">
        <v>19</v>
      </c>
      <c r="F11" t="s">
        <v>1</v>
      </c>
      <c r="G11" t="s">
        <v>0</v>
      </c>
      <c r="H11">
        <v>62</v>
      </c>
      <c r="I11">
        <v>1</v>
      </c>
      <c r="K11" s="8"/>
      <c r="L11" s="8"/>
      <c r="M11" s="10"/>
      <c r="N11" s="10"/>
      <c r="O11" s="10"/>
      <c r="P11" s="10"/>
      <c r="Q11" s="10"/>
      <c r="R11" s="13"/>
    </row>
    <row r="12" spans="1:20" ht="14.4" customHeight="1" x14ac:dyDescent="0.3">
      <c r="A12">
        <v>2</v>
      </c>
      <c r="B12">
        <v>0</v>
      </c>
      <c r="C12" t="s">
        <v>3</v>
      </c>
      <c r="D12" t="s">
        <v>2</v>
      </c>
      <c r="E12">
        <v>0</v>
      </c>
      <c r="F12" t="s">
        <v>1</v>
      </c>
      <c r="G12" t="s">
        <v>0</v>
      </c>
      <c r="H12">
        <v>40</v>
      </c>
      <c r="I12">
        <v>1</v>
      </c>
      <c r="K12" s="8" t="s">
        <v>5</v>
      </c>
      <c r="L12" s="8"/>
      <c r="M12" s="10">
        <f>AVERAGE($H$1:$H$100,)</f>
        <v>43.405940594059409</v>
      </c>
      <c r="N12" s="10"/>
      <c r="O12" s="10" cm="1">
        <f t="array" ref="O12">AVERAGE(_xlfn._xlws.FILTER($H$1:$H$100,$I$1:$I$100 = 0))</f>
        <v>22.166666666666668</v>
      </c>
      <c r="P12" s="10"/>
      <c r="Q12" s="10" cm="1">
        <f t="array" ref="Q12">AVERAGE(_xlfn._xlws.FILTER($H$1:$H$100,$I$1:$I$100 = 1))</f>
        <v>45.223404255319146</v>
      </c>
      <c r="R12" s="13"/>
    </row>
    <row r="13" spans="1:20" x14ac:dyDescent="0.3">
      <c r="A13">
        <v>2</v>
      </c>
      <c r="B13">
        <v>0</v>
      </c>
      <c r="C13" t="s">
        <v>3</v>
      </c>
      <c r="D13" t="s">
        <v>2</v>
      </c>
      <c r="E13">
        <v>7</v>
      </c>
      <c r="F13" t="s">
        <v>1</v>
      </c>
      <c r="G13" t="s">
        <v>0</v>
      </c>
      <c r="H13">
        <v>21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ht="14.4" customHeight="1" x14ac:dyDescent="0.3">
      <c r="A14">
        <v>2</v>
      </c>
      <c r="B14">
        <v>0</v>
      </c>
      <c r="C14" t="s">
        <v>3</v>
      </c>
      <c r="D14" t="s">
        <v>2</v>
      </c>
      <c r="E14">
        <v>23</v>
      </c>
      <c r="F14" t="s">
        <v>1</v>
      </c>
      <c r="G14" t="s">
        <v>0</v>
      </c>
      <c r="H14">
        <v>31</v>
      </c>
      <c r="I14">
        <v>1</v>
      </c>
      <c r="K14" s="19" t="s">
        <v>4</v>
      </c>
      <c r="L14" s="12"/>
      <c r="M14" s="20" cm="1">
        <f t="array" ref="M14">AVERAGE($E$1:$E$100 - $H$1:$H$100)</f>
        <v>-30.38</v>
      </c>
      <c r="N14" s="20"/>
      <c r="O14" s="20" cm="1">
        <f t="array" ref="O14">AVERAGE(_xlfn._xlws.FILTER($E$1:$E$100 - $H$1:$H$100, I$1:I$100 = 0))</f>
        <v>9.1666666666666661</v>
      </c>
      <c r="P14" s="20"/>
      <c r="Q14" s="20" cm="1">
        <f t="array" ref="Q14">AVERAGE(_xlfn._xlws.FILTER($E$1:$E$100 - $H$1:$H$100, I$1:I$100 = 1))</f>
        <v>-32.904255319148938</v>
      </c>
      <c r="R14" s="22"/>
    </row>
    <row r="15" spans="1:20" x14ac:dyDescent="0.3">
      <c r="A15">
        <v>2</v>
      </c>
      <c r="B15">
        <v>0</v>
      </c>
      <c r="C15" t="s">
        <v>3</v>
      </c>
      <c r="D15" t="s">
        <v>2</v>
      </c>
      <c r="E15">
        <v>6</v>
      </c>
      <c r="F15" t="s">
        <v>1</v>
      </c>
      <c r="G15" t="s">
        <v>0</v>
      </c>
      <c r="H15">
        <v>66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3</v>
      </c>
      <c r="D16" t="s">
        <v>2</v>
      </c>
      <c r="E16">
        <v>3</v>
      </c>
      <c r="F16" t="s">
        <v>1</v>
      </c>
      <c r="G16" t="s">
        <v>0</v>
      </c>
      <c r="H16">
        <v>33</v>
      </c>
      <c r="I16">
        <v>1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3</v>
      </c>
      <c r="D17" t="s">
        <v>2</v>
      </c>
      <c r="E17">
        <v>26</v>
      </c>
      <c r="F17" t="s">
        <v>1</v>
      </c>
      <c r="G17" t="s">
        <v>0</v>
      </c>
      <c r="H17">
        <v>61</v>
      </c>
      <c r="I17">
        <v>1</v>
      </c>
    </row>
    <row r="18" spans="1:9" x14ac:dyDescent="0.3">
      <c r="A18">
        <v>2</v>
      </c>
      <c r="B18">
        <v>0</v>
      </c>
      <c r="C18" t="s">
        <v>3</v>
      </c>
      <c r="D18" t="s">
        <v>2</v>
      </c>
      <c r="E18">
        <v>0</v>
      </c>
      <c r="F18" t="s">
        <v>1</v>
      </c>
      <c r="G18" t="s">
        <v>0</v>
      </c>
      <c r="H18">
        <v>43</v>
      </c>
      <c r="I18">
        <v>1</v>
      </c>
    </row>
    <row r="19" spans="1:9" x14ac:dyDescent="0.3">
      <c r="A19">
        <v>2</v>
      </c>
      <c r="B19">
        <v>0</v>
      </c>
      <c r="C19" t="s">
        <v>3</v>
      </c>
      <c r="D19" t="s">
        <v>2</v>
      </c>
      <c r="E19">
        <v>14</v>
      </c>
      <c r="F19" t="s">
        <v>1</v>
      </c>
      <c r="G19" t="s">
        <v>0</v>
      </c>
      <c r="H19">
        <v>44</v>
      </c>
      <c r="I19">
        <v>1</v>
      </c>
    </row>
    <row r="20" spans="1:9" x14ac:dyDescent="0.3">
      <c r="A20">
        <v>2</v>
      </c>
      <c r="B20">
        <v>0</v>
      </c>
      <c r="C20" t="s">
        <v>3</v>
      </c>
      <c r="D20" t="s">
        <v>2</v>
      </c>
      <c r="E20">
        <v>7</v>
      </c>
      <c r="F20" t="s">
        <v>1</v>
      </c>
      <c r="G20" t="s">
        <v>0</v>
      </c>
      <c r="H20">
        <v>45</v>
      </c>
      <c r="I20">
        <v>1</v>
      </c>
    </row>
    <row r="21" spans="1:9" x14ac:dyDescent="0.3">
      <c r="A21">
        <v>2</v>
      </c>
      <c r="B21">
        <v>0</v>
      </c>
      <c r="C21" t="s">
        <v>3</v>
      </c>
      <c r="D21" t="s">
        <v>2</v>
      </c>
      <c r="E21">
        <v>31</v>
      </c>
      <c r="F21" t="s">
        <v>1</v>
      </c>
      <c r="G21" t="s">
        <v>0</v>
      </c>
      <c r="H21">
        <v>40</v>
      </c>
      <c r="I21">
        <v>1</v>
      </c>
    </row>
    <row r="22" spans="1:9" x14ac:dyDescent="0.3">
      <c r="A22">
        <v>2</v>
      </c>
      <c r="B22">
        <v>0</v>
      </c>
      <c r="C22" t="s">
        <v>3</v>
      </c>
      <c r="D22" t="s">
        <v>2</v>
      </c>
      <c r="E22">
        <v>7</v>
      </c>
      <c r="F22" t="s">
        <v>1</v>
      </c>
      <c r="G22" t="s">
        <v>0</v>
      </c>
      <c r="H22">
        <v>45</v>
      </c>
      <c r="I22">
        <v>1</v>
      </c>
    </row>
    <row r="23" spans="1:9" x14ac:dyDescent="0.3">
      <c r="A23">
        <v>2</v>
      </c>
      <c r="B23">
        <v>0</v>
      </c>
      <c r="C23" t="s">
        <v>3</v>
      </c>
      <c r="D23" t="s">
        <v>2</v>
      </c>
      <c r="E23">
        <v>19</v>
      </c>
      <c r="F23" t="s">
        <v>1</v>
      </c>
      <c r="G23" t="s">
        <v>0</v>
      </c>
      <c r="H23">
        <v>63</v>
      </c>
      <c r="I23">
        <v>1</v>
      </c>
    </row>
    <row r="24" spans="1:9" x14ac:dyDescent="0.3">
      <c r="A24">
        <v>2</v>
      </c>
      <c r="B24">
        <v>0</v>
      </c>
      <c r="C24" t="s">
        <v>3</v>
      </c>
      <c r="D24" t="s">
        <v>2</v>
      </c>
      <c r="E24">
        <v>6</v>
      </c>
      <c r="F24" t="s">
        <v>1</v>
      </c>
      <c r="G24" t="s">
        <v>0</v>
      </c>
      <c r="H24">
        <v>33</v>
      </c>
      <c r="I24">
        <v>1</v>
      </c>
    </row>
    <row r="25" spans="1:9" x14ac:dyDescent="0.3">
      <c r="A25">
        <v>2</v>
      </c>
      <c r="B25">
        <v>0</v>
      </c>
      <c r="C25" t="s">
        <v>3</v>
      </c>
      <c r="D25" t="s">
        <v>2</v>
      </c>
      <c r="E25">
        <v>2</v>
      </c>
      <c r="F25" t="s">
        <v>1</v>
      </c>
      <c r="G25" t="s">
        <v>0</v>
      </c>
      <c r="H25">
        <v>63</v>
      </c>
      <c r="I25">
        <v>1</v>
      </c>
    </row>
    <row r="26" spans="1:9" x14ac:dyDescent="0.3">
      <c r="A26">
        <v>2</v>
      </c>
      <c r="B26">
        <v>0</v>
      </c>
      <c r="C26" t="s">
        <v>3</v>
      </c>
      <c r="D26" t="s">
        <v>2</v>
      </c>
      <c r="E26">
        <v>0</v>
      </c>
      <c r="F26" t="s">
        <v>1</v>
      </c>
      <c r="G26" t="s">
        <v>0</v>
      </c>
      <c r="H26">
        <v>49</v>
      </c>
      <c r="I26">
        <v>1</v>
      </c>
    </row>
    <row r="27" spans="1:9" x14ac:dyDescent="0.3">
      <c r="A27">
        <v>2</v>
      </c>
      <c r="B27">
        <v>0</v>
      </c>
      <c r="C27" t="s">
        <v>3</v>
      </c>
      <c r="D27" t="s">
        <v>2</v>
      </c>
      <c r="E27">
        <v>23</v>
      </c>
      <c r="F27" t="s">
        <v>1</v>
      </c>
      <c r="G27" t="s">
        <v>0</v>
      </c>
      <c r="H27">
        <v>42</v>
      </c>
      <c r="I27">
        <v>1</v>
      </c>
    </row>
    <row r="28" spans="1:9" x14ac:dyDescent="0.3">
      <c r="A28">
        <v>2</v>
      </c>
      <c r="B28">
        <v>0</v>
      </c>
      <c r="C28" t="s">
        <v>3</v>
      </c>
      <c r="D28" t="s">
        <v>2</v>
      </c>
      <c r="E28">
        <v>15</v>
      </c>
      <c r="F28" t="s">
        <v>1</v>
      </c>
      <c r="G28" t="s">
        <v>0</v>
      </c>
      <c r="H28">
        <v>33</v>
      </c>
      <c r="I28">
        <v>1</v>
      </c>
    </row>
    <row r="29" spans="1:9" x14ac:dyDescent="0.3">
      <c r="A29">
        <v>2</v>
      </c>
      <c r="B29">
        <v>0</v>
      </c>
      <c r="C29" t="s">
        <v>3</v>
      </c>
      <c r="D29" t="s">
        <v>2</v>
      </c>
      <c r="E29">
        <v>0</v>
      </c>
      <c r="F29" t="s">
        <v>1</v>
      </c>
      <c r="G29" t="s">
        <v>0</v>
      </c>
      <c r="H29">
        <v>41</v>
      </c>
      <c r="I29">
        <v>1</v>
      </c>
    </row>
    <row r="30" spans="1:9" x14ac:dyDescent="0.3">
      <c r="A30">
        <v>2</v>
      </c>
      <c r="B30">
        <v>0</v>
      </c>
      <c r="C30" t="s">
        <v>3</v>
      </c>
      <c r="D30" t="s">
        <v>2</v>
      </c>
      <c r="E30">
        <v>3</v>
      </c>
      <c r="F30" t="s">
        <v>1</v>
      </c>
      <c r="G30" t="s">
        <v>0</v>
      </c>
      <c r="H30">
        <v>75</v>
      </c>
      <c r="I30">
        <v>1</v>
      </c>
    </row>
    <row r="31" spans="1:9" x14ac:dyDescent="0.3">
      <c r="A31">
        <v>2</v>
      </c>
      <c r="B31">
        <v>0</v>
      </c>
      <c r="C31" t="s">
        <v>3</v>
      </c>
      <c r="D31" t="s">
        <v>2</v>
      </c>
      <c r="E31">
        <v>10</v>
      </c>
      <c r="F31" t="s">
        <v>1</v>
      </c>
      <c r="G31" t="s">
        <v>0</v>
      </c>
      <c r="H31">
        <v>36</v>
      </c>
      <c r="I31">
        <v>1</v>
      </c>
    </row>
    <row r="32" spans="1:9" x14ac:dyDescent="0.3">
      <c r="A32">
        <v>2</v>
      </c>
      <c r="B32">
        <v>0</v>
      </c>
      <c r="C32" t="s">
        <v>3</v>
      </c>
      <c r="D32" t="s">
        <v>2</v>
      </c>
      <c r="E32">
        <v>22</v>
      </c>
      <c r="F32" t="s">
        <v>1</v>
      </c>
      <c r="G32" t="s">
        <v>0</v>
      </c>
      <c r="H32">
        <v>48</v>
      </c>
      <c r="I32">
        <v>1</v>
      </c>
    </row>
    <row r="33" spans="1:9" x14ac:dyDescent="0.3">
      <c r="A33">
        <v>2</v>
      </c>
      <c r="B33">
        <v>0</v>
      </c>
      <c r="C33" t="s">
        <v>3</v>
      </c>
      <c r="D33" t="s">
        <v>2</v>
      </c>
      <c r="E33">
        <v>5</v>
      </c>
      <c r="F33" t="s">
        <v>1</v>
      </c>
      <c r="G33" t="s">
        <v>0</v>
      </c>
      <c r="H33">
        <v>68</v>
      </c>
      <c r="I33">
        <v>1</v>
      </c>
    </row>
    <row r="34" spans="1:9" x14ac:dyDescent="0.3">
      <c r="A34">
        <v>2</v>
      </c>
      <c r="B34">
        <v>0</v>
      </c>
      <c r="C34" t="s">
        <v>3</v>
      </c>
      <c r="D34" t="s">
        <v>2</v>
      </c>
      <c r="E34">
        <v>35</v>
      </c>
      <c r="F34" t="s">
        <v>1</v>
      </c>
      <c r="G34" t="s">
        <v>0</v>
      </c>
      <c r="H34">
        <v>21</v>
      </c>
      <c r="I34">
        <v>0</v>
      </c>
    </row>
    <row r="35" spans="1:9" x14ac:dyDescent="0.3">
      <c r="A35">
        <v>2</v>
      </c>
      <c r="B35">
        <v>0</v>
      </c>
      <c r="C35" t="s">
        <v>3</v>
      </c>
      <c r="D35" t="s">
        <v>2</v>
      </c>
      <c r="E35">
        <v>20</v>
      </c>
      <c r="F35" t="s">
        <v>1</v>
      </c>
      <c r="G35" t="s">
        <v>0</v>
      </c>
      <c r="H35">
        <v>51</v>
      </c>
      <c r="I35">
        <v>1</v>
      </c>
    </row>
    <row r="36" spans="1:9" x14ac:dyDescent="0.3">
      <c r="A36">
        <v>2</v>
      </c>
      <c r="B36">
        <v>0</v>
      </c>
      <c r="C36" t="s">
        <v>3</v>
      </c>
      <c r="D36" t="s">
        <v>2</v>
      </c>
      <c r="E36">
        <v>19</v>
      </c>
      <c r="F36" t="s">
        <v>1</v>
      </c>
      <c r="G36" t="s">
        <v>0</v>
      </c>
      <c r="H36">
        <v>24</v>
      </c>
      <c r="I36">
        <v>1</v>
      </c>
    </row>
    <row r="37" spans="1:9" x14ac:dyDescent="0.3">
      <c r="A37">
        <v>2</v>
      </c>
      <c r="B37">
        <v>0</v>
      </c>
      <c r="C37" t="s">
        <v>3</v>
      </c>
      <c r="D37" t="s">
        <v>2</v>
      </c>
      <c r="E37">
        <v>0</v>
      </c>
      <c r="F37" t="s">
        <v>1</v>
      </c>
      <c r="G37" t="s">
        <v>0</v>
      </c>
      <c r="H37">
        <v>33</v>
      </c>
      <c r="I37">
        <v>1</v>
      </c>
    </row>
    <row r="38" spans="1:9" x14ac:dyDescent="0.3">
      <c r="A38">
        <v>2</v>
      </c>
      <c r="B38">
        <v>0</v>
      </c>
      <c r="C38" t="s">
        <v>3</v>
      </c>
      <c r="D38" t="s">
        <v>2</v>
      </c>
      <c r="E38">
        <v>0</v>
      </c>
      <c r="F38" t="s">
        <v>1</v>
      </c>
      <c r="G38" t="s">
        <v>0</v>
      </c>
      <c r="H38">
        <v>31</v>
      </c>
      <c r="I38">
        <v>1</v>
      </c>
    </row>
    <row r="39" spans="1:9" x14ac:dyDescent="0.3">
      <c r="A39">
        <v>2</v>
      </c>
      <c r="B39">
        <v>0</v>
      </c>
      <c r="C39" t="s">
        <v>3</v>
      </c>
      <c r="D39" t="s">
        <v>2</v>
      </c>
      <c r="E39">
        <v>22</v>
      </c>
      <c r="F39" t="s">
        <v>1</v>
      </c>
      <c r="G39" t="s">
        <v>0</v>
      </c>
      <c r="H39">
        <v>36</v>
      </c>
      <c r="I39">
        <v>1</v>
      </c>
    </row>
    <row r="40" spans="1:9" x14ac:dyDescent="0.3">
      <c r="A40">
        <v>2</v>
      </c>
      <c r="B40">
        <v>0</v>
      </c>
      <c r="C40" t="s">
        <v>3</v>
      </c>
      <c r="D40" t="s">
        <v>2</v>
      </c>
      <c r="E40">
        <v>6</v>
      </c>
      <c r="F40" t="s">
        <v>1</v>
      </c>
      <c r="G40" t="s">
        <v>0</v>
      </c>
      <c r="H40">
        <v>67</v>
      </c>
      <c r="I40">
        <v>1</v>
      </c>
    </row>
    <row r="41" spans="1:9" x14ac:dyDescent="0.3">
      <c r="A41">
        <v>2</v>
      </c>
      <c r="B41">
        <v>0</v>
      </c>
      <c r="C41" t="s">
        <v>3</v>
      </c>
      <c r="D41" t="s">
        <v>2</v>
      </c>
      <c r="E41">
        <v>31</v>
      </c>
      <c r="F41" t="s">
        <v>1</v>
      </c>
      <c r="G41" t="s">
        <v>0</v>
      </c>
      <c r="H41">
        <v>39</v>
      </c>
      <c r="I41">
        <v>1</v>
      </c>
    </row>
    <row r="42" spans="1:9" x14ac:dyDescent="0.3">
      <c r="A42">
        <v>2</v>
      </c>
      <c r="B42">
        <v>0</v>
      </c>
      <c r="C42" t="s">
        <v>3</v>
      </c>
      <c r="D42" t="s">
        <v>2</v>
      </c>
      <c r="E42">
        <v>0</v>
      </c>
      <c r="F42" t="s">
        <v>1</v>
      </c>
      <c r="G42" t="s">
        <v>0</v>
      </c>
      <c r="H42">
        <v>23</v>
      </c>
      <c r="I42">
        <v>1</v>
      </c>
    </row>
    <row r="43" spans="1:9" x14ac:dyDescent="0.3">
      <c r="A43">
        <v>2</v>
      </c>
      <c r="B43">
        <v>0</v>
      </c>
      <c r="C43" t="s">
        <v>3</v>
      </c>
      <c r="D43" t="s">
        <v>2</v>
      </c>
      <c r="E43">
        <v>0</v>
      </c>
      <c r="F43" t="s">
        <v>1</v>
      </c>
      <c r="G43" t="s">
        <v>0</v>
      </c>
      <c r="H43">
        <v>41</v>
      </c>
      <c r="I43">
        <v>1</v>
      </c>
    </row>
    <row r="44" spans="1:9" x14ac:dyDescent="0.3">
      <c r="A44">
        <v>2</v>
      </c>
      <c r="B44">
        <v>0</v>
      </c>
      <c r="C44" t="s">
        <v>3</v>
      </c>
      <c r="D44" t="s">
        <v>2</v>
      </c>
      <c r="E44">
        <v>0</v>
      </c>
      <c r="F44" t="s">
        <v>1</v>
      </c>
      <c r="G44" t="s">
        <v>0</v>
      </c>
      <c r="H44">
        <v>54</v>
      </c>
      <c r="I44">
        <v>1</v>
      </c>
    </row>
    <row r="45" spans="1:9" x14ac:dyDescent="0.3">
      <c r="A45">
        <v>2</v>
      </c>
      <c r="B45">
        <v>0</v>
      </c>
      <c r="C45" t="s">
        <v>3</v>
      </c>
      <c r="D45" t="s">
        <v>2</v>
      </c>
      <c r="E45">
        <v>18</v>
      </c>
      <c r="F45" t="s">
        <v>1</v>
      </c>
      <c r="G45" t="s">
        <v>0</v>
      </c>
      <c r="H45">
        <v>31</v>
      </c>
      <c r="I45">
        <v>1</v>
      </c>
    </row>
    <row r="46" spans="1:9" x14ac:dyDescent="0.3">
      <c r="A46">
        <v>2</v>
      </c>
      <c r="B46">
        <v>0</v>
      </c>
      <c r="C46" t="s">
        <v>3</v>
      </c>
      <c r="D46" t="s">
        <v>2</v>
      </c>
      <c r="E46">
        <v>31</v>
      </c>
      <c r="F46" t="s">
        <v>1</v>
      </c>
      <c r="G46" t="s">
        <v>0</v>
      </c>
      <c r="H46">
        <v>46</v>
      </c>
      <c r="I46">
        <v>1</v>
      </c>
    </row>
    <row r="47" spans="1:9" x14ac:dyDescent="0.3">
      <c r="A47">
        <v>2</v>
      </c>
      <c r="B47">
        <v>0</v>
      </c>
      <c r="C47" t="s">
        <v>3</v>
      </c>
      <c r="D47" t="s">
        <v>2</v>
      </c>
      <c r="E47">
        <v>7</v>
      </c>
      <c r="F47" t="s">
        <v>1</v>
      </c>
      <c r="G47" t="s">
        <v>0</v>
      </c>
      <c r="H47">
        <v>70</v>
      </c>
      <c r="I47">
        <v>1</v>
      </c>
    </row>
    <row r="48" spans="1:9" x14ac:dyDescent="0.3">
      <c r="A48">
        <v>2</v>
      </c>
      <c r="B48">
        <v>0</v>
      </c>
      <c r="C48" t="s">
        <v>3</v>
      </c>
      <c r="D48" t="s">
        <v>2</v>
      </c>
      <c r="E48">
        <v>16</v>
      </c>
      <c r="F48" t="s">
        <v>1</v>
      </c>
      <c r="G48" t="s">
        <v>0</v>
      </c>
      <c r="H48">
        <v>53</v>
      </c>
      <c r="I48">
        <v>1</v>
      </c>
    </row>
    <row r="49" spans="1:9" x14ac:dyDescent="0.3">
      <c r="A49">
        <v>2</v>
      </c>
      <c r="B49">
        <v>0</v>
      </c>
      <c r="C49" t="s">
        <v>3</v>
      </c>
      <c r="D49" t="s">
        <v>2</v>
      </c>
      <c r="E49">
        <v>2</v>
      </c>
      <c r="F49" t="s">
        <v>1</v>
      </c>
      <c r="G49" t="s">
        <v>0</v>
      </c>
      <c r="H49">
        <v>14</v>
      </c>
      <c r="I49">
        <v>1</v>
      </c>
    </row>
    <row r="50" spans="1:9" x14ac:dyDescent="0.3">
      <c r="A50">
        <v>2</v>
      </c>
      <c r="B50">
        <v>0</v>
      </c>
      <c r="C50" t="s">
        <v>3</v>
      </c>
      <c r="D50" t="s">
        <v>2</v>
      </c>
      <c r="E50">
        <v>14</v>
      </c>
      <c r="F50" t="s">
        <v>1</v>
      </c>
      <c r="G50" t="s">
        <v>0</v>
      </c>
      <c r="H50">
        <v>51</v>
      </c>
      <c r="I50">
        <v>1</v>
      </c>
    </row>
    <row r="51" spans="1:9" x14ac:dyDescent="0.3">
      <c r="A51">
        <v>2</v>
      </c>
      <c r="B51">
        <v>1</v>
      </c>
      <c r="C51" t="s">
        <v>3</v>
      </c>
      <c r="D51" t="s">
        <v>2</v>
      </c>
      <c r="E51">
        <v>16</v>
      </c>
      <c r="F51" t="s">
        <v>1</v>
      </c>
      <c r="G51" t="s">
        <v>0</v>
      </c>
      <c r="H51">
        <v>50</v>
      </c>
      <c r="I51">
        <v>1</v>
      </c>
    </row>
    <row r="52" spans="1:9" x14ac:dyDescent="0.3">
      <c r="A52">
        <v>2</v>
      </c>
      <c r="B52">
        <v>1</v>
      </c>
      <c r="C52" t="s">
        <v>3</v>
      </c>
      <c r="D52" t="s">
        <v>2</v>
      </c>
      <c r="E52">
        <v>30</v>
      </c>
      <c r="F52" t="s">
        <v>1</v>
      </c>
      <c r="G52" t="s">
        <v>0</v>
      </c>
      <c r="H52">
        <v>53</v>
      </c>
      <c r="I52">
        <v>1</v>
      </c>
    </row>
    <row r="53" spans="1:9" x14ac:dyDescent="0.3">
      <c r="A53">
        <v>2</v>
      </c>
      <c r="B53">
        <v>1</v>
      </c>
      <c r="C53" t="s">
        <v>3</v>
      </c>
      <c r="D53" t="s">
        <v>2</v>
      </c>
      <c r="E53">
        <v>0</v>
      </c>
      <c r="F53" t="s">
        <v>1</v>
      </c>
      <c r="G53" t="s">
        <v>0</v>
      </c>
      <c r="H53">
        <v>18</v>
      </c>
      <c r="I53">
        <v>1</v>
      </c>
    </row>
    <row r="54" spans="1:9" x14ac:dyDescent="0.3">
      <c r="A54">
        <v>2</v>
      </c>
      <c r="B54">
        <v>1</v>
      </c>
      <c r="C54" t="s">
        <v>3</v>
      </c>
      <c r="D54" t="s">
        <v>2</v>
      </c>
      <c r="E54">
        <v>13</v>
      </c>
      <c r="F54" t="s">
        <v>1</v>
      </c>
      <c r="G54" t="s">
        <v>0</v>
      </c>
      <c r="H54">
        <v>25</v>
      </c>
      <c r="I54">
        <v>1</v>
      </c>
    </row>
    <row r="55" spans="1:9" x14ac:dyDescent="0.3">
      <c r="A55">
        <v>2</v>
      </c>
      <c r="B55">
        <v>1</v>
      </c>
      <c r="C55" t="s">
        <v>3</v>
      </c>
      <c r="D55" t="s">
        <v>2</v>
      </c>
      <c r="E55">
        <v>27</v>
      </c>
      <c r="F55" t="s">
        <v>1</v>
      </c>
      <c r="G55" t="s">
        <v>0</v>
      </c>
      <c r="H55">
        <v>37</v>
      </c>
      <c r="I55">
        <v>1</v>
      </c>
    </row>
    <row r="56" spans="1:9" x14ac:dyDescent="0.3">
      <c r="A56">
        <v>2</v>
      </c>
      <c r="B56">
        <v>1</v>
      </c>
      <c r="C56" t="s">
        <v>3</v>
      </c>
      <c r="D56" t="s">
        <v>2</v>
      </c>
      <c r="E56">
        <v>33</v>
      </c>
      <c r="F56" t="s">
        <v>1</v>
      </c>
      <c r="G56" t="s">
        <v>0</v>
      </c>
      <c r="H56">
        <v>36</v>
      </c>
      <c r="I56">
        <v>1</v>
      </c>
    </row>
    <row r="57" spans="1:9" x14ac:dyDescent="0.3">
      <c r="A57">
        <v>2</v>
      </c>
      <c r="B57">
        <v>1</v>
      </c>
      <c r="C57" t="s">
        <v>3</v>
      </c>
      <c r="D57" t="s">
        <v>2</v>
      </c>
      <c r="E57">
        <v>36</v>
      </c>
      <c r="F57" t="s">
        <v>1</v>
      </c>
      <c r="G57" t="s">
        <v>0</v>
      </c>
      <c r="H57">
        <v>69</v>
      </c>
      <c r="I57">
        <v>1</v>
      </c>
    </row>
    <row r="58" spans="1:9" x14ac:dyDescent="0.3">
      <c r="A58">
        <v>2</v>
      </c>
      <c r="B58">
        <v>1</v>
      </c>
      <c r="C58" t="s">
        <v>3</v>
      </c>
      <c r="D58" t="s">
        <v>2</v>
      </c>
      <c r="E58">
        <v>15</v>
      </c>
      <c r="F58" t="s">
        <v>1</v>
      </c>
      <c r="G58" t="s">
        <v>0</v>
      </c>
      <c r="H58">
        <v>44</v>
      </c>
      <c r="I58">
        <v>1</v>
      </c>
    </row>
    <row r="59" spans="1:9" x14ac:dyDescent="0.3">
      <c r="A59">
        <v>2</v>
      </c>
      <c r="B59">
        <v>1</v>
      </c>
      <c r="C59" t="s">
        <v>3</v>
      </c>
      <c r="D59" t="s">
        <v>2</v>
      </c>
      <c r="E59">
        <v>22</v>
      </c>
      <c r="F59" t="s">
        <v>1</v>
      </c>
      <c r="G59" t="s">
        <v>0</v>
      </c>
      <c r="H59">
        <v>54</v>
      </c>
      <c r="I59">
        <v>1</v>
      </c>
    </row>
    <row r="60" spans="1:9" x14ac:dyDescent="0.3">
      <c r="A60">
        <v>2</v>
      </c>
      <c r="B60">
        <v>1</v>
      </c>
      <c r="C60" t="s">
        <v>3</v>
      </c>
      <c r="D60" t="s">
        <v>2</v>
      </c>
      <c r="E60">
        <v>0</v>
      </c>
      <c r="F60" t="s">
        <v>1</v>
      </c>
      <c r="G60" t="s">
        <v>0</v>
      </c>
      <c r="H60">
        <v>17</v>
      </c>
      <c r="I60">
        <v>1</v>
      </c>
    </row>
    <row r="61" spans="1:9" x14ac:dyDescent="0.3">
      <c r="A61">
        <v>2</v>
      </c>
      <c r="B61">
        <v>1</v>
      </c>
      <c r="C61" t="s">
        <v>3</v>
      </c>
      <c r="D61" t="s">
        <v>2</v>
      </c>
      <c r="E61">
        <v>16</v>
      </c>
      <c r="F61" t="s">
        <v>1</v>
      </c>
      <c r="G61" t="s">
        <v>0</v>
      </c>
      <c r="H61">
        <v>65</v>
      </c>
      <c r="I61">
        <v>1</v>
      </c>
    </row>
    <row r="62" spans="1:9" x14ac:dyDescent="0.3">
      <c r="A62">
        <v>2</v>
      </c>
      <c r="B62">
        <v>1</v>
      </c>
      <c r="C62" t="s">
        <v>3</v>
      </c>
      <c r="D62" t="s">
        <v>2</v>
      </c>
      <c r="E62">
        <v>2</v>
      </c>
      <c r="F62" t="s">
        <v>1</v>
      </c>
      <c r="G62" t="s">
        <v>0</v>
      </c>
      <c r="H62">
        <v>43</v>
      </c>
      <c r="I62">
        <v>1</v>
      </c>
    </row>
    <row r="63" spans="1:9" x14ac:dyDescent="0.3">
      <c r="A63">
        <v>2</v>
      </c>
      <c r="B63">
        <v>1</v>
      </c>
      <c r="C63" t="s">
        <v>3</v>
      </c>
      <c r="D63" t="s">
        <v>2</v>
      </c>
      <c r="E63">
        <v>32</v>
      </c>
      <c r="F63" t="s">
        <v>1</v>
      </c>
      <c r="G63" t="s">
        <v>0</v>
      </c>
      <c r="H63">
        <v>44</v>
      </c>
      <c r="I63">
        <v>1</v>
      </c>
    </row>
    <row r="64" spans="1:9" x14ac:dyDescent="0.3">
      <c r="A64">
        <v>2</v>
      </c>
      <c r="B64">
        <v>1</v>
      </c>
      <c r="C64" t="s">
        <v>3</v>
      </c>
      <c r="D64" t="s">
        <v>2</v>
      </c>
      <c r="E64">
        <v>29</v>
      </c>
      <c r="F64" t="s">
        <v>1</v>
      </c>
      <c r="G64" t="s">
        <v>0</v>
      </c>
      <c r="H64">
        <v>60</v>
      </c>
      <c r="I64">
        <v>1</v>
      </c>
    </row>
    <row r="65" spans="1:9" x14ac:dyDescent="0.3">
      <c r="A65">
        <v>2</v>
      </c>
      <c r="B65">
        <v>1</v>
      </c>
      <c r="C65" t="s">
        <v>3</v>
      </c>
      <c r="D65" t="s">
        <v>2</v>
      </c>
      <c r="E65">
        <v>17</v>
      </c>
      <c r="F65" t="s">
        <v>1</v>
      </c>
      <c r="G65" t="s">
        <v>0</v>
      </c>
      <c r="H65">
        <v>73</v>
      </c>
      <c r="I65">
        <v>1</v>
      </c>
    </row>
    <row r="66" spans="1:9" x14ac:dyDescent="0.3">
      <c r="A66">
        <v>2</v>
      </c>
      <c r="B66">
        <v>1</v>
      </c>
      <c r="C66" t="s">
        <v>3</v>
      </c>
      <c r="D66" t="s">
        <v>2</v>
      </c>
      <c r="E66">
        <v>8</v>
      </c>
      <c r="F66" t="s">
        <v>1</v>
      </c>
      <c r="G66" t="s">
        <v>0</v>
      </c>
      <c r="H66">
        <v>50</v>
      </c>
      <c r="I66">
        <v>1</v>
      </c>
    </row>
    <row r="67" spans="1:9" x14ac:dyDescent="0.3">
      <c r="A67">
        <v>2</v>
      </c>
      <c r="B67">
        <v>1</v>
      </c>
      <c r="C67" t="s">
        <v>3</v>
      </c>
      <c r="D67" t="s">
        <v>2</v>
      </c>
      <c r="E67">
        <v>11</v>
      </c>
      <c r="F67" t="s">
        <v>1</v>
      </c>
      <c r="G67" t="s">
        <v>0</v>
      </c>
      <c r="H67">
        <v>39</v>
      </c>
      <c r="I67">
        <v>1</v>
      </c>
    </row>
    <row r="68" spans="1:9" x14ac:dyDescent="0.3">
      <c r="A68">
        <v>2</v>
      </c>
      <c r="B68">
        <v>1</v>
      </c>
      <c r="C68" t="s">
        <v>3</v>
      </c>
      <c r="D68" t="s">
        <v>2</v>
      </c>
      <c r="E68">
        <v>1</v>
      </c>
      <c r="F68" t="s">
        <v>1</v>
      </c>
      <c r="G68" t="s">
        <v>0</v>
      </c>
      <c r="H68">
        <v>38</v>
      </c>
      <c r="I68">
        <v>1</v>
      </c>
    </row>
    <row r="69" spans="1:9" x14ac:dyDescent="0.3">
      <c r="A69">
        <v>2</v>
      </c>
      <c r="B69">
        <v>1</v>
      </c>
      <c r="C69" t="s">
        <v>3</v>
      </c>
      <c r="D69" t="s">
        <v>2</v>
      </c>
      <c r="E69">
        <v>9</v>
      </c>
      <c r="F69" t="s">
        <v>1</v>
      </c>
      <c r="G69" t="s">
        <v>0</v>
      </c>
      <c r="H69">
        <v>41</v>
      </c>
      <c r="I69">
        <v>1</v>
      </c>
    </row>
    <row r="70" spans="1:9" x14ac:dyDescent="0.3">
      <c r="A70">
        <v>2</v>
      </c>
      <c r="B70">
        <v>1</v>
      </c>
      <c r="C70" t="s">
        <v>3</v>
      </c>
      <c r="D70" t="s">
        <v>2</v>
      </c>
      <c r="E70">
        <v>17</v>
      </c>
      <c r="F70" t="s">
        <v>1</v>
      </c>
      <c r="G70" t="s">
        <v>0</v>
      </c>
      <c r="H70">
        <v>50</v>
      </c>
      <c r="I70">
        <v>1</v>
      </c>
    </row>
    <row r="71" spans="1:9" x14ac:dyDescent="0.3">
      <c r="A71">
        <v>2</v>
      </c>
      <c r="B71">
        <v>1</v>
      </c>
      <c r="C71" t="s">
        <v>3</v>
      </c>
      <c r="D71" t="s">
        <v>2</v>
      </c>
      <c r="E71">
        <v>1</v>
      </c>
      <c r="F71" t="s">
        <v>1</v>
      </c>
      <c r="G71" t="s">
        <v>0</v>
      </c>
      <c r="H71">
        <v>58</v>
      </c>
      <c r="I71">
        <v>1</v>
      </c>
    </row>
    <row r="72" spans="1:9" x14ac:dyDescent="0.3">
      <c r="A72">
        <v>2</v>
      </c>
      <c r="B72">
        <v>1</v>
      </c>
      <c r="C72" t="s">
        <v>3</v>
      </c>
      <c r="D72" t="s">
        <v>2</v>
      </c>
      <c r="E72">
        <v>4</v>
      </c>
      <c r="F72" t="s">
        <v>1</v>
      </c>
      <c r="G72" t="s">
        <v>0</v>
      </c>
      <c r="H72">
        <v>47</v>
      </c>
      <c r="I72">
        <v>1</v>
      </c>
    </row>
    <row r="73" spans="1:9" x14ac:dyDescent="0.3">
      <c r="A73">
        <v>2</v>
      </c>
      <c r="B73">
        <v>1</v>
      </c>
      <c r="C73" t="s">
        <v>3</v>
      </c>
      <c r="D73" t="s">
        <v>2</v>
      </c>
      <c r="E73">
        <v>18</v>
      </c>
      <c r="F73" t="s">
        <v>1</v>
      </c>
      <c r="G73" t="s">
        <v>0</v>
      </c>
      <c r="H73">
        <v>44</v>
      </c>
      <c r="I73">
        <v>1</v>
      </c>
    </row>
    <row r="74" spans="1:9" x14ac:dyDescent="0.3">
      <c r="A74">
        <v>2</v>
      </c>
      <c r="B74">
        <v>1</v>
      </c>
      <c r="C74" t="s">
        <v>3</v>
      </c>
      <c r="D74" t="s">
        <v>2</v>
      </c>
      <c r="E74">
        <v>18</v>
      </c>
      <c r="F74" t="s">
        <v>1</v>
      </c>
      <c r="G74" t="s">
        <v>0</v>
      </c>
      <c r="H74">
        <v>37</v>
      </c>
      <c r="I74">
        <v>1</v>
      </c>
    </row>
    <row r="75" spans="1:9" x14ac:dyDescent="0.3">
      <c r="A75">
        <v>2</v>
      </c>
      <c r="B75">
        <v>1</v>
      </c>
      <c r="C75" t="s">
        <v>3</v>
      </c>
      <c r="D75" t="s">
        <v>2</v>
      </c>
      <c r="E75">
        <v>30</v>
      </c>
      <c r="F75" t="s">
        <v>1</v>
      </c>
      <c r="G75" t="s">
        <v>0</v>
      </c>
      <c r="H75">
        <v>53</v>
      </c>
      <c r="I75">
        <v>1</v>
      </c>
    </row>
    <row r="76" spans="1:9" x14ac:dyDescent="0.3">
      <c r="A76">
        <v>2</v>
      </c>
      <c r="B76">
        <v>1</v>
      </c>
      <c r="C76" t="s">
        <v>3</v>
      </c>
      <c r="D76" t="s">
        <v>2</v>
      </c>
      <c r="E76">
        <v>15</v>
      </c>
      <c r="F76" t="s">
        <v>1</v>
      </c>
      <c r="G76" t="s">
        <v>0</v>
      </c>
      <c r="H76">
        <v>47</v>
      </c>
      <c r="I76">
        <v>1</v>
      </c>
    </row>
    <row r="77" spans="1:9" x14ac:dyDescent="0.3">
      <c r="A77">
        <v>2</v>
      </c>
      <c r="B77">
        <v>1</v>
      </c>
      <c r="C77" t="s">
        <v>3</v>
      </c>
      <c r="D77" t="s">
        <v>2</v>
      </c>
      <c r="E77">
        <v>2</v>
      </c>
      <c r="F77" t="s">
        <v>1</v>
      </c>
      <c r="G77" t="s">
        <v>0</v>
      </c>
      <c r="H77">
        <v>47</v>
      </c>
      <c r="I77">
        <v>1</v>
      </c>
    </row>
    <row r="78" spans="1:9" x14ac:dyDescent="0.3">
      <c r="A78">
        <v>2</v>
      </c>
      <c r="B78">
        <v>1</v>
      </c>
      <c r="C78" t="s">
        <v>3</v>
      </c>
      <c r="D78" t="s">
        <v>2</v>
      </c>
      <c r="E78">
        <v>9</v>
      </c>
      <c r="F78" t="s">
        <v>1</v>
      </c>
      <c r="G78" t="s">
        <v>0</v>
      </c>
      <c r="H78">
        <v>39</v>
      </c>
      <c r="I78">
        <v>1</v>
      </c>
    </row>
    <row r="79" spans="1:9" x14ac:dyDescent="0.3">
      <c r="A79">
        <v>2</v>
      </c>
      <c r="B79">
        <v>1</v>
      </c>
      <c r="C79" t="s">
        <v>3</v>
      </c>
      <c r="D79" t="s">
        <v>2</v>
      </c>
      <c r="E79">
        <v>0</v>
      </c>
      <c r="F79" t="s">
        <v>1</v>
      </c>
      <c r="G79" t="s">
        <v>0</v>
      </c>
      <c r="H79">
        <v>43</v>
      </c>
      <c r="I79">
        <v>1</v>
      </c>
    </row>
    <row r="80" spans="1:9" x14ac:dyDescent="0.3">
      <c r="A80">
        <v>2</v>
      </c>
      <c r="B80">
        <v>1</v>
      </c>
      <c r="C80" t="s">
        <v>3</v>
      </c>
      <c r="D80" t="s">
        <v>2</v>
      </c>
      <c r="E80">
        <v>21</v>
      </c>
      <c r="F80" t="s">
        <v>1</v>
      </c>
      <c r="G80" t="s">
        <v>0</v>
      </c>
      <c r="H80">
        <v>16</v>
      </c>
      <c r="I80">
        <v>0</v>
      </c>
    </row>
    <row r="81" spans="1:9" x14ac:dyDescent="0.3">
      <c r="A81">
        <v>2</v>
      </c>
      <c r="B81">
        <v>1</v>
      </c>
      <c r="C81" t="s">
        <v>3</v>
      </c>
      <c r="D81" t="s">
        <v>2</v>
      </c>
      <c r="E81">
        <v>2</v>
      </c>
      <c r="F81" t="s">
        <v>1</v>
      </c>
      <c r="G81" t="s">
        <v>0</v>
      </c>
      <c r="H81">
        <v>57</v>
      </c>
      <c r="I81">
        <v>1</v>
      </c>
    </row>
    <row r="82" spans="1:9" x14ac:dyDescent="0.3">
      <c r="A82">
        <v>2</v>
      </c>
      <c r="B82">
        <v>1</v>
      </c>
      <c r="C82" t="s">
        <v>3</v>
      </c>
      <c r="D82" t="s">
        <v>2</v>
      </c>
      <c r="E82">
        <v>18</v>
      </c>
      <c r="F82" t="s">
        <v>1</v>
      </c>
      <c r="G82" t="s">
        <v>0</v>
      </c>
      <c r="H82">
        <v>29</v>
      </c>
      <c r="I82">
        <v>1</v>
      </c>
    </row>
    <row r="83" spans="1:9" x14ac:dyDescent="0.3">
      <c r="A83">
        <v>2</v>
      </c>
      <c r="B83">
        <v>1</v>
      </c>
      <c r="C83" t="s">
        <v>3</v>
      </c>
      <c r="D83" t="s">
        <v>2</v>
      </c>
      <c r="E83">
        <v>16</v>
      </c>
      <c r="F83" t="s">
        <v>1</v>
      </c>
      <c r="G83" t="s">
        <v>0</v>
      </c>
      <c r="H83">
        <v>46</v>
      </c>
      <c r="I83">
        <v>1</v>
      </c>
    </row>
    <row r="84" spans="1:9" x14ac:dyDescent="0.3">
      <c r="A84">
        <v>2</v>
      </c>
      <c r="B84">
        <v>1</v>
      </c>
      <c r="C84" t="s">
        <v>3</v>
      </c>
      <c r="D84" t="s">
        <v>2</v>
      </c>
      <c r="E84">
        <v>31</v>
      </c>
      <c r="F84" t="s">
        <v>1</v>
      </c>
      <c r="G84" t="s">
        <v>0</v>
      </c>
      <c r="H84">
        <v>31</v>
      </c>
      <c r="I84">
        <v>0</v>
      </c>
    </row>
    <row r="85" spans="1:9" x14ac:dyDescent="0.3">
      <c r="A85">
        <v>2</v>
      </c>
      <c r="B85">
        <v>1</v>
      </c>
      <c r="C85" t="s">
        <v>3</v>
      </c>
      <c r="D85" t="s">
        <v>2</v>
      </c>
      <c r="E85">
        <v>21</v>
      </c>
      <c r="F85" t="s">
        <v>1</v>
      </c>
      <c r="G85" t="s">
        <v>0</v>
      </c>
      <c r="H85">
        <v>37</v>
      </c>
      <c r="I85">
        <v>1</v>
      </c>
    </row>
    <row r="86" spans="1:9" x14ac:dyDescent="0.3">
      <c r="A86">
        <v>2</v>
      </c>
      <c r="B86">
        <v>1</v>
      </c>
      <c r="C86" t="s">
        <v>3</v>
      </c>
      <c r="D86" t="s">
        <v>2</v>
      </c>
      <c r="E86">
        <v>6</v>
      </c>
      <c r="F86" t="s">
        <v>1</v>
      </c>
      <c r="G86" t="s">
        <v>0</v>
      </c>
      <c r="H86">
        <v>61</v>
      </c>
      <c r="I86">
        <v>1</v>
      </c>
    </row>
    <row r="87" spans="1:9" x14ac:dyDescent="0.3">
      <c r="A87">
        <v>2</v>
      </c>
      <c r="B87">
        <v>1</v>
      </c>
      <c r="C87" t="s">
        <v>3</v>
      </c>
      <c r="D87" t="s">
        <v>2</v>
      </c>
      <c r="E87">
        <v>18</v>
      </c>
      <c r="F87" t="s">
        <v>1</v>
      </c>
      <c r="G87" t="s">
        <v>0</v>
      </c>
      <c r="H87">
        <v>50</v>
      </c>
      <c r="I87">
        <v>1</v>
      </c>
    </row>
    <row r="88" spans="1:9" x14ac:dyDescent="0.3">
      <c r="A88">
        <v>2</v>
      </c>
      <c r="B88">
        <v>1</v>
      </c>
      <c r="C88" t="s">
        <v>3</v>
      </c>
      <c r="D88" t="s">
        <v>2</v>
      </c>
      <c r="E88">
        <v>38</v>
      </c>
      <c r="F88" t="s">
        <v>1</v>
      </c>
      <c r="G88" t="s">
        <v>0</v>
      </c>
      <c r="H88">
        <v>19</v>
      </c>
      <c r="I88">
        <v>0</v>
      </c>
    </row>
    <row r="89" spans="1:9" x14ac:dyDescent="0.3">
      <c r="A89">
        <v>2</v>
      </c>
      <c r="B89">
        <v>1</v>
      </c>
      <c r="C89" t="s">
        <v>3</v>
      </c>
      <c r="D89" t="s">
        <v>2</v>
      </c>
      <c r="E89">
        <v>14</v>
      </c>
      <c r="F89" t="s">
        <v>1</v>
      </c>
      <c r="G89" t="s">
        <v>0</v>
      </c>
      <c r="H89">
        <v>30</v>
      </c>
      <c r="I89">
        <v>1</v>
      </c>
    </row>
    <row r="90" spans="1:9" x14ac:dyDescent="0.3">
      <c r="A90">
        <v>2</v>
      </c>
      <c r="B90">
        <v>1</v>
      </c>
      <c r="C90" t="s">
        <v>3</v>
      </c>
      <c r="D90" t="s">
        <v>2</v>
      </c>
      <c r="E90">
        <v>9</v>
      </c>
      <c r="F90" t="s">
        <v>1</v>
      </c>
      <c r="G90" t="s">
        <v>0</v>
      </c>
      <c r="H90">
        <v>49</v>
      </c>
      <c r="I90">
        <v>1</v>
      </c>
    </row>
    <row r="91" spans="1:9" x14ac:dyDescent="0.3">
      <c r="A91">
        <v>2</v>
      </c>
      <c r="B91">
        <v>1</v>
      </c>
      <c r="C91" t="s">
        <v>3</v>
      </c>
      <c r="D91" t="s">
        <v>2</v>
      </c>
      <c r="E91">
        <v>8</v>
      </c>
      <c r="F91" t="s">
        <v>1</v>
      </c>
      <c r="G91" t="s">
        <v>0</v>
      </c>
      <c r="H91">
        <v>58</v>
      </c>
      <c r="I91">
        <v>1</v>
      </c>
    </row>
    <row r="92" spans="1:9" x14ac:dyDescent="0.3">
      <c r="A92">
        <v>2</v>
      </c>
      <c r="B92">
        <v>1</v>
      </c>
      <c r="C92" t="s">
        <v>3</v>
      </c>
      <c r="D92" t="s">
        <v>2</v>
      </c>
      <c r="E92">
        <v>0</v>
      </c>
      <c r="F92" t="s">
        <v>1</v>
      </c>
      <c r="G92" t="s">
        <v>0</v>
      </c>
      <c r="H92">
        <v>45</v>
      </c>
      <c r="I92">
        <v>1</v>
      </c>
    </row>
    <row r="93" spans="1:9" x14ac:dyDescent="0.3">
      <c r="A93">
        <v>2</v>
      </c>
      <c r="B93">
        <v>1</v>
      </c>
      <c r="C93" t="s">
        <v>3</v>
      </c>
      <c r="D93" t="s">
        <v>2</v>
      </c>
      <c r="E93">
        <v>6</v>
      </c>
      <c r="F93" t="s">
        <v>1</v>
      </c>
      <c r="G93" t="s">
        <v>0</v>
      </c>
      <c r="H93">
        <v>57</v>
      </c>
      <c r="I93">
        <v>1</v>
      </c>
    </row>
    <row r="94" spans="1:9" x14ac:dyDescent="0.3">
      <c r="A94">
        <v>2</v>
      </c>
      <c r="B94">
        <v>1</v>
      </c>
      <c r="C94" t="s">
        <v>3</v>
      </c>
      <c r="D94" t="s">
        <v>2</v>
      </c>
      <c r="E94">
        <v>0</v>
      </c>
      <c r="F94" t="s">
        <v>1</v>
      </c>
      <c r="G94" t="s">
        <v>0</v>
      </c>
      <c r="H94">
        <v>27</v>
      </c>
      <c r="I94">
        <v>1</v>
      </c>
    </row>
    <row r="95" spans="1:9" x14ac:dyDescent="0.3">
      <c r="A95">
        <v>2</v>
      </c>
      <c r="B95">
        <v>1</v>
      </c>
      <c r="C95" t="s">
        <v>3</v>
      </c>
      <c r="D95" t="s">
        <v>2</v>
      </c>
      <c r="E95">
        <v>14</v>
      </c>
      <c r="F95" t="s">
        <v>1</v>
      </c>
      <c r="G95" t="s">
        <v>0</v>
      </c>
      <c r="H95">
        <v>44</v>
      </c>
      <c r="I95">
        <v>1</v>
      </c>
    </row>
    <row r="96" spans="1:9" x14ac:dyDescent="0.3">
      <c r="A96">
        <v>2</v>
      </c>
      <c r="B96">
        <v>1</v>
      </c>
      <c r="C96" t="s">
        <v>3</v>
      </c>
      <c r="D96" t="s">
        <v>2</v>
      </c>
      <c r="E96">
        <v>25</v>
      </c>
      <c r="F96" t="s">
        <v>1</v>
      </c>
      <c r="G96" t="s">
        <v>0</v>
      </c>
      <c r="H96">
        <v>25</v>
      </c>
      <c r="I96">
        <v>0</v>
      </c>
    </row>
    <row r="97" spans="1:9" x14ac:dyDescent="0.3">
      <c r="A97">
        <v>2</v>
      </c>
      <c r="B97">
        <v>1</v>
      </c>
      <c r="C97" t="s">
        <v>3</v>
      </c>
      <c r="D97" t="s">
        <v>2</v>
      </c>
      <c r="E97">
        <v>20</v>
      </c>
      <c r="F97" t="s">
        <v>1</v>
      </c>
      <c r="G97" t="s">
        <v>0</v>
      </c>
      <c r="H97">
        <v>22</v>
      </c>
      <c r="I97">
        <v>1</v>
      </c>
    </row>
    <row r="98" spans="1:9" x14ac:dyDescent="0.3">
      <c r="A98">
        <v>2</v>
      </c>
      <c r="B98">
        <v>1</v>
      </c>
      <c r="C98" t="s">
        <v>3</v>
      </c>
      <c r="D98" t="s">
        <v>2</v>
      </c>
      <c r="E98">
        <v>0</v>
      </c>
      <c r="F98" t="s">
        <v>1</v>
      </c>
      <c r="G98" t="s">
        <v>0</v>
      </c>
      <c r="H98">
        <v>48</v>
      </c>
      <c r="I98">
        <v>1</v>
      </c>
    </row>
    <row r="99" spans="1:9" x14ac:dyDescent="0.3">
      <c r="A99">
        <v>2</v>
      </c>
      <c r="B99">
        <v>1</v>
      </c>
      <c r="C99" t="s">
        <v>3</v>
      </c>
      <c r="D99" t="s">
        <v>2</v>
      </c>
      <c r="E99">
        <v>8</v>
      </c>
      <c r="F99" t="s">
        <v>1</v>
      </c>
      <c r="G99" t="s">
        <v>0</v>
      </c>
      <c r="H99">
        <v>26</v>
      </c>
      <c r="I99">
        <v>1</v>
      </c>
    </row>
    <row r="100" spans="1:9" x14ac:dyDescent="0.3">
      <c r="A100">
        <v>2</v>
      </c>
      <c r="B100">
        <v>1</v>
      </c>
      <c r="C100" t="s">
        <v>3</v>
      </c>
      <c r="D100" t="s">
        <v>2</v>
      </c>
      <c r="E100">
        <v>14</v>
      </c>
      <c r="F100" t="s">
        <v>1</v>
      </c>
      <c r="G100" t="s">
        <v>0</v>
      </c>
      <c r="H100">
        <v>37</v>
      </c>
      <c r="I100">
        <v>1</v>
      </c>
    </row>
  </sheetData>
  <mergeCells count="26">
    <mergeCell ref="K14:L16"/>
    <mergeCell ref="M14:N16"/>
    <mergeCell ref="O14:P16"/>
    <mergeCell ref="Q14:R16"/>
    <mergeCell ref="M1:N2"/>
    <mergeCell ref="O1:P2"/>
    <mergeCell ref="Q1:R2"/>
    <mergeCell ref="K3:L4"/>
    <mergeCell ref="M3:N4"/>
    <mergeCell ref="O3:P4"/>
    <mergeCell ref="Q3:R4"/>
    <mergeCell ref="O12:P13"/>
    <mergeCell ref="Q12:R13"/>
    <mergeCell ref="K5:L6"/>
    <mergeCell ref="M5:N6"/>
    <mergeCell ref="O5:P6"/>
    <mergeCell ref="K12:L13"/>
    <mergeCell ref="M12:N13"/>
    <mergeCell ref="Q5:R6"/>
    <mergeCell ref="M8:N9"/>
    <mergeCell ref="O8:P9"/>
    <mergeCell ref="Q8:R9"/>
    <mergeCell ref="K10:L11"/>
    <mergeCell ref="M10:N11"/>
    <mergeCell ref="O10:P11"/>
    <mergeCell ref="Q10:R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AF1BD-31A2-4176-8F92-5021E4AB6C6D}">
  <dimension ref="A1:T100"/>
  <sheetViews>
    <sheetView topLeftCell="J1" workbookViewId="0">
      <selection activeCell="T12" sqref="T12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3</v>
      </c>
      <c r="D1" t="s">
        <v>2</v>
      </c>
      <c r="E1">
        <v>23</v>
      </c>
      <c r="F1" t="s">
        <v>16</v>
      </c>
      <c r="G1" t="s">
        <v>17</v>
      </c>
      <c r="H1">
        <v>29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3</v>
      </c>
      <c r="D2" t="s">
        <v>2</v>
      </c>
      <c r="E2">
        <v>51</v>
      </c>
      <c r="F2" t="s">
        <v>16</v>
      </c>
      <c r="G2" t="s">
        <v>17</v>
      </c>
      <c r="H2">
        <v>5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3</v>
      </c>
      <c r="D3" t="s">
        <v>2</v>
      </c>
      <c r="E3">
        <v>31</v>
      </c>
      <c r="F3" t="s">
        <v>16</v>
      </c>
      <c r="G3" t="s">
        <v>17</v>
      </c>
      <c r="H3">
        <v>39</v>
      </c>
      <c r="I3">
        <v>1</v>
      </c>
      <c r="K3" s="8" t="s">
        <v>11</v>
      </c>
      <c r="L3" s="8"/>
      <c r="M3" s="10">
        <f>COUNTIF($I$1:$I$100, 0)</f>
        <v>46</v>
      </c>
      <c r="N3" s="10"/>
      <c r="O3" s="10">
        <f>COUNTIFS($I$1:$I$100, 0, $B$1:$B$100, 0)</f>
        <v>24</v>
      </c>
      <c r="P3" s="10"/>
      <c r="Q3" s="11">
        <f>COUNTIFS($I$1:$I$100, 0, $B$1:$B$100, 1)</f>
        <v>22</v>
      </c>
      <c r="R3" s="12"/>
      <c r="T3" cm="1">
        <f t="array" ref="T3">SUMPRODUCT(--($E$1:$E$100=$H$1:$H$100))</f>
        <v>0</v>
      </c>
    </row>
    <row r="4" spans="1:20" x14ac:dyDescent="0.3">
      <c r="A4">
        <v>2</v>
      </c>
      <c r="B4">
        <v>0</v>
      </c>
      <c r="C4" t="s">
        <v>3</v>
      </c>
      <c r="D4" t="s">
        <v>2</v>
      </c>
      <c r="E4">
        <v>34</v>
      </c>
      <c r="F4" t="s">
        <v>16</v>
      </c>
      <c r="G4" t="s">
        <v>17</v>
      </c>
      <c r="H4">
        <v>24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3</v>
      </c>
      <c r="D5" t="s">
        <v>2</v>
      </c>
      <c r="E5">
        <v>43</v>
      </c>
      <c r="F5" t="s">
        <v>16</v>
      </c>
      <c r="G5" t="s">
        <v>17</v>
      </c>
      <c r="H5">
        <v>24</v>
      </c>
      <c r="I5">
        <v>0</v>
      </c>
      <c r="K5" s="8" t="s">
        <v>10</v>
      </c>
      <c r="L5" s="8"/>
      <c r="M5" s="14">
        <f>COUNTIF($I$1:$I$100, 1)</f>
        <v>54</v>
      </c>
      <c r="N5" s="10"/>
      <c r="O5" s="10">
        <f>COUNTIFS($I$1:$I$100, 1, $B$1:$B$100, 0)</f>
        <v>26</v>
      </c>
      <c r="P5" s="10"/>
      <c r="Q5" s="10">
        <f>COUNTIFS($I$1:$I$100, 1, $B$1:$B$100, 1)</f>
        <v>28</v>
      </c>
      <c r="R5" s="13"/>
    </row>
    <row r="6" spans="1:20" x14ac:dyDescent="0.3">
      <c r="A6">
        <v>2</v>
      </c>
      <c r="B6">
        <v>0</v>
      </c>
      <c r="C6" t="s">
        <v>3</v>
      </c>
      <c r="D6" t="s">
        <v>2</v>
      </c>
      <c r="E6">
        <v>12</v>
      </c>
      <c r="F6" t="s">
        <v>16</v>
      </c>
      <c r="G6" t="s">
        <v>17</v>
      </c>
      <c r="H6">
        <v>15</v>
      </c>
      <c r="I6">
        <v>1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3</v>
      </c>
      <c r="D7" t="s">
        <v>2</v>
      </c>
      <c r="E7">
        <v>16</v>
      </c>
      <c r="F7" t="s">
        <v>16</v>
      </c>
      <c r="G7" t="s">
        <v>17</v>
      </c>
      <c r="H7">
        <v>52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3</v>
      </c>
      <c r="D8" t="s">
        <v>2</v>
      </c>
      <c r="E8">
        <v>26</v>
      </c>
      <c r="F8" t="s">
        <v>16</v>
      </c>
      <c r="G8" t="s">
        <v>17</v>
      </c>
      <c r="H8">
        <v>7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3</v>
      </c>
      <c r="D9" t="s">
        <v>2</v>
      </c>
      <c r="E9">
        <v>38</v>
      </c>
      <c r="F9" t="s">
        <v>16</v>
      </c>
      <c r="G9" t="s">
        <v>17</v>
      </c>
      <c r="H9">
        <v>0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3</v>
      </c>
      <c r="D10" t="s">
        <v>2</v>
      </c>
      <c r="E10">
        <v>6</v>
      </c>
      <c r="F10" t="s">
        <v>16</v>
      </c>
      <c r="G10" t="s">
        <v>17</v>
      </c>
      <c r="H10">
        <v>29</v>
      </c>
      <c r="I10">
        <v>1</v>
      </c>
      <c r="K10" s="8" t="s">
        <v>6</v>
      </c>
      <c r="L10" s="8"/>
      <c r="M10" s="10">
        <f>AVERAGE($E$1:$E$100,)</f>
        <v>26.277227722772277</v>
      </c>
      <c r="N10" s="10"/>
      <c r="O10" s="10" cm="1">
        <f t="array" ref="O10">AVERAGE(_xlfn._xlws.FILTER($E$1:$E$100,$I$1:$I$100 = 0))</f>
        <v>37.630434782608695</v>
      </c>
      <c r="P10" s="10"/>
      <c r="Q10" s="11" cm="1">
        <f t="array" ref="Q10">AVERAGE(_xlfn._xlws.FILTER($E$1:$E$100,$I$1:$I$100 = 1))</f>
        <v>17.092592592592592</v>
      </c>
      <c r="R10" s="12"/>
    </row>
    <row r="11" spans="1:20" x14ac:dyDescent="0.3">
      <c r="A11">
        <v>2</v>
      </c>
      <c r="B11">
        <v>0</v>
      </c>
      <c r="C11" t="s">
        <v>3</v>
      </c>
      <c r="D11" t="s">
        <v>2</v>
      </c>
      <c r="E11">
        <v>5</v>
      </c>
      <c r="F11" t="s">
        <v>16</v>
      </c>
      <c r="G11" t="s">
        <v>17</v>
      </c>
      <c r="H11">
        <v>28</v>
      </c>
      <c r="I11">
        <v>1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3</v>
      </c>
      <c r="D12" t="s">
        <v>2</v>
      </c>
      <c r="E12">
        <v>41</v>
      </c>
      <c r="F12" t="s">
        <v>16</v>
      </c>
      <c r="G12" t="s">
        <v>17</v>
      </c>
      <c r="H12">
        <v>19</v>
      </c>
      <c r="I12">
        <v>0</v>
      </c>
      <c r="K12" s="8" t="s">
        <v>5</v>
      </c>
      <c r="L12" s="8"/>
      <c r="M12" s="10">
        <f>AVERAGE($H$1:$H$100,)</f>
        <v>27.03960396039604</v>
      </c>
      <c r="N12" s="10"/>
      <c r="O12" s="10" cm="1">
        <f t="array" ref="O12">AVERAGE(_xlfn._xlws.FILTER($H$1:$H$100,$I$1:$I$100 = 0))</f>
        <v>14.565217391304348</v>
      </c>
      <c r="P12" s="10"/>
      <c r="Q12" s="10" cm="1">
        <f t="array" ref="Q12">AVERAGE(_xlfn._xlws.FILTER($H$1:$H$100,$I$1:$I$100 = 1))</f>
        <v>38.166666666666664</v>
      </c>
      <c r="R12" s="13"/>
    </row>
    <row r="13" spans="1:20" x14ac:dyDescent="0.3">
      <c r="A13">
        <v>2</v>
      </c>
      <c r="B13">
        <v>0</v>
      </c>
      <c r="C13" t="s">
        <v>3</v>
      </c>
      <c r="D13" t="s">
        <v>2</v>
      </c>
      <c r="E13">
        <v>14</v>
      </c>
      <c r="F13" t="s">
        <v>16</v>
      </c>
      <c r="G13" t="s">
        <v>17</v>
      </c>
      <c r="H13">
        <v>3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3</v>
      </c>
      <c r="D14" t="s">
        <v>2</v>
      </c>
      <c r="E14">
        <v>19</v>
      </c>
      <c r="F14" t="s">
        <v>16</v>
      </c>
      <c r="G14" t="s">
        <v>17</v>
      </c>
      <c r="H14">
        <v>41</v>
      </c>
      <c r="I14">
        <v>1</v>
      </c>
      <c r="K14" s="19" t="s">
        <v>4</v>
      </c>
      <c r="L14" s="12"/>
      <c r="M14" s="20" cm="1">
        <f t="array" ref="M14">AVERAGE($E$1:$E$100 - $H$1:$H$100)</f>
        <v>-0.77</v>
      </c>
      <c r="N14" s="20"/>
      <c r="O14" s="20" cm="1">
        <f t="array" ref="O14">AVERAGE(_xlfn._xlws.FILTER($E$1:$E$100 - $H$1:$H$100, I$1:I$100 = 0))</f>
        <v>23.065217391304348</v>
      </c>
      <c r="P14" s="20"/>
      <c r="Q14" s="20" cm="1">
        <f t="array" ref="Q14">AVERAGE(_xlfn._xlws.FILTER($E$1:$E$100 - $H$1:$H$100, I$1:I$100 = 1))</f>
        <v>-21.074074074074073</v>
      </c>
      <c r="R14" s="22"/>
    </row>
    <row r="15" spans="1:20" x14ac:dyDescent="0.3">
      <c r="A15">
        <v>2</v>
      </c>
      <c r="B15">
        <v>0</v>
      </c>
      <c r="C15" t="s">
        <v>3</v>
      </c>
      <c r="D15" t="s">
        <v>2</v>
      </c>
      <c r="E15">
        <v>49</v>
      </c>
      <c r="F15" t="s">
        <v>16</v>
      </c>
      <c r="G15" t="s">
        <v>17</v>
      </c>
      <c r="H15">
        <v>12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3</v>
      </c>
      <c r="D16" t="s">
        <v>2</v>
      </c>
      <c r="E16">
        <v>32</v>
      </c>
      <c r="F16" t="s">
        <v>16</v>
      </c>
      <c r="G16" t="s">
        <v>17</v>
      </c>
      <c r="H16">
        <v>36</v>
      </c>
      <c r="I16">
        <v>1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3</v>
      </c>
      <c r="D17" t="s">
        <v>2</v>
      </c>
      <c r="E17">
        <v>47</v>
      </c>
      <c r="F17" t="s">
        <v>16</v>
      </c>
      <c r="G17" t="s">
        <v>17</v>
      </c>
      <c r="H17">
        <v>54</v>
      </c>
      <c r="I17">
        <v>1</v>
      </c>
    </row>
    <row r="18" spans="1:9" x14ac:dyDescent="0.3">
      <c r="A18">
        <v>2</v>
      </c>
      <c r="B18">
        <v>0</v>
      </c>
      <c r="C18" t="s">
        <v>3</v>
      </c>
      <c r="D18" t="s">
        <v>2</v>
      </c>
      <c r="E18">
        <v>23</v>
      </c>
      <c r="F18" t="s">
        <v>16</v>
      </c>
      <c r="G18" t="s">
        <v>17</v>
      </c>
      <c r="H18">
        <v>29</v>
      </c>
      <c r="I18">
        <v>1</v>
      </c>
    </row>
    <row r="19" spans="1:9" x14ac:dyDescent="0.3">
      <c r="A19">
        <v>2</v>
      </c>
      <c r="B19">
        <v>0</v>
      </c>
      <c r="C19" t="s">
        <v>3</v>
      </c>
      <c r="D19" t="s">
        <v>2</v>
      </c>
      <c r="E19">
        <v>6</v>
      </c>
      <c r="F19" t="s">
        <v>16</v>
      </c>
      <c r="G19" t="s">
        <v>17</v>
      </c>
      <c r="H19">
        <v>63</v>
      </c>
      <c r="I19">
        <v>1</v>
      </c>
    </row>
    <row r="20" spans="1:9" x14ac:dyDescent="0.3">
      <c r="A20">
        <v>2</v>
      </c>
      <c r="B20">
        <v>0</v>
      </c>
      <c r="C20" t="s">
        <v>3</v>
      </c>
      <c r="D20" t="s">
        <v>2</v>
      </c>
      <c r="E20">
        <v>58</v>
      </c>
      <c r="F20" t="s">
        <v>16</v>
      </c>
      <c r="G20" t="s">
        <v>17</v>
      </c>
      <c r="H20">
        <v>8</v>
      </c>
      <c r="I20">
        <v>0</v>
      </c>
    </row>
    <row r="21" spans="1:9" x14ac:dyDescent="0.3">
      <c r="A21">
        <v>2</v>
      </c>
      <c r="B21">
        <v>0</v>
      </c>
      <c r="C21" t="s">
        <v>3</v>
      </c>
      <c r="D21" t="s">
        <v>2</v>
      </c>
      <c r="E21">
        <v>12</v>
      </c>
      <c r="F21" t="s">
        <v>16</v>
      </c>
      <c r="G21" t="s">
        <v>17</v>
      </c>
      <c r="H21">
        <v>40</v>
      </c>
      <c r="I21">
        <v>1</v>
      </c>
    </row>
    <row r="22" spans="1:9" x14ac:dyDescent="0.3">
      <c r="A22">
        <v>2</v>
      </c>
      <c r="B22">
        <v>0</v>
      </c>
      <c r="C22" t="s">
        <v>3</v>
      </c>
      <c r="D22" t="s">
        <v>2</v>
      </c>
      <c r="E22">
        <v>13</v>
      </c>
      <c r="F22" t="s">
        <v>16</v>
      </c>
      <c r="G22" t="s">
        <v>17</v>
      </c>
      <c r="H22">
        <v>24</v>
      </c>
      <c r="I22">
        <v>1</v>
      </c>
    </row>
    <row r="23" spans="1:9" x14ac:dyDescent="0.3">
      <c r="A23">
        <v>2</v>
      </c>
      <c r="B23">
        <v>0</v>
      </c>
      <c r="C23" t="s">
        <v>3</v>
      </c>
      <c r="D23" t="s">
        <v>2</v>
      </c>
      <c r="E23">
        <v>7</v>
      </c>
      <c r="F23" t="s">
        <v>16</v>
      </c>
      <c r="G23" t="s">
        <v>17</v>
      </c>
      <c r="H23">
        <v>51</v>
      </c>
      <c r="I23">
        <v>1</v>
      </c>
    </row>
    <row r="24" spans="1:9" x14ac:dyDescent="0.3">
      <c r="A24">
        <v>2</v>
      </c>
      <c r="B24">
        <v>0</v>
      </c>
      <c r="C24" t="s">
        <v>3</v>
      </c>
      <c r="D24" t="s">
        <v>2</v>
      </c>
      <c r="E24">
        <v>44</v>
      </c>
      <c r="F24" t="s">
        <v>16</v>
      </c>
      <c r="G24" t="s">
        <v>17</v>
      </c>
      <c r="H24">
        <v>13</v>
      </c>
      <c r="I24">
        <v>0</v>
      </c>
    </row>
    <row r="25" spans="1:9" x14ac:dyDescent="0.3">
      <c r="A25">
        <v>2</v>
      </c>
      <c r="B25">
        <v>0</v>
      </c>
      <c r="C25" t="s">
        <v>3</v>
      </c>
      <c r="D25" t="s">
        <v>2</v>
      </c>
      <c r="E25">
        <v>5</v>
      </c>
      <c r="F25" t="s">
        <v>16</v>
      </c>
      <c r="G25" t="s">
        <v>17</v>
      </c>
      <c r="H25">
        <v>28</v>
      </c>
      <c r="I25">
        <v>1</v>
      </c>
    </row>
    <row r="26" spans="1:9" x14ac:dyDescent="0.3">
      <c r="A26">
        <v>2</v>
      </c>
      <c r="B26">
        <v>0</v>
      </c>
      <c r="C26" t="s">
        <v>3</v>
      </c>
      <c r="D26" t="s">
        <v>2</v>
      </c>
      <c r="E26">
        <v>20</v>
      </c>
      <c r="F26" t="s">
        <v>16</v>
      </c>
      <c r="G26" t="s">
        <v>17</v>
      </c>
      <c r="H26">
        <v>25</v>
      </c>
      <c r="I26">
        <v>1</v>
      </c>
    </row>
    <row r="27" spans="1:9" x14ac:dyDescent="0.3">
      <c r="A27">
        <v>2</v>
      </c>
      <c r="B27">
        <v>0</v>
      </c>
      <c r="C27" t="s">
        <v>3</v>
      </c>
      <c r="D27" t="s">
        <v>2</v>
      </c>
      <c r="E27">
        <v>20</v>
      </c>
      <c r="F27" t="s">
        <v>16</v>
      </c>
      <c r="G27" t="s">
        <v>17</v>
      </c>
      <c r="H27">
        <v>18</v>
      </c>
      <c r="I27">
        <v>0</v>
      </c>
    </row>
    <row r="28" spans="1:9" x14ac:dyDescent="0.3">
      <c r="A28">
        <v>2</v>
      </c>
      <c r="B28">
        <v>0</v>
      </c>
      <c r="C28" t="s">
        <v>3</v>
      </c>
      <c r="D28" t="s">
        <v>2</v>
      </c>
      <c r="E28">
        <v>24</v>
      </c>
      <c r="F28" t="s">
        <v>16</v>
      </c>
      <c r="G28" t="s">
        <v>17</v>
      </c>
      <c r="H28">
        <v>19</v>
      </c>
      <c r="I28">
        <v>0</v>
      </c>
    </row>
    <row r="29" spans="1:9" x14ac:dyDescent="0.3">
      <c r="A29">
        <v>2</v>
      </c>
      <c r="B29">
        <v>0</v>
      </c>
      <c r="C29" t="s">
        <v>3</v>
      </c>
      <c r="D29" t="s">
        <v>2</v>
      </c>
      <c r="E29">
        <v>31</v>
      </c>
      <c r="F29" t="s">
        <v>16</v>
      </c>
      <c r="G29" t="s">
        <v>17</v>
      </c>
      <c r="H29">
        <v>16</v>
      </c>
      <c r="I29">
        <v>0</v>
      </c>
    </row>
    <row r="30" spans="1:9" x14ac:dyDescent="0.3">
      <c r="A30">
        <v>2</v>
      </c>
      <c r="B30">
        <v>0</v>
      </c>
      <c r="C30" t="s">
        <v>3</v>
      </c>
      <c r="D30" t="s">
        <v>2</v>
      </c>
      <c r="E30">
        <v>37</v>
      </c>
      <c r="F30" t="s">
        <v>16</v>
      </c>
      <c r="G30" t="s">
        <v>17</v>
      </c>
      <c r="H30">
        <v>13</v>
      </c>
      <c r="I30">
        <v>0</v>
      </c>
    </row>
    <row r="31" spans="1:9" x14ac:dyDescent="0.3">
      <c r="A31">
        <v>2</v>
      </c>
      <c r="B31">
        <v>0</v>
      </c>
      <c r="C31" t="s">
        <v>3</v>
      </c>
      <c r="D31" t="s">
        <v>2</v>
      </c>
      <c r="E31">
        <v>5</v>
      </c>
      <c r="F31" t="s">
        <v>16</v>
      </c>
      <c r="G31" t="s">
        <v>17</v>
      </c>
      <c r="H31">
        <v>28</v>
      </c>
      <c r="I31">
        <v>1</v>
      </c>
    </row>
    <row r="32" spans="1:9" x14ac:dyDescent="0.3">
      <c r="A32">
        <v>2</v>
      </c>
      <c r="B32">
        <v>0</v>
      </c>
      <c r="C32" t="s">
        <v>3</v>
      </c>
      <c r="D32" t="s">
        <v>2</v>
      </c>
      <c r="E32">
        <v>15</v>
      </c>
      <c r="F32" t="s">
        <v>16</v>
      </c>
      <c r="G32" t="s">
        <v>17</v>
      </c>
      <c r="H32">
        <v>30</v>
      </c>
      <c r="I32">
        <v>1</v>
      </c>
    </row>
    <row r="33" spans="1:9" x14ac:dyDescent="0.3">
      <c r="A33">
        <v>2</v>
      </c>
      <c r="B33">
        <v>0</v>
      </c>
      <c r="C33" t="s">
        <v>3</v>
      </c>
      <c r="D33" t="s">
        <v>2</v>
      </c>
      <c r="E33">
        <v>46</v>
      </c>
      <c r="F33" t="s">
        <v>16</v>
      </c>
      <c r="G33" t="s">
        <v>17</v>
      </c>
      <c r="H33">
        <v>15</v>
      </c>
      <c r="I33">
        <v>0</v>
      </c>
    </row>
    <row r="34" spans="1:9" x14ac:dyDescent="0.3">
      <c r="A34">
        <v>2</v>
      </c>
      <c r="B34">
        <v>0</v>
      </c>
      <c r="C34" t="s">
        <v>3</v>
      </c>
      <c r="D34" t="s">
        <v>2</v>
      </c>
      <c r="E34">
        <v>45</v>
      </c>
      <c r="F34" t="s">
        <v>16</v>
      </c>
      <c r="G34" t="s">
        <v>17</v>
      </c>
      <c r="H34">
        <v>0</v>
      </c>
      <c r="I34">
        <v>0</v>
      </c>
    </row>
    <row r="35" spans="1:9" x14ac:dyDescent="0.3">
      <c r="A35">
        <v>2</v>
      </c>
      <c r="B35">
        <v>0</v>
      </c>
      <c r="C35" t="s">
        <v>3</v>
      </c>
      <c r="D35" t="s">
        <v>2</v>
      </c>
      <c r="E35">
        <v>28</v>
      </c>
      <c r="F35" t="s">
        <v>16</v>
      </c>
      <c r="G35" t="s">
        <v>17</v>
      </c>
      <c r="H35">
        <v>33</v>
      </c>
      <c r="I35">
        <v>1</v>
      </c>
    </row>
    <row r="36" spans="1:9" x14ac:dyDescent="0.3">
      <c r="A36">
        <v>2</v>
      </c>
      <c r="B36">
        <v>0</v>
      </c>
      <c r="C36" t="s">
        <v>3</v>
      </c>
      <c r="D36" t="s">
        <v>2</v>
      </c>
      <c r="E36">
        <v>43</v>
      </c>
      <c r="F36" t="s">
        <v>16</v>
      </c>
      <c r="G36" t="s">
        <v>17</v>
      </c>
      <c r="H36">
        <v>26</v>
      </c>
      <c r="I36">
        <v>0</v>
      </c>
    </row>
    <row r="37" spans="1:9" x14ac:dyDescent="0.3">
      <c r="A37">
        <v>2</v>
      </c>
      <c r="B37">
        <v>0</v>
      </c>
      <c r="C37" t="s">
        <v>3</v>
      </c>
      <c r="D37" t="s">
        <v>2</v>
      </c>
      <c r="E37">
        <v>17</v>
      </c>
      <c r="F37" t="s">
        <v>16</v>
      </c>
      <c r="G37" t="s">
        <v>17</v>
      </c>
      <c r="H37">
        <v>16</v>
      </c>
      <c r="I37">
        <v>0</v>
      </c>
    </row>
    <row r="38" spans="1:9" x14ac:dyDescent="0.3">
      <c r="A38">
        <v>2</v>
      </c>
      <c r="B38">
        <v>0</v>
      </c>
      <c r="C38" t="s">
        <v>3</v>
      </c>
      <c r="D38" t="s">
        <v>2</v>
      </c>
      <c r="E38">
        <v>20</v>
      </c>
      <c r="F38" t="s">
        <v>16</v>
      </c>
      <c r="G38" t="s">
        <v>17</v>
      </c>
      <c r="H38">
        <v>34</v>
      </c>
      <c r="I38">
        <v>1</v>
      </c>
    </row>
    <row r="39" spans="1:9" x14ac:dyDescent="0.3">
      <c r="A39">
        <v>2</v>
      </c>
      <c r="B39">
        <v>0</v>
      </c>
      <c r="C39" t="s">
        <v>3</v>
      </c>
      <c r="D39" t="s">
        <v>2</v>
      </c>
      <c r="E39">
        <v>14</v>
      </c>
      <c r="F39" t="s">
        <v>16</v>
      </c>
      <c r="G39" t="s">
        <v>17</v>
      </c>
      <c r="H39">
        <v>49</v>
      </c>
      <c r="I39">
        <v>1</v>
      </c>
    </row>
    <row r="40" spans="1:9" x14ac:dyDescent="0.3">
      <c r="A40">
        <v>2</v>
      </c>
      <c r="B40">
        <v>0</v>
      </c>
      <c r="C40" t="s">
        <v>3</v>
      </c>
      <c r="D40" t="s">
        <v>2</v>
      </c>
      <c r="E40">
        <v>0</v>
      </c>
      <c r="F40" t="s">
        <v>16</v>
      </c>
      <c r="G40" t="s">
        <v>17</v>
      </c>
      <c r="H40">
        <v>30</v>
      </c>
      <c r="I40">
        <v>1</v>
      </c>
    </row>
    <row r="41" spans="1:9" x14ac:dyDescent="0.3">
      <c r="A41">
        <v>2</v>
      </c>
      <c r="B41">
        <v>0</v>
      </c>
      <c r="C41" t="s">
        <v>3</v>
      </c>
      <c r="D41" t="s">
        <v>2</v>
      </c>
      <c r="E41">
        <v>49</v>
      </c>
      <c r="F41" t="s">
        <v>16</v>
      </c>
      <c r="G41" t="s">
        <v>17</v>
      </c>
      <c r="H41">
        <v>20</v>
      </c>
      <c r="I41">
        <v>0</v>
      </c>
    </row>
    <row r="42" spans="1:9" x14ac:dyDescent="0.3">
      <c r="A42">
        <v>2</v>
      </c>
      <c r="B42">
        <v>0</v>
      </c>
      <c r="C42" t="s">
        <v>3</v>
      </c>
      <c r="D42" t="s">
        <v>2</v>
      </c>
      <c r="E42">
        <v>54</v>
      </c>
      <c r="F42" t="s">
        <v>16</v>
      </c>
      <c r="G42" t="s">
        <v>17</v>
      </c>
      <c r="H42">
        <v>22</v>
      </c>
      <c r="I42">
        <v>0</v>
      </c>
    </row>
    <row r="43" spans="1:9" x14ac:dyDescent="0.3">
      <c r="A43">
        <v>2</v>
      </c>
      <c r="B43">
        <v>0</v>
      </c>
      <c r="C43" t="s">
        <v>3</v>
      </c>
      <c r="D43" t="s">
        <v>2</v>
      </c>
      <c r="E43">
        <v>17</v>
      </c>
      <c r="F43" t="s">
        <v>16</v>
      </c>
      <c r="G43" t="s">
        <v>17</v>
      </c>
      <c r="H43">
        <v>25</v>
      </c>
      <c r="I43">
        <v>1</v>
      </c>
    </row>
    <row r="44" spans="1:9" x14ac:dyDescent="0.3">
      <c r="A44">
        <v>2</v>
      </c>
      <c r="B44">
        <v>0</v>
      </c>
      <c r="C44" t="s">
        <v>3</v>
      </c>
      <c r="D44" t="s">
        <v>2</v>
      </c>
      <c r="E44">
        <v>9</v>
      </c>
      <c r="F44" t="s">
        <v>16</v>
      </c>
      <c r="G44" t="s">
        <v>17</v>
      </c>
      <c r="H44">
        <v>45</v>
      </c>
      <c r="I44">
        <v>1</v>
      </c>
    </row>
    <row r="45" spans="1:9" x14ac:dyDescent="0.3">
      <c r="A45">
        <v>2</v>
      </c>
      <c r="B45">
        <v>0</v>
      </c>
      <c r="C45" t="s">
        <v>3</v>
      </c>
      <c r="D45" t="s">
        <v>2</v>
      </c>
      <c r="E45">
        <v>24</v>
      </c>
      <c r="F45" t="s">
        <v>16</v>
      </c>
      <c r="G45" t="s">
        <v>17</v>
      </c>
      <c r="H45">
        <v>17</v>
      </c>
      <c r="I45">
        <v>0</v>
      </c>
    </row>
    <row r="46" spans="1:9" x14ac:dyDescent="0.3">
      <c r="A46">
        <v>2</v>
      </c>
      <c r="B46">
        <v>0</v>
      </c>
      <c r="C46" t="s">
        <v>3</v>
      </c>
      <c r="D46" t="s">
        <v>2</v>
      </c>
      <c r="E46">
        <v>23</v>
      </c>
      <c r="F46" t="s">
        <v>16</v>
      </c>
      <c r="G46" t="s">
        <v>17</v>
      </c>
      <c r="H46">
        <v>14</v>
      </c>
      <c r="I46">
        <v>0</v>
      </c>
    </row>
    <row r="47" spans="1:9" x14ac:dyDescent="0.3">
      <c r="A47">
        <v>2</v>
      </c>
      <c r="B47">
        <v>0</v>
      </c>
      <c r="C47" t="s">
        <v>3</v>
      </c>
      <c r="D47" t="s">
        <v>2</v>
      </c>
      <c r="E47">
        <v>10</v>
      </c>
      <c r="F47" t="s">
        <v>16</v>
      </c>
      <c r="G47" t="s">
        <v>17</v>
      </c>
      <c r="H47">
        <v>23</v>
      </c>
      <c r="I47">
        <v>1</v>
      </c>
    </row>
    <row r="48" spans="1:9" x14ac:dyDescent="0.3">
      <c r="A48">
        <v>2</v>
      </c>
      <c r="B48">
        <v>0</v>
      </c>
      <c r="C48" t="s">
        <v>3</v>
      </c>
      <c r="D48" t="s">
        <v>2</v>
      </c>
      <c r="E48">
        <v>21</v>
      </c>
      <c r="F48" t="s">
        <v>16</v>
      </c>
      <c r="G48" t="s">
        <v>17</v>
      </c>
      <c r="H48">
        <v>28</v>
      </c>
      <c r="I48">
        <v>1</v>
      </c>
    </row>
    <row r="49" spans="1:9" x14ac:dyDescent="0.3">
      <c r="A49">
        <v>2</v>
      </c>
      <c r="B49">
        <v>0</v>
      </c>
      <c r="C49" t="s">
        <v>3</v>
      </c>
      <c r="D49" t="s">
        <v>2</v>
      </c>
      <c r="E49">
        <v>59</v>
      </c>
      <c r="F49" t="s">
        <v>16</v>
      </c>
      <c r="G49" t="s">
        <v>17</v>
      </c>
      <c r="H49">
        <v>2</v>
      </c>
      <c r="I49">
        <v>0</v>
      </c>
    </row>
    <row r="50" spans="1:9" x14ac:dyDescent="0.3">
      <c r="A50">
        <v>2</v>
      </c>
      <c r="B50">
        <v>0</v>
      </c>
      <c r="C50" t="s">
        <v>3</v>
      </c>
      <c r="D50" t="s">
        <v>2</v>
      </c>
      <c r="E50">
        <v>23</v>
      </c>
      <c r="F50" t="s">
        <v>16</v>
      </c>
      <c r="G50" t="s">
        <v>17</v>
      </c>
      <c r="H50">
        <v>17</v>
      </c>
      <c r="I50">
        <v>0</v>
      </c>
    </row>
    <row r="51" spans="1:9" x14ac:dyDescent="0.3">
      <c r="A51">
        <v>2</v>
      </c>
      <c r="B51">
        <v>1</v>
      </c>
      <c r="C51" t="s">
        <v>3</v>
      </c>
      <c r="D51" t="s">
        <v>2</v>
      </c>
      <c r="E51">
        <v>20</v>
      </c>
      <c r="F51" t="s">
        <v>16</v>
      </c>
      <c r="G51" t="s">
        <v>17</v>
      </c>
      <c r="H51">
        <v>44</v>
      </c>
      <c r="I51">
        <v>1</v>
      </c>
    </row>
    <row r="52" spans="1:9" x14ac:dyDescent="0.3">
      <c r="A52">
        <v>2</v>
      </c>
      <c r="B52">
        <v>1</v>
      </c>
      <c r="C52" t="s">
        <v>3</v>
      </c>
      <c r="D52" t="s">
        <v>2</v>
      </c>
      <c r="E52">
        <v>30</v>
      </c>
      <c r="F52" t="s">
        <v>16</v>
      </c>
      <c r="G52" t="s">
        <v>17</v>
      </c>
      <c r="H52">
        <v>43</v>
      </c>
      <c r="I52">
        <v>1</v>
      </c>
    </row>
    <row r="53" spans="1:9" x14ac:dyDescent="0.3">
      <c r="A53">
        <v>2</v>
      </c>
      <c r="B53">
        <v>1</v>
      </c>
      <c r="C53" t="s">
        <v>3</v>
      </c>
      <c r="D53" t="s">
        <v>2</v>
      </c>
      <c r="E53">
        <v>40</v>
      </c>
      <c r="F53" t="s">
        <v>16</v>
      </c>
      <c r="G53" t="s">
        <v>17</v>
      </c>
      <c r="H53">
        <v>47</v>
      </c>
      <c r="I53">
        <v>1</v>
      </c>
    </row>
    <row r="54" spans="1:9" x14ac:dyDescent="0.3">
      <c r="A54">
        <v>2</v>
      </c>
      <c r="B54">
        <v>1</v>
      </c>
      <c r="C54" t="s">
        <v>3</v>
      </c>
      <c r="D54" t="s">
        <v>2</v>
      </c>
      <c r="E54">
        <v>5</v>
      </c>
      <c r="F54" t="s">
        <v>16</v>
      </c>
      <c r="G54" t="s">
        <v>17</v>
      </c>
      <c r="H54">
        <v>56</v>
      </c>
      <c r="I54">
        <v>1</v>
      </c>
    </row>
    <row r="55" spans="1:9" x14ac:dyDescent="0.3">
      <c r="A55">
        <v>2</v>
      </c>
      <c r="B55">
        <v>1</v>
      </c>
      <c r="C55" t="s">
        <v>3</v>
      </c>
      <c r="D55" t="s">
        <v>2</v>
      </c>
      <c r="E55">
        <v>22</v>
      </c>
      <c r="F55" t="s">
        <v>16</v>
      </c>
      <c r="G55" t="s">
        <v>17</v>
      </c>
      <c r="H55">
        <v>42</v>
      </c>
      <c r="I55">
        <v>1</v>
      </c>
    </row>
    <row r="56" spans="1:9" x14ac:dyDescent="0.3">
      <c r="A56">
        <v>2</v>
      </c>
      <c r="B56">
        <v>1</v>
      </c>
      <c r="C56" t="s">
        <v>3</v>
      </c>
      <c r="D56" t="s">
        <v>2</v>
      </c>
      <c r="E56">
        <v>17</v>
      </c>
      <c r="F56" t="s">
        <v>16</v>
      </c>
      <c r="G56" t="s">
        <v>17</v>
      </c>
      <c r="H56">
        <v>34</v>
      </c>
      <c r="I56">
        <v>1</v>
      </c>
    </row>
    <row r="57" spans="1:9" x14ac:dyDescent="0.3">
      <c r="A57">
        <v>2</v>
      </c>
      <c r="B57">
        <v>1</v>
      </c>
      <c r="C57" t="s">
        <v>3</v>
      </c>
      <c r="D57" t="s">
        <v>2</v>
      </c>
      <c r="E57">
        <v>28</v>
      </c>
      <c r="F57" t="s">
        <v>16</v>
      </c>
      <c r="G57" t="s">
        <v>17</v>
      </c>
      <c r="H57">
        <v>0</v>
      </c>
      <c r="I57">
        <v>0</v>
      </c>
    </row>
    <row r="58" spans="1:9" x14ac:dyDescent="0.3">
      <c r="A58">
        <v>2</v>
      </c>
      <c r="B58">
        <v>1</v>
      </c>
      <c r="C58" t="s">
        <v>3</v>
      </c>
      <c r="D58" t="s">
        <v>2</v>
      </c>
      <c r="E58">
        <v>34</v>
      </c>
      <c r="F58" t="s">
        <v>16</v>
      </c>
      <c r="G58" t="s">
        <v>17</v>
      </c>
      <c r="H58">
        <v>17</v>
      </c>
      <c r="I58">
        <v>0</v>
      </c>
    </row>
    <row r="59" spans="1:9" x14ac:dyDescent="0.3">
      <c r="A59">
        <v>2</v>
      </c>
      <c r="B59">
        <v>1</v>
      </c>
      <c r="C59" t="s">
        <v>3</v>
      </c>
      <c r="D59" t="s">
        <v>2</v>
      </c>
      <c r="E59">
        <v>21</v>
      </c>
      <c r="F59" t="s">
        <v>16</v>
      </c>
      <c r="G59" t="s">
        <v>17</v>
      </c>
      <c r="H59">
        <v>11</v>
      </c>
      <c r="I59">
        <v>0</v>
      </c>
    </row>
    <row r="60" spans="1:9" x14ac:dyDescent="0.3">
      <c r="A60">
        <v>2</v>
      </c>
      <c r="B60">
        <v>1</v>
      </c>
      <c r="C60" t="s">
        <v>3</v>
      </c>
      <c r="D60" t="s">
        <v>2</v>
      </c>
      <c r="E60">
        <v>17</v>
      </c>
      <c r="F60" t="s">
        <v>16</v>
      </c>
      <c r="G60" t="s">
        <v>17</v>
      </c>
      <c r="H60">
        <v>36</v>
      </c>
      <c r="I60">
        <v>1</v>
      </c>
    </row>
    <row r="61" spans="1:9" x14ac:dyDescent="0.3">
      <c r="A61">
        <v>2</v>
      </c>
      <c r="B61">
        <v>1</v>
      </c>
      <c r="C61" t="s">
        <v>3</v>
      </c>
      <c r="D61" t="s">
        <v>2</v>
      </c>
      <c r="E61">
        <v>21</v>
      </c>
      <c r="F61" t="s">
        <v>16</v>
      </c>
      <c r="G61" t="s">
        <v>17</v>
      </c>
      <c r="H61">
        <v>0</v>
      </c>
      <c r="I61">
        <v>0</v>
      </c>
    </row>
    <row r="62" spans="1:9" x14ac:dyDescent="0.3">
      <c r="A62">
        <v>2</v>
      </c>
      <c r="B62">
        <v>1</v>
      </c>
      <c r="C62" t="s">
        <v>3</v>
      </c>
      <c r="D62" t="s">
        <v>2</v>
      </c>
      <c r="E62">
        <v>29</v>
      </c>
      <c r="F62" t="s">
        <v>16</v>
      </c>
      <c r="G62" t="s">
        <v>17</v>
      </c>
      <c r="H62">
        <v>27</v>
      </c>
      <c r="I62">
        <v>0</v>
      </c>
    </row>
    <row r="63" spans="1:9" x14ac:dyDescent="0.3">
      <c r="A63">
        <v>2</v>
      </c>
      <c r="B63">
        <v>1</v>
      </c>
      <c r="C63" t="s">
        <v>3</v>
      </c>
      <c r="D63" t="s">
        <v>2</v>
      </c>
      <c r="E63">
        <v>38</v>
      </c>
      <c r="F63" t="s">
        <v>16</v>
      </c>
      <c r="G63" t="s">
        <v>17</v>
      </c>
      <c r="H63">
        <v>25</v>
      </c>
      <c r="I63">
        <v>0</v>
      </c>
    </row>
    <row r="64" spans="1:9" x14ac:dyDescent="0.3">
      <c r="A64">
        <v>2</v>
      </c>
      <c r="B64">
        <v>1</v>
      </c>
      <c r="C64" t="s">
        <v>3</v>
      </c>
      <c r="D64" t="s">
        <v>2</v>
      </c>
      <c r="E64">
        <v>30</v>
      </c>
      <c r="F64" t="s">
        <v>16</v>
      </c>
      <c r="G64" t="s">
        <v>17</v>
      </c>
      <c r="H64">
        <v>4</v>
      </c>
      <c r="I64">
        <v>0</v>
      </c>
    </row>
    <row r="65" spans="1:9" x14ac:dyDescent="0.3">
      <c r="A65">
        <v>2</v>
      </c>
      <c r="B65">
        <v>1</v>
      </c>
      <c r="C65" t="s">
        <v>3</v>
      </c>
      <c r="D65" t="s">
        <v>2</v>
      </c>
      <c r="E65">
        <v>24</v>
      </c>
      <c r="F65" t="s">
        <v>16</v>
      </c>
      <c r="G65" t="s">
        <v>17</v>
      </c>
      <c r="H65">
        <v>33</v>
      </c>
      <c r="I65">
        <v>1</v>
      </c>
    </row>
    <row r="66" spans="1:9" x14ac:dyDescent="0.3">
      <c r="A66">
        <v>2</v>
      </c>
      <c r="B66">
        <v>1</v>
      </c>
      <c r="C66" t="s">
        <v>3</v>
      </c>
      <c r="D66" t="s">
        <v>2</v>
      </c>
      <c r="E66">
        <v>0</v>
      </c>
      <c r="F66" t="s">
        <v>16</v>
      </c>
      <c r="G66" t="s">
        <v>17</v>
      </c>
      <c r="H66">
        <v>57</v>
      </c>
      <c r="I66">
        <v>1</v>
      </c>
    </row>
    <row r="67" spans="1:9" x14ac:dyDescent="0.3">
      <c r="A67">
        <v>2</v>
      </c>
      <c r="B67">
        <v>1</v>
      </c>
      <c r="C67" t="s">
        <v>3</v>
      </c>
      <c r="D67" t="s">
        <v>2</v>
      </c>
      <c r="E67">
        <v>49</v>
      </c>
      <c r="F67" t="s">
        <v>16</v>
      </c>
      <c r="G67" t="s">
        <v>17</v>
      </c>
      <c r="H67">
        <v>47</v>
      </c>
      <c r="I67">
        <v>0</v>
      </c>
    </row>
    <row r="68" spans="1:9" x14ac:dyDescent="0.3">
      <c r="A68">
        <v>2</v>
      </c>
      <c r="B68">
        <v>1</v>
      </c>
      <c r="C68" t="s">
        <v>3</v>
      </c>
      <c r="D68" t="s">
        <v>2</v>
      </c>
      <c r="E68">
        <v>21</v>
      </c>
      <c r="F68" t="s">
        <v>16</v>
      </c>
      <c r="G68" t="s">
        <v>17</v>
      </c>
      <c r="H68">
        <v>34</v>
      </c>
      <c r="I68">
        <v>1</v>
      </c>
    </row>
    <row r="69" spans="1:9" x14ac:dyDescent="0.3">
      <c r="A69">
        <v>2</v>
      </c>
      <c r="B69">
        <v>1</v>
      </c>
      <c r="C69" t="s">
        <v>3</v>
      </c>
      <c r="D69" t="s">
        <v>2</v>
      </c>
      <c r="E69">
        <v>19</v>
      </c>
      <c r="F69" t="s">
        <v>16</v>
      </c>
      <c r="G69" t="s">
        <v>17</v>
      </c>
      <c r="H69">
        <v>0</v>
      </c>
      <c r="I69">
        <v>0</v>
      </c>
    </row>
    <row r="70" spans="1:9" x14ac:dyDescent="0.3">
      <c r="A70">
        <v>2</v>
      </c>
      <c r="B70">
        <v>1</v>
      </c>
      <c r="C70" t="s">
        <v>3</v>
      </c>
      <c r="D70" t="s">
        <v>2</v>
      </c>
      <c r="E70">
        <v>48</v>
      </c>
      <c r="F70" t="s">
        <v>16</v>
      </c>
      <c r="G70" t="s">
        <v>17</v>
      </c>
      <c r="H70">
        <v>29</v>
      </c>
      <c r="I70">
        <v>0</v>
      </c>
    </row>
    <row r="71" spans="1:9" x14ac:dyDescent="0.3">
      <c r="A71">
        <v>2</v>
      </c>
      <c r="B71">
        <v>1</v>
      </c>
      <c r="C71" t="s">
        <v>3</v>
      </c>
      <c r="D71" t="s">
        <v>2</v>
      </c>
      <c r="E71">
        <v>43</v>
      </c>
      <c r="F71" t="s">
        <v>16</v>
      </c>
      <c r="G71" t="s">
        <v>17</v>
      </c>
      <c r="H71">
        <v>20</v>
      </c>
      <c r="I71">
        <v>0</v>
      </c>
    </row>
    <row r="72" spans="1:9" x14ac:dyDescent="0.3">
      <c r="A72">
        <v>2</v>
      </c>
      <c r="B72">
        <v>1</v>
      </c>
      <c r="C72" t="s">
        <v>3</v>
      </c>
      <c r="D72" t="s">
        <v>2</v>
      </c>
      <c r="E72">
        <v>4</v>
      </c>
      <c r="F72" t="s">
        <v>16</v>
      </c>
      <c r="G72" t="s">
        <v>17</v>
      </c>
      <c r="H72">
        <v>28</v>
      </c>
      <c r="I72">
        <v>1</v>
      </c>
    </row>
    <row r="73" spans="1:9" x14ac:dyDescent="0.3">
      <c r="A73">
        <v>2</v>
      </c>
      <c r="B73">
        <v>1</v>
      </c>
      <c r="C73" t="s">
        <v>3</v>
      </c>
      <c r="D73" t="s">
        <v>2</v>
      </c>
      <c r="E73">
        <v>10</v>
      </c>
      <c r="F73" t="s">
        <v>16</v>
      </c>
      <c r="G73" t="s">
        <v>17</v>
      </c>
      <c r="H73">
        <v>21</v>
      </c>
      <c r="I73">
        <v>1</v>
      </c>
    </row>
    <row r="74" spans="1:9" x14ac:dyDescent="0.3">
      <c r="A74">
        <v>2</v>
      </c>
      <c r="B74">
        <v>1</v>
      </c>
      <c r="C74" t="s">
        <v>3</v>
      </c>
      <c r="D74" t="s">
        <v>2</v>
      </c>
      <c r="E74">
        <v>12</v>
      </c>
      <c r="F74" t="s">
        <v>16</v>
      </c>
      <c r="G74" t="s">
        <v>17</v>
      </c>
      <c r="H74">
        <v>52</v>
      </c>
      <c r="I74">
        <v>1</v>
      </c>
    </row>
    <row r="75" spans="1:9" x14ac:dyDescent="0.3">
      <c r="A75">
        <v>2</v>
      </c>
      <c r="B75">
        <v>1</v>
      </c>
      <c r="C75" t="s">
        <v>3</v>
      </c>
      <c r="D75" t="s">
        <v>2</v>
      </c>
      <c r="E75">
        <v>18</v>
      </c>
      <c r="F75" t="s">
        <v>16</v>
      </c>
      <c r="G75" t="s">
        <v>17</v>
      </c>
      <c r="H75">
        <v>34</v>
      </c>
      <c r="I75">
        <v>1</v>
      </c>
    </row>
    <row r="76" spans="1:9" x14ac:dyDescent="0.3">
      <c r="A76">
        <v>2</v>
      </c>
      <c r="B76">
        <v>1</v>
      </c>
      <c r="C76" t="s">
        <v>3</v>
      </c>
      <c r="D76" t="s">
        <v>2</v>
      </c>
      <c r="E76">
        <v>24</v>
      </c>
      <c r="F76" t="s">
        <v>16</v>
      </c>
      <c r="G76" t="s">
        <v>17</v>
      </c>
      <c r="H76">
        <v>52</v>
      </c>
      <c r="I76">
        <v>1</v>
      </c>
    </row>
    <row r="77" spans="1:9" x14ac:dyDescent="0.3">
      <c r="A77">
        <v>2</v>
      </c>
      <c r="B77">
        <v>1</v>
      </c>
      <c r="C77" t="s">
        <v>3</v>
      </c>
      <c r="D77" t="s">
        <v>2</v>
      </c>
      <c r="E77">
        <v>18</v>
      </c>
      <c r="F77" t="s">
        <v>16</v>
      </c>
      <c r="G77" t="s">
        <v>17</v>
      </c>
      <c r="H77">
        <v>2</v>
      </c>
      <c r="I77">
        <v>0</v>
      </c>
    </row>
    <row r="78" spans="1:9" x14ac:dyDescent="0.3">
      <c r="A78">
        <v>2</v>
      </c>
      <c r="B78">
        <v>1</v>
      </c>
      <c r="C78" t="s">
        <v>3</v>
      </c>
      <c r="D78" t="s">
        <v>2</v>
      </c>
      <c r="E78">
        <v>0</v>
      </c>
      <c r="F78" t="s">
        <v>16</v>
      </c>
      <c r="G78" t="s">
        <v>17</v>
      </c>
      <c r="H78">
        <v>40</v>
      </c>
      <c r="I78">
        <v>1</v>
      </c>
    </row>
    <row r="79" spans="1:9" x14ac:dyDescent="0.3">
      <c r="A79">
        <v>2</v>
      </c>
      <c r="B79">
        <v>1</v>
      </c>
      <c r="C79" t="s">
        <v>3</v>
      </c>
      <c r="D79" t="s">
        <v>2</v>
      </c>
      <c r="E79">
        <v>1</v>
      </c>
      <c r="F79" t="s">
        <v>16</v>
      </c>
      <c r="G79" t="s">
        <v>17</v>
      </c>
      <c r="H79">
        <v>44</v>
      </c>
      <c r="I79">
        <v>1</v>
      </c>
    </row>
    <row r="80" spans="1:9" x14ac:dyDescent="0.3">
      <c r="A80">
        <v>2</v>
      </c>
      <c r="B80">
        <v>1</v>
      </c>
      <c r="C80" t="s">
        <v>3</v>
      </c>
      <c r="D80" t="s">
        <v>2</v>
      </c>
      <c r="E80">
        <v>11</v>
      </c>
      <c r="F80" t="s">
        <v>16</v>
      </c>
      <c r="G80" t="s">
        <v>17</v>
      </c>
      <c r="H80">
        <v>24</v>
      </c>
      <c r="I80">
        <v>1</v>
      </c>
    </row>
    <row r="81" spans="1:9" x14ac:dyDescent="0.3">
      <c r="A81">
        <v>2</v>
      </c>
      <c r="B81">
        <v>1</v>
      </c>
      <c r="C81" t="s">
        <v>3</v>
      </c>
      <c r="D81" t="s">
        <v>2</v>
      </c>
      <c r="E81">
        <v>44</v>
      </c>
      <c r="F81" t="s">
        <v>16</v>
      </c>
      <c r="G81" t="s">
        <v>17</v>
      </c>
      <c r="H81">
        <v>28</v>
      </c>
      <c r="I81">
        <v>0</v>
      </c>
    </row>
    <row r="82" spans="1:9" x14ac:dyDescent="0.3">
      <c r="A82">
        <v>2</v>
      </c>
      <c r="B82">
        <v>1</v>
      </c>
      <c r="C82" t="s">
        <v>3</v>
      </c>
      <c r="D82" t="s">
        <v>2</v>
      </c>
      <c r="E82">
        <v>20</v>
      </c>
      <c r="F82" t="s">
        <v>16</v>
      </c>
      <c r="G82" t="s">
        <v>17</v>
      </c>
      <c r="H82">
        <v>60</v>
      </c>
      <c r="I82">
        <v>1</v>
      </c>
    </row>
    <row r="83" spans="1:9" x14ac:dyDescent="0.3">
      <c r="A83">
        <v>2</v>
      </c>
      <c r="B83">
        <v>1</v>
      </c>
      <c r="C83" t="s">
        <v>3</v>
      </c>
      <c r="D83" t="s">
        <v>2</v>
      </c>
      <c r="E83">
        <v>15</v>
      </c>
      <c r="F83" t="s">
        <v>16</v>
      </c>
      <c r="G83" t="s">
        <v>17</v>
      </c>
      <c r="H83">
        <v>38</v>
      </c>
      <c r="I83">
        <v>1</v>
      </c>
    </row>
    <row r="84" spans="1:9" x14ac:dyDescent="0.3">
      <c r="A84">
        <v>2</v>
      </c>
      <c r="B84">
        <v>1</v>
      </c>
      <c r="C84" t="s">
        <v>3</v>
      </c>
      <c r="D84" t="s">
        <v>2</v>
      </c>
      <c r="E84">
        <v>26</v>
      </c>
      <c r="F84" t="s">
        <v>16</v>
      </c>
      <c r="G84" t="s">
        <v>17</v>
      </c>
      <c r="H84">
        <v>7</v>
      </c>
      <c r="I84">
        <v>0</v>
      </c>
    </row>
    <row r="85" spans="1:9" x14ac:dyDescent="0.3">
      <c r="A85">
        <v>2</v>
      </c>
      <c r="B85">
        <v>1</v>
      </c>
      <c r="C85" t="s">
        <v>3</v>
      </c>
      <c r="D85" t="s">
        <v>2</v>
      </c>
      <c r="E85">
        <v>15</v>
      </c>
      <c r="F85" t="s">
        <v>16</v>
      </c>
      <c r="G85" t="s">
        <v>17</v>
      </c>
      <c r="H85">
        <v>43</v>
      </c>
      <c r="I85">
        <v>1</v>
      </c>
    </row>
    <row r="86" spans="1:9" x14ac:dyDescent="0.3">
      <c r="A86">
        <v>2</v>
      </c>
      <c r="B86">
        <v>1</v>
      </c>
      <c r="C86" t="s">
        <v>3</v>
      </c>
      <c r="D86" t="s">
        <v>2</v>
      </c>
      <c r="E86">
        <v>18</v>
      </c>
      <c r="F86" t="s">
        <v>16</v>
      </c>
      <c r="G86" t="s">
        <v>17</v>
      </c>
      <c r="H86">
        <v>45</v>
      </c>
      <c r="I86">
        <v>1</v>
      </c>
    </row>
    <row r="87" spans="1:9" x14ac:dyDescent="0.3">
      <c r="A87">
        <v>2</v>
      </c>
      <c r="B87">
        <v>1</v>
      </c>
      <c r="C87" t="s">
        <v>3</v>
      </c>
      <c r="D87" t="s">
        <v>2</v>
      </c>
      <c r="E87">
        <v>34</v>
      </c>
      <c r="F87" t="s">
        <v>16</v>
      </c>
      <c r="G87" t="s">
        <v>17</v>
      </c>
      <c r="H87">
        <v>23</v>
      </c>
      <c r="I87">
        <v>0</v>
      </c>
    </row>
    <row r="88" spans="1:9" x14ac:dyDescent="0.3">
      <c r="A88">
        <v>2</v>
      </c>
      <c r="B88">
        <v>1</v>
      </c>
      <c r="C88" t="s">
        <v>3</v>
      </c>
      <c r="D88" t="s">
        <v>2</v>
      </c>
      <c r="E88">
        <v>38</v>
      </c>
      <c r="F88" t="s">
        <v>16</v>
      </c>
      <c r="G88" t="s">
        <v>17</v>
      </c>
      <c r="H88">
        <v>19</v>
      </c>
      <c r="I88">
        <v>0</v>
      </c>
    </row>
    <row r="89" spans="1:9" x14ac:dyDescent="0.3">
      <c r="A89">
        <v>2</v>
      </c>
      <c r="B89">
        <v>1</v>
      </c>
      <c r="C89" t="s">
        <v>3</v>
      </c>
      <c r="D89" t="s">
        <v>2</v>
      </c>
      <c r="E89">
        <v>29</v>
      </c>
      <c r="F89" t="s">
        <v>16</v>
      </c>
      <c r="G89" t="s">
        <v>17</v>
      </c>
      <c r="H89">
        <v>32</v>
      </c>
      <c r="I89">
        <v>1</v>
      </c>
    </row>
    <row r="90" spans="1:9" x14ac:dyDescent="0.3">
      <c r="A90">
        <v>2</v>
      </c>
      <c r="B90">
        <v>1</v>
      </c>
      <c r="C90" t="s">
        <v>3</v>
      </c>
      <c r="D90" t="s">
        <v>2</v>
      </c>
      <c r="E90">
        <v>35</v>
      </c>
      <c r="F90" t="s">
        <v>16</v>
      </c>
      <c r="G90" t="s">
        <v>17</v>
      </c>
      <c r="H90">
        <v>0</v>
      </c>
      <c r="I90">
        <v>0</v>
      </c>
    </row>
    <row r="91" spans="1:9" x14ac:dyDescent="0.3">
      <c r="A91">
        <v>2</v>
      </c>
      <c r="B91">
        <v>1</v>
      </c>
      <c r="C91" t="s">
        <v>3</v>
      </c>
      <c r="D91" t="s">
        <v>2</v>
      </c>
      <c r="E91">
        <v>33</v>
      </c>
      <c r="F91" t="s">
        <v>16</v>
      </c>
      <c r="G91" t="s">
        <v>17</v>
      </c>
      <c r="H91">
        <v>55</v>
      </c>
      <c r="I91">
        <v>1</v>
      </c>
    </row>
    <row r="92" spans="1:9" x14ac:dyDescent="0.3">
      <c r="A92">
        <v>2</v>
      </c>
      <c r="B92">
        <v>1</v>
      </c>
      <c r="C92" t="s">
        <v>3</v>
      </c>
      <c r="D92" t="s">
        <v>2</v>
      </c>
      <c r="E92">
        <v>52</v>
      </c>
      <c r="F92" t="s">
        <v>16</v>
      </c>
      <c r="G92" t="s">
        <v>17</v>
      </c>
      <c r="H92">
        <v>12</v>
      </c>
      <c r="I92">
        <v>0</v>
      </c>
    </row>
    <row r="93" spans="1:9" x14ac:dyDescent="0.3">
      <c r="A93">
        <v>2</v>
      </c>
      <c r="B93">
        <v>1</v>
      </c>
      <c r="C93" t="s">
        <v>3</v>
      </c>
      <c r="D93" t="s">
        <v>2</v>
      </c>
      <c r="E93">
        <v>53</v>
      </c>
      <c r="F93" t="s">
        <v>16</v>
      </c>
      <c r="G93" t="s">
        <v>17</v>
      </c>
      <c r="H93">
        <v>28</v>
      </c>
      <c r="I93">
        <v>0</v>
      </c>
    </row>
    <row r="94" spans="1:9" x14ac:dyDescent="0.3">
      <c r="A94">
        <v>2</v>
      </c>
      <c r="B94">
        <v>1</v>
      </c>
      <c r="C94" t="s">
        <v>3</v>
      </c>
      <c r="D94" t="s">
        <v>2</v>
      </c>
      <c r="E94">
        <v>45</v>
      </c>
      <c r="F94" t="s">
        <v>16</v>
      </c>
      <c r="G94" t="s">
        <v>17</v>
      </c>
      <c r="H94">
        <v>7</v>
      </c>
      <c r="I94">
        <v>0</v>
      </c>
    </row>
    <row r="95" spans="1:9" x14ac:dyDescent="0.3">
      <c r="A95">
        <v>2</v>
      </c>
      <c r="B95">
        <v>1</v>
      </c>
      <c r="C95" t="s">
        <v>3</v>
      </c>
      <c r="D95" t="s">
        <v>2</v>
      </c>
      <c r="E95">
        <v>26</v>
      </c>
      <c r="F95" t="s">
        <v>16</v>
      </c>
      <c r="G95" t="s">
        <v>17</v>
      </c>
      <c r="H95">
        <v>32</v>
      </c>
      <c r="I95">
        <v>1</v>
      </c>
    </row>
    <row r="96" spans="1:9" x14ac:dyDescent="0.3">
      <c r="A96">
        <v>2</v>
      </c>
      <c r="B96">
        <v>1</v>
      </c>
      <c r="C96" t="s">
        <v>3</v>
      </c>
      <c r="D96" t="s">
        <v>2</v>
      </c>
      <c r="E96">
        <v>33</v>
      </c>
      <c r="F96" t="s">
        <v>16</v>
      </c>
      <c r="G96" t="s">
        <v>17</v>
      </c>
      <c r="H96">
        <v>59</v>
      </c>
      <c r="I96">
        <v>1</v>
      </c>
    </row>
    <row r="97" spans="1:9" x14ac:dyDescent="0.3">
      <c r="A97">
        <v>2</v>
      </c>
      <c r="B97">
        <v>1</v>
      </c>
      <c r="C97" t="s">
        <v>3</v>
      </c>
      <c r="D97" t="s">
        <v>2</v>
      </c>
      <c r="E97">
        <v>10</v>
      </c>
      <c r="F97" t="s">
        <v>16</v>
      </c>
      <c r="G97" t="s">
        <v>17</v>
      </c>
      <c r="H97">
        <v>31</v>
      </c>
      <c r="I97">
        <v>1</v>
      </c>
    </row>
    <row r="98" spans="1:9" x14ac:dyDescent="0.3">
      <c r="A98">
        <v>2</v>
      </c>
      <c r="B98">
        <v>1</v>
      </c>
      <c r="C98" t="s">
        <v>3</v>
      </c>
      <c r="D98" t="s">
        <v>2</v>
      </c>
      <c r="E98">
        <v>32</v>
      </c>
      <c r="F98" t="s">
        <v>16</v>
      </c>
      <c r="G98" t="s">
        <v>17</v>
      </c>
      <c r="H98">
        <v>37</v>
      </c>
      <c r="I98">
        <v>1</v>
      </c>
    </row>
    <row r="99" spans="1:9" x14ac:dyDescent="0.3">
      <c r="A99">
        <v>2</v>
      </c>
      <c r="B99">
        <v>1</v>
      </c>
      <c r="C99" t="s">
        <v>3</v>
      </c>
      <c r="D99" t="s">
        <v>2</v>
      </c>
      <c r="E99">
        <v>64</v>
      </c>
      <c r="F99" t="s">
        <v>16</v>
      </c>
      <c r="G99" t="s">
        <v>17</v>
      </c>
      <c r="H99">
        <v>4</v>
      </c>
      <c r="I99">
        <v>0</v>
      </c>
    </row>
    <row r="100" spans="1:9" x14ac:dyDescent="0.3">
      <c r="A100">
        <v>2</v>
      </c>
      <c r="B100">
        <v>1</v>
      </c>
      <c r="C100" t="s">
        <v>3</v>
      </c>
      <c r="D100" t="s">
        <v>2</v>
      </c>
      <c r="E100">
        <v>69</v>
      </c>
      <c r="F100" t="s">
        <v>16</v>
      </c>
      <c r="G100" t="s">
        <v>17</v>
      </c>
      <c r="H100">
        <v>30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DFB20-828A-46DC-8FC5-D56E0C8262A9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3</v>
      </c>
      <c r="D1" t="s">
        <v>2</v>
      </c>
      <c r="E1">
        <v>23</v>
      </c>
      <c r="F1" t="s">
        <v>19</v>
      </c>
      <c r="G1" t="s">
        <v>18</v>
      </c>
      <c r="H1">
        <v>52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3</v>
      </c>
      <c r="D2" t="s">
        <v>2</v>
      </c>
      <c r="E2">
        <v>33</v>
      </c>
      <c r="F2" t="s">
        <v>19</v>
      </c>
      <c r="G2" t="s">
        <v>18</v>
      </c>
      <c r="H2">
        <v>45</v>
      </c>
      <c r="I2">
        <v>1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3</v>
      </c>
      <c r="D3" t="s">
        <v>2</v>
      </c>
      <c r="E3">
        <v>41</v>
      </c>
      <c r="F3" t="s">
        <v>19</v>
      </c>
      <c r="G3" t="s">
        <v>18</v>
      </c>
      <c r="H3">
        <v>53</v>
      </c>
      <c r="I3">
        <v>1</v>
      </c>
      <c r="K3" s="8" t="s">
        <v>11</v>
      </c>
      <c r="L3" s="8"/>
      <c r="M3" s="10">
        <f>COUNTIF($I$1:$I$100, 0)</f>
        <v>9</v>
      </c>
      <c r="N3" s="10"/>
      <c r="O3" s="10">
        <f>COUNTIFS($I$1:$I$100, 0, $B$1:$B$100, 0)</f>
        <v>4</v>
      </c>
      <c r="P3" s="10"/>
      <c r="Q3" s="11">
        <f>COUNTIFS($I$1:$I$100, 0, $B$1:$B$100, 1)</f>
        <v>5</v>
      </c>
      <c r="R3" s="12"/>
      <c r="T3" cm="1">
        <f t="array" ref="T3">SUMPRODUCT(--($E$1:$E$100=$H$1:$H$100))</f>
        <v>0</v>
      </c>
    </row>
    <row r="4" spans="1:20" x14ac:dyDescent="0.3">
      <c r="A4">
        <v>2</v>
      </c>
      <c r="B4">
        <v>0</v>
      </c>
      <c r="C4" t="s">
        <v>3</v>
      </c>
      <c r="D4" t="s">
        <v>2</v>
      </c>
      <c r="E4">
        <v>47</v>
      </c>
      <c r="F4" t="s">
        <v>19</v>
      </c>
      <c r="G4" t="s">
        <v>18</v>
      </c>
      <c r="H4">
        <v>59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3</v>
      </c>
      <c r="D5" t="s">
        <v>2</v>
      </c>
      <c r="E5">
        <v>28</v>
      </c>
      <c r="F5" t="s">
        <v>19</v>
      </c>
      <c r="G5" t="s">
        <v>18</v>
      </c>
      <c r="H5">
        <v>55</v>
      </c>
      <c r="I5">
        <v>1</v>
      </c>
      <c r="K5" s="8" t="s">
        <v>10</v>
      </c>
      <c r="L5" s="8"/>
      <c r="M5" s="14">
        <f>COUNTIF($I$1:$I$100, 1)</f>
        <v>91</v>
      </c>
      <c r="N5" s="10"/>
      <c r="O5" s="10">
        <f>COUNTIFS($I$1:$I$100, 1, $B$1:$B$100, 0)</f>
        <v>46</v>
      </c>
      <c r="P5" s="10"/>
      <c r="Q5" s="10">
        <f>COUNTIFS($I$1:$I$100, 1, $B$1:$B$100, 1)</f>
        <v>45</v>
      </c>
      <c r="R5" s="13"/>
    </row>
    <row r="6" spans="1:20" x14ac:dyDescent="0.3">
      <c r="A6">
        <v>2</v>
      </c>
      <c r="B6">
        <v>0</v>
      </c>
      <c r="C6" t="s">
        <v>3</v>
      </c>
      <c r="D6" t="s">
        <v>2</v>
      </c>
      <c r="E6">
        <v>38</v>
      </c>
      <c r="F6" t="s">
        <v>19</v>
      </c>
      <c r="G6" t="s">
        <v>18</v>
      </c>
      <c r="H6">
        <v>52</v>
      </c>
      <c r="I6">
        <v>1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3</v>
      </c>
      <c r="D7" t="s">
        <v>2</v>
      </c>
      <c r="E7">
        <v>29</v>
      </c>
      <c r="F7" t="s">
        <v>19</v>
      </c>
      <c r="G7" t="s">
        <v>18</v>
      </c>
      <c r="H7">
        <v>51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3</v>
      </c>
      <c r="D8" t="s">
        <v>2</v>
      </c>
      <c r="E8">
        <v>41</v>
      </c>
      <c r="F8" t="s">
        <v>19</v>
      </c>
      <c r="G8" t="s">
        <v>18</v>
      </c>
      <c r="H8">
        <v>55</v>
      </c>
      <c r="I8">
        <v>1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3</v>
      </c>
      <c r="D9" t="s">
        <v>2</v>
      </c>
      <c r="E9">
        <v>26</v>
      </c>
      <c r="F9" t="s">
        <v>19</v>
      </c>
      <c r="G9" t="s">
        <v>18</v>
      </c>
      <c r="H9">
        <v>39</v>
      </c>
      <c r="I9">
        <v>1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3</v>
      </c>
      <c r="D10" t="s">
        <v>2</v>
      </c>
      <c r="E10">
        <v>25</v>
      </c>
      <c r="F10" t="s">
        <v>19</v>
      </c>
      <c r="G10" t="s">
        <v>18</v>
      </c>
      <c r="H10">
        <v>60</v>
      </c>
      <c r="I10">
        <v>1</v>
      </c>
      <c r="K10" s="8" t="s">
        <v>6</v>
      </c>
      <c r="L10" s="8"/>
      <c r="M10" s="10">
        <f>AVERAGE($E$1:$E$100,)</f>
        <v>29.247524752475247</v>
      </c>
      <c r="N10" s="10"/>
      <c r="O10" s="10" cm="1">
        <f t="array" ref="O10">AVERAGE(_xlfn._xlws.FILTER($E$1:$E$100,$I$1:$I$100 = 0))</f>
        <v>55.666666666666664</v>
      </c>
      <c r="P10" s="10"/>
      <c r="Q10" s="11" cm="1">
        <f t="array" ref="Q10">AVERAGE(_xlfn._xlws.FILTER($E$1:$E$100,$I$1:$I$100 = 1))</f>
        <v>26.956043956043956</v>
      </c>
      <c r="R10" s="12"/>
    </row>
    <row r="11" spans="1:20" x14ac:dyDescent="0.3">
      <c r="A11">
        <v>2</v>
      </c>
      <c r="B11">
        <v>0</v>
      </c>
      <c r="C11" t="s">
        <v>3</v>
      </c>
      <c r="D11" t="s">
        <v>2</v>
      </c>
      <c r="E11">
        <v>18</v>
      </c>
      <c r="F11" t="s">
        <v>19</v>
      </c>
      <c r="G11" t="s">
        <v>18</v>
      </c>
      <c r="H11">
        <v>47</v>
      </c>
      <c r="I11">
        <v>1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3</v>
      </c>
      <c r="D12" t="s">
        <v>2</v>
      </c>
      <c r="E12">
        <v>32</v>
      </c>
      <c r="F12" t="s">
        <v>19</v>
      </c>
      <c r="G12" t="s">
        <v>18</v>
      </c>
      <c r="H12">
        <v>52</v>
      </c>
      <c r="I12">
        <v>1</v>
      </c>
      <c r="K12" s="8" t="s">
        <v>5</v>
      </c>
      <c r="L12" s="8"/>
      <c r="M12" s="10">
        <f>AVERAGE($H$1:$H$100,)</f>
        <v>51.158415841584159</v>
      </c>
      <c r="N12" s="10"/>
      <c r="O12" s="10" cm="1">
        <f t="array" ref="O12">AVERAGE(_xlfn._xlws.FILTER($H$1:$H$100,$I$1:$I$100 = 0))</f>
        <v>44.222222222222221</v>
      </c>
      <c r="P12" s="10"/>
      <c r="Q12" s="10" cm="1">
        <f t="array" ref="Q12">AVERAGE(_xlfn._xlws.FILTER($H$1:$H$100,$I$1:$I$100 = 1))</f>
        <v>52.406593406593409</v>
      </c>
      <c r="R12" s="13"/>
    </row>
    <row r="13" spans="1:20" x14ac:dyDescent="0.3">
      <c r="A13">
        <v>2</v>
      </c>
      <c r="B13">
        <v>0</v>
      </c>
      <c r="C13" t="s">
        <v>3</v>
      </c>
      <c r="D13" t="s">
        <v>2</v>
      </c>
      <c r="E13">
        <v>35</v>
      </c>
      <c r="F13" t="s">
        <v>19</v>
      </c>
      <c r="G13" t="s">
        <v>18</v>
      </c>
      <c r="H13">
        <v>61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3</v>
      </c>
      <c r="D14" t="s">
        <v>2</v>
      </c>
      <c r="E14">
        <v>7</v>
      </c>
      <c r="F14" t="s">
        <v>19</v>
      </c>
      <c r="G14" t="s">
        <v>18</v>
      </c>
      <c r="H14">
        <v>29</v>
      </c>
      <c r="I14">
        <v>1</v>
      </c>
      <c r="K14" s="19" t="s">
        <v>4</v>
      </c>
      <c r="L14" s="12"/>
      <c r="M14" s="20" cm="1">
        <f t="array" ref="M14">AVERAGE($E$1:$E$100 - $H$1:$H$100)</f>
        <v>-22.13</v>
      </c>
      <c r="N14" s="20"/>
      <c r="O14" s="20" cm="1">
        <f t="array" ref="O14">AVERAGE(_xlfn._xlws.FILTER($E$1:$E$100 - $H$1:$H$100, I$1:I$100 = 0))</f>
        <v>11.444444444444445</v>
      </c>
      <c r="P14" s="20"/>
      <c r="Q14" s="20" cm="1">
        <f t="array" ref="Q14">AVERAGE(_xlfn._xlws.FILTER($E$1:$E$100 - $H$1:$H$100, I$1:I$100 = 1))</f>
        <v>-25.450549450549449</v>
      </c>
      <c r="R14" s="22"/>
    </row>
    <row r="15" spans="1:20" x14ac:dyDescent="0.3">
      <c r="A15">
        <v>2</v>
      </c>
      <c r="B15">
        <v>0</v>
      </c>
      <c r="C15" t="s">
        <v>3</v>
      </c>
      <c r="D15" t="s">
        <v>2</v>
      </c>
      <c r="E15">
        <v>29</v>
      </c>
      <c r="F15" t="s">
        <v>19</v>
      </c>
      <c r="G15" t="s">
        <v>18</v>
      </c>
      <c r="H15">
        <v>52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3</v>
      </c>
      <c r="D16" t="s">
        <v>2</v>
      </c>
      <c r="E16">
        <v>37</v>
      </c>
      <c r="F16" t="s">
        <v>19</v>
      </c>
      <c r="G16" t="s">
        <v>18</v>
      </c>
      <c r="H16">
        <v>35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3</v>
      </c>
      <c r="D17" t="s">
        <v>2</v>
      </c>
      <c r="E17">
        <v>19</v>
      </c>
      <c r="F17" t="s">
        <v>19</v>
      </c>
      <c r="G17" t="s">
        <v>18</v>
      </c>
      <c r="H17">
        <v>35</v>
      </c>
      <c r="I17">
        <v>1</v>
      </c>
    </row>
    <row r="18" spans="1:9" x14ac:dyDescent="0.3">
      <c r="A18">
        <v>2</v>
      </c>
      <c r="B18">
        <v>0</v>
      </c>
      <c r="C18" t="s">
        <v>3</v>
      </c>
      <c r="D18" t="s">
        <v>2</v>
      </c>
      <c r="E18">
        <v>39</v>
      </c>
      <c r="F18" t="s">
        <v>19</v>
      </c>
      <c r="G18" t="s">
        <v>18</v>
      </c>
      <c r="H18">
        <v>31</v>
      </c>
      <c r="I18">
        <v>0</v>
      </c>
    </row>
    <row r="19" spans="1:9" x14ac:dyDescent="0.3">
      <c r="A19">
        <v>2</v>
      </c>
      <c r="B19">
        <v>0</v>
      </c>
      <c r="C19" t="s">
        <v>3</v>
      </c>
      <c r="D19" t="s">
        <v>2</v>
      </c>
      <c r="E19">
        <v>40</v>
      </c>
      <c r="F19" t="s">
        <v>19</v>
      </c>
      <c r="G19" t="s">
        <v>18</v>
      </c>
      <c r="H19">
        <v>58</v>
      </c>
      <c r="I19">
        <v>1</v>
      </c>
    </row>
    <row r="20" spans="1:9" x14ac:dyDescent="0.3">
      <c r="A20">
        <v>2</v>
      </c>
      <c r="B20">
        <v>0</v>
      </c>
      <c r="C20" t="s">
        <v>3</v>
      </c>
      <c r="D20" t="s">
        <v>2</v>
      </c>
      <c r="E20">
        <v>45</v>
      </c>
      <c r="F20" t="s">
        <v>19</v>
      </c>
      <c r="G20" t="s">
        <v>18</v>
      </c>
      <c r="H20">
        <v>82</v>
      </c>
      <c r="I20">
        <v>1</v>
      </c>
    </row>
    <row r="21" spans="1:9" x14ac:dyDescent="0.3">
      <c r="A21">
        <v>2</v>
      </c>
      <c r="B21">
        <v>0</v>
      </c>
      <c r="C21" t="s">
        <v>3</v>
      </c>
      <c r="D21" t="s">
        <v>2</v>
      </c>
      <c r="E21">
        <v>23</v>
      </c>
      <c r="F21" t="s">
        <v>19</v>
      </c>
      <c r="G21" t="s">
        <v>18</v>
      </c>
      <c r="H21">
        <v>54</v>
      </c>
      <c r="I21">
        <v>1</v>
      </c>
    </row>
    <row r="22" spans="1:9" x14ac:dyDescent="0.3">
      <c r="A22">
        <v>2</v>
      </c>
      <c r="B22">
        <v>0</v>
      </c>
      <c r="C22" t="s">
        <v>3</v>
      </c>
      <c r="D22" t="s">
        <v>2</v>
      </c>
      <c r="E22">
        <v>64</v>
      </c>
      <c r="F22" t="s">
        <v>19</v>
      </c>
      <c r="G22" t="s">
        <v>18</v>
      </c>
      <c r="H22">
        <v>56</v>
      </c>
      <c r="I22">
        <v>0</v>
      </c>
    </row>
    <row r="23" spans="1:9" x14ac:dyDescent="0.3">
      <c r="A23">
        <v>2</v>
      </c>
      <c r="B23">
        <v>0</v>
      </c>
      <c r="C23" t="s">
        <v>3</v>
      </c>
      <c r="D23" t="s">
        <v>2</v>
      </c>
      <c r="E23">
        <v>19</v>
      </c>
      <c r="F23" t="s">
        <v>19</v>
      </c>
      <c r="G23" t="s">
        <v>18</v>
      </c>
      <c r="H23">
        <v>36</v>
      </c>
      <c r="I23">
        <v>1</v>
      </c>
    </row>
    <row r="24" spans="1:9" x14ac:dyDescent="0.3">
      <c r="A24">
        <v>2</v>
      </c>
      <c r="B24">
        <v>0</v>
      </c>
      <c r="C24" t="s">
        <v>3</v>
      </c>
      <c r="D24" t="s">
        <v>2</v>
      </c>
      <c r="E24">
        <v>33</v>
      </c>
      <c r="F24" t="s">
        <v>19</v>
      </c>
      <c r="G24" t="s">
        <v>18</v>
      </c>
      <c r="H24">
        <v>73</v>
      </c>
      <c r="I24">
        <v>1</v>
      </c>
    </row>
    <row r="25" spans="1:9" x14ac:dyDescent="0.3">
      <c r="A25">
        <v>2</v>
      </c>
      <c r="B25">
        <v>0</v>
      </c>
      <c r="C25" t="s">
        <v>3</v>
      </c>
      <c r="D25" t="s">
        <v>2</v>
      </c>
      <c r="E25">
        <v>16</v>
      </c>
      <c r="F25" t="s">
        <v>19</v>
      </c>
      <c r="G25" t="s">
        <v>18</v>
      </c>
      <c r="H25">
        <v>34</v>
      </c>
      <c r="I25">
        <v>1</v>
      </c>
    </row>
    <row r="26" spans="1:9" x14ac:dyDescent="0.3">
      <c r="A26">
        <v>2</v>
      </c>
      <c r="B26">
        <v>0</v>
      </c>
      <c r="C26" t="s">
        <v>3</v>
      </c>
      <c r="D26" t="s">
        <v>2</v>
      </c>
      <c r="E26">
        <v>25</v>
      </c>
      <c r="F26" t="s">
        <v>19</v>
      </c>
      <c r="G26" t="s">
        <v>18</v>
      </c>
      <c r="H26">
        <v>46</v>
      </c>
      <c r="I26">
        <v>1</v>
      </c>
    </row>
    <row r="27" spans="1:9" x14ac:dyDescent="0.3">
      <c r="A27">
        <v>2</v>
      </c>
      <c r="B27">
        <v>0</v>
      </c>
      <c r="C27" t="s">
        <v>3</v>
      </c>
      <c r="D27" t="s">
        <v>2</v>
      </c>
      <c r="E27">
        <v>27</v>
      </c>
      <c r="F27" t="s">
        <v>19</v>
      </c>
      <c r="G27" t="s">
        <v>18</v>
      </c>
      <c r="H27">
        <v>53</v>
      </c>
      <c r="I27">
        <v>1</v>
      </c>
    </row>
    <row r="28" spans="1:9" x14ac:dyDescent="0.3">
      <c r="A28">
        <v>2</v>
      </c>
      <c r="B28">
        <v>0</v>
      </c>
      <c r="C28" t="s">
        <v>3</v>
      </c>
      <c r="D28" t="s">
        <v>2</v>
      </c>
      <c r="E28">
        <v>47</v>
      </c>
      <c r="F28" t="s">
        <v>19</v>
      </c>
      <c r="G28" t="s">
        <v>18</v>
      </c>
      <c r="H28">
        <v>49</v>
      </c>
      <c r="I28">
        <v>1</v>
      </c>
    </row>
    <row r="29" spans="1:9" x14ac:dyDescent="0.3">
      <c r="A29">
        <v>2</v>
      </c>
      <c r="B29">
        <v>0</v>
      </c>
      <c r="C29" t="s">
        <v>3</v>
      </c>
      <c r="D29" t="s">
        <v>2</v>
      </c>
      <c r="E29">
        <v>43</v>
      </c>
      <c r="F29" t="s">
        <v>19</v>
      </c>
      <c r="G29" t="s">
        <v>18</v>
      </c>
      <c r="H29">
        <v>56</v>
      </c>
      <c r="I29">
        <v>1</v>
      </c>
    </row>
    <row r="30" spans="1:9" x14ac:dyDescent="0.3">
      <c r="A30">
        <v>2</v>
      </c>
      <c r="B30">
        <v>0</v>
      </c>
      <c r="C30" t="s">
        <v>3</v>
      </c>
      <c r="D30" t="s">
        <v>2</v>
      </c>
      <c r="E30">
        <v>40</v>
      </c>
      <c r="F30" t="s">
        <v>19</v>
      </c>
      <c r="G30" t="s">
        <v>18</v>
      </c>
      <c r="H30">
        <v>54</v>
      </c>
      <c r="I30">
        <v>1</v>
      </c>
    </row>
    <row r="31" spans="1:9" x14ac:dyDescent="0.3">
      <c r="A31">
        <v>2</v>
      </c>
      <c r="B31">
        <v>0</v>
      </c>
      <c r="C31" t="s">
        <v>3</v>
      </c>
      <c r="D31" t="s">
        <v>2</v>
      </c>
      <c r="E31">
        <v>50</v>
      </c>
      <c r="F31" t="s">
        <v>19</v>
      </c>
      <c r="G31" t="s">
        <v>18</v>
      </c>
      <c r="H31">
        <v>44</v>
      </c>
      <c r="I31">
        <v>0</v>
      </c>
    </row>
    <row r="32" spans="1:9" x14ac:dyDescent="0.3">
      <c r="A32">
        <v>2</v>
      </c>
      <c r="B32">
        <v>0</v>
      </c>
      <c r="C32" t="s">
        <v>3</v>
      </c>
      <c r="D32" t="s">
        <v>2</v>
      </c>
      <c r="E32">
        <v>31</v>
      </c>
      <c r="F32" t="s">
        <v>19</v>
      </c>
      <c r="G32" t="s">
        <v>18</v>
      </c>
      <c r="H32">
        <v>50</v>
      </c>
      <c r="I32">
        <v>1</v>
      </c>
    </row>
    <row r="33" spans="1:9" x14ac:dyDescent="0.3">
      <c r="A33">
        <v>2</v>
      </c>
      <c r="B33">
        <v>0</v>
      </c>
      <c r="C33" t="s">
        <v>3</v>
      </c>
      <c r="D33" t="s">
        <v>2</v>
      </c>
      <c r="E33">
        <v>36</v>
      </c>
      <c r="F33" t="s">
        <v>19</v>
      </c>
      <c r="G33" t="s">
        <v>18</v>
      </c>
      <c r="H33">
        <v>46</v>
      </c>
      <c r="I33">
        <v>1</v>
      </c>
    </row>
    <row r="34" spans="1:9" x14ac:dyDescent="0.3">
      <c r="A34">
        <v>2</v>
      </c>
      <c r="B34">
        <v>0</v>
      </c>
      <c r="C34" t="s">
        <v>3</v>
      </c>
      <c r="D34" t="s">
        <v>2</v>
      </c>
      <c r="E34">
        <v>13</v>
      </c>
      <c r="F34" t="s">
        <v>19</v>
      </c>
      <c r="G34" t="s">
        <v>18</v>
      </c>
      <c r="H34">
        <v>29</v>
      </c>
      <c r="I34">
        <v>1</v>
      </c>
    </row>
    <row r="35" spans="1:9" x14ac:dyDescent="0.3">
      <c r="A35">
        <v>2</v>
      </c>
      <c r="B35">
        <v>0</v>
      </c>
      <c r="C35" t="s">
        <v>3</v>
      </c>
      <c r="D35" t="s">
        <v>2</v>
      </c>
      <c r="E35">
        <v>31</v>
      </c>
      <c r="F35" t="s">
        <v>19</v>
      </c>
      <c r="G35" t="s">
        <v>18</v>
      </c>
      <c r="H35">
        <v>43</v>
      </c>
      <c r="I35">
        <v>1</v>
      </c>
    </row>
    <row r="36" spans="1:9" x14ac:dyDescent="0.3">
      <c r="A36">
        <v>2</v>
      </c>
      <c r="B36">
        <v>0</v>
      </c>
      <c r="C36" t="s">
        <v>3</v>
      </c>
      <c r="D36" t="s">
        <v>2</v>
      </c>
      <c r="E36">
        <v>34</v>
      </c>
      <c r="F36" t="s">
        <v>19</v>
      </c>
      <c r="G36" t="s">
        <v>18</v>
      </c>
      <c r="H36">
        <v>67</v>
      </c>
      <c r="I36">
        <v>1</v>
      </c>
    </row>
    <row r="37" spans="1:9" x14ac:dyDescent="0.3">
      <c r="A37">
        <v>2</v>
      </c>
      <c r="B37">
        <v>0</v>
      </c>
      <c r="C37" t="s">
        <v>3</v>
      </c>
      <c r="D37" t="s">
        <v>2</v>
      </c>
      <c r="E37">
        <v>20</v>
      </c>
      <c r="F37" t="s">
        <v>19</v>
      </c>
      <c r="G37" t="s">
        <v>18</v>
      </c>
      <c r="H37">
        <v>66</v>
      </c>
      <c r="I37">
        <v>1</v>
      </c>
    </row>
    <row r="38" spans="1:9" x14ac:dyDescent="0.3">
      <c r="A38">
        <v>2</v>
      </c>
      <c r="B38">
        <v>0</v>
      </c>
      <c r="C38" t="s">
        <v>3</v>
      </c>
      <c r="D38" t="s">
        <v>2</v>
      </c>
      <c r="E38">
        <v>32</v>
      </c>
      <c r="F38" t="s">
        <v>19</v>
      </c>
      <c r="G38" t="s">
        <v>18</v>
      </c>
      <c r="H38">
        <v>50</v>
      </c>
      <c r="I38">
        <v>1</v>
      </c>
    </row>
    <row r="39" spans="1:9" x14ac:dyDescent="0.3">
      <c r="A39">
        <v>2</v>
      </c>
      <c r="B39">
        <v>0</v>
      </c>
      <c r="C39" t="s">
        <v>3</v>
      </c>
      <c r="D39" t="s">
        <v>2</v>
      </c>
      <c r="E39">
        <v>16</v>
      </c>
      <c r="F39" t="s">
        <v>19</v>
      </c>
      <c r="G39" t="s">
        <v>18</v>
      </c>
      <c r="H39">
        <v>72</v>
      </c>
      <c r="I39">
        <v>1</v>
      </c>
    </row>
    <row r="40" spans="1:9" x14ac:dyDescent="0.3">
      <c r="A40">
        <v>2</v>
      </c>
      <c r="B40">
        <v>0</v>
      </c>
      <c r="C40" t="s">
        <v>3</v>
      </c>
      <c r="D40" t="s">
        <v>2</v>
      </c>
      <c r="E40">
        <v>21</v>
      </c>
      <c r="F40" t="s">
        <v>19</v>
      </c>
      <c r="G40" t="s">
        <v>18</v>
      </c>
      <c r="H40">
        <v>57</v>
      </c>
      <c r="I40">
        <v>1</v>
      </c>
    </row>
    <row r="41" spans="1:9" x14ac:dyDescent="0.3">
      <c r="A41">
        <v>2</v>
      </c>
      <c r="B41">
        <v>0</v>
      </c>
      <c r="C41" t="s">
        <v>3</v>
      </c>
      <c r="D41" t="s">
        <v>2</v>
      </c>
      <c r="E41">
        <v>34</v>
      </c>
      <c r="F41" t="s">
        <v>19</v>
      </c>
      <c r="G41" t="s">
        <v>18</v>
      </c>
      <c r="H41">
        <v>50</v>
      </c>
      <c r="I41">
        <v>1</v>
      </c>
    </row>
    <row r="42" spans="1:9" x14ac:dyDescent="0.3">
      <c r="A42">
        <v>2</v>
      </c>
      <c r="B42">
        <v>0</v>
      </c>
      <c r="C42" t="s">
        <v>3</v>
      </c>
      <c r="D42" t="s">
        <v>2</v>
      </c>
      <c r="E42">
        <v>33</v>
      </c>
      <c r="F42" t="s">
        <v>19</v>
      </c>
      <c r="G42" t="s">
        <v>18</v>
      </c>
      <c r="H42">
        <v>46</v>
      </c>
      <c r="I42">
        <v>1</v>
      </c>
    </row>
    <row r="43" spans="1:9" x14ac:dyDescent="0.3">
      <c r="A43">
        <v>2</v>
      </c>
      <c r="B43">
        <v>0</v>
      </c>
      <c r="C43" t="s">
        <v>3</v>
      </c>
      <c r="D43" t="s">
        <v>2</v>
      </c>
      <c r="E43">
        <v>12</v>
      </c>
      <c r="F43" t="s">
        <v>19</v>
      </c>
      <c r="G43" t="s">
        <v>18</v>
      </c>
      <c r="H43">
        <v>57</v>
      </c>
      <c r="I43">
        <v>1</v>
      </c>
    </row>
    <row r="44" spans="1:9" x14ac:dyDescent="0.3">
      <c r="A44">
        <v>2</v>
      </c>
      <c r="B44">
        <v>0</v>
      </c>
      <c r="C44" t="s">
        <v>3</v>
      </c>
      <c r="D44" t="s">
        <v>2</v>
      </c>
      <c r="E44">
        <v>40</v>
      </c>
      <c r="F44" t="s">
        <v>19</v>
      </c>
      <c r="G44" t="s">
        <v>18</v>
      </c>
      <c r="H44">
        <v>62</v>
      </c>
      <c r="I44">
        <v>1</v>
      </c>
    </row>
    <row r="45" spans="1:9" x14ac:dyDescent="0.3">
      <c r="A45">
        <v>2</v>
      </c>
      <c r="B45">
        <v>0</v>
      </c>
      <c r="C45" t="s">
        <v>3</v>
      </c>
      <c r="D45" t="s">
        <v>2</v>
      </c>
      <c r="E45">
        <v>32</v>
      </c>
      <c r="F45" t="s">
        <v>19</v>
      </c>
      <c r="G45" t="s">
        <v>18</v>
      </c>
      <c r="H45">
        <v>62</v>
      </c>
      <c r="I45">
        <v>1</v>
      </c>
    </row>
    <row r="46" spans="1:9" x14ac:dyDescent="0.3">
      <c r="A46">
        <v>2</v>
      </c>
      <c r="B46">
        <v>0</v>
      </c>
      <c r="C46" t="s">
        <v>3</v>
      </c>
      <c r="D46" t="s">
        <v>2</v>
      </c>
      <c r="E46">
        <v>34</v>
      </c>
      <c r="F46" t="s">
        <v>19</v>
      </c>
      <c r="G46" t="s">
        <v>18</v>
      </c>
      <c r="H46">
        <v>42</v>
      </c>
      <c r="I46">
        <v>1</v>
      </c>
    </row>
    <row r="47" spans="1:9" x14ac:dyDescent="0.3">
      <c r="A47">
        <v>2</v>
      </c>
      <c r="B47">
        <v>0</v>
      </c>
      <c r="C47" t="s">
        <v>3</v>
      </c>
      <c r="D47" t="s">
        <v>2</v>
      </c>
      <c r="E47">
        <v>41</v>
      </c>
      <c r="F47" t="s">
        <v>19</v>
      </c>
      <c r="G47" t="s">
        <v>18</v>
      </c>
      <c r="H47">
        <v>66</v>
      </c>
      <c r="I47">
        <v>1</v>
      </c>
    </row>
    <row r="48" spans="1:9" x14ac:dyDescent="0.3">
      <c r="A48">
        <v>2</v>
      </c>
      <c r="B48">
        <v>0</v>
      </c>
      <c r="C48" t="s">
        <v>3</v>
      </c>
      <c r="D48" t="s">
        <v>2</v>
      </c>
      <c r="E48">
        <v>20</v>
      </c>
      <c r="F48" t="s">
        <v>19</v>
      </c>
      <c r="G48" t="s">
        <v>18</v>
      </c>
      <c r="H48">
        <v>39</v>
      </c>
      <c r="I48">
        <v>1</v>
      </c>
    </row>
    <row r="49" spans="1:9" x14ac:dyDescent="0.3">
      <c r="A49">
        <v>2</v>
      </c>
      <c r="B49">
        <v>0</v>
      </c>
      <c r="C49" t="s">
        <v>3</v>
      </c>
      <c r="D49" t="s">
        <v>2</v>
      </c>
      <c r="E49">
        <v>17</v>
      </c>
      <c r="F49" t="s">
        <v>19</v>
      </c>
      <c r="G49" t="s">
        <v>18</v>
      </c>
      <c r="H49">
        <v>64</v>
      </c>
      <c r="I49">
        <v>1</v>
      </c>
    </row>
    <row r="50" spans="1:9" x14ac:dyDescent="0.3">
      <c r="A50">
        <v>2</v>
      </c>
      <c r="B50">
        <v>0</v>
      </c>
      <c r="C50" t="s">
        <v>3</v>
      </c>
      <c r="D50" t="s">
        <v>2</v>
      </c>
      <c r="E50">
        <v>52</v>
      </c>
      <c r="F50" t="s">
        <v>19</v>
      </c>
      <c r="G50" t="s">
        <v>18</v>
      </c>
      <c r="H50">
        <v>53</v>
      </c>
      <c r="I50">
        <v>1</v>
      </c>
    </row>
    <row r="51" spans="1:9" x14ac:dyDescent="0.3">
      <c r="A51">
        <v>2</v>
      </c>
      <c r="B51">
        <v>1</v>
      </c>
      <c r="C51" t="s">
        <v>3</v>
      </c>
      <c r="D51" t="s">
        <v>2</v>
      </c>
      <c r="E51">
        <v>32</v>
      </c>
      <c r="F51" t="s">
        <v>19</v>
      </c>
      <c r="G51" t="s">
        <v>18</v>
      </c>
      <c r="H51">
        <v>60</v>
      </c>
      <c r="I51">
        <v>1</v>
      </c>
    </row>
    <row r="52" spans="1:9" x14ac:dyDescent="0.3">
      <c r="A52">
        <v>2</v>
      </c>
      <c r="B52">
        <v>1</v>
      </c>
      <c r="C52" t="s">
        <v>3</v>
      </c>
      <c r="D52" t="s">
        <v>2</v>
      </c>
      <c r="E52">
        <v>31</v>
      </c>
      <c r="F52" t="s">
        <v>19</v>
      </c>
      <c r="G52" t="s">
        <v>18</v>
      </c>
      <c r="H52">
        <v>54</v>
      </c>
      <c r="I52">
        <v>1</v>
      </c>
    </row>
    <row r="53" spans="1:9" x14ac:dyDescent="0.3">
      <c r="A53">
        <v>2</v>
      </c>
      <c r="B53">
        <v>1</v>
      </c>
      <c r="C53" t="s">
        <v>3</v>
      </c>
      <c r="D53" t="s">
        <v>2</v>
      </c>
      <c r="E53">
        <v>85</v>
      </c>
      <c r="F53" t="s">
        <v>19</v>
      </c>
      <c r="G53" t="s">
        <v>18</v>
      </c>
      <c r="H53">
        <v>37</v>
      </c>
      <c r="I53">
        <v>0</v>
      </c>
    </row>
    <row r="54" spans="1:9" x14ac:dyDescent="0.3">
      <c r="A54">
        <v>2</v>
      </c>
      <c r="B54">
        <v>1</v>
      </c>
      <c r="C54" t="s">
        <v>3</v>
      </c>
      <c r="D54" t="s">
        <v>2</v>
      </c>
      <c r="E54">
        <v>9</v>
      </c>
      <c r="F54" t="s">
        <v>19</v>
      </c>
      <c r="G54" t="s">
        <v>18</v>
      </c>
      <c r="H54">
        <v>43</v>
      </c>
      <c r="I54">
        <v>1</v>
      </c>
    </row>
    <row r="55" spans="1:9" x14ac:dyDescent="0.3">
      <c r="A55">
        <v>2</v>
      </c>
      <c r="B55">
        <v>1</v>
      </c>
      <c r="C55" t="s">
        <v>3</v>
      </c>
      <c r="D55" t="s">
        <v>2</v>
      </c>
      <c r="E55">
        <v>40</v>
      </c>
      <c r="F55" t="s">
        <v>19</v>
      </c>
      <c r="G55" t="s">
        <v>18</v>
      </c>
      <c r="H55">
        <v>71</v>
      </c>
      <c r="I55">
        <v>1</v>
      </c>
    </row>
    <row r="56" spans="1:9" x14ac:dyDescent="0.3">
      <c r="A56">
        <v>2</v>
      </c>
      <c r="B56">
        <v>1</v>
      </c>
      <c r="C56" t="s">
        <v>3</v>
      </c>
      <c r="D56" t="s">
        <v>2</v>
      </c>
      <c r="E56">
        <v>35</v>
      </c>
      <c r="F56" t="s">
        <v>19</v>
      </c>
      <c r="G56" t="s">
        <v>18</v>
      </c>
      <c r="H56">
        <v>64</v>
      </c>
      <c r="I56">
        <v>1</v>
      </c>
    </row>
    <row r="57" spans="1:9" x14ac:dyDescent="0.3">
      <c r="A57">
        <v>2</v>
      </c>
      <c r="B57">
        <v>1</v>
      </c>
      <c r="C57" t="s">
        <v>3</v>
      </c>
      <c r="D57" t="s">
        <v>2</v>
      </c>
      <c r="E57">
        <v>42</v>
      </c>
      <c r="F57" t="s">
        <v>19</v>
      </c>
      <c r="G57" t="s">
        <v>18</v>
      </c>
      <c r="H57">
        <v>59</v>
      </c>
      <c r="I57">
        <v>1</v>
      </c>
    </row>
    <row r="58" spans="1:9" x14ac:dyDescent="0.3">
      <c r="A58">
        <v>2</v>
      </c>
      <c r="B58">
        <v>1</v>
      </c>
      <c r="C58" t="s">
        <v>3</v>
      </c>
      <c r="D58" t="s">
        <v>2</v>
      </c>
      <c r="E58">
        <v>39</v>
      </c>
      <c r="F58" t="s">
        <v>19</v>
      </c>
      <c r="G58" t="s">
        <v>18</v>
      </c>
      <c r="H58">
        <v>49</v>
      </c>
      <c r="I58">
        <v>1</v>
      </c>
    </row>
    <row r="59" spans="1:9" x14ac:dyDescent="0.3">
      <c r="A59">
        <v>2</v>
      </c>
      <c r="B59">
        <v>1</v>
      </c>
      <c r="C59" t="s">
        <v>3</v>
      </c>
      <c r="D59" t="s">
        <v>2</v>
      </c>
      <c r="E59">
        <v>17</v>
      </c>
      <c r="F59" t="s">
        <v>19</v>
      </c>
      <c r="G59" t="s">
        <v>18</v>
      </c>
      <c r="H59">
        <v>62</v>
      </c>
      <c r="I59">
        <v>1</v>
      </c>
    </row>
    <row r="60" spans="1:9" x14ac:dyDescent="0.3">
      <c r="A60">
        <v>2</v>
      </c>
      <c r="B60">
        <v>1</v>
      </c>
      <c r="C60" t="s">
        <v>3</v>
      </c>
      <c r="D60" t="s">
        <v>2</v>
      </c>
      <c r="E60">
        <v>11</v>
      </c>
      <c r="F60" t="s">
        <v>19</v>
      </c>
      <c r="G60" t="s">
        <v>18</v>
      </c>
      <c r="H60">
        <v>48</v>
      </c>
      <c r="I60">
        <v>1</v>
      </c>
    </row>
    <row r="61" spans="1:9" x14ac:dyDescent="0.3">
      <c r="A61">
        <v>2</v>
      </c>
      <c r="B61">
        <v>1</v>
      </c>
      <c r="C61" t="s">
        <v>3</v>
      </c>
      <c r="D61" t="s">
        <v>2</v>
      </c>
      <c r="E61">
        <v>29</v>
      </c>
      <c r="F61" t="s">
        <v>19</v>
      </c>
      <c r="G61" t="s">
        <v>18</v>
      </c>
      <c r="H61">
        <v>51</v>
      </c>
      <c r="I61">
        <v>1</v>
      </c>
    </row>
    <row r="62" spans="1:9" x14ac:dyDescent="0.3">
      <c r="A62">
        <v>2</v>
      </c>
      <c r="B62">
        <v>1</v>
      </c>
      <c r="C62" t="s">
        <v>3</v>
      </c>
      <c r="D62" t="s">
        <v>2</v>
      </c>
      <c r="E62">
        <v>16</v>
      </c>
      <c r="F62" t="s">
        <v>19</v>
      </c>
      <c r="G62" t="s">
        <v>18</v>
      </c>
      <c r="H62">
        <v>58</v>
      </c>
      <c r="I62">
        <v>1</v>
      </c>
    </row>
    <row r="63" spans="1:9" x14ac:dyDescent="0.3">
      <c r="A63">
        <v>2</v>
      </c>
      <c r="B63">
        <v>1</v>
      </c>
      <c r="C63" t="s">
        <v>3</v>
      </c>
      <c r="D63" t="s">
        <v>2</v>
      </c>
      <c r="E63">
        <v>38</v>
      </c>
      <c r="F63" t="s">
        <v>19</v>
      </c>
      <c r="G63" t="s">
        <v>18</v>
      </c>
      <c r="H63">
        <v>50</v>
      </c>
      <c r="I63">
        <v>1</v>
      </c>
    </row>
    <row r="64" spans="1:9" x14ac:dyDescent="0.3">
      <c r="A64">
        <v>2</v>
      </c>
      <c r="B64">
        <v>1</v>
      </c>
      <c r="C64" t="s">
        <v>3</v>
      </c>
      <c r="D64" t="s">
        <v>2</v>
      </c>
      <c r="E64">
        <v>37</v>
      </c>
      <c r="F64" t="s">
        <v>19</v>
      </c>
      <c r="G64" t="s">
        <v>18</v>
      </c>
      <c r="H64">
        <v>59</v>
      </c>
      <c r="I64">
        <v>1</v>
      </c>
    </row>
    <row r="65" spans="1:9" x14ac:dyDescent="0.3">
      <c r="A65">
        <v>2</v>
      </c>
      <c r="B65">
        <v>1</v>
      </c>
      <c r="C65" t="s">
        <v>3</v>
      </c>
      <c r="D65" t="s">
        <v>2</v>
      </c>
      <c r="E65">
        <v>7</v>
      </c>
      <c r="F65" t="s">
        <v>19</v>
      </c>
      <c r="G65" t="s">
        <v>18</v>
      </c>
      <c r="H65">
        <v>36</v>
      </c>
      <c r="I65">
        <v>1</v>
      </c>
    </row>
    <row r="66" spans="1:9" x14ac:dyDescent="0.3">
      <c r="A66">
        <v>2</v>
      </c>
      <c r="B66">
        <v>1</v>
      </c>
      <c r="C66" t="s">
        <v>3</v>
      </c>
      <c r="D66" t="s">
        <v>2</v>
      </c>
      <c r="E66">
        <v>24</v>
      </c>
      <c r="F66" t="s">
        <v>19</v>
      </c>
      <c r="G66" t="s">
        <v>18</v>
      </c>
      <c r="H66">
        <v>39</v>
      </c>
      <c r="I66">
        <v>1</v>
      </c>
    </row>
    <row r="67" spans="1:9" x14ac:dyDescent="0.3">
      <c r="A67">
        <v>2</v>
      </c>
      <c r="B67">
        <v>1</v>
      </c>
      <c r="C67" t="s">
        <v>3</v>
      </c>
      <c r="D67" t="s">
        <v>2</v>
      </c>
      <c r="E67">
        <v>33</v>
      </c>
      <c r="F67" t="s">
        <v>19</v>
      </c>
      <c r="G67" t="s">
        <v>18</v>
      </c>
      <c r="H67">
        <v>59</v>
      </c>
      <c r="I67">
        <v>1</v>
      </c>
    </row>
    <row r="68" spans="1:9" x14ac:dyDescent="0.3">
      <c r="A68">
        <v>2</v>
      </c>
      <c r="B68">
        <v>1</v>
      </c>
      <c r="C68" t="s">
        <v>3</v>
      </c>
      <c r="D68" t="s">
        <v>2</v>
      </c>
      <c r="E68">
        <v>27</v>
      </c>
      <c r="F68" t="s">
        <v>19</v>
      </c>
      <c r="G68" t="s">
        <v>18</v>
      </c>
      <c r="H68">
        <v>92</v>
      </c>
      <c r="I68">
        <v>1</v>
      </c>
    </row>
    <row r="69" spans="1:9" x14ac:dyDescent="0.3">
      <c r="A69">
        <v>2</v>
      </c>
      <c r="B69">
        <v>1</v>
      </c>
      <c r="C69" t="s">
        <v>3</v>
      </c>
      <c r="D69" t="s">
        <v>2</v>
      </c>
      <c r="E69">
        <v>13</v>
      </c>
      <c r="F69" t="s">
        <v>19</v>
      </c>
      <c r="G69" t="s">
        <v>18</v>
      </c>
      <c r="H69">
        <v>62</v>
      </c>
      <c r="I69">
        <v>1</v>
      </c>
    </row>
    <row r="70" spans="1:9" x14ac:dyDescent="0.3">
      <c r="A70">
        <v>2</v>
      </c>
      <c r="B70">
        <v>1</v>
      </c>
      <c r="C70" t="s">
        <v>3</v>
      </c>
      <c r="D70" t="s">
        <v>2</v>
      </c>
      <c r="E70">
        <v>19</v>
      </c>
      <c r="F70" t="s">
        <v>19</v>
      </c>
      <c r="G70" t="s">
        <v>18</v>
      </c>
      <c r="H70">
        <v>45</v>
      </c>
      <c r="I70">
        <v>1</v>
      </c>
    </row>
    <row r="71" spans="1:9" x14ac:dyDescent="0.3">
      <c r="A71">
        <v>2</v>
      </c>
      <c r="B71">
        <v>1</v>
      </c>
      <c r="C71" t="s">
        <v>3</v>
      </c>
      <c r="D71" t="s">
        <v>2</v>
      </c>
      <c r="E71">
        <v>11</v>
      </c>
      <c r="F71" t="s">
        <v>19</v>
      </c>
      <c r="G71" t="s">
        <v>18</v>
      </c>
      <c r="H71">
        <v>31</v>
      </c>
      <c r="I71">
        <v>1</v>
      </c>
    </row>
    <row r="72" spans="1:9" x14ac:dyDescent="0.3">
      <c r="A72">
        <v>2</v>
      </c>
      <c r="B72">
        <v>1</v>
      </c>
      <c r="C72" t="s">
        <v>3</v>
      </c>
      <c r="D72" t="s">
        <v>2</v>
      </c>
      <c r="E72">
        <v>19</v>
      </c>
      <c r="F72" t="s">
        <v>19</v>
      </c>
      <c r="G72" t="s">
        <v>18</v>
      </c>
      <c r="H72">
        <v>40</v>
      </c>
      <c r="I72">
        <v>1</v>
      </c>
    </row>
    <row r="73" spans="1:9" x14ac:dyDescent="0.3">
      <c r="A73">
        <v>2</v>
      </c>
      <c r="B73">
        <v>1</v>
      </c>
      <c r="C73" t="s">
        <v>3</v>
      </c>
      <c r="D73" t="s">
        <v>2</v>
      </c>
      <c r="E73">
        <v>6</v>
      </c>
      <c r="F73" t="s">
        <v>19</v>
      </c>
      <c r="G73" t="s">
        <v>18</v>
      </c>
      <c r="H73">
        <v>32</v>
      </c>
      <c r="I73">
        <v>1</v>
      </c>
    </row>
    <row r="74" spans="1:9" x14ac:dyDescent="0.3">
      <c r="A74">
        <v>2</v>
      </c>
      <c r="B74">
        <v>1</v>
      </c>
      <c r="C74" t="s">
        <v>3</v>
      </c>
      <c r="D74" t="s">
        <v>2</v>
      </c>
      <c r="E74">
        <v>15</v>
      </c>
      <c r="F74" t="s">
        <v>19</v>
      </c>
      <c r="G74" t="s">
        <v>18</v>
      </c>
      <c r="H74">
        <v>64</v>
      </c>
      <c r="I74">
        <v>1</v>
      </c>
    </row>
    <row r="75" spans="1:9" x14ac:dyDescent="0.3">
      <c r="A75">
        <v>2</v>
      </c>
      <c r="B75">
        <v>1</v>
      </c>
      <c r="C75" t="s">
        <v>3</v>
      </c>
      <c r="D75" t="s">
        <v>2</v>
      </c>
      <c r="E75">
        <v>53</v>
      </c>
      <c r="F75" t="s">
        <v>19</v>
      </c>
      <c r="G75" t="s">
        <v>18</v>
      </c>
      <c r="H75">
        <v>46</v>
      </c>
      <c r="I75">
        <v>0</v>
      </c>
    </row>
    <row r="76" spans="1:9" x14ac:dyDescent="0.3">
      <c r="A76">
        <v>2</v>
      </c>
      <c r="B76">
        <v>1</v>
      </c>
      <c r="C76" t="s">
        <v>3</v>
      </c>
      <c r="D76" t="s">
        <v>2</v>
      </c>
      <c r="E76">
        <v>52</v>
      </c>
      <c r="F76" t="s">
        <v>19</v>
      </c>
      <c r="G76" t="s">
        <v>18</v>
      </c>
      <c r="H76">
        <v>65</v>
      </c>
      <c r="I76">
        <v>1</v>
      </c>
    </row>
    <row r="77" spans="1:9" x14ac:dyDescent="0.3">
      <c r="A77">
        <v>2</v>
      </c>
      <c r="B77">
        <v>1</v>
      </c>
      <c r="C77" t="s">
        <v>3</v>
      </c>
      <c r="D77" t="s">
        <v>2</v>
      </c>
      <c r="E77">
        <v>16</v>
      </c>
      <c r="F77" t="s">
        <v>19</v>
      </c>
      <c r="G77" t="s">
        <v>18</v>
      </c>
      <c r="H77">
        <v>59</v>
      </c>
      <c r="I77">
        <v>1</v>
      </c>
    </row>
    <row r="78" spans="1:9" x14ac:dyDescent="0.3">
      <c r="A78">
        <v>2</v>
      </c>
      <c r="B78">
        <v>1</v>
      </c>
      <c r="C78" t="s">
        <v>3</v>
      </c>
      <c r="D78" t="s">
        <v>2</v>
      </c>
      <c r="E78">
        <v>17</v>
      </c>
      <c r="F78" t="s">
        <v>19</v>
      </c>
      <c r="G78" t="s">
        <v>18</v>
      </c>
      <c r="H78">
        <v>59</v>
      </c>
      <c r="I78">
        <v>1</v>
      </c>
    </row>
    <row r="79" spans="1:9" x14ac:dyDescent="0.3">
      <c r="A79">
        <v>2</v>
      </c>
      <c r="B79">
        <v>1</v>
      </c>
      <c r="C79" t="s">
        <v>3</v>
      </c>
      <c r="D79" t="s">
        <v>2</v>
      </c>
      <c r="E79">
        <v>32</v>
      </c>
      <c r="F79" t="s">
        <v>19</v>
      </c>
      <c r="G79" t="s">
        <v>18</v>
      </c>
      <c r="H79">
        <v>64</v>
      </c>
      <c r="I79">
        <v>1</v>
      </c>
    </row>
    <row r="80" spans="1:9" x14ac:dyDescent="0.3">
      <c r="A80">
        <v>2</v>
      </c>
      <c r="B80">
        <v>1</v>
      </c>
      <c r="C80" t="s">
        <v>3</v>
      </c>
      <c r="D80" t="s">
        <v>2</v>
      </c>
      <c r="E80">
        <v>28</v>
      </c>
      <c r="F80" t="s">
        <v>19</v>
      </c>
      <c r="G80" t="s">
        <v>18</v>
      </c>
      <c r="H80">
        <v>37</v>
      </c>
      <c r="I80">
        <v>1</v>
      </c>
    </row>
    <row r="81" spans="1:9" x14ac:dyDescent="0.3">
      <c r="A81">
        <v>2</v>
      </c>
      <c r="B81">
        <v>1</v>
      </c>
      <c r="C81" t="s">
        <v>3</v>
      </c>
      <c r="D81" t="s">
        <v>2</v>
      </c>
      <c r="E81">
        <v>19</v>
      </c>
      <c r="F81" t="s">
        <v>19</v>
      </c>
      <c r="G81" t="s">
        <v>18</v>
      </c>
      <c r="H81">
        <v>38</v>
      </c>
      <c r="I81">
        <v>1</v>
      </c>
    </row>
    <row r="82" spans="1:9" x14ac:dyDescent="0.3">
      <c r="A82">
        <v>2</v>
      </c>
      <c r="B82">
        <v>1</v>
      </c>
      <c r="C82" t="s">
        <v>3</v>
      </c>
      <c r="D82" t="s">
        <v>2</v>
      </c>
      <c r="E82">
        <v>20</v>
      </c>
      <c r="F82" t="s">
        <v>19</v>
      </c>
      <c r="G82" t="s">
        <v>18</v>
      </c>
      <c r="H82">
        <v>51</v>
      </c>
      <c r="I82">
        <v>1</v>
      </c>
    </row>
    <row r="83" spans="1:9" x14ac:dyDescent="0.3">
      <c r="A83">
        <v>2</v>
      </c>
      <c r="B83">
        <v>1</v>
      </c>
      <c r="C83" t="s">
        <v>3</v>
      </c>
      <c r="D83" t="s">
        <v>2</v>
      </c>
      <c r="E83">
        <v>27</v>
      </c>
      <c r="F83" t="s">
        <v>19</v>
      </c>
      <c r="G83" t="s">
        <v>18</v>
      </c>
      <c r="H83">
        <v>67</v>
      </c>
      <c r="I83">
        <v>1</v>
      </c>
    </row>
    <row r="84" spans="1:9" x14ac:dyDescent="0.3">
      <c r="A84">
        <v>2</v>
      </c>
      <c r="B84">
        <v>1</v>
      </c>
      <c r="C84" t="s">
        <v>3</v>
      </c>
      <c r="D84" t="s">
        <v>2</v>
      </c>
      <c r="E84">
        <v>40</v>
      </c>
      <c r="F84" t="s">
        <v>19</v>
      </c>
      <c r="G84" t="s">
        <v>18</v>
      </c>
      <c r="H84">
        <v>63</v>
      </c>
      <c r="I84">
        <v>1</v>
      </c>
    </row>
    <row r="85" spans="1:9" x14ac:dyDescent="0.3">
      <c r="A85">
        <v>2</v>
      </c>
      <c r="B85">
        <v>1</v>
      </c>
      <c r="C85" t="s">
        <v>3</v>
      </c>
      <c r="D85" t="s">
        <v>2</v>
      </c>
      <c r="E85">
        <v>24</v>
      </c>
      <c r="F85" t="s">
        <v>19</v>
      </c>
      <c r="G85" t="s">
        <v>18</v>
      </c>
      <c r="H85">
        <v>35</v>
      </c>
      <c r="I85">
        <v>1</v>
      </c>
    </row>
    <row r="86" spans="1:9" x14ac:dyDescent="0.3">
      <c r="A86">
        <v>2</v>
      </c>
      <c r="B86">
        <v>1</v>
      </c>
      <c r="C86" t="s">
        <v>3</v>
      </c>
      <c r="D86" t="s">
        <v>2</v>
      </c>
      <c r="E86">
        <v>53</v>
      </c>
      <c r="F86" t="s">
        <v>19</v>
      </c>
      <c r="G86" t="s">
        <v>18</v>
      </c>
      <c r="H86">
        <v>48</v>
      </c>
      <c r="I86">
        <v>0</v>
      </c>
    </row>
    <row r="87" spans="1:9" x14ac:dyDescent="0.3">
      <c r="A87">
        <v>2</v>
      </c>
      <c r="B87">
        <v>1</v>
      </c>
      <c r="C87" t="s">
        <v>3</v>
      </c>
      <c r="D87" t="s">
        <v>2</v>
      </c>
      <c r="E87">
        <v>32</v>
      </c>
      <c r="F87" t="s">
        <v>19</v>
      </c>
      <c r="G87" t="s">
        <v>18</v>
      </c>
      <c r="H87">
        <v>42</v>
      </c>
      <c r="I87">
        <v>1</v>
      </c>
    </row>
    <row r="88" spans="1:9" x14ac:dyDescent="0.3">
      <c r="A88">
        <v>2</v>
      </c>
      <c r="B88">
        <v>1</v>
      </c>
      <c r="C88" t="s">
        <v>3</v>
      </c>
      <c r="D88" t="s">
        <v>2</v>
      </c>
      <c r="E88">
        <v>9</v>
      </c>
      <c r="F88" t="s">
        <v>19</v>
      </c>
      <c r="G88" t="s">
        <v>18</v>
      </c>
      <c r="H88">
        <v>50</v>
      </c>
      <c r="I88">
        <v>1</v>
      </c>
    </row>
    <row r="89" spans="1:9" x14ac:dyDescent="0.3">
      <c r="A89">
        <v>2</v>
      </c>
      <c r="B89">
        <v>1</v>
      </c>
      <c r="C89" t="s">
        <v>3</v>
      </c>
      <c r="D89" t="s">
        <v>2</v>
      </c>
      <c r="E89">
        <v>35</v>
      </c>
      <c r="F89" t="s">
        <v>19</v>
      </c>
      <c r="G89" t="s">
        <v>18</v>
      </c>
      <c r="H89">
        <v>79</v>
      </c>
      <c r="I89">
        <v>1</v>
      </c>
    </row>
    <row r="90" spans="1:9" x14ac:dyDescent="0.3">
      <c r="A90">
        <v>2</v>
      </c>
      <c r="B90">
        <v>1</v>
      </c>
      <c r="C90" t="s">
        <v>3</v>
      </c>
      <c r="D90" t="s">
        <v>2</v>
      </c>
      <c r="E90">
        <v>12</v>
      </c>
      <c r="F90" t="s">
        <v>19</v>
      </c>
      <c r="G90" t="s">
        <v>18</v>
      </c>
      <c r="H90">
        <v>58</v>
      </c>
      <c r="I90">
        <v>1</v>
      </c>
    </row>
    <row r="91" spans="1:9" x14ac:dyDescent="0.3">
      <c r="A91">
        <v>2</v>
      </c>
      <c r="B91">
        <v>1</v>
      </c>
      <c r="C91" t="s">
        <v>3</v>
      </c>
      <c r="D91" t="s">
        <v>2</v>
      </c>
      <c r="E91">
        <v>30</v>
      </c>
      <c r="F91" t="s">
        <v>19</v>
      </c>
      <c r="G91" t="s">
        <v>18</v>
      </c>
      <c r="H91">
        <v>47</v>
      </c>
      <c r="I91">
        <v>1</v>
      </c>
    </row>
    <row r="92" spans="1:9" x14ac:dyDescent="0.3">
      <c r="A92">
        <v>2</v>
      </c>
      <c r="B92">
        <v>1</v>
      </c>
      <c r="C92" t="s">
        <v>3</v>
      </c>
      <c r="D92" t="s">
        <v>2</v>
      </c>
      <c r="E92">
        <v>23</v>
      </c>
      <c r="F92" t="s">
        <v>19</v>
      </c>
      <c r="G92" t="s">
        <v>18</v>
      </c>
      <c r="H92">
        <v>42</v>
      </c>
      <c r="I92">
        <v>1</v>
      </c>
    </row>
    <row r="93" spans="1:9" x14ac:dyDescent="0.3">
      <c r="A93">
        <v>2</v>
      </c>
      <c r="B93">
        <v>1</v>
      </c>
      <c r="C93" t="s">
        <v>3</v>
      </c>
      <c r="D93" t="s">
        <v>2</v>
      </c>
      <c r="E93">
        <v>15</v>
      </c>
      <c r="F93" t="s">
        <v>19</v>
      </c>
      <c r="G93" t="s">
        <v>18</v>
      </c>
      <c r="H93">
        <v>46</v>
      </c>
      <c r="I93">
        <v>1</v>
      </c>
    </row>
    <row r="94" spans="1:9" x14ac:dyDescent="0.3">
      <c r="A94">
        <v>2</v>
      </c>
      <c r="B94">
        <v>1</v>
      </c>
      <c r="C94" t="s">
        <v>3</v>
      </c>
      <c r="D94" t="s">
        <v>2</v>
      </c>
      <c r="E94">
        <v>61</v>
      </c>
      <c r="F94" t="s">
        <v>19</v>
      </c>
      <c r="G94" t="s">
        <v>18</v>
      </c>
      <c r="H94">
        <v>52</v>
      </c>
      <c r="I94">
        <v>0</v>
      </c>
    </row>
    <row r="95" spans="1:9" x14ac:dyDescent="0.3">
      <c r="A95">
        <v>2</v>
      </c>
      <c r="B95">
        <v>1</v>
      </c>
      <c r="C95" t="s">
        <v>3</v>
      </c>
      <c r="D95" t="s">
        <v>2</v>
      </c>
      <c r="E95">
        <v>17</v>
      </c>
      <c r="F95" t="s">
        <v>19</v>
      </c>
      <c r="G95" t="s">
        <v>18</v>
      </c>
      <c r="H95">
        <v>63</v>
      </c>
      <c r="I95">
        <v>1</v>
      </c>
    </row>
    <row r="96" spans="1:9" x14ac:dyDescent="0.3">
      <c r="A96">
        <v>2</v>
      </c>
      <c r="B96">
        <v>1</v>
      </c>
      <c r="C96" t="s">
        <v>3</v>
      </c>
      <c r="D96" t="s">
        <v>2</v>
      </c>
      <c r="E96">
        <v>8</v>
      </c>
      <c r="F96" t="s">
        <v>19</v>
      </c>
      <c r="G96" t="s">
        <v>18</v>
      </c>
      <c r="H96">
        <v>24</v>
      </c>
      <c r="I96">
        <v>1</v>
      </c>
    </row>
    <row r="97" spans="1:9" x14ac:dyDescent="0.3">
      <c r="A97">
        <v>2</v>
      </c>
      <c r="B97">
        <v>1</v>
      </c>
      <c r="C97" t="s">
        <v>3</v>
      </c>
      <c r="D97" t="s">
        <v>2</v>
      </c>
      <c r="E97">
        <v>34</v>
      </c>
      <c r="F97" t="s">
        <v>19</v>
      </c>
      <c r="G97" t="s">
        <v>18</v>
      </c>
      <c r="H97">
        <v>53</v>
      </c>
      <c r="I97">
        <v>1</v>
      </c>
    </row>
    <row r="98" spans="1:9" x14ac:dyDescent="0.3">
      <c r="A98">
        <v>2</v>
      </c>
      <c r="B98">
        <v>1</v>
      </c>
      <c r="C98" t="s">
        <v>3</v>
      </c>
      <c r="D98" t="s">
        <v>2</v>
      </c>
      <c r="E98">
        <v>23</v>
      </c>
      <c r="F98" t="s">
        <v>19</v>
      </c>
      <c r="G98" t="s">
        <v>18</v>
      </c>
      <c r="H98">
        <v>55</v>
      </c>
      <c r="I98">
        <v>1</v>
      </c>
    </row>
    <row r="99" spans="1:9" x14ac:dyDescent="0.3">
      <c r="A99">
        <v>2</v>
      </c>
      <c r="B99">
        <v>1</v>
      </c>
      <c r="C99" t="s">
        <v>3</v>
      </c>
      <c r="D99" t="s">
        <v>2</v>
      </c>
      <c r="E99">
        <v>59</v>
      </c>
      <c r="F99" t="s">
        <v>19</v>
      </c>
      <c r="G99" t="s">
        <v>18</v>
      </c>
      <c r="H99">
        <v>49</v>
      </c>
      <c r="I99">
        <v>0</v>
      </c>
    </row>
    <row r="100" spans="1:9" x14ac:dyDescent="0.3">
      <c r="A100">
        <v>2</v>
      </c>
      <c r="B100">
        <v>1</v>
      </c>
      <c r="C100" t="s">
        <v>3</v>
      </c>
      <c r="D100" t="s">
        <v>2</v>
      </c>
      <c r="E100">
        <v>12</v>
      </c>
      <c r="F100" t="s">
        <v>19</v>
      </c>
      <c r="G100" t="s">
        <v>18</v>
      </c>
      <c r="H100">
        <v>31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274F2-9FC7-4B95-BE15-FC51A350ACD7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3</v>
      </c>
      <c r="D1" t="s">
        <v>2</v>
      </c>
      <c r="E1">
        <v>17</v>
      </c>
      <c r="F1" t="s">
        <v>21</v>
      </c>
      <c r="G1" t="s">
        <v>20</v>
      </c>
      <c r="H1">
        <v>53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3</v>
      </c>
      <c r="D2" t="s">
        <v>2</v>
      </c>
      <c r="E2">
        <v>0</v>
      </c>
      <c r="F2" t="s">
        <v>21</v>
      </c>
      <c r="G2" t="s">
        <v>20</v>
      </c>
      <c r="H2">
        <v>31</v>
      </c>
      <c r="I2">
        <v>1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3</v>
      </c>
      <c r="D3" t="s">
        <v>2</v>
      </c>
      <c r="E3">
        <v>2</v>
      </c>
      <c r="F3" t="s">
        <v>21</v>
      </c>
      <c r="G3" t="s">
        <v>20</v>
      </c>
      <c r="H3">
        <v>44</v>
      </c>
      <c r="I3">
        <v>1</v>
      </c>
      <c r="K3" s="8" t="s">
        <v>11</v>
      </c>
      <c r="L3" s="8"/>
      <c r="M3" s="10">
        <f>COUNTIF($I$1:$I$100, 0)</f>
        <v>8</v>
      </c>
      <c r="N3" s="10"/>
      <c r="O3" s="10">
        <f>COUNTIFS($I$1:$I$100, 0, $B$1:$B$100, 0)</f>
        <v>3</v>
      </c>
      <c r="P3" s="10"/>
      <c r="Q3" s="11">
        <f>COUNTIFS($I$1:$I$100, 0, $B$1:$B$100, 1)</f>
        <v>5</v>
      </c>
      <c r="R3" s="12"/>
      <c r="T3" cm="1">
        <f t="array" ref="T3">SUMPRODUCT(--($E$1:$E$100=$H$1:$H$100))</f>
        <v>1</v>
      </c>
    </row>
    <row r="4" spans="1:20" x14ac:dyDescent="0.3">
      <c r="A4">
        <v>2</v>
      </c>
      <c r="B4">
        <v>0</v>
      </c>
      <c r="C4" t="s">
        <v>3</v>
      </c>
      <c r="D4" t="s">
        <v>2</v>
      </c>
      <c r="E4">
        <v>15</v>
      </c>
      <c r="F4" t="s">
        <v>21</v>
      </c>
      <c r="G4" t="s">
        <v>20</v>
      </c>
      <c r="H4">
        <v>47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3</v>
      </c>
      <c r="D5" t="s">
        <v>2</v>
      </c>
      <c r="E5">
        <v>9</v>
      </c>
      <c r="F5" t="s">
        <v>21</v>
      </c>
      <c r="G5" t="s">
        <v>20</v>
      </c>
      <c r="H5">
        <v>51</v>
      </c>
      <c r="I5">
        <v>1</v>
      </c>
      <c r="K5" s="8" t="s">
        <v>10</v>
      </c>
      <c r="L5" s="8"/>
      <c r="M5" s="14">
        <f>COUNTIF($I$1:$I$100, 1)</f>
        <v>92</v>
      </c>
      <c r="N5" s="10"/>
      <c r="O5" s="10">
        <f>COUNTIFS($I$1:$I$100, 1, $B$1:$B$100, 0)</f>
        <v>47</v>
      </c>
      <c r="P5" s="10"/>
      <c r="Q5" s="10">
        <f>COUNTIFS($I$1:$I$100, 1, $B$1:$B$100, 1)</f>
        <v>45</v>
      </c>
      <c r="R5" s="13"/>
    </row>
    <row r="6" spans="1:20" x14ac:dyDescent="0.3">
      <c r="A6">
        <v>2</v>
      </c>
      <c r="B6">
        <v>0</v>
      </c>
      <c r="C6" t="s">
        <v>3</v>
      </c>
      <c r="D6" t="s">
        <v>2</v>
      </c>
      <c r="E6">
        <v>6</v>
      </c>
      <c r="F6" t="s">
        <v>21</v>
      </c>
      <c r="G6" t="s">
        <v>20</v>
      </c>
      <c r="H6">
        <v>19</v>
      </c>
      <c r="I6">
        <v>1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3</v>
      </c>
      <c r="D7" t="s">
        <v>2</v>
      </c>
      <c r="E7">
        <v>2</v>
      </c>
      <c r="F7" t="s">
        <v>21</v>
      </c>
      <c r="G7" t="s">
        <v>20</v>
      </c>
      <c r="H7">
        <v>51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3</v>
      </c>
      <c r="D8" t="s">
        <v>2</v>
      </c>
      <c r="E8">
        <v>5</v>
      </c>
      <c r="F8" t="s">
        <v>21</v>
      </c>
      <c r="G8" t="s">
        <v>20</v>
      </c>
      <c r="H8">
        <v>47</v>
      </c>
      <c r="I8">
        <v>1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3</v>
      </c>
      <c r="D9" t="s">
        <v>2</v>
      </c>
      <c r="E9">
        <v>0</v>
      </c>
      <c r="F9" t="s">
        <v>21</v>
      </c>
      <c r="G9" t="s">
        <v>20</v>
      </c>
      <c r="H9">
        <v>20</v>
      </c>
      <c r="I9">
        <v>1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3</v>
      </c>
      <c r="D10" t="s">
        <v>2</v>
      </c>
      <c r="E10">
        <v>0</v>
      </c>
      <c r="F10" t="s">
        <v>21</v>
      </c>
      <c r="G10" t="s">
        <v>20</v>
      </c>
      <c r="H10">
        <v>54</v>
      </c>
      <c r="I10">
        <v>1</v>
      </c>
      <c r="K10" s="8" t="s">
        <v>6</v>
      </c>
      <c r="L10" s="8"/>
      <c r="M10" s="10">
        <f>AVERAGE($E$1:$E$100,)</f>
        <v>10.98019801980198</v>
      </c>
      <c r="N10" s="10"/>
      <c r="O10" s="10" cm="1">
        <f t="array" ref="O10">AVERAGE(_xlfn._xlws.FILTER($E$1:$E$100,$I$1:$I$100 = 0))</f>
        <v>27</v>
      </c>
      <c r="P10" s="10"/>
      <c r="Q10" s="11" cm="1">
        <f t="array" ref="Q10">AVERAGE(_xlfn._xlws.FILTER($E$1:$E$100,$I$1:$I$100 = 1))</f>
        <v>9.7065217391304355</v>
      </c>
      <c r="R10" s="12"/>
    </row>
    <row r="11" spans="1:20" x14ac:dyDescent="0.3">
      <c r="A11">
        <v>2</v>
      </c>
      <c r="B11">
        <v>0</v>
      </c>
      <c r="C11" t="s">
        <v>3</v>
      </c>
      <c r="D11" t="s">
        <v>2</v>
      </c>
      <c r="E11">
        <v>18</v>
      </c>
      <c r="F11" t="s">
        <v>21</v>
      </c>
      <c r="G11" t="s">
        <v>20</v>
      </c>
      <c r="H11">
        <v>34</v>
      </c>
      <c r="I11">
        <v>1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3</v>
      </c>
      <c r="D12" t="s">
        <v>2</v>
      </c>
      <c r="E12">
        <v>2</v>
      </c>
      <c r="F12" t="s">
        <v>21</v>
      </c>
      <c r="G12" t="s">
        <v>20</v>
      </c>
      <c r="H12">
        <v>13</v>
      </c>
      <c r="I12">
        <v>1</v>
      </c>
      <c r="K12" s="8" t="s">
        <v>5</v>
      </c>
      <c r="L12" s="8"/>
      <c r="M12" s="10">
        <f>AVERAGE($H$1:$H$100,)</f>
        <v>39.009900990099013</v>
      </c>
      <c r="N12" s="10"/>
      <c r="O12" s="10" cm="1">
        <f t="array" ref="O12">AVERAGE(_xlfn._xlws.FILTER($H$1:$H$100,$I$1:$I$100 = 0))</f>
        <v>17.75</v>
      </c>
      <c r="P12" s="10"/>
      <c r="Q12" s="10" cm="1">
        <f t="array" ref="Q12">AVERAGE(_xlfn._xlws.FILTER($H$1:$H$100,$I$1:$I$100 = 1))</f>
        <v>41.282608695652172</v>
      </c>
      <c r="R12" s="13"/>
    </row>
    <row r="13" spans="1:20" x14ac:dyDescent="0.3">
      <c r="A13">
        <v>2</v>
      </c>
      <c r="B13">
        <v>0</v>
      </c>
      <c r="C13" t="s">
        <v>3</v>
      </c>
      <c r="D13" t="s">
        <v>2</v>
      </c>
      <c r="E13">
        <v>0</v>
      </c>
      <c r="F13" t="s">
        <v>21</v>
      </c>
      <c r="G13" t="s">
        <v>20</v>
      </c>
      <c r="H13">
        <v>35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3</v>
      </c>
      <c r="D14" t="s">
        <v>2</v>
      </c>
      <c r="E14">
        <v>12</v>
      </c>
      <c r="F14" t="s">
        <v>21</v>
      </c>
      <c r="G14" t="s">
        <v>20</v>
      </c>
      <c r="H14">
        <v>32</v>
      </c>
      <c r="I14">
        <v>1</v>
      </c>
      <c r="K14" s="19" t="s">
        <v>4</v>
      </c>
      <c r="L14" s="12"/>
      <c r="M14" s="20" cm="1">
        <f t="array" ref="M14">AVERAGE($E$1:$E$100 - $H$1:$H$100)</f>
        <v>-28.31</v>
      </c>
      <c r="N14" s="20"/>
      <c r="O14" s="20" cm="1">
        <f t="array" ref="O14">AVERAGE(_xlfn._xlws.FILTER($E$1:$E$100 - $H$1:$H$100, I$1:I$100 = 0))</f>
        <v>9.25</v>
      </c>
      <c r="P14" s="20"/>
      <c r="Q14" s="20" cm="1">
        <f t="array" ref="Q14">AVERAGE(_xlfn._xlws.FILTER($E$1:$E$100 - $H$1:$H$100, I$1:I$100 = 1))</f>
        <v>-31.576086956521738</v>
      </c>
      <c r="R14" s="22"/>
    </row>
    <row r="15" spans="1:20" x14ac:dyDescent="0.3">
      <c r="A15">
        <v>2</v>
      </c>
      <c r="B15">
        <v>0</v>
      </c>
      <c r="C15" t="s">
        <v>3</v>
      </c>
      <c r="D15" t="s">
        <v>2</v>
      </c>
      <c r="E15">
        <v>24</v>
      </c>
      <c r="F15" t="s">
        <v>21</v>
      </c>
      <c r="G15" t="s">
        <v>20</v>
      </c>
      <c r="H15">
        <v>31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3</v>
      </c>
      <c r="D16" t="s">
        <v>2</v>
      </c>
      <c r="E16">
        <v>23</v>
      </c>
      <c r="F16" t="s">
        <v>21</v>
      </c>
      <c r="G16" t="s">
        <v>20</v>
      </c>
      <c r="H16">
        <v>56</v>
      </c>
      <c r="I16">
        <v>1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3</v>
      </c>
      <c r="D17" t="s">
        <v>2</v>
      </c>
      <c r="E17">
        <v>3</v>
      </c>
      <c r="F17" t="s">
        <v>21</v>
      </c>
      <c r="G17" t="s">
        <v>20</v>
      </c>
      <c r="H17">
        <v>40</v>
      </c>
      <c r="I17">
        <v>1</v>
      </c>
    </row>
    <row r="18" spans="1:9" x14ac:dyDescent="0.3">
      <c r="A18">
        <v>2</v>
      </c>
      <c r="B18">
        <v>0</v>
      </c>
      <c r="C18" t="s">
        <v>3</v>
      </c>
      <c r="D18" t="s">
        <v>2</v>
      </c>
      <c r="E18">
        <v>0</v>
      </c>
      <c r="F18" t="s">
        <v>21</v>
      </c>
      <c r="G18" t="s">
        <v>20</v>
      </c>
      <c r="H18">
        <v>18</v>
      </c>
      <c r="I18">
        <v>1</v>
      </c>
    </row>
    <row r="19" spans="1:9" x14ac:dyDescent="0.3">
      <c r="A19">
        <v>2</v>
      </c>
      <c r="B19">
        <v>0</v>
      </c>
      <c r="C19" t="s">
        <v>3</v>
      </c>
      <c r="D19" t="s">
        <v>2</v>
      </c>
      <c r="E19">
        <v>24</v>
      </c>
      <c r="F19" t="s">
        <v>21</v>
      </c>
      <c r="G19" t="s">
        <v>20</v>
      </c>
      <c r="H19">
        <v>47</v>
      </c>
      <c r="I19">
        <v>1</v>
      </c>
    </row>
    <row r="20" spans="1:9" x14ac:dyDescent="0.3">
      <c r="A20">
        <v>2</v>
      </c>
      <c r="B20">
        <v>0</v>
      </c>
      <c r="C20" t="s">
        <v>3</v>
      </c>
      <c r="D20" t="s">
        <v>2</v>
      </c>
      <c r="E20">
        <v>0</v>
      </c>
      <c r="F20" t="s">
        <v>21</v>
      </c>
      <c r="G20" t="s">
        <v>20</v>
      </c>
      <c r="H20">
        <v>59</v>
      </c>
      <c r="I20">
        <v>1</v>
      </c>
    </row>
    <row r="21" spans="1:9" x14ac:dyDescent="0.3">
      <c r="A21">
        <v>2</v>
      </c>
      <c r="B21">
        <v>0</v>
      </c>
      <c r="C21" t="s">
        <v>3</v>
      </c>
      <c r="D21" t="s">
        <v>2</v>
      </c>
      <c r="E21">
        <v>7</v>
      </c>
      <c r="F21" t="s">
        <v>21</v>
      </c>
      <c r="G21" t="s">
        <v>20</v>
      </c>
      <c r="H21">
        <v>29</v>
      </c>
      <c r="I21">
        <v>1</v>
      </c>
    </row>
    <row r="22" spans="1:9" x14ac:dyDescent="0.3">
      <c r="A22">
        <v>2</v>
      </c>
      <c r="B22">
        <v>0</v>
      </c>
      <c r="C22" t="s">
        <v>3</v>
      </c>
      <c r="D22" t="s">
        <v>2</v>
      </c>
      <c r="E22">
        <v>6</v>
      </c>
      <c r="F22" t="s">
        <v>21</v>
      </c>
      <c r="G22" t="s">
        <v>20</v>
      </c>
      <c r="H22">
        <v>35</v>
      </c>
      <c r="I22">
        <v>1</v>
      </c>
    </row>
    <row r="23" spans="1:9" x14ac:dyDescent="0.3">
      <c r="A23">
        <v>2</v>
      </c>
      <c r="B23">
        <v>0</v>
      </c>
      <c r="C23" t="s">
        <v>3</v>
      </c>
      <c r="D23" t="s">
        <v>2</v>
      </c>
      <c r="E23">
        <v>0</v>
      </c>
      <c r="F23" t="s">
        <v>21</v>
      </c>
      <c r="G23" t="s">
        <v>20</v>
      </c>
      <c r="H23">
        <v>44</v>
      </c>
      <c r="I23">
        <v>1</v>
      </c>
    </row>
    <row r="24" spans="1:9" x14ac:dyDescent="0.3">
      <c r="A24">
        <v>2</v>
      </c>
      <c r="B24">
        <v>0</v>
      </c>
      <c r="C24" t="s">
        <v>3</v>
      </c>
      <c r="D24" t="s">
        <v>2</v>
      </c>
      <c r="E24">
        <v>18</v>
      </c>
      <c r="F24" t="s">
        <v>21</v>
      </c>
      <c r="G24" t="s">
        <v>20</v>
      </c>
      <c r="H24">
        <v>15</v>
      </c>
      <c r="I24">
        <v>0</v>
      </c>
    </row>
    <row r="25" spans="1:9" x14ac:dyDescent="0.3">
      <c r="A25">
        <v>2</v>
      </c>
      <c r="B25">
        <v>0</v>
      </c>
      <c r="C25" t="s">
        <v>3</v>
      </c>
      <c r="D25" t="s">
        <v>2</v>
      </c>
      <c r="E25">
        <v>0</v>
      </c>
      <c r="F25" t="s">
        <v>21</v>
      </c>
      <c r="G25" t="s">
        <v>20</v>
      </c>
      <c r="H25">
        <v>55</v>
      </c>
      <c r="I25">
        <v>1</v>
      </c>
    </row>
    <row r="26" spans="1:9" x14ac:dyDescent="0.3">
      <c r="A26">
        <v>2</v>
      </c>
      <c r="B26">
        <v>0</v>
      </c>
      <c r="C26" t="s">
        <v>3</v>
      </c>
      <c r="D26" t="s">
        <v>2</v>
      </c>
      <c r="E26">
        <v>6</v>
      </c>
      <c r="F26" t="s">
        <v>21</v>
      </c>
      <c r="G26" t="s">
        <v>20</v>
      </c>
      <c r="H26">
        <v>38</v>
      </c>
      <c r="I26">
        <v>1</v>
      </c>
    </row>
    <row r="27" spans="1:9" x14ac:dyDescent="0.3">
      <c r="A27">
        <v>2</v>
      </c>
      <c r="B27">
        <v>0</v>
      </c>
      <c r="C27" t="s">
        <v>3</v>
      </c>
      <c r="D27" t="s">
        <v>2</v>
      </c>
      <c r="E27">
        <v>18</v>
      </c>
      <c r="F27" t="s">
        <v>21</v>
      </c>
      <c r="G27" t="s">
        <v>20</v>
      </c>
      <c r="H27">
        <v>45</v>
      </c>
      <c r="I27">
        <v>1</v>
      </c>
    </row>
    <row r="28" spans="1:9" x14ac:dyDescent="0.3">
      <c r="A28">
        <v>2</v>
      </c>
      <c r="B28">
        <v>0</v>
      </c>
      <c r="C28" t="s">
        <v>3</v>
      </c>
      <c r="D28" t="s">
        <v>2</v>
      </c>
      <c r="E28">
        <v>22</v>
      </c>
      <c r="F28" t="s">
        <v>21</v>
      </c>
      <c r="G28" t="s">
        <v>20</v>
      </c>
      <c r="H28">
        <v>56</v>
      </c>
      <c r="I28">
        <v>1</v>
      </c>
    </row>
    <row r="29" spans="1:9" x14ac:dyDescent="0.3">
      <c r="A29">
        <v>2</v>
      </c>
      <c r="B29">
        <v>0</v>
      </c>
      <c r="C29" t="s">
        <v>3</v>
      </c>
      <c r="D29" t="s">
        <v>2</v>
      </c>
      <c r="E29">
        <v>25</v>
      </c>
      <c r="F29" t="s">
        <v>21</v>
      </c>
      <c r="G29" t="s">
        <v>20</v>
      </c>
      <c r="H29">
        <v>50</v>
      </c>
      <c r="I29">
        <v>1</v>
      </c>
    </row>
    <row r="30" spans="1:9" x14ac:dyDescent="0.3">
      <c r="A30">
        <v>2</v>
      </c>
      <c r="B30">
        <v>0</v>
      </c>
      <c r="C30" t="s">
        <v>3</v>
      </c>
      <c r="D30" t="s">
        <v>2</v>
      </c>
      <c r="E30">
        <v>0</v>
      </c>
      <c r="F30" t="s">
        <v>21</v>
      </c>
      <c r="G30" t="s">
        <v>20</v>
      </c>
      <c r="H30">
        <v>55</v>
      </c>
      <c r="I30">
        <v>1</v>
      </c>
    </row>
    <row r="31" spans="1:9" x14ac:dyDescent="0.3">
      <c r="A31">
        <v>2</v>
      </c>
      <c r="B31">
        <v>0</v>
      </c>
      <c r="C31" t="s">
        <v>3</v>
      </c>
      <c r="D31" t="s">
        <v>2</v>
      </c>
      <c r="E31">
        <v>0</v>
      </c>
      <c r="F31" t="s">
        <v>21</v>
      </c>
      <c r="G31" t="s">
        <v>20</v>
      </c>
      <c r="H31">
        <v>49</v>
      </c>
      <c r="I31">
        <v>1</v>
      </c>
    </row>
    <row r="32" spans="1:9" x14ac:dyDescent="0.3">
      <c r="A32">
        <v>2</v>
      </c>
      <c r="B32">
        <v>0</v>
      </c>
      <c r="C32" t="s">
        <v>3</v>
      </c>
      <c r="D32" t="s">
        <v>2</v>
      </c>
      <c r="E32">
        <v>4</v>
      </c>
      <c r="F32" t="s">
        <v>21</v>
      </c>
      <c r="G32" t="s">
        <v>20</v>
      </c>
      <c r="H32">
        <v>43</v>
      </c>
      <c r="I32">
        <v>1</v>
      </c>
    </row>
    <row r="33" spans="1:9" x14ac:dyDescent="0.3">
      <c r="A33">
        <v>2</v>
      </c>
      <c r="B33">
        <v>0</v>
      </c>
      <c r="C33" t="s">
        <v>3</v>
      </c>
      <c r="D33" t="s">
        <v>2</v>
      </c>
      <c r="E33">
        <v>16</v>
      </c>
      <c r="F33" t="s">
        <v>21</v>
      </c>
      <c r="G33" t="s">
        <v>20</v>
      </c>
      <c r="H33">
        <v>24</v>
      </c>
      <c r="I33">
        <v>1</v>
      </c>
    </row>
    <row r="34" spans="1:9" x14ac:dyDescent="0.3">
      <c r="A34">
        <v>2</v>
      </c>
      <c r="B34">
        <v>0</v>
      </c>
      <c r="C34" t="s">
        <v>3</v>
      </c>
      <c r="D34" t="s">
        <v>2</v>
      </c>
      <c r="E34">
        <v>18</v>
      </c>
      <c r="F34" t="s">
        <v>21</v>
      </c>
      <c r="G34" t="s">
        <v>20</v>
      </c>
      <c r="H34">
        <v>49</v>
      </c>
      <c r="I34">
        <v>1</v>
      </c>
    </row>
    <row r="35" spans="1:9" x14ac:dyDescent="0.3">
      <c r="A35">
        <v>2</v>
      </c>
      <c r="B35">
        <v>0</v>
      </c>
      <c r="C35" t="s">
        <v>3</v>
      </c>
      <c r="D35" t="s">
        <v>2</v>
      </c>
      <c r="E35">
        <v>16</v>
      </c>
      <c r="F35" t="s">
        <v>21</v>
      </c>
      <c r="G35" t="s">
        <v>20</v>
      </c>
      <c r="H35">
        <v>57</v>
      </c>
      <c r="I35">
        <v>1</v>
      </c>
    </row>
    <row r="36" spans="1:9" x14ac:dyDescent="0.3">
      <c r="A36">
        <v>2</v>
      </c>
      <c r="B36">
        <v>0</v>
      </c>
      <c r="C36" t="s">
        <v>3</v>
      </c>
      <c r="D36" t="s">
        <v>2</v>
      </c>
      <c r="E36">
        <v>0</v>
      </c>
      <c r="F36" t="s">
        <v>21</v>
      </c>
      <c r="G36" t="s">
        <v>20</v>
      </c>
      <c r="H36">
        <v>51</v>
      </c>
      <c r="I36">
        <v>1</v>
      </c>
    </row>
    <row r="37" spans="1:9" x14ac:dyDescent="0.3">
      <c r="A37">
        <v>2</v>
      </c>
      <c r="B37">
        <v>0</v>
      </c>
      <c r="C37" t="s">
        <v>3</v>
      </c>
      <c r="D37" t="s">
        <v>2</v>
      </c>
      <c r="E37">
        <v>10</v>
      </c>
      <c r="F37" t="s">
        <v>21</v>
      </c>
      <c r="G37" t="s">
        <v>20</v>
      </c>
      <c r="H37">
        <v>44</v>
      </c>
      <c r="I37">
        <v>1</v>
      </c>
    </row>
    <row r="38" spans="1:9" x14ac:dyDescent="0.3">
      <c r="A38">
        <v>2</v>
      </c>
      <c r="B38">
        <v>0</v>
      </c>
      <c r="C38" t="s">
        <v>3</v>
      </c>
      <c r="D38" t="s">
        <v>2</v>
      </c>
      <c r="E38">
        <v>20</v>
      </c>
      <c r="F38" t="s">
        <v>21</v>
      </c>
      <c r="G38" t="s">
        <v>20</v>
      </c>
      <c r="H38">
        <v>74</v>
      </c>
      <c r="I38">
        <v>1</v>
      </c>
    </row>
    <row r="39" spans="1:9" x14ac:dyDescent="0.3">
      <c r="A39">
        <v>2</v>
      </c>
      <c r="B39">
        <v>0</v>
      </c>
      <c r="C39" t="s">
        <v>3</v>
      </c>
      <c r="D39" t="s">
        <v>2</v>
      </c>
      <c r="E39">
        <v>13</v>
      </c>
      <c r="F39" t="s">
        <v>21</v>
      </c>
      <c r="G39" t="s">
        <v>20</v>
      </c>
      <c r="H39">
        <v>24</v>
      </c>
      <c r="I39">
        <v>1</v>
      </c>
    </row>
    <row r="40" spans="1:9" x14ac:dyDescent="0.3">
      <c r="A40">
        <v>2</v>
      </c>
      <c r="B40">
        <v>0</v>
      </c>
      <c r="C40" t="s">
        <v>3</v>
      </c>
      <c r="D40" t="s">
        <v>2</v>
      </c>
      <c r="E40">
        <v>0</v>
      </c>
      <c r="F40" t="s">
        <v>21</v>
      </c>
      <c r="G40" t="s">
        <v>20</v>
      </c>
      <c r="H40">
        <v>52</v>
      </c>
      <c r="I40">
        <v>1</v>
      </c>
    </row>
    <row r="41" spans="1:9" x14ac:dyDescent="0.3">
      <c r="A41">
        <v>2</v>
      </c>
      <c r="B41">
        <v>0</v>
      </c>
      <c r="C41" t="s">
        <v>3</v>
      </c>
      <c r="D41" t="s">
        <v>2</v>
      </c>
      <c r="E41">
        <v>27</v>
      </c>
      <c r="F41" t="s">
        <v>21</v>
      </c>
      <c r="G41" t="s">
        <v>20</v>
      </c>
      <c r="H41">
        <v>35</v>
      </c>
      <c r="I41">
        <v>1</v>
      </c>
    </row>
    <row r="42" spans="1:9" x14ac:dyDescent="0.3">
      <c r="A42">
        <v>2</v>
      </c>
      <c r="B42">
        <v>0</v>
      </c>
      <c r="C42" t="s">
        <v>3</v>
      </c>
      <c r="D42" t="s">
        <v>2</v>
      </c>
      <c r="E42">
        <v>4</v>
      </c>
      <c r="F42" t="s">
        <v>21</v>
      </c>
      <c r="G42" t="s">
        <v>20</v>
      </c>
      <c r="H42">
        <v>43</v>
      </c>
      <c r="I42">
        <v>1</v>
      </c>
    </row>
    <row r="43" spans="1:9" x14ac:dyDescent="0.3">
      <c r="A43">
        <v>2</v>
      </c>
      <c r="B43">
        <v>0</v>
      </c>
      <c r="C43" t="s">
        <v>3</v>
      </c>
      <c r="D43" t="s">
        <v>2</v>
      </c>
      <c r="E43">
        <v>15</v>
      </c>
      <c r="F43" t="s">
        <v>21</v>
      </c>
      <c r="G43" t="s">
        <v>20</v>
      </c>
      <c r="H43">
        <v>15</v>
      </c>
      <c r="I43">
        <v>0</v>
      </c>
    </row>
    <row r="44" spans="1:9" x14ac:dyDescent="0.3">
      <c r="A44">
        <v>2</v>
      </c>
      <c r="B44">
        <v>0</v>
      </c>
      <c r="C44" t="s">
        <v>3</v>
      </c>
      <c r="D44" t="s">
        <v>2</v>
      </c>
      <c r="E44">
        <v>0</v>
      </c>
      <c r="F44" t="s">
        <v>21</v>
      </c>
      <c r="G44" t="s">
        <v>20</v>
      </c>
      <c r="H44">
        <v>31</v>
      </c>
      <c r="I44">
        <v>1</v>
      </c>
    </row>
    <row r="45" spans="1:9" x14ac:dyDescent="0.3">
      <c r="A45">
        <v>2</v>
      </c>
      <c r="B45">
        <v>0</v>
      </c>
      <c r="C45" t="s">
        <v>3</v>
      </c>
      <c r="D45" t="s">
        <v>2</v>
      </c>
      <c r="E45">
        <v>1</v>
      </c>
      <c r="F45" t="s">
        <v>21</v>
      </c>
      <c r="G45" t="s">
        <v>20</v>
      </c>
      <c r="H45">
        <v>33</v>
      </c>
      <c r="I45">
        <v>1</v>
      </c>
    </row>
    <row r="46" spans="1:9" x14ac:dyDescent="0.3">
      <c r="A46">
        <v>2</v>
      </c>
      <c r="B46">
        <v>0</v>
      </c>
      <c r="C46" t="s">
        <v>3</v>
      </c>
      <c r="D46" t="s">
        <v>2</v>
      </c>
      <c r="E46">
        <v>13</v>
      </c>
      <c r="F46" t="s">
        <v>21</v>
      </c>
      <c r="G46" t="s">
        <v>20</v>
      </c>
      <c r="H46">
        <v>28</v>
      </c>
      <c r="I46">
        <v>1</v>
      </c>
    </row>
    <row r="47" spans="1:9" x14ac:dyDescent="0.3">
      <c r="A47">
        <v>2</v>
      </c>
      <c r="B47">
        <v>0</v>
      </c>
      <c r="C47" t="s">
        <v>3</v>
      </c>
      <c r="D47" t="s">
        <v>2</v>
      </c>
      <c r="E47">
        <v>8</v>
      </c>
      <c r="F47" t="s">
        <v>21</v>
      </c>
      <c r="G47" t="s">
        <v>20</v>
      </c>
      <c r="H47">
        <v>35</v>
      </c>
      <c r="I47">
        <v>1</v>
      </c>
    </row>
    <row r="48" spans="1:9" x14ac:dyDescent="0.3">
      <c r="A48">
        <v>2</v>
      </c>
      <c r="B48">
        <v>0</v>
      </c>
      <c r="C48" t="s">
        <v>3</v>
      </c>
      <c r="D48" t="s">
        <v>2</v>
      </c>
      <c r="E48">
        <v>25</v>
      </c>
      <c r="F48" t="s">
        <v>21</v>
      </c>
      <c r="G48" t="s">
        <v>20</v>
      </c>
      <c r="H48">
        <v>15</v>
      </c>
      <c r="I48">
        <v>0</v>
      </c>
    </row>
    <row r="49" spans="1:9" x14ac:dyDescent="0.3">
      <c r="A49">
        <v>2</v>
      </c>
      <c r="B49">
        <v>0</v>
      </c>
      <c r="C49" t="s">
        <v>3</v>
      </c>
      <c r="D49" t="s">
        <v>2</v>
      </c>
      <c r="E49">
        <v>26</v>
      </c>
      <c r="F49" t="s">
        <v>21</v>
      </c>
      <c r="G49" t="s">
        <v>20</v>
      </c>
      <c r="H49">
        <v>52</v>
      </c>
      <c r="I49">
        <v>1</v>
      </c>
    </row>
    <row r="50" spans="1:9" x14ac:dyDescent="0.3">
      <c r="A50">
        <v>2</v>
      </c>
      <c r="B50">
        <v>0</v>
      </c>
      <c r="C50" t="s">
        <v>3</v>
      </c>
      <c r="D50" t="s">
        <v>2</v>
      </c>
      <c r="E50">
        <v>0</v>
      </c>
      <c r="F50" t="s">
        <v>21</v>
      </c>
      <c r="G50" t="s">
        <v>20</v>
      </c>
      <c r="H50">
        <v>17</v>
      </c>
      <c r="I50">
        <v>1</v>
      </c>
    </row>
    <row r="51" spans="1:9" x14ac:dyDescent="0.3">
      <c r="A51">
        <v>2</v>
      </c>
      <c r="B51">
        <v>1</v>
      </c>
      <c r="C51" t="s">
        <v>3</v>
      </c>
      <c r="D51" t="s">
        <v>2</v>
      </c>
      <c r="E51">
        <v>21</v>
      </c>
      <c r="F51" t="s">
        <v>21</v>
      </c>
      <c r="G51" t="s">
        <v>20</v>
      </c>
      <c r="H51">
        <v>43</v>
      </c>
      <c r="I51">
        <v>1</v>
      </c>
    </row>
    <row r="52" spans="1:9" x14ac:dyDescent="0.3">
      <c r="A52">
        <v>2</v>
      </c>
      <c r="B52">
        <v>1</v>
      </c>
      <c r="C52" t="s">
        <v>3</v>
      </c>
      <c r="D52" t="s">
        <v>2</v>
      </c>
      <c r="E52">
        <v>6</v>
      </c>
      <c r="F52" t="s">
        <v>21</v>
      </c>
      <c r="G52" t="s">
        <v>20</v>
      </c>
      <c r="H52">
        <v>49</v>
      </c>
      <c r="I52">
        <v>1</v>
      </c>
    </row>
    <row r="53" spans="1:9" x14ac:dyDescent="0.3">
      <c r="A53">
        <v>2</v>
      </c>
      <c r="B53">
        <v>1</v>
      </c>
      <c r="C53" t="s">
        <v>3</v>
      </c>
      <c r="D53" t="s">
        <v>2</v>
      </c>
      <c r="E53">
        <v>2</v>
      </c>
      <c r="F53" t="s">
        <v>21</v>
      </c>
      <c r="G53" t="s">
        <v>20</v>
      </c>
      <c r="H53">
        <v>20</v>
      </c>
      <c r="I53">
        <v>1</v>
      </c>
    </row>
    <row r="54" spans="1:9" x14ac:dyDescent="0.3">
      <c r="A54">
        <v>2</v>
      </c>
      <c r="B54">
        <v>1</v>
      </c>
      <c r="C54" t="s">
        <v>3</v>
      </c>
      <c r="D54" t="s">
        <v>2</v>
      </c>
      <c r="E54">
        <v>5</v>
      </c>
      <c r="F54" t="s">
        <v>21</v>
      </c>
      <c r="G54" t="s">
        <v>20</v>
      </c>
      <c r="H54">
        <v>30</v>
      </c>
      <c r="I54">
        <v>1</v>
      </c>
    </row>
    <row r="55" spans="1:9" x14ac:dyDescent="0.3">
      <c r="A55">
        <v>2</v>
      </c>
      <c r="B55">
        <v>1</v>
      </c>
      <c r="C55" t="s">
        <v>3</v>
      </c>
      <c r="D55" t="s">
        <v>2</v>
      </c>
      <c r="E55">
        <v>34</v>
      </c>
      <c r="F55" t="s">
        <v>21</v>
      </c>
      <c r="G55" t="s">
        <v>20</v>
      </c>
      <c r="H55">
        <v>7</v>
      </c>
      <c r="I55">
        <v>0</v>
      </c>
    </row>
    <row r="56" spans="1:9" x14ac:dyDescent="0.3">
      <c r="A56">
        <v>2</v>
      </c>
      <c r="B56">
        <v>1</v>
      </c>
      <c r="C56" t="s">
        <v>3</v>
      </c>
      <c r="D56" t="s">
        <v>2</v>
      </c>
      <c r="E56">
        <v>13</v>
      </c>
      <c r="F56" t="s">
        <v>21</v>
      </c>
      <c r="G56" t="s">
        <v>20</v>
      </c>
      <c r="H56">
        <v>28</v>
      </c>
      <c r="I56">
        <v>1</v>
      </c>
    </row>
    <row r="57" spans="1:9" x14ac:dyDescent="0.3">
      <c r="A57">
        <v>2</v>
      </c>
      <c r="B57">
        <v>1</v>
      </c>
      <c r="C57" t="s">
        <v>3</v>
      </c>
      <c r="D57" t="s">
        <v>2</v>
      </c>
      <c r="E57">
        <v>39</v>
      </c>
      <c r="F57" t="s">
        <v>21</v>
      </c>
      <c r="G57" t="s">
        <v>20</v>
      </c>
      <c r="H57">
        <v>55</v>
      </c>
      <c r="I57">
        <v>1</v>
      </c>
    </row>
    <row r="58" spans="1:9" x14ac:dyDescent="0.3">
      <c r="A58">
        <v>2</v>
      </c>
      <c r="B58">
        <v>1</v>
      </c>
      <c r="C58" t="s">
        <v>3</v>
      </c>
      <c r="D58" t="s">
        <v>2</v>
      </c>
      <c r="E58">
        <v>1</v>
      </c>
      <c r="F58" t="s">
        <v>21</v>
      </c>
      <c r="G58" t="s">
        <v>20</v>
      </c>
      <c r="H58">
        <v>43</v>
      </c>
      <c r="I58">
        <v>1</v>
      </c>
    </row>
    <row r="59" spans="1:9" x14ac:dyDescent="0.3">
      <c r="A59">
        <v>2</v>
      </c>
      <c r="B59">
        <v>1</v>
      </c>
      <c r="C59" t="s">
        <v>3</v>
      </c>
      <c r="D59" t="s">
        <v>2</v>
      </c>
      <c r="E59">
        <v>2</v>
      </c>
      <c r="F59" t="s">
        <v>21</v>
      </c>
      <c r="G59" t="s">
        <v>20</v>
      </c>
      <c r="H59">
        <v>39</v>
      </c>
      <c r="I59">
        <v>1</v>
      </c>
    </row>
    <row r="60" spans="1:9" x14ac:dyDescent="0.3">
      <c r="A60">
        <v>2</v>
      </c>
      <c r="B60">
        <v>1</v>
      </c>
      <c r="C60" t="s">
        <v>3</v>
      </c>
      <c r="D60" t="s">
        <v>2</v>
      </c>
      <c r="E60">
        <v>16</v>
      </c>
      <c r="F60" t="s">
        <v>21</v>
      </c>
      <c r="G60" t="s">
        <v>20</v>
      </c>
      <c r="H60">
        <v>44</v>
      </c>
      <c r="I60">
        <v>1</v>
      </c>
    </row>
    <row r="61" spans="1:9" x14ac:dyDescent="0.3">
      <c r="A61">
        <v>2</v>
      </c>
      <c r="B61">
        <v>1</v>
      </c>
      <c r="C61" t="s">
        <v>3</v>
      </c>
      <c r="D61" t="s">
        <v>2</v>
      </c>
      <c r="E61">
        <v>0</v>
      </c>
      <c r="F61" t="s">
        <v>21</v>
      </c>
      <c r="G61" t="s">
        <v>20</v>
      </c>
      <c r="H61">
        <v>36</v>
      </c>
      <c r="I61">
        <v>1</v>
      </c>
    </row>
    <row r="62" spans="1:9" x14ac:dyDescent="0.3">
      <c r="A62">
        <v>2</v>
      </c>
      <c r="B62">
        <v>1</v>
      </c>
      <c r="C62" t="s">
        <v>3</v>
      </c>
      <c r="D62" t="s">
        <v>2</v>
      </c>
      <c r="E62">
        <v>0</v>
      </c>
      <c r="F62" t="s">
        <v>21</v>
      </c>
      <c r="G62" t="s">
        <v>20</v>
      </c>
      <c r="H62">
        <v>44</v>
      </c>
      <c r="I62">
        <v>1</v>
      </c>
    </row>
    <row r="63" spans="1:9" x14ac:dyDescent="0.3">
      <c r="A63">
        <v>2</v>
      </c>
      <c r="B63">
        <v>1</v>
      </c>
      <c r="C63" t="s">
        <v>3</v>
      </c>
      <c r="D63" t="s">
        <v>2</v>
      </c>
      <c r="E63">
        <v>15</v>
      </c>
      <c r="F63" t="s">
        <v>21</v>
      </c>
      <c r="G63" t="s">
        <v>20</v>
      </c>
      <c r="H63">
        <v>21</v>
      </c>
      <c r="I63">
        <v>1</v>
      </c>
    </row>
    <row r="64" spans="1:9" x14ac:dyDescent="0.3">
      <c r="A64">
        <v>2</v>
      </c>
      <c r="B64">
        <v>1</v>
      </c>
      <c r="C64" t="s">
        <v>3</v>
      </c>
      <c r="D64" t="s">
        <v>2</v>
      </c>
      <c r="E64">
        <v>18</v>
      </c>
      <c r="F64" t="s">
        <v>21</v>
      </c>
      <c r="G64" t="s">
        <v>20</v>
      </c>
      <c r="H64">
        <v>66</v>
      </c>
      <c r="I64">
        <v>1</v>
      </c>
    </row>
    <row r="65" spans="1:9" x14ac:dyDescent="0.3">
      <c r="A65">
        <v>2</v>
      </c>
      <c r="B65">
        <v>1</v>
      </c>
      <c r="C65" t="s">
        <v>3</v>
      </c>
      <c r="D65" t="s">
        <v>2</v>
      </c>
      <c r="E65">
        <v>33</v>
      </c>
      <c r="F65" t="s">
        <v>21</v>
      </c>
      <c r="G65" t="s">
        <v>20</v>
      </c>
      <c r="H65">
        <v>73</v>
      </c>
      <c r="I65">
        <v>1</v>
      </c>
    </row>
    <row r="66" spans="1:9" x14ac:dyDescent="0.3">
      <c r="A66">
        <v>2</v>
      </c>
      <c r="B66">
        <v>1</v>
      </c>
      <c r="C66" t="s">
        <v>3</v>
      </c>
      <c r="D66" t="s">
        <v>2</v>
      </c>
      <c r="E66">
        <v>4</v>
      </c>
      <c r="F66" t="s">
        <v>21</v>
      </c>
      <c r="G66" t="s">
        <v>20</v>
      </c>
      <c r="H66">
        <v>22</v>
      </c>
      <c r="I66">
        <v>1</v>
      </c>
    </row>
    <row r="67" spans="1:9" x14ac:dyDescent="0.3">
      <c r="A67">
        <v>2</v>
      </c>
      <c r="B67">
        <v>1</v>
      </c>
      <c r="C67" t="s">
        <v>3</v>
      </c>
      <c r="D67" t="s">
        <v>2</v>
      </c>
      <c r="E67">
        <v>0</v>
      </c>
      <c r="F67" t="s">
        <v>21</v>
      </c>
      <c r="G67" t="s">
        <v>20</v>
      </c>
      <c r="H67">
        <v>36</v>
      </c>
      <c r="I67">
        <v>1</v>
      </c>
    </row>
    <row r="68" spans="1:9" x14ac:dyDescent="0.3">
      <c r="A68">
        <v>2</v>
      </c>
      <c r="B68">
        <v>1</v>
      </c>
      <c r="C68" t="s">
        <v>3</v>
      </c>
      <c r="D68" t="s">
        <v>2</v>
      </c>
      <c r="E68">
        <v>0</v>
      </c>
      <c r="F68" t="s">
        <v>21</v>
      </c>
      <c r="G68" t="s">
        <v>20</v>
      </c>
      <c r="H68">
        <v>35</v>
      </c>
      <c r="I68">
        <v>1</v>
      </c>
    </row>
    <row r="69" spans="1:9" x14ac:dyDescent="0.3">
      <c r="A69">
        <v>2</v>
      </c>
      <c r="B69">
        <v>1</v>
      </c>
      <c r="C69" t="s">
        <v>3</v>
      </c>
      <c r="D69" t="s">
        <v>2</v>
      </c>
      <c r="E69">
        <v>44</v>
      </c>
      <c r="F69" t="s">
        <v>21</v>
      </c>
      <c r="G69" t="s">
        <v>20</v>
      </c>
      <c r="H69">
        <v>37</v>
      </c>
      <c r="I69">
        <v>0</v>
      </c>
    </row>
    <row r="70" spans="1:9" x14ac:dyDescent="0.3">
      <c r="A70">
        <v>2</v>
      </c>
      <c r="B70">
        <v>1</v>
      </c>
      <c r="C70" t="s">
        <v>3</v>
      </c>
      <c r="D70" t="s">
        <v>2</v>
      </c>
      <c r="E70">
        <v>27</v>
      </c>
      <c r="F70" t="s">
        <v>21</v>
      </c>
      <c r="G70" t="s">
        <v>20</v>
      </c>
      <c r="H70">
        <v>41</v>
      </c>
      <c r="I70">
        <v>1</v>
      </c>
    </row>
    <row r="71" spans="1:9" x14ac:dyDescent="0.3">
      <c r="A71">
        <v>2</v>
      </c>
      <c r="B71">
        <v>1</v>
      </c>
      <c r="C71" t="s">
        <v>3</v>
      </c>
      <c r="D71" t="s">
        <v>2</v>
      </c>
      <c r="E71">
        <v>16</v>
      </c>
      <c r="F71" t="s">
        <v>21</v>
      </c>
      <c r="G71" t="s">
        <v>20</v>
      </c>
      <c r="H71">
        <v>45</v>
      </c>
      <c r="I71">
        <v>1</v>
      </c>
    </row>
    <row r="72" spans="1:9" x14ac:dyDescent="0.3">
      <c r="A72">
        <v>2</v>
      </c>
      <c r="B72">
        <v>1</v>
      </c>
      <c r="C72" t="s">
        <v>3</v>
      </c>
      <c r="D72" t="s">
        <v>2</v>
      </c>
      <c r="E72">
        <v>8</v>
      </c>
      <c r="F72" t="s">
        <v>21</v>
      </c>
      <c r="G72" t="s">
        <v>20</v>
      </c>
      <c r="H72">
        <v>31</v>
      </c>
      <c r="I72">
        <v>1</v>
      </c>
    </row>
    <row r="73" spans="1:9" x14ac:dyDescent="0.3">
      <c r="A73">
        <v>2</v>
      </c>
      <c r="B73">
        <v>1</v>
      </c>
      <c r="C73" t="s">
        <v>3</v>
      </c>
      <c r="D73" t="s">
        <v>2</v>
      </c>
      <c r="E73">
        <v>9</v>
      </c>
      <c r="F73" t="s">
        <v>21</v>
      </c>
      <c r="G73" t="s">
        <v>20</v>
      </c>
      <c r="H73">
        <v>36</v>
      </c>
      <c r="I73">
        <v>1</v>
      </c>
    </row>
    <row r="74" spans="1:9" x14ac:dyDescent="0.3">
      <c r="A74">
        <v>2</v>
      </c>
      <c r="B74">
        <v>1</v>
      </c>
      <c r="C74" t="s">
        <v>3</v>
      </c>
      <c r="D74" t="s">
        <v>2</v>
      </c>
      <c r="E74">
        <v>22</v>
      </c>
      <c r="F74" t="s">
        <v>21</v>
      </c>
      <c r="G74" t="s">
        <v>20</v>
      </c>
      <c r="H74">
        <v>16</v>
      </c>
      <c r="I74">
        <v>0</v>
      </c>
    </row>
    <row r="75" spans="1:9" x14ac:dyDescent="0.3">
      <c r="A75">
        <v>2</v>
      </c>
      <c r="B75">
        <v>1</v>
      </c>
      <c r="C75" t="s">
        <v>3</v>
      </c>
      <c r="D75" t="s">
        <v>2</v>
      </c>
      <c r="E75">
        <v>23</v>
      </c>
      <c r="F75" t="s">
        <v>21</v>
      </c>
      <c r="G75" t="s">
        <v>20</v>
      </c>
      <c r="H75">
        <v>34</v>
      </c>
      <c r="I75">
        <v>1</v>
      </c>
    </row>
    <row r="76" spans="1:9" x14ac:dyDescent="0.3">
      <c r="A76">
        <v>2</v>
      </c>
      <c r="B76">
        <v>1</v>
      </c>
      <c r="C76" t="s">
        <v>3</v>
      </c>
      <c r="D76" t="s">
        <v>2</v>
      </c>
      <c r="E76">
        <v>9</v>
      </c>
      <c r="F76" t="s">
        <v>21</v>
      </c>
      <c r="G76" t="s">
        <v>20</v>
      </c>
      <c r="H76">
        <v>47</v>
      </c>
      <c r="I76">
        <v>1</v>
      </c>
    </row>
    <row r="77" spans="1:9" x14ac:dyDescent="0.3">
      <c r="A77">
        <v>2</v>
      </c>
      <c r="B77">
        <v>1</v>
      </c>
      <c r="C77" t="s">
        <v>3</v>
      </c>
      <c r="D77" t="s">
        <v>2</v>
      </c>
      <c r="E77">
        <v>8</v>
      </c>
      <c r="F77" t="s">
        <v>21</v>
      </c>
      <c r="G77" t="s">
        <v>20</v>
      </c>
      <c r="H77">
        <v>36</v>
      </c>
      <c r="I77">
        <v>1</v>
      </c>
    </row>
    <row r="78" spans="1:9" x14ac:dyDescent="0.3">
      <c r="A78">
        <v>2</v>
      </c>
      <c r="B78">
        <v>1</v>
      </c>
      <c r="C78" t="s">
        <v>3</v>
      </c>
      <c r="D78" t="s">
        <v>2</v>
      </c>
      <c r="E78">
        <v>33</v>
      </c>
      <c r="F78" t="s">
        <v>21</v>
      </c>
      <c r="G78" t="s">
        <v>20</v>
      </c>
      <c r="H78">
        <v>14</v>
      </c>
      <c r="I78">
        <v>0</v>
      </c>
    </row>
    <row r="79" spans="1:9" x14ac:dyDescent="0.3">
      <c r="A79">
        <v>2</v>
      </c>
      <c r="B79">
        <v>1</v>
      </c>
      <c r="C79" t="s">
        <v>3</v>
      </c>
      <c r="D79" t="s">
        <v>2</v>
      </c>
      <c r="E79">
        <v>16</v>
      </c>
      <c r="F79" t="s">
        <v>21</v>
      </c>
      <c r="G79" t="s">
        <v>20</v>
      </c>
      <c r="H79">
        <v>46</v>
      </c>
      <c r="I79">
        <v>1</v>
      </c>
    </row>
    <row r="80" spans="1:9" x14ac:dyDescent="0.3">
      <c r="A80">
        <v>2</v>
      </c>
      <c r="B80">
        <v>1</v>
      </c>
      <c r="C80" t="s">
        <v>3</v>
      </c>
      <c r="D80" t="s">
        <v>2</v>
      </c>
      <c r="E80">
        <v>7</v>
      </c>
      <c r="F80" t="s">
        <v>21</v>
      </c>
      <c r="G80" t="s">
        <v>20</v>
      </c>
      <c r="H80">
        <v>49</v>
      </c>
      <c r="I80">
        <v>1</v>
      </c>
    </row>
    <row r="81" spans="1:9" x14ac:dyDescent="0.3">
      <c r="A81">
        <v>2</v>
      </c>
      <c r="B81">
        <v>1</v>
      </c>
      <c r="C81" t="s">
        <v>3</v>
      </c>
      <c r="D81" t="s">
        <v>2</v>
      </c>
      <c r="E81">
        <v>6</v>
      </c>
      <c r="F81" t="s">
        <v>21</v>
      </c>
      <c r="G81" t="s">
        <v>20</v>
      </c>
      <c r="H81">
        <v>35</v>
      </c>
      <c r="I81">
        <v>1</v>
      </c>
    </row>
    <row r="82" spans="1:9" x14ac:dyDescent="0.3">
      <c r="A82">
        <v>2</v>
      </c>
      <c r="B82">
        <v>1</v>
      </c>
      <c r="C82" t="s">
        <v>3</v>
      </c>
      <c r="D82" t="s">
        <v>2</v>
      </c>
      <c r="E82">
        <v>0</v>
      </c>
      <c r="F82" t="s">
        <v>21</v>
      </c>
      <c r="G82" t="s">
        <v>20</v>
      </c>
      <c r="H82">
        <v>35</v>
      </c>
      <c r="I82">
        <v>1</v>
      </c>
    </row>
    <row r="83" spans="1:9" x14ac:dyDescent="0.3">
      <c r="A83">
        <v>2</v>
      </c>
      <c r="B83">
        <v>1</v>
      </c>
      <c r="C83" t="s">
        <v>3</v>
      </c>
      <c r="D83" t="s">
        <v>2</v>
      </c>
      <c r="E83">
        <v>13</v>
      </c>
      <c r="F83" t="s">
        <v>21</v>
      </c>
      <c r="G83" t="s">
        <v>20</v>
      </c>
      <c r="H83">
        <v>29</v>
      </c>
      <c r="I83">
        <v>1</v>
      </c>
    </row>
    <row r="84" spans="1:9" x14ac:dyDescent="0.3">
      <c r="A84">
        <v>2</v>
      </c>
      <c r="B84">
        <v>1</v>
      </c>
      <c r="C84" t="s">
        <v>3</v>
      </c>
      <c r="D84" t="s">
        <v>2</v>
      </c>
      <c r="E84">
        <v>0</v>
      </c>
      <c r="F84" t="s">
        <v>21</v>
      </c>
      <c r="G84" t="s">
        <v>20</v>
      </c>
      <c r="H84">
        <v>25</v>
      </c>
      <c r="I84">
        <v>1</v>
      </c>
    </row>
    <row r="85" spans="1:9" x14ac:dyDescent="0.3">
      <c r="A85">
        <v>2</v>
      </c>
      <c r="B85">
        <v>1</v>
      </c>
      <c r="C85" t="s">
        <v>3</v>
      </c>
      <c r="D85" t="s">
        <v>2</v>
      </c>
      <c r="E85">
        <v>11</v>
      </c>
      <c r="F85" t="s">
        <v>21</v>
      </c>
      <c r="G85" t="s">
        <v>20</v>
      </c>
      <c r="H85">
        <v>49</v>
      </c>
      <c r="I85">
        <v>1</v>
      </c>
    </row>
    <row r="86" spans="1:9" x14ac:dyDescent="0.3">
      <c r="A86">
        <v>2</v>
      </c>
      <c r="B86">
        <v>1</v>
      </c>
      <c r="C86" t="s">
        <v>3</v>
      </c>
      <c r="D86" t="s">
        <v>2</v>
      </c>
      <c r="E86">
        <v>12</v>
      </c>
      <c r="F86" t="s">
        <v>21</v>
      </c>
      <c r="G86" t="s">
        <v>20</v>
      </c>
      <c r="H86">
        <v>39</v>
      </c>
      <c r="I86">
        <v>1</v>
      </c>
    </row>
    <row r="87" spans="1:9" x14ac:dyDescent="0.3">
      <c r="A87">
        <v>2</v>
      </c>
      <c r="B87">
        <v>1</v>
      </c>
      <c r="C87" t="s">
        <v>3</v>
      </c>
      <c r="D87" t="s">
        <v>2</v>
      </c>
      <c r="E87">
        <v>2</v>
      </c>
      <c r="F87" t="s">
        <v>21</v>
      </c>
      <c r="G87" t="s">
        <v>20</v>
      </c>
      <c r="H87">
        <v>35</v>
      </c>
      <c r="I87">
        <v>1</v>
      </c>
    </row>
    <row r="88" spans="1:9" x14ac:dyDescent="0.3">
      <c r="A88">
        <v>2</v>
      </c>
      <c r="B88">
        <v>1</v>
      </c>
      <c r="C88" t="s">
        <v>3</v>
      </c>
      <c r="D88" t="s">
        <v>2</v>
      </c>
      <c r="E88">
        <v>13</v>
      </c>
      <c r="F88" t="s">
        <v>21</v>
      </c>
      <c r="G88" t="s">
        <v>20</v>
      </c>
      <c r="H88">
        <v>76</v>
      </c>
      <c r="I88">
        <v>1</v>
      </c>
    </row>
    <row r="89" spans="1:9" x14ac:dyDescent="0.3">
      <c r="A89">
        <v>2</v>
      </c>
      <c r="B89">
        <v>1</v>
      </c>
      <c r="C89" t="s">
        <v>3</v>
      </c>
      <c r="D89" t="s">
        <v>2</v>
      </c>
      <c r="E89">
        <v>10</v>
      </c>
      <c r="F89" t="s">
        <v>21</v>
      </c>
      <c r="G89" t="s">
        <v>20</v>
      </c>
      <c r="H89">
        <v>77</v>
      </c>
      <c r="I89">
        <v>1</v>
      </c>
    </row>
    <row r="90" spans="1:9" x14ac:dyDescent="0.3">
      <c r="A90">
        <v>2</v>
      </c>
      <c r="B90">
        <v>1</v>
      </c>
      <c r="C90" t="s">
        <v>3</v>
      </c>
      <c r="D90" t="s">
        <v>2</v>
      </c>
      <c r="E90">
        <v>7</v>
      </c>
      <c r="F90" t="s">
        <v>21</v>
      </c>
      <c r="G90" t="s">
        <v>20</v>
      </c>
      <c r="H90">
        <v>46</v>
      </c>
      <c r="I90">
        <v>1</v>
      </c>
    </row>
    <row r="91" spans="1:9" x14ac:dyDescent="0.3">
      <c r="A91">
        <v>2</v>
      </c>
      <c r="B91">
        <v>1</v>
      </c>
      <c r="C91" t="s">
        <v>3</v>
      </c>
      <c r="D91" t="s">
        <v>2</v>
      </c>
      <c r="E91">
        <v>1</v>
      </c>
      <c r="F91" t="s">
        <v>21</v>
      </c>
      <c r="G91" t="s">
        <v>20</v>
      </c>
      <c r="H91">
        <v>36</v>
      </c>
      <c r="I91">
        <v>1</v>
      </c>
    </row>
    <row r="92" spans="1:9" x14ac:dyDescent="0.3">
      <c r="A92">
        <v>2</v>
      </c>
      <c r="B92">
        <v>1</v>
      </c>
      <c r="C92" t="s">
        <v>3</v>
      </c>
      <c r="D92" t="s">
        <v>2</v>
      </c>
      <c r="E92">
        <v>13</v>
      </c>
      <c r="F92" t="s">
        <v>21</v>
      </c>
      <c r="G92" t="s">
        <v>20</v>
      </c>
      <c r="H92">
        <v>53</v>
      </c>
      <c r="I92">
        <v>1</v>
      </c>
    </row>
    <row r="93" spans="1:9" x14ac:dyDescent="0.3">
      <c r="A93">
        <v>2</v>
      </c>
      <c r="B93">
        <v>1</v>
      </c>
      <c r="C93" t="s">
        <v>3</v>
      </c>
      <c r="D93" t="s">
        <v>2</v>
      </c>
      <c r="E93">
        <v>32</v>
      </c>
      <c r="F93" t="s">
        <v>21</v>
      </c>
      <c r="G93" t="s">
        <v>20</v>
      </c>
      <c r="H93">
        <v>47</v>
      </c>
      <c r="I93">
        <v>1</v>
      </c>
    </row>
    <row r="94" spans="1:9" x14ac:dyDescent="0.3">
      <c r="A94">
        <v>2</v>
      </c>
      <c r="B94">
        <v>1</v>
      </c>
      <c r="C94" t="s">
        <v>3</v>
      </c>
      <c r="D94" t="s">
        <v>2</v>
      </c>
      <c r="E94">
        <v>0</v>
      </c>
      <c r="F94" t="s">
        <v>21</v>
      </c>
      <c r="G94" t="s">
        <v>20</v>
      </c>
      <c r="H94">
        <v>42</v>
      </c>
      <c r="I94">
        <v>1</v>
      </c>
    </row>
    <row r="95" spans="1:9" x14ac:dyDescent="0.3">
      <c r="A95">
        <v>2</v>
      </c>
      <c r="B95">
        <v>1</v>
      </c>
      <c r="C95" t="s">
        <v>3</v>
      </c>
      <c r="D95" t="s">
        <v>2</v>
      </c>
      <c r="E95">
        <v>14</v>
      </c>
      <c r="F95" t="s">
        <v>21</v>
      </c>
      <c r="G95" t="s">
        <v>20</v>
      </c>
      <c r="H95">
        <v>28</v>
      </c>
      <c r="I95">
        <v>1</v>
      </c>
    </row>
    <row r="96" spans="1:9" x14ac:dyDescent="0.3">
      <c r="A96">
        <v>2</v>
      </c>
      <c r="B96">
        <v>1</v>
      </c>
      <c r="C96" t="s">
        <v>3</v>
      </c>
      <c r="D96" t="s">
        <v>2</v>
      </c>
      <c r="E96">
        <v>25</v>
      </c>
      <c r="F96" t="s">
        <v>21</v>
      </c>
      <c r="G96" t="s">
        <v>20</v>
      </c>
      <c r="H96">
        <v>23</v>
      </c>
      <c r="I96">
        <v>0</v>
      </c>
    </row>
    <row r="97" spans="1:9" x14ac:dyDescent="0.3">
      <c r="A97">
        <v>2</v>
      </c>
      <c r="B97">
        <v>1</v>
      </c>
      <c r="C97" t="s">
        <v>3</v>
      </c>
      <c r="D97" t="s">
        <v>2</v>
      </c>
      <c r="E97">
        <v>10</v>
      </c>
      <c r="F97" t="s">
        <v>21</v>
      </c>
      <c r="G97" t="s">
        <v>20</v>
      </c>
      <c r="H97">
        <v>40</v>
      </c>
      <c r="I97">
        <v>1</v>
      </c>
    </row>
    <row r="98" spans="1:9" x14ac:dyDescent="0.3">
      <c r="A98">
        <v>2</v>
      </c>
      <c r="B98">
        <v>1</v>
      </c>
      <c r="C98" t="s">
        <v>3</v>
      </c>
      <c r="D98" t="s">
        <v>2</v>
      </c>
      <c r="E98">
        <v>25</v>
      </c>
      <c r="F98" t="s">
        <v>21</v>
      </c>
      <c r="G98" t="s">
        <v>20</v>
      </c>
      <c r="H98">
        <v>53</v>
      </c>
      <c r="I98">
        <v>1</v>
      </c>
    </row>
    <row r="99" spans="1:9" x14ac:dyDescent="0.3">
      <c r="A99">
        <v>2</v>
      </c>
      <c r="B99">
        <v>1</v>
      </c>
      <c r="C99" t="s">
        <v>3</v>
      </c>
      <c r="D99" t="s">
        <v>2</v>
      </c>
      <c r="E99">
        <v>0</v>
      </c>
      <c r="F99" t="s">
        <v>21</v>
      </c>
      <c r="G99" t="s">
        <v>20</v>
      </c>
      <c r="H99">
        <v>49</v>
      </c>
      <c r="I99">
        <v>1</v>
      </c>
    </row>
    <row r="100" spans="1:9" x14ac:dyDescent="0.3">
      <c r="A100">
        <v>2</v>
      </c>
      <c r="B100">
        <v>1</v>
      </c>
      <c r="C100" t="s">
        <v>3</v>
      </c>
      <c r="D100" t="s">
        <v>2</v>
      </c>
      <c r="E100">
        <v>4</v>
      </c>
      <c r="F100" t="s">
        <v>21</v>
      </c>
      <c r="G100" t="s">
        <v>20</v>
      </c>
      <c r="H100">
        <v>25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F4E60-7502-497E-8562-1F8C2566790A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3</v>
      </c>
      <c r="D1" t="s">
        <v>2</v>
      </c>
      <c r="E1">
        <v>38</v>
      </c>
      <c r="F1" t="s">
        <v>23</v>
      </c>
      <c r="G1" t="s">
        <v>22</v>
      </c>
      <c r="H1">
        <v>33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3</v>
      </c>
      <c r="D2" t="s">
        <v>2</v>
      </c>
      <c r="E2">
        <v>27</v>
      </c>
      <c r="F2" t="s">
        <v>23</v>
      </c>
      <c r="G2" t="s">
        <v>22</v>
      </c>
      <c r="H2">
        <v>73</v>
      </c>
      <c r="I2">
        <v>1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3</v>
      </c>
      <c r="D3" t="s">
        <v>2</v>
      </c>
      <c r="E3">
        <v>29</v>
      </c>
      <c r="F3" t="s">
        <v>23</v>
      </c>
      <c r="G3" t="s">
        <v>22</v>
      </c>
      <c r="H3">
        <v>33</v>
      </c>
      <c r="I3">
        <v>1</v>
      </c>
      <c r="K3" s="8" t="s">
        <v>11</v>
      </c>
      <c r="L3" s="8"/>
      <c r="M3" s="10">
        <f>COUNTIF($I$1:$I$100, 0)</f>
        <v>13</v>
      </c>
      <c r="N3" s="10"/>
      <c r="O3" s="10">
        <f>COUNTIFS($I$1:$I$100, 0, $B$1:$B$100, 0)</f>
        <v>9</v>
      </c>
      <c r="P3" s="10"/>
      <c r="Q3" s="11">
        <f>COUNTIFS($I$1:$I$100, 0, $B$1:$B$100, 1)</f>
        <v>4</v>
      </c>
      <c r="R3" s="12"/>
      <c r="T3" cm="1">
        <f t="array" ref="T3">SUMPRODUCT(--($E$1:$E$100=$H$1:$H$100))</f>
        <v>1</v>
      </c>
    </row>
    <row r="4" spans="1:20" x14ac:dyDescent="0.3">
      <c r="A4">
        <v>2</v>
      </c>
      <c r="B4">
        <v>0</v>
      </c>
      <c r="C4" t="s">
        <v>3</v>
      </c>
      <c r="D4" t="s">
        <v>2</v>
      </c>
      <c r="E4">
        <v>5</v>
      </c>
      <c r="F4" t="s">
        <v>23</v>
      </c>
      <c r="G4" t="s">
        <v>22</v>
      </c>
      <c r="H4">
        <v>32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3</v>
      </c>
      <c r="D5" t="s">
        <v>2</v>
      </c>
      <c r="E5">
        <v>11</v>
      </c>
      <c r="F5" t="s">
        <v>23</v>
      </c>
      <c r="G5" t="s">
        <v>22</v>
      </c>
      <c r="H5">
        <v>52</v>
      </c>
      <c r="I5">
        <v>1</v>
      </c>
      <c r="K5" s="8" t="s">
        <v>10</v>
      </c>
      <c r="L5" s="8"/>
      <c r="M5" s="14">
        <f>COUNTIF($I$1:$I$100, 1)</f>
        <v>87</v>
      </c>
      <c r="N5" s="10"/>
      <c r="O5" s="10">
        <f>COUNTIFS($I$1:$I$100, 1, $B$1:$B$100, 0)</f>
        <v>41</v>
      </c>
      <c r="P5" s="10"/>
      <c r="Q5" s="10">
        <f>COUNTIFS($I$1:$I$100, 1, $B$1:$B$100, 1)</f>
        <v>46</v>
      </c>
      <c r="R5" s="13"/>
    </row>
    <row r="6" spans="1:20" x14ac:dyDescent="0.3">
      <c r="A6">
        <v>2</v>
      </c>
      <c r="B6">
        <v>0</v>
      </c>
      <c r="C6" t="s">
        <v>3</v>
      </c>
      <c r="D6" t="s">
        <v>2</v>
      </c>
      <c r="E6">
        <v>46</v>
      </c>
      <c r="F6" t="s">
        <v>23</v>
      </c>
      <c r="G6" t="s">
        <v>22</v>
      </c>
      <c r="H6">
        <v>44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3</v>
      </c>
      <c r="D7" t="s">
        <v>2</v>
      </c>
      <c r="E7">
        <v>14</v>
      </c>
      <c r="F7" t="s">
        <v>23</v>
      </c>
      <c r="G7" t="s">
        <v>22</v>
      </c>
      <c r="H7">
        <v>47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3</v>
      </c>
      <c r="D8" t="s">
        <v>2</v>
      </c>
      <c r="E8">
        <v>38</v>
      </c>
      <c r="F8" t="s">
        <v>23</v>
      </c>
      <c r="G8" t="s">
        <v>22</v>
      </c>
      <c r="H8">
        <v>48</v>
      </c>
      <c r="I8">
        <v>1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3</v>
      </c>
      <c r="D9" t="s">
        <v>2</v>
      </c>
      <c r="E9">
        <v>39</v>
      </c>
      <c r="F9" t="s">
        <v>23</v>
      </c>
      <c r="G9" t="s">
        <v>22</v>
      </c>
      <c r="H9">
        <v>49</v>
      </c>
      <c r="I9">
        <v>1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3</v>
      </c>
      <c r="D10" t="s">
        <v>2</v>
      </c>
      <c r="E10">
        <v>34</v>
      </c>
      <c r="F10" t="s">
        <v>23</v>
      </c>
      <c r="G10" t="s">
        <v>22</v>
      </c>
      <c r="H10">
        <v>58</v>
      </c>
      <c r="I10">
        <v>1</v>
      </c>
      <c r="K10" s="8" t="s">
        <v>6</v>
      </c>
      <c r="L10" s="8"/>
      <c r="M10" s="10">
        <f>AVERAGE($E$1:$E$100,)</f>
        <v>28.861386138613863</v>
      </c>
      <c r="N10" s="10"/>
      <c r="O10" s="10" cm="1">
        <f t="array" ref="O10">AVERAGE(_xlfn._xlws.FILTER($E$1:$E$100,$I$1:$I$100 = 0))</f>
        <v>51.46153846153846</v>
      </c>
      <c r="P10" s="10"/>
      <c r="Q10" s="11" cm="1">
        <f t="array" ref="Q10">AVERAGE(_xlfn._xlws.FILTER($E$1:$E$100,$I$1:$I$100 = 1))</f>
        <v>25.816091954022987</v>
      </c>
      <c r="R10" s="12"/>
    </row>
    <row r="11" spans="1:20" x14ac:dyDescent="0.3">
      <c r="A11">
        <v>2</v>
      </c>
      <c r="B11">
        <v>0</v>
      </c>
      <c r="C11" t="s">
        <v>3</v>
      </c>
      <c r="D11" t="s">
        <v>2</v>
      </c>
      <c r="E11">
        <v>16</v>
      </c>
      <c r="F11" t="s">
        <v>23</v>
      </c>
      <c r="G11" t="s">
        <v>22</v>
      </c>
      <c r="H11">
        <v>18</v>
      </c>
      <c r="I11">
        <v>1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3</v>
      </c>
      <c r="D12" t="s">
        <v>2</v>
      </c>
      <c r="E12">
        <v>30</v>
      </c>
      <c r="F12" t="s">
        <v>23</v>
      </c>
      <c r="G12" t="s">
        <v>22</v>
      </c>
      <c r="H12">
        <v>48</v>
      </c>
      <c r="I12">
        <v>1</v>
      </c>
      <c r="K12" s="8" t="s">
        <v>5</v>
      </c>
      <c r="L12" s="8"/>
      <c r="M12" s="10">
        <f>AVERAGE($H$1:$H$100,)</f>
        <v>47.990099009900987</v>
      </c>
      <c r="N12" s="10"/>
      <c r="O12" s="10" cm="1">
        <f t="array" ref="O12">AVERAGE(_xlfn._xlws.FILTER($H$1:$H$100,$I$1:$I$100 = 0))</f>
        <v>37.769230769230766</v>
      </c>
      <c r="P12" s="10"/>
      <c r="Q12" s="10" cm="1">
        <f t="array" ref="Q12">AVERAGE(_xlfn._xlws.FILTER($H$1:$H$100,$I$1:$I$100 = 1))</f>
        <v>50.068965517241381</v>
      </c>
      <c r="R12" s="13"/>
    </row>
    <row r="13" spans="1:20" x14ac:dyDescent="0.3">
      <c r="A13">
        <v>2</v>
      </c>
      <c r="B13">
        <v>0</v>
      </c>
      <c r="C13" t="s">
        <v>3</v>
      </c>
      <c r="D13" t="s">
        <v>2</v>
      </c>
      <c r="E13">
        <v>35</v>
      </c>
      <c r="F13" t="s">
        <v>23</v>
      </c>
      <c r="G13" t="s">
        <v>22</v>
      </c>
      <c r="H13">
        <v>25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3</v>
      </c>
      <c r="D14" t="s">
        <v>2</v>
      </c>
      <c r="E14">
        <v>34</v>
      </c>
      <c r="F14" t="s">
        <v>23</v>
      </c>
      <c r="G14" t="s">
        <v>22</v>
      </c>
      <c r="H14">
        <v>43</v>
      </c>
      <c r="I14">
        <v>1</v>
      </c>
      <c r="K14" s="19" t="s">
        <v>4</v>
      </c>
      <c r="L14" s="12"/>
      <c r="M14" s="20" cm="1">
        <f t="array" ref="M14">AVERAGE($E$1:$E$100 - $H$1:$H$100)</f>
        <v>-19.32</v>
      </c>
      <c r="N14" s="20"/>
      <c r="O14" s="20" cm="1">
        <f t="array" ref="O14">AVERAGE(_xlfn._xlws.FILTER($E$1:$E$100 - $H$1:$H$100, I$1:I$100 = 0))</f>
        <v>13.692307692307692</v>
      </c>
      <c r="P14" s="20"/>
      <c r="Q14" s="20" cm="1">
        <f t="array" ref="Q14">AVERAGE(_xlfn._xlws.FILTER($E$1:$E$100 - $H$1:$H$100, I$1:I$100 = 1))</f>
        <v>-24.25287356321839</v>
      </c>
      <c r="R14" s="22"/>
    </row>
    <row r="15" spans="1:20" x14ac:dyDescent="0.3">
      <c r="A15">
        <v>2</v>
      </c>
      <c r="B15">
        <v>0</v>
      </c>
      <c r="C15" t="s">
        <v>3</v>
      </c>
      <c r="D15" t="s">
        <v>2</v>
      </c>
      <c r="E15">
        <v>53</v>
      </c>
      <c r="F15" t="s">
        <v>23</v>
      </c>
      <c r="G15" t="s">
        <v>22</v>
      </c>
      <c r="H15">
        <v>36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3</v>
      </c>
      <c r="D16" t="s">
        <v>2</v>
      </c>
      <c r="E16">
        <v>39</v>
      </c>
      <c r="F16" t="s">
        <v>23</v>
      </c>
      <c r="G16" t="s">
        <v>22</v>
      </c>
      <c r="H16">
        <v>52</v>
      </c>
      <c r="I16">
        <v>1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3</v>
      </c>
      <c r="D17" t="s">
        <v>2</v>
      </c>
      <c r="E17">
        <v>38</v>
      </c>
      <c r="F17" t="s">
        <v>23</v>
      </c>
      <c r="G17" t="s">
        <v>22</v>
      </c>
      <c r="H17">
        <v>53</v>
      </c>
      <c r="I17">
        <v>1</v>
      </c>
    </row>
    <row r="18" spans="1:9" x14ac:dyDescent="0.3">
      <c r="A18">
        <v>2</v>
      </c>
      <c r="B18">
        <v>0</v>
      </c>
      <c r="C18" t="s">
        <v>3</v>
      </c>
      <c r="D18" t="s">
        <v>2</v>
      </c>
      <c r="E18">
        <v>24</v>
      </c>
      <c r="F18" t="s">
        <v>23</v>
      </c>
      <c r="G18" t="s">
        <v>22</v>
      </c>
      <c r="H18">
        <v>53</v>
      </c>
      <c r="I18">
        <v>1</v>
      </c>
    </row>
    <row r="19" spans="1:9" x14ac:dyDescent="0.3">
      <c r="A19">
        <v>2</v>
      </c>
      <c r="B19">
        <v>0</v>
      </c>
      <c r="C19" t="s">
        <v>3</v>
      </c>
      <c r="D19" t="s">
        <v>2</v>
      </c>
      <c r="E19">
        <v>17</v>
      </c>
      <c r="F19" t="s">
        <v>23</v>
      </c>
      <c r="G19" t="s">
        <v>22</v>
      </c>
      <c r="H19">
        <v>32</v>
      </c>
      <c r="I19">
        <v>1</v>
      </c>
    </row>
    <row r="20" spans="1:9" x14ac:dyDescent="0.3">
      <c r="A20">
        <v>2</v>
      </c>
      <c r="B20">
        <v>0</v>
      </c>
      <c r="C20" t="s">
        <v>3</v>
      </c>
      <c r="D20" t="s">
        <v>2</v>
      </c>
      <c r="E20">
        <v>21</v>
      </c>
      <c r="F20" t="s">
        <v>23</v>
      </c>
      <c r="G20" t="s">
        <v>22</v>
      </c>
      <c r="H20">
        <v>59</v>
      </c>
      <c r="I20">
        <v>1</v>
      </c>
    </row>
    <row r="21" spans="1:9" x14ac:dyDescent="0.3">
      <c r="A21">
        <v>2</v>
      </c>
      <c r="B21">
        <v>0</v>
      </c>
      <c r="C21" t="s">
        <v>3</v>
      </c>
      <c r="D21" t="s">
        <v>2</v>
      </c>
      <c r="E21">
        <v>6</v>
      </c>
      <c r="F21" t="s">
        <v>23</v>
      </c>
      <c r="G21" t="s">
        <v>22</v>
      </c>
      <c r="H21">
        <v>46</v>
      </c>
      <c r="I21">
        <v>1</v>
      </c>
    </row>
    <row r="22" spans="1:9" x14ac:dyDescent="0.3">
      <c r="A22">
        <v>2</v>
      </c>
      <c r="B22">
        <v>0</v>
      </c>
      <c r="C22" t="s">
        <v>3</v>
      </c>
      <c r="D22" t="s">
        <v>2</v>
      </c>
      <c r="E22">
        <v>22</v>
      </c>
      <c r="F22" t="s">
        <v>23</v>
      </c>
      <c r="G22" t="s">
        <v>22</v>
      </c>
      <c r="H22">
        <v>47</v>
      </c>
      <c r="I22">
        <v>1</v>
      </c>
    </row>
    <row r="23" spans="1:9" x14ac:dyDescent="0.3">
      <c r="A23">
        <v>2</v>
      </c>
      <c r="B23">
        <v>0</v>
      </c>
      <c r="C23" t="s">
        <v>3</v>
      </c>
      <c r="D23" t="s">
        <v>2</v>
      </c>
      <c r="E23">
        <v>42</v>
      </c>
      <c r="F23" t="s">
        <v>23</v>
      </c>
      <c r="G23" t="s">
        <v>22</v>
      </c>
      <c r="H23">
        <v>54</v>
      </c>
      <c r="I23">
        <v>1</v>
      </c>
    </row>
    <row r="24" spans="1:9" x14ac:dyDescent="0.3">
      <c r="A24">
        <v>2</v>
      </c>
      <c r="B24">
        <v>0</v>
      </c>
      <c r="C24" t="s">
        <v>3</v>
      </c>
      <c r="D24" t="s">
        <v>2</v>
      </c>
      <c r="E24">
        <v>33</v>
      </c>
      <c r="F24" t="s">
        <v>23</v>
      </c>
      <c r="G24" t="s">
        <v>22</v>
      </c>
      <c r="H24">
        <v>51</v>
      </c>
      <c r="I24">
        <v>1</v>
      </c>
    </row>
    <row r="25" spans="1:9" x14ac:dyDescent="0.3">
      <c r="A25">
        <v>2</v>
      </c>
      <c r="B25">
        <v>0</v>
      </c>
      <c r="C25" t="s">
        <v>3</v>
      </c>
      <c r="D25" t="s">
        <v>2</v>
      </c>
      <c r="E25">
        <v>29</v>
      </c>
      <c r="F25" t="s">
        <v>23</v>
      </c>
      <c r="G25" t="s">
        <v>22</v>
      </c>
      <c r="H25">
        <v>50</v>
      </c>
      <c r="I25">
        <v>1</v>
      </c>
    </row>
    <row r="26" spans="1:9" x14ac:dyDescent="0.3">
      <c r="A26">
        <v>2</v>
      </c>
      <c r="B26">
        <v>0</v>
      </c>
      <c r="C26" t="s">
        <v>3</v>
      </c>
      <c r="D26" t="s">
        <v>2</v>
      </c>
      <c r="E26">
        <v>68</v>
      </c>
      <c r="F26" t="s">
        <v>23</v>
      </c>
      <c r="G26" t="s">
        <v>22</v>
      </c>
      <c r="H26">
        <v>44</v>
      </c>
      <c r="I26">
        <v>0</v>
      </c>
    </row>
    <row r="27" spans="1:9" x14ac:dyDescent="0.3">
      <c r="A27">
        <v>2</v>
      </c>
      <c r="B27">
        <v>0</v>
      </c>
      <c r="C27" t="s">
        <v>3</v>
      </c>
      <c r="D27" t="s">
        <v>2</v>
      </c>
      <c r="E27">
        <v>14</v>
      </c>
      <c r="F27" t="s">
        <v>23</v>
      </c>
      <c r="G27" t="s">
        <v>22</v>
      </c>
      <c r="H27">
        <v>54</v>
      </c>
      <c r="I27">
        <v>1</v>
      </c>
    </row>
    <row r="28" spans="1:9" x14ac:dyDescent="0.3">
      <c r="A28">
        <v>2</v>
      </c>
      <c r="B28">
        <v>0</v>
      </c>
      <c r="C28" t="s">
        <v>3</v>
      </c>
      <c r="D28" t="s">
        <v>2</v>
      </c>
      <c r="E28">
        <v>36</v>
      </c>
      <c r="F28" t="s">
        <v>23</v>
      </c>
      <c r="G28" t="s">
        <v>22</v>
      </c>
      <c r="H28">
        <v>55</v>
      </c>
      <c r="I28">
        <v>1</v>
      </c>
    </row>
    <row r="29" spans="1:9" x14ac:dyDescent="0.3">
      <c r="A29">
        <v>2</v>
      </c>
      <c r="B29">
        <v>0</v>
      </c>
      <c r="C29" t="s">
        <v>3</v>
      </c>
      <c r="D29" t="s">
        <v>2</v>
      </c>
      <c r="E29">
        <v>19</v>
      </c>
      <c r="F29" t="s">
        <v>23</v>
      </c>
      <c r="G29" t="s">
        <v>22</v>
      </c>
      <c r="H29">
        <v>54</v>
      </c>
      <c r="I29">
        <v>1</v>
      </c>
    </row>
    <row r="30" spans="1:9" x14ac:dyDescent="0.3">
      <c r="A30">
        <v>2</v>
      </c>
      <c r="B30">
        <v>0</v>
      </c>
      <c r="C30" t="s">
        <v>3</v>
      </c>
      <c r="D30" t="s">
        <v>2</v>
      </c>
      <c r="E30">
        <v>29</v>
      </c>
      <c r="F30" t="s">
        <v>23</v>
      </c>
      <c r="G30" t="s">
        <v>22</v>
      </c>
      <c r="H30">
        <v>40</v>
      </c>
      <c r="I30">
        <v>1</v>
      </c>
    </row>
    <row r="31" spans="1:9" x14ac:dyDescent="0.3">
      <c r="A31">
        <v>2</v>
      </c>
      <c r="B31">
        <v>0</v>
      </c>
      <c r="C31" t="s">
        <v>3</v>
      </c>
      <c r="D31" t="s">
        <v>2</v>
      </c>
      <c r="E31">
        <v>18</v>
      </c>
      <c r="F31" t="s">
        <v>23</v>
      </c>
      <c r="G31" t="s">
        <v>22</v>
      </c>
      <c r="H31">
        <v>53</v>
      </c>
      <c r="I31">
        <v>1</v>
      </c>
    </row>
    <row r="32" spans="1:9" x14ac:dyDescent="0.3">
      <c r="A32">
        <v>2</v>
      </c>
      <c r="B32">
        <v>0</v>
      </c>
      <c r="C32" t="s">
        <v>3</v>
      </c>
      <c r="D32" t="s">
        <v>2</v>
      </c>
      <c r="E32">
        <v>6</v>
      </c>
      <c r="F32" t="s">
        <v>23</v>
      </c>
      <c r="G32" t="s">
        <v>22</v>
      </c>
      <c r="H32">
        <v>55</v>
      </c>
      <c r="I32">
        <v>1</v>
      </c>
    </row>
    <row r="33" spans="1:9" x14ac:dyDescent="0.3">
      <c r="A33">
        <v>2</v>
      </c>
      <c r="B33">
        <v>0</v>
      </c>
      <c r="C33" t="s">
        <v>3</v>
      </c>
      <c r="D33" t="s">
        <v>2</v>
      </c>
      <c r="E33">
        <v>18</v>
      </c>
      <c r="F33" t="s">
        <v>23</v>
      </c>
      <c r="G33" t="s">
        <v>22</v>
      </c>
      <c r="H33">
        <v>41</v>
      </c>
      <c r="I33">
        <v>1</v>
      </c>
    </row>
    <row r="34" spans="1:9" x14ac:dyDescent="0.3">
      <c r="A34">
        <v>2</v>
      </c>
      <c r="B34">
        <v>0</v>
      </c>
      <c r="C34" t="s">
        <v>3</v>
      </c>
      <c r="D34" t="s">
        <v>2</v>
      </c>
      <c r="E34">
        <v>41</v>
      </c>
      <c r="F34" t="s">
        <v>23</v>
      </c>
      <c r="G34" t="s">
        <v>22</v>
      </c>
      <c r="H34">
        <v>47</v>
      </c>
      <c r="I34">
        <v>1</v>
      </c>
    </row>
    <row r="35" spans="1:9" x14ac:dyDescent="0.3">
      <c r="A35">
        <v>2</v>
      </c>
      <c r="B35">
        <v>0</v>
      </c>
      <c r="C35" t="s">
        <v>3</v>
      </c>
      <c r="D35" t="s">
        <v>2</v>
      </c>
      <c r="E35">
        <v>15</v>
      </c>
      <c r="F35" t="s">
        <v>23</v>
      </c>
      <c r="G35" t="s">
        <v>22</v>
      </c>
      <c r="H35">
        <v>42</v>
      </c>
      <c r="I35">
        <v>1</v>
      </c>
    </row>
    <row r="36" spans="1:9" x14ac:dyDescent="0.3">
      <c r="A36">
        <v>2</v>
      </c>
      <c r="B36">
        <v>0</v>
      </c>
      <c r="C36" t="s">
        <v>3</v>
      </c>
      <c r="D36" t="s">
        <v>2</v>
      </c>
      <c r="E36">
        <v>41</v>
      </c>
      <c r="F36" t="s">
        <v>23</v>
      </c>
      <c r="G36" t="s">
        <v>22</v>
      </c>
      <c r="H36">
        <v>63</v>
      </c>
      <c r="I36">
        <v>1</v>
      </c>
    </row>
    <row r="37" spans="1:9" x14ac:dyDescent="0.3">
      <c r="A37">
        <v>2</v>
      </c>
      <c r="B37">
        <v>0</v>
      </c>
      <c r="C37" t="s">
        <v>3</v>
      </c>
      <c r="D37" t="s">
        <v>2</v>
      </c>
      <c r="E37">
        <v>20</v>
      </c>
      <c r="F37" t="s">
        <v>23</v>
      </c>
      <c r="G37" t="s">
        <v>22</v>
      </c>
      <c r="H37">
        <v>35</v>
      </c>
      <c r="I37">
        <v>1</v>
      </c>
    </row>
    <row r="38" spans="1:9" x14ac:dyDescent="0.3">
      <c r="A38">
        <v>2</v>
      </c>
      <c r="B38">
        <v>0</v>
      </c>
      <c r="C38" t="s">
        <v>3</v>
      </c>
      <c r="D38" t="s">
        <v>2</v>
      </c>
      <c r="E38">
        <v>47</v>
      </c>
      <c r="F38" t="s">
        <v>23</v>
      </c>
      <c r="G38" t="s">
        <v>22</v>
      </c>
      <c r="H38">
        <v>28</v>
      </c>
      <c r="I38">
        <v>0</v>
      </c>
    </row>
    <row r="39" spans="1:9" x14ac:dyDescent="0.3">
      <c r="A39">
        <v>2</v>
      </c>
      <c r="B39">
        <v>0</v>
      </c>
      <c r="C39" t="s">
        <v>3</v>
      </c>
      <c r="D39" t="s">
        <v>2</v>
      </c>
      <c r="E39">
        <v>15</v>
      </c>
      <c r="F39" t="s">
        <v>23</v>
      </c>
      <c r="G39" t="s">
        <v>22</v>
      </c>
      <c r="H39">
        <v>42</v>
      </c>
      <c r="I39">
        <v>1</v>
      </c>
    </row>
    <row r="40" spans="1:9" x14ac:dyDescent="0.3">
      <c r="A40">
        <v>2</v>
      </c>
      <c r="B40">
        <v>0</v>
      </c>
      <c r="C40" t="s">
        <v>3</v>
      </c>
      <c r="D40" t="s">
        <v>2</v>
      </c>
      <c r="E40">
        <v>34</v>
      </c>
      <c r="F40" t="s">
        <v>23</v>
      </c>
      <c r="G40" t="s">
        <v>22</v>
      </c>
      <c r="H40">
        <v>44</v>
      </c>
      <c r="I40">
        <v>1</v>
      </c>
    </row>
    <row r="41" spans="1:9" x14ac:dyDescent="0.3">
      <c r="A41">
        <v>2</v>
      </c>
      <c r="B41">
        <v>0</v>
      </c>
      <c r="C41" t="s">
        <v>3</v>
      </c>
      <c r="D41" t="s">
        <v>2</v>
      </c>
      <c r="E41">
        <v>57</v>
      </c>
      <c r="F41" t="s">
        <v>23</v>
      </c>
      <c r="G41" t="s">
        <v>22</v>
      </c>
      <c r="H41">
        <v>51</v>
      </c>
      <c r="I41">
        <v>0</v>
      </c>
    </row>
    <row r="42" spans="1:9" x14ac:dyDescent="0.3">
      <c r="A42">
        <v>2</v>
      </c>
      <c r="B42">
        <v>0</v>
      </c>
      <c r="C42" t="s">
        <v>3</v>
      </c>
      <c r="D42" t="s">
        <v>2</v>
      </c>
      <c r="E42">
        <v>37</v>
      </c>
      <c r="F42" t="s">
        <v>23</v>
      </c>
      <c r="G42" t="s">
        <v>22</v>
      </c>
      <c r="H42">
        <v>46</v>
      </c>
      <c r="I42">
        <v>1</v>
      </c>
    </row>
    <row r="43" spans="1:9" x14ac:dyDescent="0.3">
      <c r="A43">
        <v>2</v>
      </c>
      <c r="B43">
        <v>0</v>
      </c>
      <c r="C43" t="s">
        <v>3</v>
      </c>
      <c r="D43" t="s">
        <v>2</v>
      </c>
      <c r="E43">
        <v>24</v>
      </c>
      <c r="F43" t="s">
        <v>23</v>
      </c>
      <c r="G43" t="s">
        <v>22</v>
      </c>
      <c r="H43">
        <v>45</v>
      </c>
      <c r="I43">
        <v>1</v>
      </c>
    </row>
    <row r="44" spans="1:9" x14ac:dyDescent="0.3">
      <c r="A44">
        <v>2</v>
      </c>
      <c r="B44">
        <v>0</v>
      </c>
      <c r="C44" t="s">
        <v>3</v>
      </c>
      <c r="D44" t="s">
        <v>2</v>
      </c>
      <c r="E44">
        <v>25</v>
      </c>
      <c r="F44" t="s">
        <v>23</v>
      </c>
      <c r="G44" t="s">
        <v>22</v>
      </c>
      <c r="H44">
        <v>45</v>
      </c>
      <c r="I44">
        <v>1</v>
      </c>
    </row>
    <row r="45" spans="1:9" x14ac:dyDescent="0.3">
      <c r="A45">
        <v>2</v>
      </c>
      <c r="B45">
        <v>0</v>
      </c>
      <c r="C45" t="s">
        <v>3</v>
      </c>
      <c r="D45" t="s">
        <v>2</v>
      </c>
      <c r="E45">
        <v>23</v>
      </c>
      <c r="F45" t="s">
        <v>23</v>
      </c>
      <c r="G45" t="s">
        <v>22</v>
      </c>
      <c r="H45">
        <v>64</v>
      </c>
      <c r="I45">
        <v>1</v>
      </c>
    </row>
    <row r="46" spans="1:9" x14ac:dyDescent="0.3">
      <c r="A46">
        <v>2</v>
      </c>
      <c r="B46">
        <v>0</v>
      </c>
      <c r="C46" t="s">
        <v>3</v>
      </c>
      <c r="D46" t="s">
        <v>2</v>
      </c>
      <c r="E46">
        <v>30</v>
      </c>
      <c r="F46" t="s">
        <v>23</v>
      </c>
      <c r="G46" t="s">
        <v>22</v>
      </c>
      <c r="H46">
        <v>23</v>
      </c>
      <c r="I46">
        <v>0</v>
      </c>
    </row>
    <row r="47" spans="1:9" x14ac:dyDescent="0.3">
      <c r="A47">
        <v>2</v>
      </c>
      <c r="B47">
        <v>0</v>
      </c>
      <c r="C47" t="s">
        <v>3</v>
      </c>
      <c r="D47" t="s">
        <v>2</v>
      </c>
      <c r="E47">
        <v>16</v>
      </c>
      <c r="F47" t="s">
        <v>23</v>
      </c>
      <c r="G47" t="s">
        <v>22</v>
      </c>
      <c r="H47">
        <v>47</v>
      </c>
      <c r="I47">
        <v>1</v>
      </c>
    </row>
    <row r="48" spans="1:9" x14ac:dyDescent="0.3">
      <c r="A48">
        <v>2</v>
      </c>
      <c r="B48">
        <v>0</v>
      </c>
      <c r="C48" t="s">
        <v>3</v>
      </c>
      <c r="D48" t="s">
        <v>2</v>
      </c>
      <c r="E48">
        <v>18</v>
      </c>
      <c r="F48" t="s">
        <v>23</v>
      </c>
      <c r="G48" t="s">
        <v>22</v>
      </c>
      <c r="H48">
        <v>79</v>
      </c>
      <c r="I48">
        <v>1</v>
      </c>
    </row>
    <row r="49" spans="1:9" x14ac:dyDescent="0.3">
      <c r="A49">
        <v>2</v>
      </c>
      <c r="B49">
        <v>0</v>
      </c>
      <c r="C49" t="s">
        <v>3</v>
      </c>
      <c r="D49" t="s">
        <v>2</v>
      </c>
      <c r="E49">
        <v>59</v>
      </c>
      <c r="F49" t="s">
        <v>23</v>
      </c>
      <c r="G49" t="s">
        <v>22</v>
      </c>
      <c r="H49">
        <v>59</v>
      </c>
      <c r="I49">
        <v>0</v>
      </c>
    </row>
    <row r="50" spans="1:9" x14ac:dyDescent="0.3">
      <c r="A50">
        <v>2</v>
      </c>
      <c r="B50">
        <v>0</v>
      </c>
      <c r="C50" t="s">
        <v>3</v>
      </c>
      <c r="D50" t="s">
        <v>2</v>
      </c>
      <c r="E50">
        <v>8</v>
      </c>
      <c r="F50" t="s">
        <v>23</v>
      </c>
      <c r="G50" t="s">
        <v>22</v>
      </c>
      <c r="H50">
        <v>53</v>
      </c>
      <c r="I50">
        <v>1</v>
      </c>
    </row>
    <row r="51" spans="1:9" x14ac:dyDescent="0.3">
      <c r="A51">
        <v>2</v>
      </c>
      <c r="B51">
        <v>1</v>
      </c>
      <c r="C51" t="s">
        <v>3</v>
      </c>
      <c r="D51" t="s">
        <v>2</v>
      </c>
      <c r="E51">
        <v>17</v>
      </c>
      <c r="F51" t="s">
        <v>23</v>
      </c>
      <c r="G51" t="s">
        <v>22</v>
      </c>
      <c r="H51">
        <v>55</v>
      </c>
      <c r="I51">
        <v>1</v>
      </c>
    </row>
    <row r="52" spans="1:9" x14ac:dyDescent="0.3">
      <c r="A52">
        <v>2</v>
      </c>
      <c r="B52">
        <v>1</v>
      </c>
      <c r="C52" t="s">
        <v>3</v>
      </c>
      <c r="D52" t="s">
        <v>2</v>
      </c>
      <c r="E52">
        <v>17</v>
      </c>
      <c r="F52" t="s">
        <v>23</v>
      </c>
      <c r="G52" t="s">
        <v>22</v>
      </c>
      <c r="H52">
        <v>54</v>
      </c>
      <c r="I52">
        <v>1</v>
      </c>
    </row>
    <row r="53" spans="1:9" x14ac:dyDescent="0.3">
      <c r="A53">
        <v>2</v>
      </c>
      <c r="B53">
        <v>1</v>
      </c>
      <c r="C53" t="s">
        <v>3</v>
      </c>
      <c r="D53" t="s">
        <v>2</v>
      </c>
      <c r="E53">
        <v>14</v>
      </c>
      <c r="F53" t="s">
        <v>23</v>
      </c>
      <c r="G53" t="s">
        <v>22</v>
      </c>
      <c r="H53">
        <v>42</v>
      </c>
      <c r="I53">
        <v>1</v>
      </c>
    </row>
    <row r="54" spans="1:9" x14ac:dyDescent="0.3">
      <c r="A54">
        <v>2</v>
      </c>
      <c r="B54">
        <v>1</v>
      </c>
      <c r="C54" t="s">
        <v>3</v>
      </c>
      <c r="D54" t="s">
        <v>2</v>
      </c>
      <c r="E54">
        <v>49</v>
      </c>
      <c r="F54" t="s">
        <v>23</v>
      </c>
      <c r="G54" t="s">
        <v>22</v>
      </c>
      <c r="H54">
        <v>55</v>
      </c>
      <c r="I54">
        <v>1</v>
      </c>
    </row>
    <row r="55" spans="1:9" x14ac:dyDescent="0.3">
      <c r="A55">
        <v>2</v>
      </c>
      <c r="B55">
        <v>1</v>
      </c>
      <c r="C55" t="s">
        <v>3</v>
      </c>
      <c r="D55" t="s">
        <v>2</v>
      </c>
      <c r="E55">
        <v>63</v>
      </c>
      <c r="F55" t="s">
        <v>23</v>
      </c>
      <c r="G55" t="s">
        <v>22</v>
      </c>
      <c r="H55">
        <v>23</v>
      </c>
      <c r="I55">
        <v>0</v>
      </c>
    </row>
    <row r="56" spans="1:9" x14ac:dyDescent="0.3">
      <c r="A56">
        <v>2</v>
      </c>
      <c r="B56">
        <v>1</v>
      </c>
      <c r="C56" t="s">
        <v>3</v>
      </c>
      <c r="D56" t="s">
        <v>2</v>
      </c>
      <c r="E56">
        <v>40</v>
      </c>
      <c r="F56" t="s">
        <v>23</v>
      </c>
      <c r="G56" t="s">
        <v>22</v>
      </c>
      <c r="H56">
        <v>56</v>
      </c>
      <c r="I56">
        <v>1</v>
      </c>
    </row>
    <row r="57" spans="1:9" x14ac:dyDescent="0.3">
      <c r="A57">
        <v>2</v>
      </c>
      <c r="B57">
        <v>1</v>
      </c>
      <c r="C57" t="s">
        <v>3</v>
      </c>
      <c r="D57" t="s">
        <v>2</v>
      </c>
      <c r="E57">
        <v>42</v>
      </c>
      <c r="F57" t="s">
        <v>23</v>
      </c>
      <c r="G57" t="s">
        <v>22</v>
      </c>
      <c r="H57">
        <v>56</v>
      </c>
      <c r="I57">
        <v>1</v>
      </c>
    </row>
    <row r="58" spans="1:9" x14ac:dyDescent="0.3">
      <c r="A58">
        <v>2</v>
      </c>
      <c r="B58">
        <v>1</v>
      </c>
      <c r="C58" t="s">
        <v>3</v>
      </c>
      <c r="D58" t="s">
        <v>2</v>
      </c>
      <c r="E58">
        <v>46</v>
      </c>
      <c r="F58" t="s">
        <v>23</v>
      </c>
      <c r="G58" t="s">
        <v>22</v>
      </c>
      <c r="H58">
        <v>60</v>
      </c>
      <c r="I58">
        <v>1</v>
      </c>
    </row>
    <row r="59" spans="1:9" x14ac:dyDescent="0.3">
      <c r="A59">
        <v>2</v>
      </c>
      <c r="B59">
        <v>1</v>
      </c>
      <c r="C59" t="s">
        <v>3</v>
      </c>
      <c r="D59" t="s">
        <v>2</v>
      </c>
      <c r="E59">
        <v>23</v>
      </c>
      <c r="F59" t="s">
        <v>23</v>
      </c>
      <c r="G59" t="s">
        <v>22</v>
      </c>
      <c r="H59">
        <v>44</v>
      </c>
      <c r="I59">
        <v>1</v>
      </c>
    </row>
    <row r="60" spans="1:9" x14ac:dyDescent="0.3">
      <c r="A60">
        <v>2</v>
      </c>
      <c r="B60">
        <v>1</v>
      </c>
      <c r="C60" t="s">
        <v>3</v>
      </c>
      <c r="D60" t="s">
        <v>2</v>
      </c>
      <c r="E60">
        <v>2</v>
      </c>
      <c r="F60" t="s">
        <v>23</v>
      </c>
      <c r="G60" t="s">
        <v>22</v>
      </c>
      <c r="H60">
        <v>24</v>
      </c>
      <c r="I60">
        <v>1</v>
      </c>
    </row>
    <row r="61" spans="1:9" x14ac:dyDescent="0.3">
      <c r="A61">
        <v>2</v>
      </c>
      <c r="B61">
        <v>1</v>
      </c>
      <c r="C61" t="s">
        <v>3</v>
      </c>
      <c r="D61" t="s">
        <v>2</v>
      </c>
      <c r="E61">
        <v>8</v>
      </c>
      <c r="F61" t="s">
        <v>23</v>
      </c>
      <c r="G61" t="s">
        <v>22</v>
      </c>
      <c r="H61">
        <v>53</v>
      </c>
      <c r="I61">
        <v>1</v>
      </c>
    </row>
    <row r="62" spans="1:9" x14ac:dyDescent="0.3">
      <c r="A62">
        <v>2</v>
      </c>
      <c r="B62">
        <v>1</v>
      </c>
      <c r="C62" t="s">
        <v>3</v>
      </c>
      <c r="D62" t="s">
        <v>2</v>
      </c>
      <c r="E62">
        <v>23</v>
      </c>
      <c r="F62" t="s">
        <v>23</v>
      </c>
      <c r="G62" t="s">
        <v>22</v>
      </c>
      <c r="H62">
        <v>49</v>
      </c>
      <c r="I62">
        <v>1</v>
      </c>
    </row>
    <row r="63" spans="1:9" x14ac:dyDescent="0.3">
      <c r="A63">
        <v>2</v>
      </c>
      <c r="B63">
        <v>1</v>
      </c>
      <c r="C63" t="s">
        <v>3</v>
      </c>
      <c r="D63" t="s">
        <v>2</v>
      </c>
      <c r="E63">
        <v>31</v>
      </c>
      <c r="F63" t="s">
        <v>23</v>
      </c>
      <c r="G63" t="s">
        <v>22</v>
      </c>
      <c r="H63">
        <v>86</v>
      </c>
      <c r="I63">
        <v>1</v>
      </c>
    </row>
    <row r="64" spans="1:9" x14ac:dyDescent="0.3">
      <c r="A64">
        <v>2</v>
      </c>
      <c r="B64">
        <v>1</v>
      </c>
      <c r="C64" t="s">
        <v>3</v>
      </c>
      <c r="D64" t="s">
        <v>2</v>
      </c>
      <c r="E64">
        <v>35</v>
      </c>
      <c r="F64" t="s">
        <v>23</v>
      </c>
      <c r="G64" t="s">
        <v>22</v>
      </c>
      <c r="H64">
        <v>44</v>
      </c>
      <c r="I64">
        <v>1</v>
      </c>
    </row>
    <row r="65" spans="1:9" x14ac:dyDescent="0.3">
      <c r="A65">
        <v>2</v>
      </c>
      <c r="B65">
        <v>1</v>
      </c>
      <c r="C65" t="s">
        <v>3</v>
      </c>
      <c r="D65" t="s">
        <v>2</v>
      </c>
      <c r="E65">
        <v>11</v>
      </c>
      <c r="F65" t="s">
        <v>23</v>
      </c>
      <c r="G65" t="s">
        <v>22</v>
      </c>
      <c r="H65">
        <v>38</v>
      </c>
      <c r="I65">
        <v>1</v>
      </c>
    </row>
    <row r="66" spans="1:9" x14ac:dyDescent="0.3">
      <c r="A66">
        <v>2</v>
      </c>
      <c r="B66">
        <v>1</v>
      </c>
      <c r="C66" t="s">
        <v>3</v>
      </c>
      <c r="D66" t="s">
        <v>2</v>
      </c>
      <c r="E66">
        <v>19</v>
      </c>
      <c r="F66" t="s">
        <v>23</v>
      </c>
      <c r="G66" t="s">
        <v>22</v>
      </c>
      <c r="H66">
        <v>64</v>
      </c>
      <c r="I66">
        <v>1</v>
      </c>
    </row>
    <row r="67" spans="1:9" x14ac:dyDescent="0.3">
      <c r="A67">
        <v>2</v>
      </c>
      <c r="B67">
        <v>1</v>
      </c>
      <c r="C67" t="s">
        <v>3</v>
      </c>
      <c r="D67" t="s">
        <v>2</v>
      </c>
      <c r="E67">
        <v>61</v>
      </c>
      <c r="F67" t="s">
        <v>23</v>
      </c>
      <c r="G67" t="s">
        <v>22</v>
      </c>
      <c r="H67">
        <v>32</v>
      </c>
      <c r="I67">
        <v>0</v>
      </c>
    </row>
    <row r="68" spans="1:9" x14ac:dyDescent="0.3">
      <c r="A68">
        <v>2</v>
      </c>
      <c r="B68">
        <v>1</v>
      </c>
      <c r="C68" t="s">
        <v>3</v>
      </c>
      <c r="D68" t="s">
        <v>2</v>
      </c>
      <c r="E68">
        <v>18</v>
      </c>
      <c r="F68" t="s">
        <v>23</v>
      </c>
      <c r="G68" t="s">
        <v>22</v>
      </c>
      <c r="H68">
        <v>47</v>
      </c>
      <c r="I68">
        <v>1</v>
      </c>
    </row>
    <row r="69" spans="1:9" x14ac:dyDescent="0.3">
      <c r="A69">
        <v>2</v>
      </c>
      <c r="B69">
        <v>1</v>
      </c>
      <c r="C69" t="s">
        <v>3</v>
      </c>
      <c r="D69" t="s">
        <v>2</v>
      </c>
      <c r="E69">
        <v>26</v>
      </c>
      <c r="F69" t="s">
        <v>23</v>
      </c>
      <c r="G69" t="s">
        <v>22</v>
      </c>
      <c r="H69">
        <v>42</v>
      </c>
      <c r="I69">
        <v>1</v>
      </c>
    </row>
    <row r="70" spans="1:9" x14ac:dyDescent="0.3">
      <c r="A70">
        <v>2</v>
      </c>
      <c r="B70">
        <v>1</v>
      </c>
      <c r="C70" t="s">
        <v>3</v>
      </c>
      <c r="D70" t="s">
        <v>2</v>
      </c>
      <c r="E70">
        <v>36</v>
      </c>
      <c r="F70" t="s">
        <v>23</v>
      </c>
      <c r="G70" t="s">
        <v>22</v>
      </c>
      <c r="H70">
        <v>60</v>
      </c>
      <c r="I70">
        <v>1</v>
      </c>
    </row>
    <row r="71" spans="1:9" x14ac:dyDescent="0.3">
      <c r="A71">
        <v>2</v>
      </c>
      <c r="B71">
        <v>1</v>
      </c>
      <c r="C71" t="s">
        <v>3</v>
      </c>
      <c r="D71" t="s">
        <v>2</v>
      </c>
      <c r="E71">
        <v>12</v>
      </c>
      <c r="F71" t="s">
        <v>23</v>
      </c>
      <c r="G71" t="s">
        <v>22</v>
      </c>
      <c r="H71">
        <v>47</v>
      </c>
      <c r="I71">
        <v>1</v>
      </c>
    </row>
    <row r="72" spans="1:9" x14ac:dyDescent="0.3">
      <c r="A72">
        <v>2</v>
      </c>
      <c r="B72">
        <v>1</v>
      </c>
      <c r="C72" t="s">
        <v>3</v>
      </c>
      <c r="D72" t="s">
        <v>2</v>
      </c>
      <c r="E72">
        <v>22</v>
      </c>
      <c r="F72" t="s">
        <v>23</v>
      </c>
      <c r="G72" t="s">
        <v>22</v>
      </c>
      <c r="H72">
        <v>33</v>
      </c>
      <c r="I72">
        <v>1</v>
      </c>
    </row>
    <row r="73" spans="1:9" x14ac:dyDescent="0.3">
      <c r="A73">
        <v>2</v>
      </c>
      <c r="B73">
        <v>1</v>
      </c>
      <c r="C73" t="s">
        <v>3</v>
      </c>
      <c r="D73" t="s">
        <v>2</v>
      </c>
      <c r="E73">
        <v>24</v>
      </c>
      <c r="F73" t="s">
        <v>23</v>
      </c>
      <c r="G73" t="s">
        <v>22</v>
      </c>
      <c r="H73">
        <v>44</v>
      </c>
      <c r="I73">
        <v>1</v>
      </c>
    </row>
    <row r="74" spans="1:9" x14ac:dyDescent="0.3">
      <c r="A74">
        <v>2</v>
      </c>
      <c r="B74">
        <v>1</v>
      </c>
      <c r="C74" t="s">
        <v>3</v>
      </c>
      <c r="D74" t="s">
        <v>2</v>
      </c>
      <c r="E74">
        <v>14</v>
      </c>
      <c r="F74" t="s">
        <v>23</v>
      </c>
      <c r="G74" t="s">
        <v>22</v>
      </c>
      <c r="H74">
        <v>43</v>
      </c>
      <c r="I74">
        <v>1</v>
      </c>
    </row>
    <row r="75" spans="1:9" x14ac:dyDescent="0.3">
      <c r="A75">
        <v>2</v>
      </c>
      <c r="B75">
        <v>1</v>
      </c>
      <c r="C75" t="s">
        <v>3</v>
      </c>
      <c r="D75" t="s">
        <v>2</v>
      </c>
      <c r="E75">
        <v>24</v>
      </c>
      <c r="F75" t="s">
        <v>23</v>
      </c>
      <c r="G75" t="s">
        <v>22</v>
      </c>
      <c r="H75">
        <v>48</v>
      </c>
      <c r="I75">
        <v>1</v>
      </c>
    </row>
    <row r="76" spans="1:9" x14ac:dyDescent="0.3">
      <c r="A76">
        <v>2</v>
      </c>
      <c r="B76">
        <v>1</v>
      </c>
      <c r="C76" t="s">
        <v>3</v>
      </c>
      <c r="D76" t="s">
        <v>2</v>
      </c>
      <c r="E76">
        <v>42</v>
      </c>
      <c r="F76" t="s">
        <v>23</v>
      </c>
      <c r="G76" t="s">
        <v>22</v>
      </c>
      <c r="H76">
        <v>55</v>
      </c>
      <c r="I76">
        <v>1</v>
      </c>
    </row>
    <row r="77" spans="1:9" x14ac:dyDescent="0.3">
      <c r="A77">
        <v>2</v>
      </c>
      <c r="B77">
        <v>1</v>
      </c>
      <c r="C77" t="s">
        <v>3</v>
      </c>
      <c r="D77" t="s">
        <v>2</v>
      </c>
      <c r="E77">
        <v>21</v>
      </c>
      <c r="F77" t="s">
        <v>23</v>
      </c>
      <c r="G77" t="s">
        <v>22</v>
      </c>
      <c r="H77">
        <v>52</v>
      </c>
      <c r="I77">
        <v>1</v>
      </c>
    </row>
    <row r="78" spans="1:9" x14ac:dyDescent="0.3">
      <c r="A78">
        <v>2</v>
      </c>
      <c r="B78">
        <v>1</v>
      </c>
      <c r="C78" t="s">
        <v>3</v>
      </c>
      <c r="D78" t="s">
        <v>2</v>
      </c>
      <c r="E78">
        <v>44</v>
      </c>
      <c r="F78" t="s">
        <v>23</v>
      </c>
      <c r="G78" t="s">
        <v>22</v>
      </c>
      <c r="H78">
        <v>66</v>
      </c>
      <c r="I78">
        <v>1</v>
      </c>
    </row>
    <row r="79" spans="1:9" x14ac:dyDescent="0.3">
      <c r="A79">
        <v>2</v>
      </c>
      <c r="B79">
        <v>1</v>
      </c>
      <c r="C79" t="s">
        <v>3</v>
      </c>
      <c r="D79" t="s">
        <v>2</v>
      </c>
      <c r="E79">
        <v>38</v>
      </c>
      <c r="F79" t="s">
        <v>23</v>
      </c>
      <c r="G79" t="s">
        <v>22</v>
      </c>
      <c r="H79">
        <v>45</v>
      </c>
      <c r="I79">
        <v>1</v>
      </c>
    </row>
    <row r="80" spans="1:9" x14ac:dyDescent="0.3">
      <c r="A80">
        <v>2</v>
      </c>
      <c r="B80">
        <v>1</v>
      </c>
      <c r="C80" t="s">
        <v>3</v>
      </c>
      <c r="D80" t="s">
        <v>2</v>
      </c>
      <c r="E80">
        <v>48</v>
      </c>
      <c r="F80" t="s">
        <v>23</v>
      </c>
      <c r="G80" t="s">
        <v>22</v>
      </c>
      <c r="H80">
        <v>56</v>
      </c>
      <c r="I80">
        <v>1</v>
      </c>
    </row>
    <row r="81" spans="1:9" x14ac:dyDescent="0.3">
      <c r="A81">
        <v>2</v>
      </c>
      <c r="B81">
        <v>1</v>
      </c>
      <c r="C81" t="s">
        <v>3</v>
      </c>
      <c r="D81" t="s">
        <v>2</v>
      </c>
      <c r="E81">
        <v>10</v>
      </c>
      <c r="F81" t="s">
        <v>23</v>
      </c>
      <c r="G81" t="s">
        <v>22</v>
      </c>
      <c r="H81">
        <v>61</v>
      </c>
      <c r="I81">
        <v>1</v>
      </c>
    </row>
    <row r="82" spans="1:9" x14ac:dyDescent="0.3">
      <c r="A82">
        <v>2</v>
      </c>
      <c r="B82">
        <v>1</v>
      </c>
      <c r="C82" t="s">
        <v>3</v>
      </c>
      <c r="D82" t="s">
        <v>2</v>
      </c>
      <c r="E82">
        <v>22</v>
      </c>
      <c r="F82" t="s">
        <v>23</v>
      </c>
      <c r="G82" t="s">
        <v>22</v>
      </c>
      <c r="H82">
        <v>63</v>
      </c>
      <c r="I82">
        <v>1</v>
      </c>
    </row>
    <row r="83" spans="1:9" x14ac:dyDescent="0.3">
      <c r="A83">
        <v>2</v>
      </c>
      <c r="B83">
        <v>1</v>
      </c>
      <c r="C83" t="s">
        <v>3</v>
      </c>
      <c r="D83" t="s">
        <v>2</v>
      </c>
      <c r="E83">
        <v>41</v>
      </c>
      <c r="F83" t="s">
        <v>23</v>
      </c>
      <c r="G83" t="s">
        <v>22</v>
      </c>
      <c r="H83">
        <v>50</v>
      </c>
      <c r="I83">
        <v>1</v>
      </c>
    </row>
    <row r="84" spans="1:9" x14ac:dyDescent="0.3">
      <c r="A84">
        <v>2</v>
      </c>
      <c r="B84">
        <v>1</v>
      </c>
      <c r="C84" t="s">
        <v>3</v>
      </c>
      <c r="D84" t="s">
        <v>2</v>
      </c>
      <c r="E84">
        <v>41</v>
      </c>
      <c r="F84" t="s">
        <v>23</v>
      </c>
      <c r="G84" t="s">
        <v>22</v>
      </c>
      <c r="H84">
        <v>59</v>
      </c>
      <c r="I84">
        <v>1</v>
      </c>
    </row>
    <row r="85" spans="1:9" x14ac:dyDescent="0.3">
      <c r="A85">
        <v>2</v>
      </c>
      <c r="B85">
        <v>1</v>
      </c>
      <c r="C85" t="s">
        <v>3</v>
      </c>
      <c r="D85" t="s">
        <v>2</v>
      </c>
      <c r="E85">
        <v>20</v>
      </c>
      <c r="F85" t="s">
        <v>23</v>
      </c>
      <c r="G85" t="s">
        <v>22</v>
      </c>
      <c r="H85">
        <v>44</v>
      </c>
      <c r="I85">
        <v>1</v>
      </c>
    </row>
    <row r="86" spans="1:9" x14ac:dyDescent="0.3">
      <c r="A86">
        <v>2</v>
      </c>
      <c r="B86">
        <v>1</v>
      </c>
      <c r="C86" t="s">
        <v>3</v>
      </c>
      <c r="D86" t="s">
        <v>2</v>
      </c>
      <c r="E86">
        <v>28</v>
      </c>
      <c r="F86" t="s">
        <v>23</v>
      </c>
      <c r="G86" t="s">
        <v>22</v>
      </c>
      <c r="H86">
        <v>43</v>
      </c>
      <c r="I86">
        <v>1</v>
      </c>
    </row>
    <row r="87" spans="1:9" x14ac:dyDescent="0.3">
      <c r="A87">
        <v>2</v>
      </c>
      <c r="B87">
        <v>1</v>
      </c>
      <c r="C87" t="s">
        <v>3</v>
      </c>
      <c r="D87" t="s">
        <v>2</v>
      </c>
      <c r="E87">
        <v>16</v>
      </c>
      <c r="F87" t="s">
        <v>23</v>
      </c>
      <c r="G87" t="s">
        <v>22</v>
      </c>
      <c r="H87">
        <v>43</v>
      </c>
      <c r="I87">
        <v>1</v>
      </c>
    </row>
    <row r="88" spans="1:9" x14ac:dyDescent="0.3">
      <c r="A88">
        <v>2</v>
      </c>
      <c r="B88">
        <v>1</v>
      </c>
      <c r="C88" t="s">
        <v>3</v>
      </c>
      <c r="D88" t="s">
        <v>2</v>
      </c>
      <c r="E88">
        <v>49</v>
      </c>
      <c r="F88" t="s">
        <v>23</v>
      </c>
      <c r="G88" t="s">
        <v>22</v>
      </c>
      <c r="H88">
        <v>55</v>
      </c>
      <c r="I88">
        <v>1</v>
      </c>
    </row>
    <row r="89" spans="1:9" x14ac:dyDescent="0.3">
      <c r="A89">
        <v>2</v>
      </c>
      <c r="B89">
        <v>1</v>
      </c>
      <c r="C89" t="s">
        <v>3</v>
      </c>
      <c r="D89" t="s">
        <v>2</v>
      </c>
      <c r="E89">
        <v>31</v>
      </c>
      <c r="F89" t="s">
        <v>23</v>
      </c>
      <c r="G89" t="s">
        <v>22</v>
      </c>
      <c r="H89">
        <v>59</v>
      </c>
      <c r="I89">
        <v>1</v>
      </c>
    </row>
    <row r="90" spans="1:9" x14ac:dyDescent="0.3">
      <c r="A90">
        <v>2</v>
      </c>
      <c r="B90">
        <v>1</v>
      </c>
      <c r="C90" t="s">
        <v>3</v>
      </c>
      <c r="D90" t="s">
        <v>2</v>
      </c>
      <c r="E90">
        <v>10</v>
      </c>
      <c r="F90" t="s">
        <v>23</v>
      </c>
      <c r="G90" t="s">
        <v>22</v>
      </c>
      <c r="H90">
        <v>42</v>
      </c>
      <c r="I90">
        <v>1</v>
      </c>
    </row>
    <row r="91" spans="1:9" x14ac:dyDescent="0.3">
      <c r="A91">
        <v>2</v>
      </c>
      <c r="B91">
        <v>1</v>
      </c>
      <c r="C91" t="s">
        <v>3</v>
      </c>
      <c r="D91" t="s">
        <v>2</v>
      </c>
      <c r="E91">
        <v>59</v>
      </c>
      <c r="F91" t="s">
        <v>23</v>
      </c>
      <c r="G91" t="s">
        <v>22</v>
      </c>
      <c r="H91">
        <v>48</v>
      </c>
      <c r="I91">
        <v>0</v>
      </c>
    </row>
    <row r="92" spans="1:9" x14ac:dyDescent="0.3">
      <c r="A92">
        <v>2</v>
      </c>
      <c r="B92">
        <v>1</v>
      </c>
      <c r="C92" t="s">
        <v>3</v>
      </c>
      <c r="D92" t="s">
        <v>2</v>
      </c>
      <c r="E92">
        <v>13</v>
      </c>
      <c r="F92" t="s">
        <v>23</v>
      </c>
      <c r="G92" t="s">
        <v>22</v>
      </c>
      <c r="H92">
        <v>77</v>
      </c>
      <c r="I92">
        <v>1</v>
      </c>
    </row>
    <row r="93" spans="1:9" x14ac:dyDescent="0.3">
      <c r="A93">
        <v>2</v>
      </c>
      <c r="B93">
        <v>1</v>
      </c>
      <c r="C93" t="s">
        <v>3</v>
      </c>
      <c r="D93" t="s">
        <v>2</v>
      </c>
      <c r="E93">
        <v>24</v>
      </c>
      <c r="F93" t="s">
        <v>23</v>
      </c>
      <c r="G93" t="s">
        <v>22</v>
      </c>
      <c r="H93">
        <v>55</v>
      </c>
      <c r="I93">
        <v>1</v>
      </c>
    </row>
    <row r="94" spans="1:9" x14ac:dyDescent="0.3">
      <c r="A94">
        <v>2</v>
      </c>
      <c r="B94">
        <v>1</v>
      </c>
      <c r="C94" t="s">
        <v>3</v>
      </c>
      <c r="D94" t="s">
        <v>2</v>
      </c>
      <c r="E94">
        <v>8</v>
      </c>
      <c r="F94" t="s">
        <v>23</v>
      </c>
      <c r="G94" t="s">
        <v>22</v>
      </c>
      <c r="H94">
        <v>11</v>
      </c>
      <c r="I94">
        <v>1</v>
      </c>
    </row>
    <row r="95" spans="1:9" x14ac:dyDescent="0.3">
      <c r="A95">
        <v>2</v>
      </c>
      <c r="B95">
        <v>1</v>
      </c>
      <c r="C95" t="s">
        <v>3</v>
      </c>
      <c r="D95" t="s">
        <v>2</v>
      </c>
      <c r="E95">
        <v>48</v>
      </c>
      <c r="F95" t="s">
        <v>23</v>
      </c>
      <c r="G95" t="s">
        <v>22</v>
      </c>
      <c r="H95">
        <v>84</v>
      </c>
      <c r="I95">
        <v>1</v>
      </c>
    </row>
    <row r="96" spans="1:9" x14ac:dyDescent="0.3">
      <c r="A96">
        <v>2</v>
      </c>
      <c r="B96">
        <v>1</v>
      </c>
      <c r="C96" t="s">
        <v>3</v>
      </c>
      <c r="D96" t="s">
        <v>2</v>
      </c>
      <c r="E96">
        <v>40</v>
      </c>
      <c r="F96" t="s">
        <v>23</v>
      </c>
      <c r="G96" t="s">
        <v>22</v>
      </c>
      <c r="H96">
        <v>54</v>
      </c>
      <c r="I96">
        <v>1</v>
      </c>
    </row>
    <row r="97" spans="1:9" x14ac:dyDescent="0.3">
      <c r="A97">
        <v>2</v>
      </c>
      <c r="B97">
        <v>1</v>
      </c>
      <c r="C97" t="s">
        <v>3</v>
      </c>
      <c r="D97" t="s">
        <v>2</v>
      </c>
      <c r="E97">
        <v>42</v>
      </c>
      <c r="F97" t="s">
        <v>23</v>
      </c>
      <c r="G97" t="s">
        <v>22</v>
      </c>
      <c r="H97">
        <v>52</v>
      </c>
      <c r="I97">
        <v>1</v>
      </c>
    </row>
    <row r="98" spans="1:9" x14ac:dyDescent="0.3">
      <c r="A98">
        <v>2</v>
      </c>
      <c r="B98">
        <v>1</v>
      </c>
      <c r="C98" t="s">
        <v>3</v>
      </c>
      <c r="D98" t="s">
        <v>2</v>
      </c>
      <c r="E98">
        <v>53</v>
      </c>
      <c r="F98" t="s">
        <v>23</v>
      </c>
      <c r="G98" t="s">
        <v>22</v>
      </c>
      <c r="H98">
        <v>45</v>
      </c>
      <c r="I98">
        <v>0</v>
      </c>
    </row>
    <row r="99" spans="1:9" x14ac:dyDescent="0.3">
      <c r="A99">
        <v>2</v>
      </c>
      <c r="B99">
        <v>1</v>
      </c>
      <c r="C99" t="s">
        <v>3</v>
      </c>
      <c r="D99" t="s">
        <v>2</v>
      </c>
      <c r="E99">
        <v>39</v>
      </c>
      <c r="F99" t="s">
        <v>23</v>
      </c>
      <c r="G99" t="s">
        <v>22</v>
      </c>
      <c r="H99">
        <v>43</v>
      </c>
      <c r="I99">
        <v>1</v>
      </c>
    </row>
    <row r="100" spans="1:9" x14ac:dyDescent="0.3">
      <c r="A100">
        <v>2</v>
      </c>
      <c r="B100">
        <v>1</v>
      </c>
      <c r="C100" t="s">
        <v>3</v>
      </c>
      <c r="D100" t="s">
        <v>2</v>
      </c>
      <c r="E100">
        <v>13</v>
      </c>
      <c r="F100" t="s">
        <v>23</v>
      </c>
      <c r="G100" t="s">
        <v>22</v>
      </c>
      <c r="H100">
        <v>41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A17C9-B960-4A61-A5F9-86F4673B6191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3</v>
      </c>
      <c r="D1" t="s">
        <v>2</v>
      </c>
      <c r="E1">
        <v>15</v>
      </c>
      <c r="F1" t="s">
        <v>25</v>
      </c>
      <c r="G1" t="s">
        <v>24</v>
      </c>
      <c r="H1">
        <v>36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3</v>
      </c>
      <c r="D2" t="s">
        <v>2</v>
      </c>
      <c r="E2">
        <v>3</v>
      </c>
      <c r="F2" t="s">
        <v>25</v>
      </c>
      <c r="G2" t="s">
        <v>24</v>
      </c>
      <c r="H2">
        <v>38</v>
      </c>
      <c r="I2">
        <v>1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3</v>
      </c>
      <c r="D3" t="s">
        <v>2</v>
      </c>
      <c r="E3">
        <v>8</v>
      </c>
      <c r="F3" t="s">
        <v>25</v>
      </c>
      <c r="G3" t="s">
        <v>24</v>
      </c>
      <c r="H3">
        <v>36</v>
      </c>
      <c r="I3">
        <v>1</v>
      </c>
      <c r="K3" s="8" t="s">
        <v>11</v>
      </c>
      <c r="L3" s="8"/>
      <c r="M3" s="10">
        <f>COUNTIF($I$1:$I$100, 0)</f>
        <v>57</v>
      </c>
      <c r="N3" s="10"/>
      <c r="O3" s="10">
        <f>COUNTIFS($I$1:$I$100, 0, $B$1:$B$100, 0)</f>
        <v>28</v>
      </c>
      <c r="P3" s="10"/>
      <c r="Q3" s="11">
        <f>COUNTIFS($I$1:$I$100, 0, $B$1:$B$100, 1)</f>
        <v>29</v>
      </c>
      <c r="R3" s="12"/>
      <c r="T3" cm="1">
        <f t="array" ref="T3">SUMPRODUCT(--($E$1:$E$100=$H$1:$H$100))</f>
        <v>2</v>
      </c>
    </row>
    <row r="4" spans="1:20" x14ac:dyDescent="0.3">
      <c r="A4">
        <v>2</v>
      </c>
      <c r="B4">
        <v>0</v>
      </c>
      <c r="C4" t="s">
        <v>3</v>
      </c>
      <c r="D4" t="s">
        <v>2</v>
      </c>
      <c r="E4">
        <v>38</v>
      </c>
      <c r="F4" t="s">
        <v>25</v>
      </c>
      <c r="G4" t="s">
        <v>24</v>
      </c>
      <c r="H4">
        <v>40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3</v>
      </c>
      <c r="D5" t="s">
        <v>2</v>
      </c>
      <c r="E5">
        <v>12</v>
      </c>
      <c r="F5" t="s">
        <v>25</v>
      </c>
      <c r="G5" t="s">
        <v>24</v>
      </c>
      <c r="H5">
        <v>34</v>
      </c>
      <c r="I5">
        <v>1</v>
      </c>
      <c r="K5" s="8" t="s">
        <v>10</v>
      </c>
      <c r="L5" s="8"/>
      <c r="M5" s="14">
        <f>COUNTIF($I$1:$I$100, 1)</f>
        <v>43</v>
      </c>
      <c r="N5" s="10"/>
      <c r="O5" s="10">
        <f>COUNTIFS($I$1:$I$100, 1, $B$1:$B$100, 0)</f>
        <v>22</v>
      </c>
      <c r="P5" s="10"/>
      <c r="Q5" s="10">
        <f>COUNTIFS($I$1:$I$100, 1, $B$1:$B$100, 1)</f>
        <v>21</v>
      </c>
      <c r="R5" s="13"/>
    </row>
    <row r="6" spans="1:20" x14ac:dyDescent="0.3">
      <c r="A6">
        <v>2</v>
      </c>
      <c r="B6">
        <v>0</v>
      </c>
      <c r="C6" t="s">
        <v>3</v>
      </c>
      <c r="D6" t="s">
        <v>2</v>
      </c>
      <c r="E6">
        <v>21</v>
      </c>
      <c r="F6" t="s">
        <v>25</v>
      </c>
      <c r="G6" t="s">
        <v>24</v>
      </c>
      <c r="H6">
        <v>13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3</v>
      </c>
      <c r="D7" t="s">
        <v>2</v>
      </c>
      <c r="E7">
        <v>55</v>
      </c>
      <c r="F7" t="s">
        <v>25</v>
      </c>
      <c r="G7" t="s">
        <v>24</v>
      </c>
      <c r="H7">
        <v>26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3</v>
      </c>
      <c r="D8" t="s">
        <v>2</v>
      </c>
      <c r="E8">
        <v>54</v>
      </c>
      <c r="F8" t="s">
        <v>25</v>
      </c>
      <c r="G8" t="s">
        <v>24</v>
      </c>
      <c r="H8">
        <v>0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3</v>
      </c>
      <c r="D9" t="s">
        <v>2</v>
      </c>
      <c r="E9">
        <v>28</v>
      </c>
      <c r="F9" t="s">
        <v>25</v>
      </c>
      <c r="G9" t="s">
        <v>24</v>
      </c>
      <c r="H9">
        <v>8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3</v>
      </c>
      <c r="D10" t="s">
        <v>2</v>
      </c>
      <c r="E10">
        <v>27</v>
      </c>
      <c r="F10" t="s">
        <v>25</v>
      </c>
      <c r="G10" t="s">
        <v>24</v>
      </c>
      <c r="H10">
        <v>10</v>
      </c>
      <c r="I10">
        <v>0</v>
      </c>
      <c r="K10" s="8" t="s">
        <v>6</v>
      </c>
      <c r="L10" s="8"/>
      <c r="M10" s="10">
        <f>AVERAGE($E$1:$E$100,)</f>
        <v>27.425742574257427</v>
      </c>
      <c r="N10" s="10"/>
      <c r="O10" s="10" cm="1">
        <f t="array" ref="O10">AVERAGE(_xlfn._xlws.FILTER($E$1:$E$100,$I$1:$I$100 = 0))</f>
        <v>37.05263157894737</v>
      </c>
      <c r="P10" s="10"/>
      <c r="Q10" s="11" cm="1">
        <f t="array" ref="Q10">AVERAGE(_xlfn._xlws.FILTER($E$1:$E$100,$I$1:$I$100 = 1))</f>
        <v>15.302325581395349</v>
      </c>
      <c r="R10" s="12"/>
    </row>
    <row r="11" spans="1:20" x14ac:dyDescent="0.3">
      <c r="A11">
        <v>2</v>
      </c>
      <c r="B11">
        <v>0</v>
      </c>
      <c r="C11" t="s">
        <v>3</v>
      </c>
      <c r="D11" t="s">
        <v>2</v>
      </c>
      <c r="E11">
        <v>34</v>
      </c>
      <c r="F11" t="s">
        <v>25</v>
      </c>
      <c r="G11" t="s">
        <v>24</v>
      </c>
      <c r="H11">
        <v>10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3</v>
      </c>
      <c r="D12" t="s">
        <v>2</v>
      </c>
      <c r="E12">
        <v>59</v>
      </c>
      <c r="F12" t="s">
        <v>25</v>
      </c>
      <c r="G12" t="s">
        <v>24</v>
      </c>
      <c r="H12">
        <v>10</v>
      </c>
      <c r="I12">
        <v>0</v>
      </c>
      <c r="K12" s="8" t="s">
        <v>5</v>
      </c>
      <c r="L12" s="8"/>
      <c r="M12" s="10">
        <f>AVERAGE($H$1:$H$100,)</f>
        <v>23.405940594059405</v>
      </c>
      <c r="N12" s="10"/>
      <c r="O12" s="10" cm="1">
        <f t="array" ref="O12">AVERAGE(_xlfn._xlws.FILTER($H$1:$H$100,$I$1:$I$100 = 0))</f>
        <v>16.894736842105264</v>
      </c>
      <c r="P12" s="10"/>
      <c r="Q12" s="10" cm="1">
        <f t="array" ref="Q12">AVERAGE(_xlfn._xlws.FILTER($H$1:$H$100,$I$1:$I$100 = 1))</f>
        <v>32.581395348837212</v>
      </c>
      <c r="R12" s="13"/>
    </row>
    <row r="13" spans="1:20" x14ac:dyDescent="0.3">
      <c r="A13">
        <v>2</v>
      </c>
      <c r="B13">
        <v>0</v>
      </c>
      <c r="C13" t="s">
        <v>3</v>
      </c>
      <c r="D13" t="s">
        <v>2</v>
      </c>
      <c r="E13">
        <v>11</v>
      </c>
      <c r="F13" t="s">
        <v>25</v>
      </c>
      <c r="G13" t="s">
        <v>24</v>
      </c>
      <c r="H13">
        <v>30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3</v>
      </c>
      <c r="D14" t="s">
        <v>2</v>
      </c>
      <c r="E14">
        <v>26</v>
      </c>
      <c r="F14" t="s">
        <v>25</v>
      </c>
      <c r="G14" t="s">
        <v>24</v>
      </c>
      <c r="H14">
        <v>40</v>
      </c>
      <c r="I14">
        <v>1</v>
      </c>
      <c r="K14" s="19" t="s">
        <v>4</v>
      </c>
      <c r="L14" s="12"/>
      <c r="M14" s="20" cm="1">
        <f t="array" ref="M14">AVERAGE($E$1:$E$100 - $H$1:$H$100)</f>
        <v>4.0599999999999996</v>
      </c>
      <c r="N14" s="20"/>
      <c r="O14" s="20" cm="1">
        <f t="array" ref="O14">AVERAGE(_xlfn._xlws.FILTER($E$1:$E$100 - $H$1:$H$100, I$1:I$100 = 0))</f>
        <v>20.157894736842106</v>
      </c>
      <c r="P14" s="20"/>
      <c r="Q14" s="20" cm="1">
        <f t="array" ref="Q14">AVERAGE(_xlfn._xlws.FILTER($E$1:$E$100 - $H$1:$H$100, I$1:I$100 = 1))</f>
        <v>-17.279069767441861</v>
      </c>
      <c r="R14" s="22"/>
    </row>
    <row r="15" spans="1:20" x14ac:dyDescent="0.3">
      <c r="A15">
        <v>2</v>
      </c>
      <c r="B15">
        <v>0</v>
      </c>
      <c r="C15" t="s">
        <v>3</v>
      </c>
      <c r="D15" t="s">
        <v>2</v>
      </c>
      <c r="E15">
        <v>29</v>
      </c>
      <c r="F15" t="s">
        <v>25</v>
      </c>
      <c r="G15" t="s">
        <v>24</v>
      </c>
      <c r="H15">
        <v>36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3</v>
      </c>
      <c r="D16" t="s">
        <v>2</v>
      </c>
      <c r="E16">
        <v>22</v>
      </c>
      <c r="F16" t="s">
        <v>25</v>
      </c>
      <c r="G16" t="s">
        <v>24</v>
      </c>
      <c r="H16">
        <v>8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3</v>
      </c>
      <c r="D17" t="s">
        <v>2</v>
      </c>
      <c r="E17">
        <v>11</v>
      </c>
      <c r="F17" t="s">
        <v>25</v>
      </c>
      <c r="G17" t="s">
        <v>24</v>
      </c>
      <c r="H17">
        <v>27</v>
      </c>
      <c r="I17">
        <v>1</v>
      </c>
    </row>
    <row r="18" spans="1:9" x14ac:dyDescent="0.3">
      <c r="A18">
        <v>2</v>
      </c>
      <c r="B18">
        <v>0</v>
      </c>
      <c r="C18" t="s">
        <v>3</v>
      </c>
      <c r="D18" t="s">
        <v>2</v>
      </c>
      <c r="E18">
        <v>52</v>
      </c>
      <c r="F18" t="s">
        <v>25</v>
      </c>
      <c r="G18" t="s">
        <v>24</v>
      </c>
      <c r="H18">
        <v>19</v>
      </c>
      <c r="I18">
        <v>0</v>
      </c>
    </row>
    <row r="19" spans="1:9" x14ac:dyDescent="0.3">
      <c r="A19">
        <v>2</v>
      </c>
      <c r="B19">
        <v>0</v>
      </c>
      <c r="C19" t="s">
        <v>3</v>
      </c>
      <c r="D19" t="s">
        <v>2</v>
      </c>
      <c r="E19">
        <v>14</v>
      </c>
      <c r="F19" t="s">
        <v>25</v>
      </c>
      <c r="G19" t="s">
        <v>24</v>
      </c>
      <c r="H19">
        <v>10</v>
      </c>
      <c r="I19">
        <v>0</v>
      </c>
    </row>
    <row r="20" spans="1:9" x14ac:dyDescent="0.3">
      <c r="A20">
        <v>2</v>
      </c>
      <c r="B20">
        <v>0</v>
      </c>
      <c r="C20" t="s">
        <v>3</v>
      </c>
      <c r="D20" t="s">
        <v>2</v>
      </c>
      <c r="E20">
        <v>21</v>
      </c>
      <c r="F20" t="s">
        <v>25</v>
      </c>
      <c r="G20" t="s">
        <v>24</v>
      </c>
      <c r="H20">
        <v>24</v>
      </c>
      <c r="I20">
        <v>1</v>
      </c>
    </row>
    <row r="21" spans="1:9" x14ac:dyDescent="0.3">
      <c r="A21">
        <v>2</v>
      </c>
      <c r="B21">
        <v>0</v>
      </c>
      <c r="C21" t="s">
        <v>3</v>
      </c>
      <c r="D21" t="s">
        <v>2</v>
      </c>
      <c r="E21">
        <v>1</v>
      </c>
      <c r="F21" t="s">
        <v>25</v>
      </c>
      <c r="G21" t="s">
        <v>24</v>
      </c>
      <c r="H21">
        <v>9</v>
      </c>
      <c r="I21">
        <v>1</v>
      </c>
    </row>
    <row r="22" spans="1:9" x14ac:dyDescent="0.3">
      <c r="A22">
        <v>2</v>
      </c>
      <c r="B22">
        <v>0</v>
      </c>
      <c r="C22" t="s">
        <v>3</v>
      </c>
      <c r="D22" t="s">
        <v>2</v>
      </c>
      <c r="E22">
        <v>61</v>
      </c>
      <c r="F22" t="s">
        <v>25</v>
      </c>
      <c r="G22" t="s">
        <v>24</v>
      </c>
      <c r="H22">
        <v>7</v>
      </c>
      <c r="I22">
        <v>0</v>
      </c>
    </row>
    <row r="23" spans="1:9" x14ac:dyDescent="0.3">
      <c r="A23">
        <v>2</v>
      </c>
      <c r="B23">
        <v>0</v>
      </c>
      <c r="C23" t="s">
        <v>3</v>
      </c>
      <c r="D23" t="s">
        <v>2</v>
      </c>
      <c r="E23">
        <v>25</v>
      </c>
      <c r="F23" t="s">
        <v>25</v>
      </c>
      <c r="G23" t="s">
        <v>24</v>
      </c>
      <c r="H23">
        <v>15</v>
      </c>
      <c r="I23">
        <v>0</v>
      </c>
    </row>
    <row r="24" spans="1:9" x14ac:dyDescent="0.3">
      <c r="A24">
        <v>2</v>
      </c>
      <c r="B24">
        <v>0</v>
      </c>
      <c r="C24" t="s">
        <v>3</v>
      </c>
      <c r="D24" t="s">
        <v>2</v>
      </c>
      <c r="E24">
        <v>40</v>
      </c>
      <c r="F24" t="s">
        <v>25</v>
      </c>
      <c r="G24" t="s">
        <v>24</v>
      </c>
      <c r="H24">
        <v>34</v>
      </c>
      <c r="I24">
        <v>0</v>
      </c>
    </row>
    <row r="25" spans="1:9" x14ac:dyDescent="0.3">
      <c r="A25">
        <v>2</v>
      </c>
      <c r="B25">
        <v>0</v>
      </c>
      <c r="C25" t="s">
        <v>3</v>
      </c>
      <c r="D25" t="s">
        <v>2</v>
      </c>
      <c r="E25">
        <v>50</v>
      </c>
      <c r="F25" t="s">
        <v>25</v>
      </c>
      <c r="G25" t="s">
        <v>24</v>
      </c>
      <c r="H25">
        <v>6</v>
      </c>
      <c r="I25">
        <v>0</v>
      </c>
    </row>
    <row r="26" spans="1:9" x14ac:dyDescent="0.3">
      <c r="A26">
        <v>2</v>
      </c>
      <c r="B26">
        <v>0</v>
      </c>
      <c r="C26" t="s">
        <v>3</v>
      </c>
      <c r="D26" t="s">
        <v>2</v>
      </c>
      <c r="E26">
        <v>14</v>
      </c>
      <c r="F26" t="s">
        <v>25</v>
      </c>
      <c r="G26" t="s">
        <v>24</v>
      </c>
      <c r="H26">
        <v>45</v>
      </c>
      <c r="I26">
        <v>1</v>
      </c>
    </row>
    <row r="27" spans="1:9" x14ac:dyDescent="0.3">
      <c r="A27">
        <v>2</v>
      </c>
      <c r="B27">
        <v>0</v>
      </c>
      <c r="C27" t="s">
        <v>3</v>
      </c>
      <c r="D27" t="s">
        <v>2</v>
      </c>
      <c r="E27">
        <v>45</v>
      </c>
      <c r="F27" t="s">
        <v>25</v>
      </c>
      <c r="G27" t="s">
        <v>24</v>
      </c>
      <c r="H27">
        <v>14</v>
      </c>
      <c r="I27">
        <v>0</v>
      </c>
    </row>
    <row r="28" spans="1:9" x14ac:dyDescent="0.3">
      <c r="A28">
        <v>2</v>
      </c>
      <c r="B28">
        <v>0</v>
      </c>
      <c r="C28" t="s">
        <v>3</v>
      </c>
      <c r="D28" t="s">
        <v>2</v>
      </c>
      <c r="E28">
        <v>10</v>
      </c>
      <c r="F28" t="s">
        <v>25</v>
      </c>
      <c r="G28" t="s">
        <v>24</v>
      </c>
      <c r="H28">
        <v>5</v>
      </c>
      <c r="I28">
        <v>0</v>
      </c>
    </row>
    <row r="29" spans="1:9" x14ac:dyDescent="0.3">
      <c r="A29">
        <v>2</v>
      </c>
      <c r="B29">
        <v>0</v>
      </c>
      <c r="C29" t="s">
        <v>3</v>
      </c>
      <c r="D29" t="s">
        <v>2</v>
      </c>
      <c r="E29">
        <v>33</v>
      </c>
      <c r="F29" t="s">
        <v>25</v>
      </c>
      <c r="G29" t="s">
        <v>24</v>
      </c>
      <c r="H29">
        <v>48</v>
      </c>
      <c r="I29">
        <v>1</v>
      </c>
    </row>
    <row r="30" spans="1:9" x14ac:dyDescent="0.3">
      <c r="A30">
        <v>2</v>
      </c>
      <c r="B30">
        <v>0</v>
      </c>
      <c r="C30" t="s">
        <v>3</v>
      </c>
      <c r="D30" t="s">
        <v>2</v>
      </c>
      <c r="E30">
        <v>24</v>
      </c>
      <c r="F30" t="s">
        <v>25</v>
      </c>
      <c r="G30" t="s">
        <v>24</v>
      </c>
      <c r="H30">
        <v>0</v>
      </c>
      <c r="I30">
        <v>0</v>
      </c>
    </row>
    <row r="31" spans="1:9" x14ac:dyDescent="0.3">
      <c r="A31">
        <v>2</v>
      </c>
      <c r="B31">
        <v>0</v>
      </c>
      <c r="C31" t="s">
        <v>3</v>
      </c>
      <c r="D31" t="s">
        <v>2</v>
      </c>
      <c r="E31">
        <v>42</v>
      </c>
      <c r="F31" t="s">
        <v>25</v>
      </c>
      <c r="G31" t="s">
        <v>24</v>
      </c>
      <c r="H31">
        <v>17</v>
      </c>
      <c r="I31">
        <v>0</v>
      </c>
    </row>
    <row r="32" spans="1:9" x14ac:dyDescent="0.3">
      <c r="A32">
        <v>2</v>
      </c>
      <c r="B32">
        <v>0</v>
      </c>
      <c r="C32" t="s">
        <v>3</v>
      </c>
      <c r="D32" t="s">
        <v>2</v>
      </c>
      <c r="E32">
        <v>14</v>
      </c>
      <c r="F32" t="s">
        <v>25</v>
      </c>
      <c r="G32" t="s">
        <v>24</v>
      </c>
      <c r="H32">
        <v>18</v>
      </c>
      <c r="I32">
        <v>1</v>
      </c>
    </row>
    <row r="33" spans="1:9" x14ac:dyDescent="0.3">
      <c r="A33">
        <v>2</v>
      </c>
      <c r="B33">
        <v>0</v>
      </c>
      <c r="C33" t="s">
        <v>3</v>
      </c>
      <c r="D33" t="s">
        <v>2</v>
      </c>
      <c r="E33">
        <v>13</v>
      </c>
      <c r="F33" t="s">
        <v>25</v>
      </c>
      <c r="G33" t="s">
        <v>24</v>
      </c>
      <c r="H33">
        <v>37</v>
      </c>
      <c r="I33">
        <v>1</v>
      </c>
    </row>
    <row r="34" spans="1:9" x14ac:dyDescent="0.3">
      <c r="A34">
        <v>2</v>
      </c>
      <c r="B34">
        <v>0</v>
      </c>
      <c r="C34" t="s">
        <v>3</v>
      </c>
      <c r="D34" t="s">
        <v>2</v>
      </c>
      <c r="E34">
        <v>9</v>
      </c>
      <c r="F34" t="s">
        <v>25</v>
      </c>
      <c r="G34" t="s">
        <v>24</v>
      </c>
      <c r="H34">
        <v>49</v>
      </c>
      <c r="I34">
        <v>1</v>
      </c>
    </row>
    <row r="35" spans="1:9" x14ac:dyDescent="0.3">
      <c r="A35">
        <v>2</v>
      </c>
      <c r="B35">
        <v>0</v>
      </c>
      <c r="C35" t="s">
        <v>3</v>
      </c>
      <c r="D35" t="s">
        <v>2</v>
      </c>
      <c r="E35">
        <v>21</v>
      </c>
      <c r="F35" t="s">
        <v>25</v>
      </c>
      <c r="G35" t="s">
        <v>24</v>
      </c>
      <c r="H35">
        <v>29</v>
      </c>
      <c r="I35">
        <v>1</v>
      </c>
    </row>
    <row r="36" spans="1:9" x14ac:dyDescent="0.3">
      <c r="A36">
        <v>2</v>
      </c>
      <c r="B36">
        <v>0</v>
      </c>
      <c r="C36" t="s">
        <v>3</v>
      </c>
      <c r="D36" t="s">
        <v>2</v>
      </c>
      <c r="E36">
        <v>17</v>
      </c>
      <c r="F36" t="s">
        <v>25</v>
      </c>
      <c r="G36" t="s">
        <v>24</v>
      </c>
      <c r="H36">
        <v>35</v>
      </c>
      <c r="I36">
        <v>1</v>
      </c>
    </row>
    <row r="37" spans="1:9" x14ac:dyDescent="0.3">
      <c r="A37">
        <v>2</v>
      </c>
      <c r="B37">
        <v>0</v>
      </c>
      <c r="C37" t="s">
        <v>3</v>
      </c>
      <c r="D37" t="s">
        <v>2</v>
      </c>
      <c r="E37">
        <v>36</v>
      </c>
      <c r="F37" t="s">
        <v>25</v>
      </c>
      <c r="G37" t="s">
        <v>24</v>
      </c>
      <c r="H37">
        <v>32</v>
      </c>
      <c r="I37">
        <v>0</v>
      </c>
    </row>
    <row r="38" spans="1:9" x14ac:dyDescent="0.3">
      <c r="A38">
        <v>2</v>
      </c>
      <c r="B38">
        <v>0</v>
      </c>
      <c r="C38" t="s">
        <v>3</v>
      </c>
      <c r="D38" t="s">
        <v>2</v>
      </c>
      <c r="E38">
        <v>35</v>
      </c>
      <c r="F38" t="s">
        <v>25</v>
      </c>
      <c r="G38" t="s">
        <v>24</v>
      </c>
      <c r="H38">
        <v>0</v>
      </c>
      <c r="I38">
        <v>0</v>
      </c>
    </row>
    <row r="39" spans="1:9" x14ac:dyDescent="0.3">
      <c r="A39">
        <v>2</v>
      </c>
      <c r="B39">
        <v>0</v>
      </c>
      <c r="C39" t="s">
        <v>3</v>
      </c>
      <c r="D39" t="s">
        <v>2</v>
      </c>
      <c r="E39">
        <v>41</v>
      </c>
      <c r="F39" t="s">
        <v>25</v>
      </c>
      <c r="G39" t="s">
        <v>24</v>
      </c>
      <c r="H39">
        <v>16</v>
      </c>
      <c r="I39">
        <v>0</v>
      </c>
    </row>
    <row r="40" spans="1:9" x14ac:dyDescent="0.3">
      <c r="A40">
        <v>2</v>
      </c>
      <c r="B40">
        <v>0</v>
      </c>
      <c r="C40" t="s">
        <v>3</v>
      </c>
      <c r="D40" t="s">
        <v>2</v>
      </c>
      <c r="E40">
        <v>26</v>
      </c>
      <c r="F40" t="s">
        <v>25</v>
      </c>
      <c r="G40" t="s">
        <v>24</v>
      </c>
      <c r="H40">
        <v>42</v>
      </c>
      <c r="I40">
        <v>1</v>
      </c>
    </row>
    <row r="41" spans="1:9" x14ac:dyDescent="0.3">
      <c r="A41">
        <v>2</v>
      </c>
      <c r="B41">
        <v>0</v>
      </c>
      <c r="C41" t="s">
        <v>3</v>
      </c>
      <c r="D41" t="s">
        <v>2</v>
      </c>
      <c r="E41">
        <v>17</v>
      </c>
      <c r="F41" t="s">
        <v>25</v>
      </c>
      <c r="G41" t="s">
        <v>24</v>
      </c>
      <c r="H41">
        <v>17</v>
      </c>
      <c r="I41">
        <v>0</v>
      </c>
    </row>
    <row r="42" spans="1:9" x14ac:dyDescent="0.3">
      <c r="A42">
        <v>2</v>
      </c>
      <c r="B42">
        <v>0</v>
      </c>
      <c r="C42" t="s">
        <v>3</v>
      </c>
      <c r="D42" t="s">
        <v>2</v>
      </c>
      <c r="E42">
        <v>42</v>
      </c>
      <c r="F42" t="s">
        <v>25</v>
      </c>
      <c r="G42" t="s">
        <v>24</v>
      </c>
      <c r="H42">
        <v>27</v>
      </c>
      <c r="I42">
        <v>0</v>
      </c>
    </row>
    <row r="43" spans="1:9" x14ac:dyDescent="0.3">
      <c r="A43">
        <v>2</v>
      </c>
      <c r="B43">
        <v>0</v>
      </c>
      <c r="C43" t="s">
        <v>3</v>
      </c>
      <c r="D43" t="s">
        <v>2</v>
      </c>
      <c r="E43">
        <v>9</v>
      </c>
      <c r="F43" t="s">
        <v>25</v>
      </c>
      <c r="G43" t="s">
        <v>24</v>
      </c>
      <c r="H43">
        <v>42</v>
      </c>
      <c r="I43">
        <v>1</v>
      </c>
    </row>
    <row r="44" spans="1:9" x14ac:dyDescent="0.3">
      <c r="A44">
        <v>2</v>
      </c>
      <c r="B44">
        <v>0</v>
      </c>
      <c r="C44" t="s">
        <v>3</v>
      </c>
      <c r="D44" t="s">
        <v>2</v>
      </c>
      <c r="E44">
        <v>17</v>
      </c>
      <c r="F44" t="s">
        <v>25</v>
      </c>
      <c r="G44" t="s">
        <v>24</v>
      </c>
      <c r="H44">
        <v>29</v>
      </c>
      <c r="I44">
        <v>1</v>
      </c>
    </row>
    <row r="45" spans="1:9" x14ac:dyDescent="0.3">
      <c r="A45">
        <v>2</v>
      </c>
      <c r="B45">
        <v>0</v>
      </c>
      <c r="C45" t="s">
        <v>3</v>
      </c>
      <c r="D45" t="s">
        <v>2</v>
      </c>
      <c r="E45">
        <v>24</v>
      </c>
      <c r="F45" t="s">
        <v>25</v>
      </c>
      <c r="G45" t="s">
        <v>24</v>
      </c>
      <c r="H45">
        <v>24</v>
      </c>
      <c r="I45">
        <v>0</v>
      </c>
    </row>
    <row r="46" spans="1:9" x14ac:dyDescent="0.3">
      <c r="A46">
        <v>2</v>
      </c>
      <c r="B46">
        <v>0</v>
      </c>
      <c r="C46" t="s">
        <v>3</v>
      </c>
      <c r="D46" t="s">
        <v>2</v>
      </c>
      <c r="E46">
        <v>22</v>
      </c>
      <c r="F46" t="s">
        <v>25</v>
      </c>
      <c r="G46" t="s">
        <v>24</v>
      </c>
      <c r="H46">
        <v>11</v>
      </c>
      <c r="I46">
        <v>0</v>
      </c>
    </row>
    <row r="47" spans="1:9" x14ac:dyDescent="0.3">
      <c r="A47">
        <v>2</v>
      </c>
      <c r="B47">
        <v>0</v>
      </c>
      <c r="C47" t="s">
        <v>3</v>
      </c>
      <c r="D47" t="s">
        <v>2</v>
      </c>
      <c r="E47">
        <v>46</v>
      </c>
      <c r="F47" t="s">
        <v>25</v>
      </c>
      <c r="G47" t="s">
        <v>24</v>
      </c>
      <c r="H47">
        <v>21</v>
      </c>
      <c r="I47">
        <v>0</v>
      </c>
    </row>
    <row r="48" spans="1:9" x14ac:dyDescent="0.3">
      <c r="A48">
        <v>2</v>
      </c>
      <c r="B48">
        <v>0</v>
      </c>
      <c r="C48" t="s">
        <v>3</v>
      </c>
      <c r="D48" t="s">
        <v>2</v>
      </c>
      <c r="E48">
        <v>11</v>
      </c>
      <c r="F48" t="s">
        <v>25</v>
      </c>
      <c r="G48" t="s">
        <v>24</v>
      </c>
      <c r="H48">
        <v>25</v>
      </c>
      <c r="I48">
        <v>1</v>
      </c>
    </row>
    <row r="49" spans="1:9" x14ac:dyDescent="0.3">
      <c r="A49">
        <v>2</v>
      </c>
      <c r="B49">
        <v>0</v>
      </c>
      <c r="C49" t="s">
        <v>3</v>
      </c>
      <c r="D49" t="s">
        <v>2</v>
      </c>
      <c r="E49">
        <v>90</v>
      </c>
      <c r="F49" t="s">
        <v>25</v>
      </c>
      <c r="G49" t="s">
        <v>24</v>
      </c>
      <c r="H49">
        <v>58</v>
      </c>
      <c r="I49">
        <v>0</v>
      </c>
    </row>
    <row r="50" spans="1:9" x14ac:dyDescent="0.3">
      <c r="A50">
        <v>2</v>
      </c>
      <c r="B50">
        <v>0</v>
      </c>
      <c r="C50" t="s">
        <v>3</v>
      </c>
      <c r="D50" t="s">
        <v>2</v>
      </c>
      <c r="E50">
        <v>46</v>
      </c>
      <c r="F50" t="s">
        <v>25</v>
      </c>
      <c r="G50" t="s">
        <v>24</v>
      </c>
      <c r="H50">
        <v>38</v>
      </c>
      <c r="I50">
        <v>0</v>
      </c>
    </row>
    <row r="51" spans="1:9" x14ac:dyDescent="0.3">
      <c r="A51">
        <v>2</v>
      </c>
      <c r="B51">
        <v>1</v>
      </c>
      <c r="C51" t="s">
        <v>3</v>
      </c>
      <c r="D51" t="s">
        <v>2</v>
      </c>
      <c r="E51">
        <v>30</v>
      </c>
      <c r="F51" t="s">
        <v>25</v>
      </c>
      <c r="G51" t="s">
        <v>24</v>
      </c>
      <c r="H51">
        <v>19</v>
      </c>
      <c r="I51">
        <v>0</v>
      </c>
    </row>
    <row r="52" spans="1:9" x14ac:dyDescent="0.3">
      <c r="A52">
        <v>2</v>
      </c>
      <c r="B52">
        <v>1</v>
      </c>
      <c r="C52" t="s">
        <v>3</v>
      </c>
      <c r="D52" t="s">
        <v>2</v>
      </c>
      <c r="E52">
        <v>60</v>
      </c>
      <c r="F52" t="s">
        <v>25</v>
      </c>
      <c r="G52" t="s">
        <v>24</v>
      </c>
      <c r="H52">
        <v>11</v>
      </c>
      <c r="I52">
        <v>0</v>
      </c>
    </row>
    <row r="53" spans="1:9" x14ac:dyDescent="0.3">
      <c r="A53">
        <v>2</v>
      </c>
      <c r="B53">
        <v>1</v>
      </c>
      <c r="C53" t="s">
        <v>3</v>
      </c>
      <c r="D53" t="s">
        <v>2</v>
      </c>
      <c r="E53">
        <v>22</v>
      </c>
      <c r="F53" t="s">
        <v>25</v>
      </c>
      <c r="G53" t="s">
        <v>24</v>
      </c>
      <c r="H53">
        <v>6</v>
      </c>
      <c r="I53">
        <v>0</v>
      </c>
    </row>
    <row r="54" spans="1:9" x14ac:dyDescent="0.3">
      <c r="A54">
        <v>2</v>
      </c>
      <c r="B54">
        <v>1</v>
      </c>
      <c r="C54" t="s">
        <v>3</v>
      </c>
      <c r="D54" t="s">
        <v>2</v>
      </c>
      <c r="E54">
        <v>20</v>
      </c>
      <c r="F54" t="s">
        <v>25</v>
      </c>
      <c r="G54" t="s">
        <v>24</v>
      </c>
      <c r="H54">
        <v>28</v>
      </c>
      <c r="I54">
        <v>1</v>
      </c>
    </row>
    <row r="55" spans="1:9" x14ac:dyDescent="0.3">
      <c r="A55">
        <v>2</v>
      </c>
      <c r="B55">
        <v>1</v>
      </c>
      <c r="C55" t="s">
        <v>3</v>
      </c>
      <c r="D55" t="s">
        <v>2</v>
      </c>
      <c r="E55">
        <v>13</v>
      </c>
      <c r="F55" t="s">
        <v>25</v>
      </c>
      <c r="G55" t="s">
        <v>24</v>
      </c>
      <c r="H55">
        <v>11</v>
      </c>
      <c r="I55">
        <v>0</v>
      </c>
    </row>
    <row r="56" spans="1:9" x14ac:dyDescent="0.3">
      <c r="A56">
        <v>2</v>
      </c>
      <c r="B56">
        <v>1</v>
      </c>
      <c r="C56" t="s">
        <v>3</v>
      </c>
      <c r="D56" t="s">
        <v>2</v>
      </c>
      <c r="E56">
        <v>27</v>
      </c>
      <c r="F56" t="s">
        <v>25</v>
      </c>
      <c r="G56" t="s">
        <v>24</v>
      </c>
      <c r="H56">
        <v>26</v>
      </c>
      <c r="I56">
        <v>0</v>
      </c>
    </row>
    <row r="57" spans="1:9" x14ac:dyDescent="0.3">
      <c r="A57">
        <v>2</v>
      </c>
      <c r="B57">
        <v>1</v>
      </c>
      <c r="C57" t="s">
        <v>3</v>
      </c>
      <c r="D57" t="s">
        <v>2</v>
      </c>
      <c r="E57">
        <v>23</v>
      </c>
      <c r="F57" t="s">
        <v>25</v>
      </c>
      <c r="G57" t="s">
        <v>24</v>
      </c>
      <c r="H57">
        <v>2</v>
      </c>
      <c r="I57">
        <v>0</v>
      </c>
    </row>
    <row r="58" spans="1:9" x14ac:dyDescent="0.3">
      <c r="A58">
        <v>2</v>
      </c>
      <c r="B58">
        <v>1</v>
      </c>
      <c r="C58" t="s">
        <v>3</v>
      </c>
      <c r="D58" t="s">
        <v>2</v>
      </c>
      <c r="E58">
        <v>6</v>
      </c>
      <c r="F58" t="s">
        <v>25</v>
      </c>
      <c r="G58" t="s">
        <v>24</v>
      </c>
      <c r="H58">
        <v>45</v>
      </c>
      <c r="I58">
        <v>1</v>
      </c>
    </row>
    <row r="59" spans="1:9" x14ac:dyDescent="0.3">
      <c r="A59">
        <v>2</v>
      </c>
      <c r="B59">
        <v>1</v>
      </c>
      <c r="C59" t="s">
        <v>3</v>
      </c>
      <c r="D59" t="s">
        <v>2</v>
      </c>
      <c r="E59">
        <v>24</v>
      </c>
      <c r="F59" t="s">
        <v>25</v>
      </c>
      <c r="G59" t="s">
        <v>24</v>
      </c>
      <c r="H59">
        <v>21</v>
      </c>
      <c r="I59">
        <v>0</v>
      </c>
    </row>
    <row r="60" spans="1:9" x14ac:dyDescent="0.3">
      <c r="A60">
        <v>2</v>
      </c>
      <c r="B60">
        <v>1</v>
      </c>
      <c r="C60" t="s">
        <v>3</v>
      </c>
      <c r="D60" t="s">
        <v>2</v>
      </c>
      <c r="E60">
        <v>12</v>
      </c>
      <c r="F60" t="s">
        <v>25</v>
      </c>
      <c r="G60" t="s">
        <v>24</v>
      </c>
      <c r="H60">
        <v>21</v>
      </c>
      <c r="I60">
        <v>1</v>
      </c>
    </row>
    <row r="61" spans="1:9" x14ac:dyDescent="0.3">
      <c r="A61">
        <v>2</v>
      </c>
      <c r="B61">
        <v>1</v>
      </c>
      <c r="C61" t="s">
        <v>3</v>
      </c>
      <c r="D61" t="s">
        <v>2</v>
      </c>
      <c r="E61">
        <v>59</v>
      </c>
      <c r="F61" t="s">
        <v>25</v>
      </c>
      <c r="G61" t="s">
        <v>24</v>
      </c>
      <c r="H61">
        <v>7</v>
      </c>
      <c r="I61">
        <v>0</v>
      </c>
    </row>
    <row r="62" spans="1:9" x14ac:dyDescent="0.3">
      <c r="A62">
        <v>2</v>
      </c>
      <c r="B62">
        <v>1</v>
      </c>
      <c r="C62" t="s">
        <v>3</v>
      </c>
      <c r="D62" t="s">
        <v>2</v>
      </c>
      <c r="E62">
        <v>34</v>
      </c>
      <c r="F62" t="s">
        <v>25</v>
      </c>
      <c r="G62" t="s">
        <v>24</v>
      </c>
      <c r="H62">
        <v>15</v>
      </c>
      <c r="I62">
        <v>0</v>
      </c>
    </row>
    <row r="63" spans="1:9" x14ac:dyDescent="0.3">
      <c r="A63">
        <v>2</v>
      </c>
      <c r="B63">
        <v>1</v>
      </c>
      <c r="C63" t="s">
        <v>3</v>
      </c>
      <c r="D63" t="s">
        <v>2</v>
      </c>
      <c r="E63">
        <v>41</v>
      </c>
      <c r="F63" t="s">
        <v>25</v>
      </c>
      <c r="G63" t="s">
        <v>24</v>
      </c>
      <c r="H63">
        <v>9</v>
      </c>
      <c r="I63">
        <v>0</v>
      </c>
    </row>
    <row r="64" spans="1:9" x14ac:dyDescent="0.3">
      <c r="A64">
        <v>2</v>
      </c>
      <c r="B64">
        <v>1</v>
      </c>
      <c r="C64" t="s">
        <v>3</v>
      </c>
      <c r="D64" t="s">
        <v>2</v>
      </c>
      <c r="E64">
        <v>21</v>
      </c>
      <c r="F64" t="s">
        <v>25</v>
      </c>
      <c r="G64" t="s">
        <v>24</v>
      </c>
      <c r="H64">
        <v>14</v>
      </c>
      <c r="I64">
        <v>0</v>
      </c>
    </row>
    <row r="65" spans="1:9" x14ac:dyDescent="0.3">
      <c r="A65">
        <v>2</v>
      </c>
      <c r="B65">
        <v>1</v>
      </c>
      <c r="C65" t="s">
        <v>3</v>
      </c>
      <c r="D65" t="s">
        <v>2</v>
      </c>
      <c r="E65">
        <v>26</v>
      </c>
      <c r="F65" t="s">
        <v>25</v>
      </c>
      <c r="G65" t="s">
        <v>24</v>
      </c>
      <c r="H65">
        <v>13</v>
      </c>
      <c r="I65">
        <v>0</v>
      </c>
    </row>
    <row r="66" spans="1:9" x14ac:dyDescent="0.3">
      <c r="A66">
        <v>2</v>
      </c>
      <c r="B66">
        <v>1</v>
      </c>
      <c r="C66" t="s">
        <v>3</v>
      </c>
      <c r="D66" t="s">
        <v>2</v>
      </c>
      <c r="E66">
        <v>35</v>
      </c>
      <c r="F66" t="s">
        <v>25</v>
      </c>
      <c r="G66" t="s">
        <v>24</v>
      </c>
      <c r="H66">
        <v>18</v>
      </c>
      <c r="I66">
        <v>0</v>
      </c>
    </row>
    <row r="67" spans="1:9" x14ac:dyDescent="0.3">
      <c r="A67">
        <v>2</v>
      </c>
      <c r="B67">
        <v>1</v>
      </c>
      <c r="C67" t="s">
        <v>3</v>
      </c>
      <c r="D67" t="s">
        <v>2</v>
      </c>
      <c r="E67">
        <v>20</v>
      </c>
      <c r="F67" t="s">
        <v>25</v>
      </c>
      <c r="G67" t="s">
        <v>24</v>
      </c>
      <c r="H67">
        <v>23</v>
      </c>
      <c r="I67">
        <v>1</v>
      </c>
    </row>
    <row r="68" spans="1:9" x14ac:dyDescent="0.3">
      <c r="A68">
        <v>2</v>
      </c>
      <c r="B68">
        <v>1</v>
      </c>
      <c r="C68" t="s">
        <v>3</v>
      </c>
      <c r="D68" t="s">
        <v>2</v>
      </c>
      <c r="E68">
        <v>28</v>
      </c>
      <c r="F68" t="s">
        <v>25</v>
      </c>
      <c r="G68" t="s">
        <v>24</v>
      </c>
      <c r="H68">
        <v>15</v>
      </c>
      <c r="I68">
        <v>0</v>
      </c>
    </row>
    <row r="69" spans="1:9" x14ac:dyDescent="0.3">
      <c r="A69">
        <v>2</v>
      </c>
      <c r="B69">
        <v>1</v>
      </c>
      <c r="C69" t="s">
        <v>3</v>
      </c>
      <c r="D69" t="s">
        <v>2</v>
      </c>
      <c r="E69">
        <v>47</v>
      </c>
      <c r="F69" t="s">
        <v>25</v>
      </c>
      <c r="G69" t="s">
        <v>24</v>
      </c>
      <c r="H69">
        <v>30</v>
      </c>
      <c r="I69">
        <v>0</v>
      </c>
    </row>
    <row r="70" spans="1:9" x14ac:dyDescent="0.3">
      <c r="A70">
        <v>2</v>
      </c>
      <c r="B70">
        <v>1</v>
      </c>
      <c r="C70" t="s">
        <v>3</v>
      </c>
      <c r="D70" t="s">
        <v>2</v>
      </c>
      <c r="E70">
        <v>12</v>
      </c>
      <c r="F70" t="s">
        <v>25</v>
      </c>
      <c r="G70" t="s">
        <v>24</v>
      </c>
      <c r="H70">
        <v>30</v>
      </c>
      <c r="I70">
        <v>1</v>
      </c>
    </row>
    <row r="71" spans="1:9" x14ac:dyDescent="0.3">
      <c r="A71">
        <v>2</v>
      </c>
      <c r="B71">
        <v>1</v>
      </c>
      <c r="C71" t="s">
        <v>3</v>
      </c>
      <c r="D71" t="s">
        <v>2</v>
      </c>
      <c r="E71">
        <v>16</v>
      </c>
      <c r="F71" t="s">
        <v>25</v>
      </c>
      <c r="G71" t="s">
        <v>24</v>
      </c>
      <c r="H71">
        <v>17</v>
      </c>
      <c r="I71">
        <v>1</v>
      </c>
    </row>
    <row r="72" spans="1:9" x14ac:dyDescent="0.3">
      <c r="A72">
        <v>2</v>
      </c>
      <c r="B72">
        <v>1</v>
      </c>
      <c r="C72" t="s">
        <v>3</v>
      </c>
      <c r="D72" t="s">
        <v>2</v>
      </c>
      <c r="E72">
        <v>46</v>
      </c>
      <c r="F72" t="s">
        <v>25</v>
      </c>
      <c r="G72" t="s">
        <v>24</v>
      </c>
      <c r="H72">
        <v>45</v>
      </c>
      <c r="I72">
        <v>0</v>
      </c>
    </row>
    <row r="73" spans="1:9" x14ac:dyDescent="0.3">
      <c r="A73">
        <v>2</v>
      </c>
      <c r="B73">
        <v>1</v>
      </c>
      <c r="C73" t="s">
        <v>3</v>
      </c>
      <c r="D73" t="s">
        <v>2</v>
      </c>
      <c r="E73">
        <v>66</v>
      </c>
      <c r="F73" t="s">
        <v>25</v>
      </c>
      <c r="G73" t="s">
        <v>24</v>
      </c>
      <c r="H73">
        <v>20</v>
      </c>
      <c r="I73">
        <v>0</v>
      </c>
    </row>
    <row r="74" spans="1:9" x14ac:dyDescent="0.3">
      <c r="A74">
        <v>2</v>
      </c>
      <c r="B74">
        <v>1</v>
      </c>
      <c r="C74" t="s">
        <v>3</v>
      </c>
      <c r="D74" t="s">
        <v>2</v>
      </c>
      <c r="E74">
        <v>25</v>
      </c>
      <c r="F74" t="s">
        <v>25</v>
      </c>
      <c r="G74" t="s">
        <v>24</v>
      </c>
      <c r="H74">
        <v>30</v>
      </c>
      <c r="I74">
        <v>1</v>
      </c>
    </row>
    <row r="75" spans="1:9" x14ac:dyDescent="0.3">
      <c r="A75">
        <v>2</v>
      </c>
      <c r="B75">
        <v>1</v>
      </c>
      <c r="C75" t="s">
        <v>3</v>
      </c>
      <c r="D75" t="s">
        <v>2</v>
      </c>
      <c r="E75">
        <v>48</v>
      </c>
      <c r="F75" t="s">
        <v>25</v>
      </c>
      <c r="G75" t="s">
        <v>24</v>
      </c>
      <c r="H75">
        <v>26</v>
      </c>
      <c r="I75">
        <v>0</v>
      </c>
    </row>
    <row r="76" spans="1:9" x14ac:dyDescent="0.3">
      <c r="A76">
        <v>2</v>
      </c>
      <c r="B76">
        <v>1</v>
      </c>
      <c r="C76" t="s">
        <v>3</v>
      </c>
      <c r="D76" t="s">
        <v>2</v>
      </c>
      <c r="E76">
        <v>5</v>
      </c>
      <c r="F76" t="s">
        <v>25</v>
      </c>
      <c r="G76" t="s">
        <v>24</v>
      </c>
      <c r="H76">
        <v>31</v>
      </c>
      <c r="I76">
        <v>1</v>
      </c>
    </row>
    <row r="77" spans="1:9" x14ac:dyDescent="0.3">
      <c r="A77">
        <v>2</v>
      </c>
      <c r="B77">
        <v>1</v>
      </c>
      <c r="C77" t="s">
        <v>3</v>
      </c>
      <c r="D77" t="s">
        <v>2</v>
      </c>
      <c r="E77">
        <v>46</v>
      </c>
      <c r="F77" t="s">
        <v>25</v>
      </c>
      <c r="G77" t="s">
        <v>24</v>
      </c>
      <c r="H77">
        <v>31</v>
      </c>
      <c r="I77">
        <v>0</v>
      </c>
    </row>
    <row r="78" spans="1:9" x14ac:dyDescent="0.3">
      <c r="A78">
        <v>2</v>
      </c>
      <c r="B78">
        <v>1</v>
      </c>
      <c r="C78" t="s">
        <v>3</v>
      </c>
      <c r="D78" t="s">
        <v>2</v>
      </c>
      <c r="E78">
        <v>15</v>
      </c>
      <c r="F78" t="s">
        <v>25</v>
      </c>
      <c r="G78" t="s">
        <v>24</v>
      </c>
      <c r="H78">
        <v>64</v>
      </c>
      <c r="I78">
        <v>1</v>
      </c>
    </row>
    <row r="79" spans="1:9" x14ac:dyDescent="0.3">
      <c r="A79">
        <v>2</v>
      </c>
      <c r="B79">
        <v>1</v>
      </c>
      <c r="C79" t="s">
        <v>3</v>
      </c>
      <c r="D79" t="s">
        <v>2</v>
      </c>
      <c r="E79">
        <v>31</v>
      </c>
      <c r="F79" t="s">
        <v>25</v>
      </c>
      <c r="G79" t="s">
        <v>24</v>
      </c>
      <c r="H79">
        <v>25</v>
      </c>
      <c r="I79">
        <v>0</v>
      </c>
    </row>
    <row r="80" spans="1:9" x14ac:dyDescent="0.3">
      <c r="A80">
        <v>2</v>
      </c>
      <c r="B80">
        <v>1</v>
      </c>
      <c r="C80" t="s">
        <v>3</v>
      </c>
      <c r="D80" t="s">
        <v>2</v>
      </c>
      <c r="E80">
        <v>25</v>
      </c>
      <c r="F80" t="s">
        <v>25</v>
      </c>
      <c r="G80" t="s">
        <v>24</v>
      </c>
      <c r="H80">
        <v>12</v>
      </c>
      <c r="I80">
        <v>0</v>
      </c>
    </row>
    <row r="81" spans="1:9" x14ac:dyDescent="0.3">
      <c r="A81">
        <v>2</v>
      </c>
      <c r="B81">
        <v>1</v>
      </c>
      <c r="C81" t="s">
        <v>3</v>
      </c>
      <c r="D81" t="s">
        <v>2</v>
      </c>
      <c r="E81">
        <v>31</v>
      </c>
      <c r="F81" t="s">
        <v>25</v>
      </c>
      <c r="G81" t="s">
        <v>24</v>
      </c>
      <c r="H81">
        <v>10</v>
      </c>
      <c r="I81">
        <v>0</v>
      </c>
    </row>
    <row r="82" spans="1:9" x14ac:dyDescent="0.3">
      <c r="A82">
        <v>2</v>
      </c>
      <c r="B82">
        <v>1</v>
      </c>
      <c r="C82" t="s">
        <v>3</v>
      </c>
      <c r="D82" t="s">
        <v>2</v>
      </c>
      <c r="E82">
        <v>48</v>
      </c>
      <c r="F82" t="s">
        <v>25</v>
      </c>
      <c r="G82" t="s">
        <v>24</v>
      </c>
      <c r="H82">
        <v>43</v>
      </c>
      <c r="I82">
        <v>0</v>
      </c>
    </row>
    <row r="83" spans="1:9" x14ac:dyDescent="0.3">
      <c r="A83">
        <v>2</v>
      </c>
      <c r="B83">
        <v>1</v>
      </c>
      <c r="C83" t="s">
        <v>3</v>
      </c>
      <c r="D83" t="s">
        <v>2</v>
      </c>
      <c r="E83">
        <v>9</v>
      </c>
      <c r="F83" t="s">
        <v>25</v>
      </c>
      <c r="G83" t="s">
        <v>24</v>
      </c>
      <c r="H83">
        <v>18</v>
      </c>
      <c r="I83">
        <v>1</v>
      </c>
    </row>
    <row r="84" spans="1:9" x14ac:dyDescent="0.3">
      <c r="A84">
        <v>2</v>
      </c>
      <c r="B84">
        <v>1</v>
      </c>
      <c r="C84" t="s">
        <v>3</v>
      </c>
      <c r="D84" t="s">
        <v>2</v>
      </c>
      <c r="E84">
        <v>15</v>
      </c>
      <c r="F84" t="s">
        <v>25</v>
      </c>
      <c r="G84" t="s">
        <v>24</v>
      </c>
      <c r="H84">
        <v>12</v>
      </c>
      <c r="I84">
        <v>0</v>
      </c>
    </row>
    <row r="85" spans="1:9" x14ac:dyDescent="0.3">
      <c r="A85">
        <v>2</v>
      </c>
      <c r="B85">
        <v>1</v>
      </c>
      <c r="C85" t="s">
        <v>3</v>
      </c>
      <c r="D85" t="s">
        <v>2</v>
      </c>
      <c r="E85">
        <v>27</v>
      </c>
      <c r="F85" t="s">
        <v>25</v>
      </c>
      <c r="G85" t="s">
        <v>24</v>
      </c>
      <c r="H85">
        <v>23</v>
      </c>
      <c r="I85">
        <v>0</v>
      </c>
    </row>
    <row r="86" spans="1:9" x14ac:dyDescent="0.3">
      <c r="A86">
        <v>2</v>
      </c>
      <c r="B86">
        <v>1</v>
      </c>
      <c r="C86" t="s">
        <v>3</v>
      </c>
      <c r="D86" t="s">
        <v>2</v>
      </c>
      <c r="E86">
        <v>44</v>
      </c>
      <c r="F86" t="s">
        <v>25</v>
      </c>
      <c r="G86" t="s">
        <v>24</v>
      </c>
      <c r="H86">
        <v>0</v>
      </c>
      <c r="I86">
        <v>0</v>
      </c>
    </row>
    <row r="87" spans="1:9" x14ac:dyDescent="0.3">
      <c r="A87">
        <v>2</v>
      </c>
      <c r="B87">
        <v>1</v>
      </c>
      <c r="C87" t="s">
        <v>3</v>
      </c>
      <c r="D87" t="s">
        <v>2</v>
      </c>
      <c r="E87">
        <v>56</v>
      </c>
      <c r="F87" t="s">
        <v>25</v>
      </c>
      <c r="G87" t="s">
        <v>24</v>
      </c>
      <c r="H87">
        <v>2</v>
      </c>
      <c r="I87">
        <v>0</v>
      </c>
    </row>
    <row r="88" spans="1:9" x14ac:dyDescent="0.3">
      <c r="A88">
        <v>2</v>
      </c>
      <c r="B88">
        <v>1</v>
      </c>
      <c r="C88" t="s">
        <v>3</v>
      </c>
      <c r="D88" t="s">
        <v>2</v>
      </c>
      <c r="E88">
        <v>21</v>
      </c>
      <c r="F88" t="s">
        <v>25</v>
      </c>
      <c r="G88" t="s">
        <v>24</v>
      </c>
      <c r="H88">
        <v>28</v>
      </c>
      <c r="I88">
        <v>1</v>
      </c>
    </row>
    <row r="89" spans="1:9" x14ac:dyDescent="0.3">
      <c r="A89">
        <v>2</v>
      </c>
      <c r="B89">
        <v>1</v>
      </c>
      <c r="C89" t="s">
        <v>3</v>
      </c>
      <c r="D89" t="s">
        <v>2</v>
      </c>
      <c r="E89">
        <v>25</v>
      </c>
      <c r="F89" t="s">
        <v>25</v>
      </c>
      <c r="G89" t="s">
        <v>24</v>
      </c>
      <c r="H89">
        <v>26</v>
      </c>
      <c r="I89">
        <v>1</v>
      </c>
    </row>
    <row r="90" spans="1:9" x14ac:dyDescent="0.3">
      <c r="A90">
        <v>2</v>
      </c>
      <c r="B90">
        <v>1</v>
      </c>
      <c r="C90" t="s">
        <v>3</v>
      </c>
      <c r="D90" t="s">
        <v>2</v>
      </c>
      <c r="E90">
        <v>22</v>
      </c>
      <c r="F90" t="s">
        <v>25</v>
      </c>
      <c r="G90" t="s">
        <v>24</v>
      </c>
      <c r="H90">
        <v>29</v>
      </c>
      <c r="I90">
        <v>1</v>
      </c>
    </row>
    <row r="91" spans="1:9" x14ac:dyDescent="0.3">
      <c r="A91">
        <v>2</v>
      </c>
      <c r="B91">
        <v>1</v>
      </c>
      <c r="C91" t="s">
        <v>3</v>
      </c>
      <c r="D91" t="s">
        <v>2</v>
      </c>
      <c r="E91">
        <v>0</v>
      </c>
      <c r="F91" t="s">
        <v>25</v>
      </c>
      <c r="G91" t="s">
        <v>24</v>
      </c>
      <c r="H91">
        <v>35</v>
      </c>
      <c r="I91">
        <v>1</v>
      </c>
    </row>
    <row r="92" spans="1:9" x14ac:dyDescent="0.3">
      <c r="A92">
        <v>2</v>
      </c>
      <c r="B92">
        <v>1</v>
      </c>
      <c r="C92" t="s">
        <v>3</v>
      </c>
      <c r="D92" t="s">
        <v>2</v>
      </c>
      <c r="E92">
        <v>0</v>
      </c>
      <c r="F92" t="s">
        <v>25</v>
      </c>
      <c r="G92" t="s">
        <v>24</v>
      </c>
      <c r="H92">
        <v>44</v>
      </c>
      <c r="I92">
        <v>1</v>
      </c>
    </row>
    <row r="93" spans="1:9" x14ac:dyDescent="0.3">
      <c r="A93">
        <v>2</v>
      </c>
      <c r="B93">
        <v>1</v>
      </c>
      <c r="C93" t="s">
        <v>3</v>
      </c>
      <c r="D93" t="s">
        <v>2</v>
      </c>
      <c r="E93">
        <v>14</v>
      </c>
      <c r="F93" t="s">
        <v>25</v>
      </c>
      <c r="G93" t="s">
        <v>24</v>
      </c>
      <c r="H93">
        <v>20</v>
      </c>
      <c r="I93">
        <v>1</v>
      </c>
    </row>
    <row r="94" spans="1:9" x14ac:dyDescent="0.3">
      <c r="A94">
        <v>2</v>
      </c>
      <c r="B94">
        <v>1</v>
      </c>
      <c r="C94" t="s">
        <v>3</v>
      </c>
      <c r="D94" t="s">
        <v>2</v>
      </c>
      <c r="E94">
        <v>10</v>
      </c>
      <c r="F94" t="s">
        <v>25</v>
      </c>
      <c r="G94" t="s">
        <v>24</v>
      </c>
      <c r="H94">
        <v>35</v>
      </c>
      <c r="I94">
        <v>1</v>
      </c>
    </row>
    <row r="95" spans="1:9" x14ac:dyDescent="0.3">
      <c r="A95">
        <v>2</v>
      </c>
      <c r="B95">
        <v>1</v>
      </c>
      <c r="C95" t="s">
        <v>3</v>
      </c>
      <c r="D95" t="s">
        <v>2</v>
      </c>
      <c r="E95">
        <v>17</v>
      </c>
      <c r="F95" t="s">
        <v>25</v>
      </c>
      <c r="G95" t="s">
        <v>24</v>
      </c>
      <c r="H95">
        <v>46</v>
      </c>
      <c r="I95">
        <v>1</v>
      </c>
    </row>
    <row r="96" spans="1:9" x14ac:dyDescent="0.3">
      <c r="A96">
        <v>2</v>
      </c>
      <c r="B96">
        <v>1</v>
      </c>
      <c r="C96" t="s">
        <v>3</v>
      </c>
      <c r="D96" t="s">
        <v>2</v>
      </c>
      <c r="E96">
        <v>28</v>
      </c>
      <c r="F96" t="s">
        <v>25</v>
      </c>
      <c r="G96" t="s">
        <v>24</v>
      </c>
      <c r="H96">
        <v>23</v>
      </c>
      <c r="I96">
        <v>0</v>
      </c>
    </row>
    <row r="97" spans="1:9" x14ac:dyDescent="0.3">
      <c r="A97">
        <v>2</v>
      </c>
      <c r="B97">
        <v>1</v>
      </c>
      <c r="C97" t="s">
        <v>3</v>
      </c>
      <c r="D97" t="s">
        <v>2</v>
      </c>
      <c r="E97">
        <v>49</v>
      </c>
      <c r="F97" t="s">
        <v>25</v>
      </c>
      <c r="G97" t="s">
        <v>24</v>
      </c>
      <c r="H97">
        <v>18</v>
      </c>
      <c r="I97">
        <v>0</v>
      </c>
    </row>
    <row r="98" spans="1:9" x14ac:dyDescent="0.3">
      <c r="A98">
        <v>2</v>
      </c>
      <c r="B98">
        <v>1</v>
      </c>
      <c r="C98" t="s">
        <v>3</v>
      </c>
      <c r="D98" t="s">
        <v>2</v>
      </c>
      <c r="E98">
        <v>20</v>
      </c>
      <c r="F98" t="s">
        <v>25</v>
      </c>
      <c r="G98" t="s">
        <v>24</v>
      </c>
      <c r="H98">
        <v>40</v>
      </c>
      <c r="I98">
        <v>1</v>
      </c>
    </row>
    <row r="99" spans="1:9" x14ac:dyDescent="0.3">
      <c r="A99">
        <v>2</v>
      </c>
      <c r="B99">
        <v>1</v>
      </c>
      <c r="C99" t="s">
        <v>3</v>
      </c>
      <c r="D99" t="s">
        <v>2</v>
      </c>
      <c r="E99">
        <v>19</v>
      </c>
      <c r="F99" t="s">
        <v>25</v>
      </c>
      <c r="G99" t="s">
        <v>24</v>
      </c>
      <c r="H99">
        <v>22</v>
      </c>
      <c r="I99">
        <v>1</v>
      </c>
    </row>
    <row r="100" spans="1:9" x14ac:dyDescent="0.3">
      <c r="A100">
        <v>2</v>
      </c>
      <c r="B100">
        <v>1</v>
      </c>
      <c r="C100" t="s">
        <v>3</v>
      </c>
      <c r="D100" t="s">
        <v>2</v>
      </c>
      <c r="E100">
        <v>11</v>
      </c>
      <c r="F100" t="s">
        <v>25</v>
      </c>
      <c r="G100" t="s">
        <v>24</v>
      </c>
      <c r="H100">
        <v>20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730DD-FC9D-4B6A-A1DB-1C505ECE83BB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3</v>
      </c>
      <c r="D1" t="s">
        <v>2</v>
      </c>
      <c r="E1">
        <v>16</v>
      </c>
      <c r="F1" t="s">
        <v>27</v>
      </c>
      <c r="G1" t="s">
        <v>26</v>
      </c>
      <c r="H1">
        <v>43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3</v>
      </c>
      <c r="D2" t="s">
        <v>2</v>
      </c>
      <c r="E2">
        <v>48</v>
      </c>
      <c r="F2" t="s">
        <v>27</v>
      </c>
      <c r="G2" t="s">
        <v>26</v>
      </c>
      <c r="H2">
        <v>23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3</v>
      </c>
      <c r="D3" t="s">
        <v>2</v>
      </c>
      <c r="E3">
        <v>51</v>
      </c>
      <c r="F3" t="s">
        <v>27</v>
      </c>
      <c r="G3" t="s">
        <v>26</v>
      </c>
      <c r="H3">
        <v>56</v>
      </c>
      <c r="I3">
        <v>1</v>
      </c>
      <c r="K3" s="8" t="s">
        <v>11</v>
      </c>
      <c r="L3" s="8"/>
      <c r="M3" s="10">
        <f>COUNTIF($I$1:$I$100, 0)</f>
        <v>35</v>
      </c>
      <c r="N3" s="10"/>
      <c r="O3" s="10">
        <f>COUNTIFS($I$1:$I$100, 0, $B$1:$B$100, 0)</f>
        <v>18</v>
      </c>
      <c r="P3" s="10"/>
      <c r="Q3" s="11">
        <f>COUNTIFS($I$1:$I$100, 0, $B$1:$B$100, 1)</f>
        <v>17</v>
      </c>
      <c r="R3" s="12"/>
      <c r="T3" cm="1">
        <f t="array" ref="T3">SUMPRODUCT(--($E$1:$E$100=$H$1:$H$100))</f>
        <v>0</v>
      </c>
    </row>
    <row r="4" spans="1:20" x14ac:dyDescent="0.3">
      <c r="A4">
        <v>2</v>
      </c>
      <c r="B4">
        <v>0</v>
      </c>
      <c r="C4" t="s">
        <v>3</v>
      </c>
      <c r="D4" t="s">
        <v>2</v>
      </c>
      <c r="E4">
        <v>38</v>
      </c>
      <c r="F4" t="s">
        <v>27</v>
      </c>
      <c r="G4" t="s">
        <v>26</v>
      </c>
      <c r="H4">
        <v>11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3</v>
      </c>
      <c r="D5" t="s">
        <v>2</v>
      </c>
      <c r="E5">
        <v>43</v>
      </c>
      <c r="F5" t="s">
        <v>27</v>
      </c>
      <c r="G5" t="s">
        <v>26</v>
      </c>
      <c r="H5">
        <v>73</v>
      </c>
      <c r="I5">
        <v>1</v>
      </c>
      <c r="K5" s="8" t="s">
        <v>10</v>
      </c>
      <c r="L5" s="8"/>
      <c r="M5" s="14">
        <f>COUNTIF($I$1:$I$100, 1)</f>
        <v>65</v>
      </c>
      <c r="N5" s="10"/>
      <c r="O5" s="10">
        <f>COUNTIFS($I$1:$I$100, 1, $B$1:$B$100, 0)</f>
        <v>32</v>
      </c>
      <c r="P5" s="10"/>
      <c r="Q5" s="10">
        <f>COUNTIFS($I$1:$I$100, 1, $B$1:$B$100, 1)</f>
        <v>33</v>
      </c>
      <c r="R5" s="13"/>
    </row>
    <row r="6" spans="1:20" x14ac:dyDescent="0.3">
      <c r="A6">
        <v>2</v>
      </c>
      <c r="B6">
        <v>0</v>
      </c>
      <c r="C6" t="s">
        <v>3</v>
      </c>
      <c r="D6" t="s">
        <v>2</v>
      </c>
      <c r="E6">
        <v>28</v>
      </c>
      <c r="F6" t="s">
        <v>27</v>
      </c>
      <c r="G6" t="s">
        <v>26</v>
      </c>
      <c r="H6">
        <v>50</v>
      </c>
      <c r="I6">
        <v>1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3</v>
      </c>
      <c r="D7" t="s">
        <v>2</v>
      </c>
      <c r="E7">
        <v>44</v>
      </c>
      <c r="F7" t="s">
        <v>27</v>
      </c>
      <c r="G7" t="s">
        <v>26</v>
      </c>
      <c r="H7">
        <v>53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3</v>
      </c>
      <c r="D8" t="s">
        <v>2</v>
      </c>
      <c r="E8">
        <v>2</v>
      </c>
      <c r="F8" t="s">
        <v>27</v>
      </c>
      <c r="G8" t="s">
        <v>26</v>
      </c>
      <c r="H8">
        <v>28</v>
      </c>
      <c r="I8">
        <v>1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3</v>
      </c>
      <c r="D9" t="s">
        <v>2</v>
      </c>
      <c r="E9">
        <v>16</v>
      </c>
      <c r="F9" t="s">
        <v>27</v>
      </c>
      <c r="G9" t="s">
        <v>26</v>
      </c>
      <c r="H9">
        <v>47</v>
      </c>
      <c r="I9">
        <v>1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3</v>
      </c>
      <c r="D10" t="s">
        <v>2</v>
      </c>
      <c r="E10">
        <v>22</v>
      </c>
      <c r="F10" t="s">
        <v>27</v>
      </c>
      <c r="G10" t="s">
        <v>26</v>
      </c>
      <c r="H10">
        <v>18</v>
      </c>
      <c r="I10">
        <v>0</v>
      </c>
      <c r="K10" s="8" t="s">
        <v>6</v>
      </c>
      <c r="L10" s="8"/>
      <c r="M10" s="10">
        <f>AVERAGE($E$1:$E$100,)</f>
        <v>29.009900990099009</v>
      </c>
      <c r="N10" s="10"/>
      <c r="O10" s="10" cm="1">
        <f t="array" ref="O10">AVERAGE(_xlfn._xlws.FILTER($E$1:$E$100,$I$1:$I$100 = 0))</f>
        <v>39.25714285714286</v>
      </c>
      <c r="P10" s="10"/>
      <c r="Q10" s="11" cm="1">
        <f t="array" ref="Q10">AVERAGE(_xlfn._xlws.FILTER($E$1:$E$100,$I$1:$I$100 = 1))</f>
        <v>23.938461538461539</v>
      </c>
      <c r="R10" s="12"/>
    </row>
    <row r="11" spans="1:20" x14ac:dyDescent="0.3">
      <c r="A11">
        <v>2</v>
      </c>
      <c r="B11">
        <v>0</v>
      </c>
      <c r="C11" t="s">
        <v>3</v>
      </c>
      <c r="D11" t="s">
        <v>2</v>
      </c>
      <c r="E11">
        <v>38</v>
      </c>
      <c r="F11" t="s">
        <v>27</v>
      </c>
      <c r="G11" t="s">
        <v>26</v>
      </c>
      <c r="H11">
        <v>25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3</v>
      </c>
      <c r="D12" t="s">
        <v>2</v>
      </c>
      <c r="E12">
        <v>22</v>
      </c>
      <c r="F12" t="s">
        <v>27</v>
      </c>
      <c r="G12" t="s">
        <v>26</v>
      </c>
      <c r="H12">
        <v>26</v>
      </c>
      <c r="I12">
        <v>1</v>
      </c>
      <c r="K12" s="8" t="s">
        <v>5</v>
      </c>
      <c r="L12" s="8"/>
      <c r="M12" s="10">
        <f>AVERAGE($H$1:$H$100,)</f>
        <v>36.336633663366335</v>
      </c>
      <c r="N12" s="10"/>
      <c r="O12" s="10" cm="1">
        <f t="array" ref="O12">AVERAGE(_xlfn._xlws.FILTER($H$1:$H$100,$I$1:$I$100 = 0))</f>
        <v>25.114285714285714</v>
      </c>
      <c r="P12" s="10"/>
      <c r="Q12" s="10" cm="1">
        <f t="array" ref="Q12">AVERAGE(_xlfn._xlws.FILTER($H$1:$H$100,$I$1:$I$100 = 1))</f>
        <v>42.938461538461539</v>
      </c>
      <c r="R12" s="13"/>
    </row>
    <row r="13" spans="1:20" x14ac:dyDescent="0.3">
      <c r="A13">
        <v>2</v>
      </c>
      <c r="B13">
        <v>0</v>
      </c>
      <c r="C13" t="s">
        <v>3</v>
      </c>
      <c r="D13" t="s">
        <v>2</v>
      </c>
      <c r="E13">
        <v>24</v>
      </c>
      <c r="F13" t="s">
        <v>27</v>
      </c>
      <c r="G13" t="s">
        <v>26</v>
      </c>
      <c r="H13">
        <v>56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3</v>
      </c>
      <c r="D14" t="s">
        <v>2</v>
      </c>
      <c r="E14">
        <v>39</v>
      </c>
      <c r="F14" t="s">
        <v>27</v>
      </c>
      <c r="G14" t="s">
        <v>26</v>
      </c>
      <c r="H14">
        <v>43</v>
      </c>
      <c r="I14">
        <v>1</v>
      </c>
      <c r="K14" s="19" t="s">
        <v>4</v>
      </c>
      <c r="L14" s="12"/>
      <c r="M14" s="20" cm="1">
        <f t="array" ref="M14">AVERAGE($E$1:$E$100 - $H$1:$H$100)</f>
        <v>-7.4</v>
      </c>
      <c r="N14" s="20"/>
      <c r="O14" s="20" cm="1">
        <f t="array" ref="O14">AVERAGE(_xlfn._xlws.FILTER($E$1:$E$100 - $H$1:$H$100, I$1:I$100 = 0))</f>
        <v>14.142857142857142</v>
      </c>
      <c r="P14" s="20"/>
      <c r="Q14" s="20" cm="1">
        <f t="array" ref="Q14">AVERAGE(_xlfn._xlws.FILTER($E$1:$E$100 - $H$1:$H$100, I$1:I$100 = 1))</f>
        <v>-19</v>
      </c>
      <c r="R14" s="22"/>
    </row>
    <row r="15" spans="1:20" x14ac:dyDescent="0.3">
      <c r="A15">
        <v>2</v>
      </c>
      <c r="B15">
        <v>0</v>
      </c>
      <c r="C15" t="s">
        <v>3</v>
      </c>
      <c r="D15" t="s">
        <v>2</v>
      </c>
      <c r="E15">
        <v>31</v>
      </c>
      <c r="F15" t="s">
        <v>27</v>
      </c>
      <c r="G15" t="s">
        <v>26</v>
      </c>
      <c r="H15">
        <v>15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3</v>
      </c>
      <c r="D16" t="s">
        <v>2</v>
      </c>
      <c r="E16">
        <v>39</v>
      </c>
      <c r="F16" t="s">
        <v>27</v>
      </c>
      <c r="G16" t="s">
        <v>26</v>
      </c>
      <c r="H16">
        <v>43</v>
      </c>
      <c r="I16">
        <v>1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3</v>
      </c>
      <c r="D17" t="s">
        <v>2</v>
      </c>
      <c r="E17">
        <v>29</v>
      </c>
      <c r="F17" t="s">
        <v>27</v>
      </c>
      <c r="G17" t="s">
        <v>26</v>
      </c>
      <c r="H17">
        <v>28</v>
      </c>
      <c r="I17">
        <v>0</v>
      </c>
    </row>
    <row r="18" spans="1:9" x14ac:dyDescent="0.3">
      <c r="A18">
        <v>2</v>
      </c>
      <c r="B18">
        <v>0</v>
      </c>
      <c r="C18" t="s">
        <v>3</v>
      </c>
      <c r="D18" t="s">
        <v>2</v>
      </c>
      <c r="E18">
        <v>45</v>
      </c>
      <c r="F18" t="s">
        <v>27</v>
      </c>
      <c r="G18" t="s">
        <v>26</v>
      </c>
      <c r="H18">
        <v>33</v>
      </c>
      <c r="I18">
        <v>0</v>
      </c>
    </row>
    <row r="19" spans="1:9" x14ac:dyDescent="0.3">
      <c r="A19">
        <v>2</v>
      </c>
      <c r="B19">
        <v>0</v>
      </c>
      <c r="C19" t="s">
        <v>3</v>
      </c>
      <c r="D19" t="s">
        <v>2</v>
      </c>
      <c r="E19">
        <v>16</v>
      </c>
      <c r="F19" t="s">
        <v>27</v>
      </c>
      <c r="G19" t="s">
        <v>26</v>
      </c>
      <c r="H19">
        <v>50</v>
      </c>
      <c r="I19">
        <v>1</v>
      </c>
    </row>
    <row r="20" spans="1:9" x14ac:dyDescent="0.3">
      <c r="A20">
        <v>2</v>
      </c>
      <c r="B20">
        <v>0</v>
      </c>
      <c r="C20" t="s">
        <v>3</v>
      </c>
      <c r="D20" t="s">
        <v>2</v>
      </c>
      <c r="E20">
        <v>20</v>
      </c>
      <c r="F20" t="s">
        <v>27</v>
      </c>
      <c r="G20" t="s">
        <v>26</v>
      </c>
      <c r="H20">
        <v>31</v>
      </c>
      <c r="I20">
        <v>1</v>
      </c>
    </row>
    <row r="21" spans="1:9" x14ac:dyDescent="0.3">
      <c r="A21">
        <v>2</v>
      </c>
      <c r="B21">
        <v>0</v>
      </c>
      <c r="C21" t="s">
        <v>3</v>
      </c>
      <c r="D21" t="s">
        <v>2</v>
      </c>
      <c r="E21">
        <v>28</v>
      </c>
      <c r="F21" t="s">
        <v>27</v>
      </c>
      <c r="G21" t="s">
        <v>26</v>
      </c>
      <c r="H21">
        <v>19</v>
      </c>
      <c r="I21">
        <v>0</v>
      </c>
    </row>
    <row r="22" spans="1:9" x14ac:dyDescent="0.3">
      <c r="A22">
        <v>2</v>
      </c>
      <c r="B22">
        <v>0</v>
      </c>
      <c r="C22" t="s">
        <v>3</v>
      </c>
      <c r="D22" t="s">
        <v>2</v>
      </c>
      <c r="E22">
        <v>51</v>
      </c>
      <c r="F22" t="s">
        <v>27</v>
      </c>
      <c r="G22" t="s">
        <v>26</v>
      </c>
      <c r="H22">
        <v>59</v>
      </c>
      <c r="I22">
        <v>1</v>
      </c>
    </row>
    <row r="23" spans="1:9" x14ac:dyDescent="0.3">
      <c r="A23">
        <v>2</v>
      </c>
      <c r="B23">
        <v>0</v>
      </c>
      <c r="C23" t="s">
        <v>3</v>
      </c>
      <c r="D23" t="s">
        <v>2</v>
      </c>
      <c r="E23">
        <v>24</v>
      </c>
      <c r="F23" t="s">
        <v>27</v>
      </c>
      <c r="G23" t="s">
        <v>26</v>
      </c>
      <c r="H23">
        <v>26</v>
      </c>
      <c r="I23">
        <v>1</v>
      </c>
    </row>
    <row r="24" spans="1:9" x14ac:dyDescent="0.3">
      <c r="A24">
        <v>2</v>
      </c>
      <c r="B24">
        <v>0</v>
      </c>
      <c r="C24" t="s">
        <v>3</v>
      </c>
      <c r="D24" t="s">
        <v>2</v>
      </c>
      <c r="E24">
        <v>29</v>
      </c>
      <c r="F24" t="s">
        <v>27</v>
      </c>
      <c r="G24" t="s">
        <v>26</v>
      </c>
      <c r="H24">
        <v>12</v>
      </c>
      <c r="I24">
        <v>0</v>
      </c>
    </row>
    <row r="25" spans="1:9" x14ac:dyDescent="0.3">
      <c r="A25">
        <v>2</v>
      </c>
      <c r="B25">
        <v>0</v>
      </c>
      <c r="C25" t="s">
        <v>3</v>
      </c>
      <c r="D25" t="s">
        <v>2</v>
      </c>
      <c r="E25">
        <v>15</v>
      </c>
      <c r="F25" t="s">
        <v>27</v>
      </c>
      <c r="G25" t="s">
        <v>26</v>
      </c>
      <c r="H25">
        <v>21</v>
      </c>
      <c r="I25">
        <v>1</v>
      </c>
    </row>
    <row r="26" spans="1:9" x14ac:dyDescent="0.3">
      <c r="A26">
        <v>2</v>
      </c>
      <c r="B26">
        <v>0</v>
      </c>
      <c r="C26" t="s">
        <v>3</v>
      </c>
      <c r="D26" t="s">
        <v>2</v>
      </c>
      <c r="E26">
        <v>44</v>
      </c>
      <c r="F26" t="s">
        <v>27</v>
      </c>
      <c r="G26" t="s">
        <v>26</v>
      </c>
      <c r="H26">
        <v>39</v>
      </c>
      <c r="I26">
        <v>0</v>
      </c>
    </row>
    <row r="27" spans="1:9" x14ac:dyDescent="0.3">
      <c r="A27">
        <v>2</v>
      </c>
      <c r="B27">
        <v>0</v>
      </c>
      <c r="C27" t="s">
        <v>3</v>
      </c>
      <c r="D27" t="s">
        <v>2</v>
      </c>
      <c r="E27">
        <v>42</v>
      </c>
      <c r="F27" t="s">
        <v>27</v>
      </c>
      <c r="G27" t="s">
        <v>26</v>
      </c>
      <c r="H27">
        <v>37</v>
      </c>
      <c r="I27">
        <v>0</v>
      </c>
    </row>
    <row r="28" spans="1:9" x14ac:dyDescent="0.3">
      <c r="A28">
        <v>2</v>
      </c>
      <c r="B28">
        <v>0</v>
      </c>
      <c r="C28" t="s">
        <v>3</v>
      </c>
      <c r="D28" t="s">
        <v>2</v>
      </c>
      <c r="E28">
        <v>21</v>
      </c>
      <c r="F28" t="s">
        <v>27</v>
      </c>
      <c r="G28" t="s">
        <v>26</v>
      </c>
      <c r="H28">
        <v>39</v>
      </c>
      <c r="I28">
        <v>1</v>
      </c>
    </row>
    <row r="29" spans="1:9" x14ac:dyDescent="0.3">
      <c r="A29">
        <v>2</v>
      </c>
      <c r="B29">
        <v>0</v>
      </c>
      <c r="C29" t="s">
        <v>3</v>
      </c>
      <c r="D29" t="s">
        <v>2</v>
      </c>
      <c r="E29">
        <v>27</v>
      </c>
      <c r="F29" t="s">
        <v>27</v>
      </c>
      <c r="G29" t="s">
        <v>26</v>
      </c>
      <c r="H29">
        <v>35</v>
      </c>
      <c r="I29">
        <v>1</v>
      </c>
    </row>
    <row r="30" spans="1:9" x14ac:dyDescent="0.3">
      <c r="A30">
        <v>2</v>
      </c>
      <c r="B30">
        <v>0</v>
      </c>
      <c r="C30" t="s">
        <v>3</v>
      </c>
      <c r="D30" t="s">
        <v>2</v>
      </c>
      <c r="E30">
        <v>25</v>
      </c>
      <c r="F30" t="s">
        <v>27</v>
      </c>
      <c r="G30" t="s">
        <v>26</v>
      </c>
      <c r="H30">
        <v>23</v>
      </c>
      <c r="I30">
        <v>0</v>
      </c>
    </row>
    <row r="31" spans="1:9" x14ac:dyDescent="0.3">
      <c r="A31">
        <v>2</v>
      </c>
      <c r="B31">
        <v>0</v>
      </c>
      <c r="C31" t="s">
        <v>3</v>
      </c>
      <c r="D31" t="s">
        <v>2</v>
      </c>
      <c r="E31">
        <v>21</v>
      </c>
      <c r="F31" t="s">
        <v>27</v>
      </c>
      <c r="G31" t="s">
        <v>26</v>
      </c>
      <c r="H31">
        <v>38</v>
      </c>
      <c r="I31">
        <v>1</v>
      </c>
    </row>
    <row r="32" spans="1:9" x14ac:dyDescent="0.3">
      <c r="A32">
        <v>2</v>
      </c>
      <c r="B32">
        <v>0</v>
      </c>
      <c r="C32" t="s">
        <v>3</v>
      </c>
      <c r="D32" t="s">
        <v>2</v>
      </c>
      <c r="E32">
        <v>33</v>
      </c>
      <c r="F32" t="s">
        <v>27</v>
      </c>
      <c r="G32" t="s">
        <v>26</v>
      </c>
      <c r="H32">
        <v>60</v>
      </c>
      <c r="I32">
        <v>1</v>
      </c>
    </row>
    <row r="33" spans="1:9" x14ac:dyDescent="0.3">
      <c r="A33">
        <v>2</v>
      </c>
      <c r="B33">
        <v>0</v>
      </c>
      <c r="C33" t="s">
        <v>3</v>
      </c>
      <c r="D33" t="s">
        <v>2</v>
      </c>
      <c r="E33">
        <v>10</v>
      </c>
      <c r="F33" t="s">
        <v>27</v>
      </c>
      <c r="G33" t="s">
        <v>26</v>
      </c>
      <c r="H33">
        <v>43</v>
      </c>
      <c r="I33">
        <v>1</v>
      </c>
    </row>
    <row r="34" spans="1:9" x14ac:dyDescent="0.3">
      <c r="A34">
        <v>2</v>
      </c>
      <c r="B34">
        <v>0</v>
      </c>
      <c r="C34" t="s">
        <v>3</v>
      </c>
      <c r="D34" t="s">
        <v>2</v>
      </c>
      <c r="E34">
        <v>38</v>
      </c>
      <c r="F34" t="s">
        <v>27</v>
      </c>
      <c r="G34" t="s">
        <v>26</v>
      </c>
      <c r="H34">
        <v>6</v>
      </c>
      <c r="I34">
        <v>0</v>
      </c>
    </row>
    <row r="35" spans="1:9" x14ac:dyDescent="0.3">
      <c r="A35">
        <v>2</v>
      </c>
      <c r="B35">
        <v>0</v>
      </c>
      <c r="C35" t="s">
        <v>3</v>
      </c>
      <c r="D35" t="s">
        <v>2</v>
      </c>
      <c r="E35">
        <v>28</v>
      </c>
      <c r="F35" t="s">
        <v>27</v>
      </c>
      <c r="G35" t="s">
        <v>26</v>
      </c>
      <c r="H35">
        <v>70</v>
      </c>
      <c r="I35">
        <v>1</v>
      </c>
    </row>
    <row r="36" spans="1:9" x14ac:dyDescent="0.3">
      <c r="A36">
        <v>2</v>
      </c>
      <c r="B36">
        <v>0</v>
      </c>
      <c r="C36" t="s">
        <v>3</v>
      </c>
      <c r="D36" t="s">
        <v>2</v>
      </c>
      <c r="E36">
        <v>11</v>
      </c>
      <c r="F36" t="s">
        <v>27</v>
      </c>
      <c r="G36" t="s">
        <v>26</v>
      </c>
      <c r="H36">
        <v>29</v>
      </c>
      <c r="I36">
        <v>1</v>
      </c>
    </row>
    <row r="37" spans="1:9" x14ac:dyDescent="0.3">
      <c r="A37">
        <v>2</v>
      </c>
      <c r="B37">
        <v>0</v>
      </c>
      <c r="C37" t="s">
        <v>3</v>
      </c>
      <c r="D37" t="s">
        <v>2</v>
      </c>
      <c r="E37">
        <v>8</v>
      </c>
      <c r="F37" t="s">
        <v>27</v>
      </c>
      <c r="G37" t="s">
        <v>26</v>
      </c>
      <c r="H37">
        <v>37</v>
      </c>
      <c r="I37">
        <v>1</v>
      </c>
    </row>
    <row r="38" spans="1:9" x14ac:dyDescent="0.3">
      <c r="A38">
        <v>2</v>
      </c>
      <c r="B38">
        <v>0</v>
      </c>
      <c r="C38" t="s">
        <v>3</v>
      </c>
      <c r="D38" t="s">
        <v>2</v>
      </c>
      <c r="E38">
        <v>18</v>
      </c>
      <c r="F38" t="s">
        <v>27</v>
      </c>
      <c r="G38" t="s">
        <v>26</v>
      </c>
      <c r="H38">
        <v>40</v>
      </c>
      <c r="I38">
        <v>1</v>
      </c>
    </row>
    <row r="39" spans="1:9" x14ac:dyDescent="0.3">
      <c r="A39">
        <v>2</v>
      </c>
      <c r="B39">
        <v>0</v>
      </c>
      <c r="C39" t="s">
        <v>3</v>
      </c>
      <c r="D39" t="s">
        <v>2</v>
      </c>
      <c r="E39">
        <v>28</v>
      </c>
      <c r="F39" t="s">
        <v>27</v>
      </c>
      <c r="G39" t="s">
        <v>26</v>
      </c>
      <c r="H39">
        <v>42</v>
      </c>
      <c r="I39">
        <v>1</v>
      </c>
    </row>
    <row r="40" spans="1:9" x14ac:dyDescent="0.3">
      <c r="A40">
        <v>2</v>
      </c>
      <c r="B40">
        <v>0</v>
      </c>
      <c r="C40" t="s">
        <v>3</v>
      </c>
      <c r="D40" t="s">
        <v>2</v>
      </c>
      <c r="E40">
        <v>54</v>
      </c>
      <c r="F40" t="s">
        <v>27</v>
      </c>
      <c r="G40" t="s">
        <v>26</v>
      </c>
      <c r="H40">
        <v>51</v>
      </c>
      <c r="I40">
        <v>0</v>
      </c>
    </row>
    <row r="41" spans="1:9" x14ac:dyDescent="0.3">
      <c r="A41">
        <v>2</v>
      </c>
      <c r="B41">
        <v>0</v>
      </c>
      <c r="C41" t="s">
        <v>3</v>
      </c>
      <c r="D41" t="s">
        <v>2</v>
      </c>
      <c r="E41">
        <v>16</v>
      </c>
      <c r="F41" t="s">
        <v>27</v>
      </c>
      <c r="G41" t="s">
        <v>26</v>
      </c>
      <c r="H41">
        <v>52</v>
      </c>
      <c r="I41">
        <v>1</v>
      </c>
    </row>
    <row r="42" spans="1:9" x14ac:dyDescent="0.3">
      <c r="A42">
        <v>2</v>
      </c>
      <c r="B42">
        <v>0</v>
      </c>
      <c r="C42" t="s">
        <v>3</v>
      </c>
      <c r="D42" t="s">
        <v>2</v>
      </c>
      <c r="E42">
        <v>39</v>
      </c>
      <c r="F42" t="s">
        <v>27</v>
      </c>
      <c r="G42" t="s">
        <v>26</v>
      </c>
      <c r="H42">
        <v>69</v>
      </c>
      <c r="I42">
        <v>1</v>
      </c>
    </row>
    <row r="43" spans="1:9" x14ac:dyDescent="0.3">
      <c r="A43">
        <v>2</v>
      </c>
      <c r="B43">
        <v>0</v>
      </c>
      <c r="C43" t="s">
        <v>3</v>
      </c>
      <c r="D43" t="s">
        <v>2</v>
      </c>
      <c r="E43">
        <v>46</v>
      </c>
      <c r="F43" t="s">
        <v>27</v>
      </c>
      <c r="G43" t="s">
        <v>26</v>
      </c>
      <c r="H43">
        <v>39</v>
      </c>
      <c r="I43">
        <v>0</v>
      </c>
    </row>
    <row r="44" spans="1:9" x14ac:dyDescent="0.3">
      <c r="A44">
        <v>2</v>
      </c>
      <c r="B44">
        <v>0</v>
      </c>
      <c r="C44" t="s">
        <v>3</v>
      </c>
      <c r="D44" t="s">
        <v>2</v>
      </c>
      <c r="E44">
        <v>25</v>
      </c>
      <c r="F44" t="s">
        <v>27</v>
      </c>
      <c r="G44" t="s">
        <v>26</v>
      </c>
      <c r="H44">
        <v>40</v>
      </c>
      <c r="I44">
        <v>1</v>
      </c>
    </row>
    <row r="45" spans="1:9" x14ac:dyDescent="0.3">
      <c r="A45">
        <v>2</v>
      </c>
      <c r="B45">
        <v>0</v>
      </c>
      <c r="C45" t="s">
        <v>3</v>
      </c>
      <c r="D45" t="s">
        <v>2</v>
      </c>
      <c r="E45">
        <v>35</v>
      </c>
      <c r="F45" t="s">
        <v>27</v>
      </c>
      <c r="G45" t="s">
        <v>26</v>
      </c>
      <c r="H45">
        <v>13</v>
      </c>
      <c r="I45">
        <v>0</v>
      </c>
    </row>
    <row r="46" spans="1:9" x14ac:dyDescent="0.3">
      <c r="A46">
        <v>2</v>
      </c>
      <c r="B46">
        <v>0</v>
      </c>
      <c r="C46" t="s">
        <v>3</v>
      </c>
      <c r="D46" t="s">
        <v>2</v>
      </c>
      <c r="E46">
        <v>29</v>
      </c>
      <c r="F46" t="s">
        <v>27</v>
      </c>
      <c r="G46" t="s">
        <v>26</v>
      </c>
      <c r="H46">
        <v>19</v>
      </c>
      <c r="I46">
        <v>0</v>
      </c>
    </row>
    <row r="47" spans="1:9" x14ac:dyDescent="0.3">
      <c r="A47">
        <v>2</v>
      </c>
      <c r="B47">
        <v>0</v>
      </c>
      <c r="C47" t="s">
        <v>3</v>
      </c>
      <c r="D47" t="s">
        <v>2</v>
      </c>
      <c r="E47">
        <v>17</v>
      </c>
      <c r="F47" t="s">
        <v>27</v>
      </c>
      <c r="G47" t="s">
        <v>26</v>
      </c>
      <c r="H47">
        <v>25</v>
      </c>
      <c r="I47">
        <v>1</v>
      </c>
    </row>
    <row r="48" spans="1:9" x14ac:dyDescent="0.3">
      <c r="A48">
        <v>2</v>
      </c>
      <c r="B48">
        <v>0</v>
      </c>
      <c r="C48" t="s">
        <v>3</v>
      </c>
      <c r="D48" t="s">
        <v>2</v>
      </c>
      <c r="E48">
        <v>26</v>
      </c>
      <c r="F48" t="s">
        <v>27</v>
      </c>
      <c r="G48" t="s">
        <v>26</v>
      </c>
      <c r="H48">
        <v>43</v>
      </c>
      <c r="I48">
        <v>1</v>
      </c>
    </row>
    <row r="49" spans="1:9" x14ac:dyDescent="0.3">
      <c r="A49">
        <v>2</v>
      </c>
      <c r="B49">
        <v>0</v>
      </c>
      <c r="C49" t="s">
        <v>3</v>
      </c>
      <c r="D49" t="s">
        <v>2</v>
      </c>
      <c r="E49">
        <v>25</v>
      </c>
      <c r="F49" t="s">
        <v>27</v>
      </c>
      <c r="G49" t="s">
        <v>26</v>
      </c>
      <c r="H49">
        <v>27</v>
      </c>
      <c r="I49">
        <v>1</v>
      </c>
    </row>
    <row r="50" spans="1:9" x14ac:dyDescent="0.3">
      <c r="A50">
        <v>2</v>
      </c>
      <c r="B50">
        <v>0</v>
      </c>
      <c r="C50" t="s">
        <v>3</v>
      </c>
      <c r="D50" t="s">
        <v>2</v>
      </c>
      <c r="E50">
        <v>40</v>
      </c>
      <c r="F50" t="s">
        <v>27</v>
      </c>
      <c r="G50" t="s">
        <v>26</v>
      </c>
      <c r="H50">
        <v>37</v>
      </c>
      <c r="I50">
        <v>0</v>
      </c>
    </row>
    <row r="51" spans="1:9" x14ac:dyDescent="0.3">
      <c r="A51">
        <v>2</v>
      </c>
      <c r="B51">
        <v>1</v>
      </c>
      <c r="C51" t="s">
        <v>3</v>
      </c>
      <c r="D51" t="s">
        <v>2</v>
      </c>
      <c r="E51">
        <v>30</v>
      </c>
      <c r="F51" t="s">
        <v>27</v>
      </c>
      <c r="G51" t="s">
        <v>26</v>
      </c>
      <c r="H51">
        <v>51</v>
      </c>
      <c r="I51">
        <v>1</v>
      </c>
    </row>
    <row r="52" spans="1:9" x14ac:dyDescent="0.3">
      <c r="A52">
        <v>2</v>
      </c>
      <c r="B52">
        <v>1</v>
      </c>
      <c r="C52" t="s">
        <v>3</v>
      </c>
      <c r="D52" t="s">
        <v>2</v>
      </c>
      <c r="E52">
        <v>13</v>
      </c>
      <c r="F52" t="s">
        <v>27</v>
      </c>
      <c r="G52" t="s">
        <v>26</v>
      </c>
      <c r="H52">
        <v>67</v>
      </c>
      <c r="I52">
        <v>1</v>
      </c>
    </row>
    <row r="53" spans="1:9" x14ac:dyDescent="0.3">
      <c r="A53">
        <v>2</v>
      </c>
      <c r="B53">
        <v>1</v>
      </c>
      <c r="C53" t="s">
        <v>3</v>
      </c>
      <c r="D53" t="s">
        <v>2</v>
      </c>
      <c r="E53">
        <v>10</v>
      </c>
      <c r="F53" t="s">
        <v>27</v>
      </c>
      <c r="G53" t="s">
        <v>26</v>
      </c>
      <c r="H53">
        <v>48</v>
      </c>
      <c r="I53">
        <v>1</v>
      </c>
    </row>
    <row r="54" spans="1:9" x14ac:dyDescent="0.3">
      <c r="A54">
        <v>2</v>
      </c>
      <c r="B54">
        <v>1</v>
      </c>
      <c r="C54" t="s">
        <v>3</v>
      </c>
      <c r="D54" t="s">
        <v>2</v>
      </c>
      <c r="E54">
        <v>34</v>
      </c>
      <c r="F54" t="s">
        <v>27</v>
      </c>
      <c r="G54" t="s">
        <v>26</v>
      </c>
      <c r="H54">
        <v>40</v>
      </c>
      <c r="I54">
        <v>1</v>
      </c>
    </row>
    <row r="55" spans="1:9" x14ac:dyDescent="0.3">
      <c r="A55">
        <v>2</v>
      </c>
      <c r="B55">
        <v>1</v>
      </c>
      <c r="C55" t="s">
        <v>3</v>
      </c>
      <c r="D55" t="s">
        <v>2</v>
      </c>
      <c r="E55">
        <v>47</v>
      </c>
      <c r="F55" t="s">
        <v>27</v>
      </c>
      <c r="G55" t="s">
        <v>26</v>
      </c>
      <c r="H55">
        <v>21</v>
      </c>
      <c r="I55">
        <v>0</v>
      </c>
    </row>
    <row r="56" spans="1:9" x14ac:dyDescent="0.3">
      <c r="A56">
        <v>2</v>
      </c>
      <c r="B56">
        <v>1</v>
      </c>
      <c r="C56" t="s">
        <v>3</v>
      </c>
      <c r="D56" t="s">
        <v>2</v>
      </c>
      <c r="E56">
        <v>39</v>
      </c>
      <c r="F56" t="s">
        <v>27</v>
      </c>
      <c r="G56" t="s">
        <v>26</v>
      </c>
      <c r="H56">
        <v>37</v>
      </c>
      <c r="I56">
        <v>0</v>
      </c>
    </row>
    <row r="57" spans="1:9" x14ac:dyDescent="0.3">
      <c r="A57">
        <v>2</v>
      </c>
      <c r="B57">
        <v>1</v>
      </c>
      <c r="C57" t="s">
        <v>3</v>
      </c>
      <c r="D57" t="s">
        <v>2</v>
      </c>
      <c r="E57">
        <v>1</v>
      </c>
      <c r="F57" t="s">
        <v>27</v>
      </c>
      <c r="G57" t="s">
        <v>26</v>
      </c>
      <c r="H57">
        <v>29</v>
      </c>
      <c r="I57">
        <v>1</v>
      </c>
    </row>
    <row r="58" spans="1:9" x14ac:dyDescent="0.3">
      <c r="A58">
        <v>2</v>
      </c>
      <c r="B58">
        <v>1</v>
      </c>
      <c r="C58" t="s">
        <v>3</v>
      </c>
      <c r="D58" t="s">
        <v>2</v>
      </c>
      <c r="E58">
        <v>21</v>
      </c>
      <c r="F58" t="s">
        <v>27</v>
      </c>
      <c r="G58" t="s">
        <v>26</v>
      </c>
      <c r="H58">
        <v>33</v>
      </c>
      <c r="I58">
        <v>1</v>
      </c>
    </row>
    <row r="59" spans="1:9" x14ac:dyDescent="0.3">
      <c r="A59">
        <v>2</v>
      </c>
      <c r="B59">
        <v>1</v>
      </c>
      <c r="C59" t="s">
        <v>3</v>
      </c>
      <c r="D59" t="s">
        <v>2</v>
      </c>
      <c r="E59">
        <v>43</v>
      </c>
      <c r="F59" t="s">
        <v>27</v>
      </c>
      <c r="G59" t="s">
        <v>26</v>
      </c>
      <c r="H59">
        <v>44</v>
      </c>
      <c r="I59">
        <v>1</v>
      </c>
    </row>
    <row r="60" spans="1:9" x14ac:dyDescent="0.3">
      <c r="A60">
        <v>2</v>
      </c>
      <c r="B60">
        <v>1</v>
      </c>
      <c r="C60" t="s">
        <v>3</v>
      </c>
      <c r="D60" t="s">
        <v>2</v>
      </c>
      <c r="E60">
        <v>40</v>
      </c>
      <c r="F60" t="s">
        <v>27</v>
      </c>
      <c r="G60" t="s">
        <v>26</v>
      </c>
      <c r="H60">
        <v>41</v>
      </c>
      <c r="I60">
        <v>1</v>
      </c>
    </row>
    <row r="61" spans="1:9" x14ac:dyDescent="0.3">
      <c r="A61">
        <v>2</v>
      </c>
      <c r="B61">
        <v>1</v>
      </c>
      <c r="C61" t="s">
        <v>3</v>
      </c>
      <c r="D61" t="s">
        <v>2</v>
      </c>
      <c r="E61">
        <v>60</v>
      </c>
      <c r="F61" t="s">
        <v>27</v>
      </c>
      <c r="G61" t="s">
        <v>26</v>
      </c>
      <c r="H61">
        <v>26</v>
      </c>
      <c r="I61">
        <v>0</v>
      </c>
    </row>
    <row r="62" spans="1:9" x14ac:dyDescent="0.3">
      <c r="A62">
        <v>2</v>
      </c>
      <c r="B62">
        <v>1</v>
      </c>
      <c r="C62" t="s">
        <v>3</v>
      </c>
      <c r="D62" t="s">
        <v>2</v>
      </c>
      <c r="E62">
        <v>31</v>
      </c>
      <c r="F62" t="s">
        <v>27</v>
      </c>
      <c r="G62" t="s">
        <v>26</v>
      </c>
      <c r="H62">
        <v>50</v>
      </c>
      <c r="I62">
        <v>1</v>
      </c>
    </row>
    <row r="63" spans="1:9" x14ac:dyDescent="0.3">
      <c r="A63">
        <v>2</v>
      </c>
      <c r="B63">
        <v>1</v>
      </c>
      <c r="C63" t="s">
        <v>3</v>
      </c>
      <c r="D63" t="s">
        <v>2</v>
      </c>
      <c r="E63">
        <v>11</v>
      </c>
      <c r="F63" t="s">
        <v>27</v>
      </c>
      <c r="G63" t="s">
        <v>26</v>
      </c>
      <c r="H63">
        <v>32</v>
      </c>
      <c r="I63">
        <v>1</v>
      </c>
    </row>
    <row r="64" spans="1:9" x14ac:dyDescent="0.3">
      <c r="A64">
        <v>2</v>
      </c>
      <c r="B64">
        <v>1</v>
      </c>
      <c r="C64" t="s">
        <v>3</v>
      </c>
      <c r="D64" t="s">
        <v>2</v>
      </c>
      <c r="E64">
        <v>34</v>
      </c>
      <c r="F64" t="s">
        <v>27</v>
      </c>
      <c r="G64" t="s">
        <v>26</v>
      </c>
      <c r="H64">
        <v>38</v>
      </c>
      <c r="I64">
        <v>1</v>
      </c>
    </row>
    <row r="65" spans="1:9" x14ac:dyDescent="0.3">
      <c r="A65">
        <v>2</v>
      </c>
      <c r="B65">
        <v>1</v>
      </c>
      <c r="C65" t="s">
        <v>3</v>
      </c>
      <c r="D65" t="s">
        <v>2</v>
      </c>
      <c r="E65">
        <v>53</v>
      </c>
      <c r="F65" t="s">
        <v>27</v>
      </c>
      <c r="G65" t="s">
        <v>26</v>
      </c>
      <c r="H65">
        <v>41</v>
      </c>
      <c r="I65">
        <v>0</v>
      </c>
    </row>
    <row r="66" spans="1:9" x14ac:dyDescent="0.3">
      <c r="A66">
        <v>2</v>
      </c>
      <c r="B66">
        <v>1</v>
      </c>
      <c r="C66" t="s">
        <v>3</v>
      </c>
      <c r="D66" t="s">
        <v>2</v>
      </c>
      <c r="E66">
        <v>15</v>
      </c>
      <c r="F66" t="s">
        <v>27</v>
      </c>
      <c r="G66" t="s">
        <v>26</v>
      </c>
      <c r="H66">
        <v>37</v>
      </c>
      <c r="I66">
        <v>1</v>
      </c>
    </row>
    <row r="67" spans="1:9" x14ac:dyDescent="0.3">
      <c r="A67">
        <v>2</v>
      </c>
      <c r="B67">
        <v>1</v>
      </c>
      <c r="C67" t="s">
        <v>3</v>
      </c>
      <c r="D67" t="s">
        <v>2</v>
      </c>
      <c r="E67">
        <v>56</v>
      </c>
      <c r="F67" t="s">
        <v>27</v>
      </c>
      <c r="G67" t="s">
        <v>26</v>
      </c>
      <c r="H67">
        <v>41</v>
      </c>
      <c r="I67">
        <v>0</v>
      </c>
    </row>
    <row r="68" spans="1:9" x14ac:dyDescent="0.3">
      <c r="A68">
        <v>2</v>
      </c>
      <c r="B68">
        <v>1</v>
      </c>
      <c r="C68" t="s">
        <v>3</v>
      </c>
      <c r="D68" t="s">
        <v>2</v>
      </c>
      <c r="E68">
        <v>35</v>
      </c>
      <c r="F68" t="s">
        <v>27</v>
      </c>
      <c r="G68" t="s">
        <v>26</v>
      </c>
      <c r="H68">
        <v>24</v>
      </c>
      <c r="I68">
        <v>0</v>
      </c>
    </row>
    <row r="69" spans="1:9" x14ac:dyDescent="0.3">
      <c r="A69">
        <v>2</v>
      </c>
      <c r="B69">
        <v>1</v>
      </c>
      <c r="C69" t="s">
        <v>3</v>
      </c>
      <c r="D69" t="s">
        <v>2</v>
      </c>
      <c r="E69">
        <v>55</v>
      </c>
      <c r="F69" t="s">
        <v>27</v>
      </c>
      <c r="G69" t="s">
        <v>26</v>
      </c>
      <c r="H69">
        <v>67</v>
      </c>
      <c r="I69">
        <v>1</v>
      </c>
    </row>
    <row r="70" spans="1:9" x14ac:dyDescent="0.3">
      <c r="A70">
        <v>2</v>
      </c>
      <c r="B70">
        <v>1</v>
      </c>
      <c r="C70" t="s">
        <v>3</v>
      </c>
      <c r="D70" t="s">
        <v>2</v>
      </c>
      <c r="E70">
        <v>25</v>
      </c>
      <c r="F70" t="s">
        <v>27</v>
      </c>
      <c r="G70" t="s">
        <v>26</v>
      </c>
      <c r="H70">
        <v>20</v>
      </c>
      <c r="I70">
        <v>0</v>
      </c>
    </row>
    <row r="71" spans="1:9" x14ac:dyDescent="0.3">
      <c r="A71">
        <v>2</v>
      </c>
      <c r="B71">
        <v>1</v>
      </c>
      <c r="C71" t="s">
        <v>3</v>
      </c>
      <c r="D71" t="s">
        <v>2</v>
      </c>
      <c r="E71">
        <v>15</v>
      </c>
      <c r="F71" t="s">
        <v>27</v>
      </c>
      <c r="G71" t="s">
        <v>26</v>
      </c>
      <c r="H71">
        <v>42</v>
      </c>
      <c r="I71">
        <v>1</v>
      </c>
    </row>
    <row r="72" spans="1:9" x14ac:dyDescent="0.3">
      <c r="A72">
        <v>2</v>
      </c>
      <c r="B72">
        <v>1</v>
      </c>
      <c r="C72" t="s">
        <v>3</v>
      </c>
      <c r="D72" t="s">
        <v>2</v>
      </c>
      <c r="E72">
        <v>26</v>
      </c>
      <c r="F72" t="s">
        <v>27</v>
      </c>
      <c r="G72" t="s">
        <v>26</v>
      </c>
      <c r="H72">
        <v>36</v>
      </c>
      <c r="I72">
        <v>1</v>
      </c>
    </row>
    <row r="73" spans="1:9" x14ac:dyDescent="0.3">
      <c r="A73">
        <v>2</v>
      </c>
      <c r="B73">
        <v>1</v>
      </c>
      <c r="C73" t="s">
        <v>3</v>
      </c>
      <c r="D73" t="s">
        <v>2</v>
      </c>
      <c r="E73">
        <v>14</v>
      </c>
      <c r="F73" t="s">
        <v>27</v>
      </c>
      <c r="G73" t="s">
        <v>26</v>
      </c>
      <c r="H73">
        <v>32</v>
      </c>
      <c r="I73">
        <v>1</v>
      </c>
    </row>
    <row r="74" spans="1:9" x14ac:dyDescent="0.3">
      <c r="A74">
        <v>2</v>
      </c>
      <c r="B74">
        <v>1</v>
      </c>
      <c r="C74" t="s">
        <v>3</v>
      </c>
      <c r="D74" t="s">
        <v>2</v>
      </c>
      <c r="E74">
        <v>49</v>
      </c>
      <c r="F74" t="s">
        <v>27</v>
      </c>
      <c r="G74" t="s">
        <v>26</v>
      </c>
      <c r="H74">
        <v>30</v>
      </c>
      <c r="I74">
        <v>0</v>
      </c>
    </row>
    <row r="75" spans="1:9" x14ac:dyDescent="0.3">
      <c r="A75">
        <v>2</v>
      </c>
      <c r="B75">
        <v>1</v>
      </c>
      <c r="C75" t="s">
        <v>3</v>
      </c>
      <c r="D75" t="s">
        <v>2</v>
      </c>
      <c r="E75">
        <v>0</v>
      </c>
      <c r="F75" t="s">
        <v>27</v>
      </c>
      <c r="G75" t="s">
        <v>26</v>
      </c>
      <c r="H75">
        <v>14</v>
      </c>
      <c r="I75">
        <v>1</v>
      </c>
    </row>
    <row r="76" spans="1:9" x14ac:dyDescent="0.3">
      <c r="A76">
        <v>2</v>
      </c>
      <c r="B76">
        <v>1</v>
      </c>
      <c r="C76" t="s">
        <v>3</v>
      </c>
      <c r="D76" t="s">
        <v>2</v>
      </c>
      <c r="E76">
        <v>22</v>
      </c>
      <c r="F76" t="s">
        <v>27</v>
      </c>
      <c r="G76" t="s">
        <v>26</v>
      </c>
      <c r="H76">
        <v>37</v>
      </c>
      <c r="I76">
        <v>1</v>
      </c>
    </row>
    <row r="77" spans="1:9" x14ac:dyDescent="0.3">
      <c r="A77">
        <v>2</v>
      </c>
      <c r="B77">
        <v>1</v>
      </c>
      <c r="C77" t="s">
        <v>3</v>
      </c>
      <c r="D77" t="s">
        <v>2</v>
      </c>
      <c r="E77">
        <v>35</v>
      </c>
      <c r="F77" t="s">
        <v>27</v>
      </c>
      <c r="G77" t="s">
        <v>26</v>
      </c>
      <c r="H77">
        <v>52</v>
      </c>
      <c r="I77">
        <v>1</v>
      </c>
    </row>
    <row r="78" spans="1:9" x14ac:dyDescent="0.3">
      <c r="A78">
        <v>2</v>
      </c>
      <c r="B78">
        <v>1</v>
      </c>
      <c r="C78" t="s">
        <v>3</v>
      </c>
      <c r="D78" t="s">
        <v>2</v>
      </c>
      <c r="E78">
        <v>19</v>
      </c>
      <c r="F78" t="s">
        <v>27</v>
      </c>
      <c r="G78" t="s">
        <v>26</v>
      </c>
      <c r="H78">
        <v>18</v>
      </c>
      <c r="I78">
        <v>0</v>
      </c>
    </row>
    <row r="79" spans="1:9" x14ac:dyDescent="0.3">
      <c r="A79">
        <v>2</v>
      </c>
      <c r="B79">
        <v>1</v>
      </c>
      <c r="C79" t="s">
        <v>3</v>
      </c>
      <c r="D79" t="s">
        <v>2</v>
      </c>
      <c r="E79">
        <v>11</v>
      </c>
      <c r="F79" t="s">
        <v>27</v>
      </c>
      <c r="G79" t="s">
        <v>26</v>
      </c>
      <c r="H79">
        <v>61</v>
      </c>
      <c r="I79">
        <v>1</v>
      </c>
    </row>
    <row r="80" spans="1:9" x14ac:dyDescent="0.3">
      <c r="A80">
        <v>2</v>
      </c>
      <c r="B80">
        <v>1</v>
      </c>
      <c r="C80" t="s">
        <v>3</v>
      </c>
      <c r="D80" t="s">
        <v>2</v>
      </c>
      <c r="E80">
        <v>27</v>
      </c>
      <c r="F80" t="s">
        <v>27</v>
      </c>
      <c r="G80" t="s">
        <v>26</v>
      </c>
      <c r="H80">
        <v>18</v>
      </c>
      <c r="I80">
        <v>0</v>
      </c>
    </row>
    <row r="81" spans="1:9" x14ac:dyDescent="0.3">
      <c r="A81">
        <v>2</v>
      </c>
      <c r="B81">
        <v>1</v>
      </c>
      <c r="C81" t="s">
        <v>3</v>
      </c>
      <c r="D81" t="s">
        <v>2</v>
      </c>
      <c r="E81">
        <v>27</v>
      </c>
      <c r="F81" t="s">
        <v>27</v>
      </c>
      <c r="G81" t="s">
        <v>26</v>
      </c>
      <c r="H81">
        <v>5</v>
      </c>
      <c r="I81">
        <v>0</v>
      </c>
    </row>
    <row r="82" spans="1:9" x14ac:dyDescent="0.3">
      <c r="A82">
        <v>2</v>
      </c>
      <c r="B82">
        <v>1</v>
      </c>
      <c r="C82" t="s">
        <v>3</v>
      </c>
      <c r="D82" t="s">
        <v>2</v>
      </c>
      <c r="E82">
        <v>25</v>
      </c>
      <c r="F82" t="s">
        <v>27</v>
      </c>
      <c r="G82" t="s">
        <v>26</v>
      </c>
      <c r="H82">
        <v>35</v>
      </c>
      <c r="I82">
        <v>1</v>
      </c>
    </row>
    <row r="83" spans="1:9" x14ac:dyDescent="0.3">
      <c r="A83">
        <v>2</v>
      </c>
      <c r="B83">
        <v>1</v>
      </c>
      <c r="C83" t="s">
        <v>3</v>
      </c>
      <c r="D83" t="s">
        <v>2</v>
      </c>
      <c r="E83">
        <v>16</v>
      </c>
      <c r="F83" t="s">
        <v>27</v>
      </c>
      <c r="G83" t="s">
        <v>26</v>
      </c>
      <c r="H83">
        <v>44</v>
      </c>
      <c r="I83">
        <v>1</v>
      </c>
    </row>
    <row r="84" spans="1:9" x14ac:dyDescent="0.3">
      <c r="A84">
        <v>2</v>
      </c>
      <c r="B84">
        <v>1</v>
      </c>
      <c r="C84" t="s">
        <v>3</v>
      </c>
      <c r="D84" t="s">
        <v>2</v>
      </c>
      <c r="E84">
        <v>40</v>
      </c>
      <c r="F84" t="s">
        <v>27</v>
      </c>
      <c r="G84" t="s">
        <v>26</v>
      </c>
      <c r="H84">
        <v>25</v>
      </c>
      <c r="I84">
        <v>0</v>
      </c>
    </row>
    <row r="85" spans="1:9" x14ac:dyDescent="0.3">
      <c r="A85">
        <v>2</v>
      </c>
      <c r="B85">
        <v>1</v>
      </c>
      <c r="C85" t="s">
        <v>3</v>
      </c>
      <c r="D85" t="s">
        <v>2</v>
      </c>
      <c r="E85">
        <v>54</v>
      </c>
      <c r="F85" t="s">
        <v>27</v>
      </c>
      <c r="G85" t="s">
        <v>26</v>
      </c>
      <c r="H85">
        <v>38</v>
      </c>
      <c r="I85">
        <v>0</v>
      </c>
    </row>
    <row r="86" spans="1:9" x14ac:dyDescent="0.3">
      <c r="A86">
        <v>2</v>
      </c>
      <c r="B86">
        <v>1</v>
      </c>
      <c r="C86" t="s">
        <v>3</v>
      </c>
      <c r="D86" t="s">
        <v>2</v>
      </c>
      <c r="E86">
        <v>30</v>
      </c>
      <c r="F86" t="s">
        <v>27</v>
      </c>
      <c r="G86" t="s">
        <v>26</v>
      </c>
      <c r="H86">
        <v>32</v>
      </c>
      <c r="I86">
        <v>1</v>
      </c>
    </row>
    <row r="87" spans="1:9" x14ac:dyDescent="0.3">
      <c r="A87">
        <v>2</v>
      </c>
      <c r="B87">
        <v>1</v>
      </c>
      <c r="C87" t="s">
        <v>3</v>
      </c>
      <c r="D87" t="s">
        <v>2</v>
      </c>
      <c r="E87">
        <v>21</v>
      </c>
      <c r="F87" t="s">
        <v>27</v>
      </c>
      <c r="G87" t="s">
        <v>26</v>
      </c>
      <c r="H87">
        <v>48</v>
      </c>
      <c r="I87">
        <v>1</v>
      </c>
    </row>
    <row r="88" spans="1:9" x14ac:dyDescent="0.3">
      <c r="A88">
        <v>2</v>
      </c>
      <c r="B88">
        <v>1</v>
      </c>
      <c r="C88" t="s">
        <v>3</v>
      </c>
      <c r="D88" t="s">
        <v>2</v>
      </c>
      <c r="E88">
        <v>16</v>
      </c>
      <c r="F88" t="s">
        <v>27</v>
      </c>
      <c r="G88" t="s">
        <v>26</v>
      </c>
      <c r="H88">
        <v>33</v>
      </c>
      <c r="I88">
        <v>1</v>
      </c>
    </row>
    <row r="89" spans="1:9" x14ac:dyDescent="0.3">
      <c r="A89">
        <v>2</v>
      </c>
      <c r="B89">
        <v>1</v>
      </c>
      <c r="C89" t="s">
        <v>3</v>
      </c>
      <c r="D89" t="s">
        <v>2</v>
      </c>
      <c r="E89">
        <v>8</v>
      </c>
      <c r="F89" t="s">
        <v>27</v>
      </c>
      <c r="G89" t="s">
        <v>26</v>
      </c>
      <c r="H89">
        <v>56</v>
      </c>
      <c r="I89">
        <v>1</v>
      </c>
    </row>
    <row r="90" spans="1:9" x14ac:dyDescent="0.3">
      <c r="A90">
        <v>2</v>
      </c>
      <c r="B90">
        <v>1</v>
      </c>
      <c r="C90" t="s">
        <v>3</v>
      </c>
      <c r="D90" t="s">
        <v>2</v>
      </c>
      <c r="E90">
        <v>30</v>
      </c>
      <c r="F90" t="s">
        <v>27</v>
      </c>
      <c r="G90" t="s">
        <v>26</v>
      </c>
      <c r="H90">
        <v>46</v>
      </c>
      <c r="I90">
        <v>1</v>
      </c>
    </row>
    <row r="91" spans="1:9" x14ac:dyDescent="0.3">
      <c r="A91">
        <v>2</v>
      </c>
      <c r="B91">
        <v>1</v>
      </c>
      <c r="C91" t="s">
        <v>3</v>
      </c>
      <c r="D91" t="s">
        <v>2</v>
      </c>
      <c r="E91">
        <v>30</v>
      </c>
      <c r="F91" t="s">
        <v>27</v>
      </c>
      <c r="G91" t="s">
        <v>26</v>
      </c>
      <c r="H91">
        <v>21</v>
      </c>
      <c r="I91">
        <v>0</v>
      </c>
    </row>
    <row r="92" spans="1:9" x14ac:dyDescent="0.3">
      <c r="A92">
        <v>2</v>
      </c>
      <c r="B92">
        <v>1</v>
      </c>
      <c r="C92" t="s">
        <v>3</v>
      </c>
      <c r="D92" t="s">
        <v>2</v>
      </c>
      <c r="E92">
        <v>82</v>
      </c>
      <c r="F92" t="s">
        <v>27</v>
      </c>
      <c r="G92" t="s">
        <v>26</v>
      </c>
      <c r="H92">
        <v>25</v>
      </c>
      <c r="I92">
        <v>0</v>
      </c>
    </row>
    <row r="93" spans="1:9" x14ac:dyDescent="0.3">
      <c r="A93">
        <v>2</v>
      </c>
      <c r="B93">
        <v>1</v>
      </c>
      <c r="C93" t="s">
        <v>3</v>
      </c>
      <c r="D93" t="s">
        <v>2</v>
      </c>
      <c r="E93">
        <v>11</v>
      </c>
      <c r="F93" t="s">
        <v>27</v>
      </c>
      <c r="G93" t="s">
        <v>26</v>
      </c>
      <c r="H93">
        <v>45</v>
      </c>
      <c r="I93">
        <v>1</v>
      </c>
    </row>
    <row r="94" spans="1:9" x14ac:dyDescent="0.3">
      <c r="A94">
        <v>2</v>
      </c>
      <c r="B94">
        <v>1</v>
      </c>
      <c r="C94" t="s">
        <v>3</v>
      </c>
      <c r="D94" t="s">
        <v>2</v>
      </c>
      <c r="E94">
        <v>18</v>
      </c>
      <c r="F94" t="s">
        <v>27</v>
      </c>
      <c r="G94" t="s">
        <v>26</v>
      </c>
      <c r="H94">
        <v>39</v>
      </c>
      <c r="I94">
        <v>1</v>
      </c>
    </row>
    <row r="95" spans="1:9" x14ac:dyDescent="0.3">
      <c r="A95">
        <v>2</v>
      </c>
      <c r="B95">
        <v>1</v>
      </c>
      <c r="C95" t="s">
        <v>3</v>
      </c>
      <c r="D95" t="s">
        <v>2</v>
      </c>
      <c r="E95">
        <v>31</v>
      </c>
      <c r="F95" t="s">
        <v>27</v>
      </c>
      <c r="G95" t="s">
        <v>26</v>
      </c>
      <c r="H95">
        <v>42</v>
      </c>
      <c r="I95">
        <v>1</v>
      </c>
    </row>
    <row r="96" spans="1:9" x14ac:dyDescent="0.3">
      <c r="A96">
        <v>2</v>
      </c>
      <c r="B96">
        <v>1</v>
      </c>
      <c r="C96" t="s">
        <v>3</v>
      </c>
      <c r="D96" t="s">
        <v>2</v>
      </c>
      <c r="E96">
        <v>31</v>
      </c>
      <c r="F96" t="s">
        <v>27</v>
      </c>
      <c r="G96" t="s">
        <v>26</v>
      </c>
      <c r="H96">
        <v>30</v>
      </c>
      <c r="I96">
        <v>0</v>
      </c>
    </row>
    <row r="97" spans="1:9" x14ac:dyDescent="0.3">
      <c r="A97">
        <v>2</v>
      </c>
      <c r="B97">
        <v>1</v>
      </c>
      <c r="C97" t="s">
        <v>3</v>
      </c>
      <c r="D97" t="s">
        <v>2</v>
      </c>
      <c r="E97">
        <v>22</v>
      </c>
      <c r="F97" t="s">
        <v>27</v>
      </c>
      <c r="G97" t="s">
        <v>26</v>
      </c>
      <c r="H97">
        <v>33</v>
      </c>
      <c r="I97">
        <v>1</v>
      </c>
    </row>
    <row r="98" spans="1:9" x14ac:dyDescent="0.3">
      <c r="A98">
        <v>2</v>
      </c>
      <c r="B98">
        <v>1</v>
      </c>
      <c r="C98" t="s">
        <v>3</v>
      </c>
      <c r="D98" t="s">
        <v>2</v>
      </c>
      <c r="E98">
        <v>24</v>
      </c>
      <c r="F98" t="s">
        <v>27</v>
      </c>
      <c r="G98" t="s">
        <v>26</v>
      </c>
      <c r="H98">
        <v>37</v>
      </c>
      <c r="I98">
        <v>1</v>
      </c>
    </row>
    <row r="99" spans="1:9" x14ac:dyDescent="0.3">
      <c r="A99">
        <v>2</v>
      </c>
      <c r="B99">
        <v>1</v>
      </c>
      <c r="C99" t="s">
        <v>3</v>
      </c>
      <c r="D99" t="s">
        <v>2</v>
      </c>
      <c r="E99">
        <v>39</v>
      </c>
      <c r="F99" t="s">
        <v>27</v>
      </c>
      <c r="G99" t="s">
        <v>26</v>
      </c>
      <c r="H99">
        <v>11</v>
      </c>
      <c r="I99">
        <v>0</v>
      </c>
    </row>
    <row r="100" spans="1:9" x14ac:dyDescent="0.3">
      <c r="A100">
        <v>2</v>
      </c>
      <c r="B100">
        <v>1</v>
      </c>
      <c r="C100" t="s">
        <v>3</v>
      </c>
      <c r="D100" t="s">
        <v>2</v>
      </c>
      <c r="E100">
        <v>40</v>
      </c>
      <c r="F100" t="s">
        <v>27</v>
      </c>
      <c r="G100" t="s">
        <v>26</v>
      </c>
      <c r="H100">
        <v>56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509D9-6995-4EF3-B59B-4E5DDAD89B82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3</v>
      </c>
      <c r="D1" t="s">
        <v>2</v>
      </c>
      <c r="E1">
        <v>14</v>
      </c>
      <c r="F1" t="s">
        <v>29</v>
      </c>
      <c r="G1" t="s">
        <v>28</v>
      </c>
      <c r="H1">
        <v>29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3</v>
      </c>
      <c r="D2" t="s">
        <v>2</v>
      </c>
      <c r="E2">
        <v>10</v>
      </c>
      <c r="F2" t="s">
        <v>29</v>
      </c>
      <c r="G2" t="s">
        <v>28</v>
      </c>
      <c r="H2">
        <v>19</v>
      </c>
      <c r="I2">
        <v>1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3</v>
      </c>
      <c r="D3" t="s">
        <v>2</v>
      </c>
      <c r="E3">
        <v>43</v>
      </c>
      <c r="F3" t="s">
        <v>29</v>
      </c>
      <c r="G3" t="s">
        <v>28</v>
      </c>
      <c r="H3">
        <v>32</v>
      </c>
      <c r="I3">
        <v>0</v>
      </c>
      <c r="K3" s="8" t="s">
        <v>11</v>
      </c>
      <c r="L3" s="8"/>
      <c r="M3" s="10">
        <f>COUNTIF($I$1:$I$100, 0)</f>
        <v>45</v>
      </c>
      <c r="N3" s="10"/>
      <c r="O3" s="10">
        <f>COUNTIFS($I$1:$I$100, 0, $B$1:$B$100, 0)</f>
        <v>25</v>
      </c>
      <c r="P3" s="10"/>
      <c r="Q3" s="11">
        <f>COUNTIFS($I$1:$I$100, 0, $B$1:$B$100, 1)</f>
        <v>20</v>
      </c>
      <c r="R3" s="12"/>
      <c r="T3" cm="1">
        <f t="array" ref="T3">SUMPRODUCT(--($E$1:$E$100=$H$1:$H$100))</f>
        <v>3</v>
      </c>
    </row>
    <row r="4" spans="1:20" x14ac:dyDescent="0.3">
      <c r="A4">
        <v>2</v>
      </c>
      <c r="B4">
        <v>0</v>
      </c>
      <c r="C4" t="s">
        <v>3</v>
      </c>
      <c r="D4" t="s">
        <v>2</v>
      </c>
      <c r="E4">
        <v>22</v>
      </c>
      <c r="F4" t="s">
        <v>29</v>
      </c>
      <c r="G4" t="s">
        <v>28</v>
      </c>
      <c r="H4">
        <v>6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3</v>
      </c>
      <c r="D5" t="s">
        <v>2</v>
      </c>
      <c r="E5">
        <v>34</v>
      </c>
      <c r="F5" t="s">
        <v>29</v>
      </c>
      <c r="G5" t="s">
        <v>28</v>
      </c>
      <c r="H5">
        <v>26</v>
      </c>
      <c r="I5">
        <v>0</v>
      </c>
      <c r="K5" s="8" t="s">
        <v>10</v>
      </c>
      <c r="L5" s="8"/>
      <c r="M5" s="14">
        <f>COUNTIF($I$1:$I$100, 1)</f>
        <v>55</v>
      </c>
      <c r="N5" s="10"/>
      <c r="O5" s="10">
        <f>COUNTIFS($I$1:$I$100, 1, $B$1:$B$100, 0)</f>
        <v>25</v>
      </c>
      <c r="P5" s="10"/>
      <c r="Q5" s="10">
        <f>COUNTIFS($I$1:$I$100, 1, $B$1:$B$100, 1)</f>
        <v>30</v>
      </c>
      <c r="R5" s="13"/>
    </row>
    <row r="6" spans="1:20" x14ac:dyDescent="0.3">
      <c r="A6">
        <v>2</v>
      </c>
      <c r="B6">
        <v>0</v>
      </c>
      <c r="C6" t="s">
        <v>3</v>
      </c>
      <c r="D6" t="s">
        <v>2</v>
      </c>
      <c r="E6">
        <v>6</v>
      </c>
      <c r="F6" t="s">
        <v>29</v>
      </c>
      <c r="G6" t="s">
        <v>28</v>
      </c>
      <c r="H6">
        <v>28</v>
      </c>
      <c r="I6">
        <v>1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3</v>
      </c>
      <c r="D7" t="s">
        <v>2</v>
      </c>
      <c r="E7">
        <v>14</v>
      </c>
      <c r="F7" t="s">
        <v>29</v>
      </c>
      <c r="G7" t="s">
        <v>28</v>
      </c>
      <c r="H7">
        <v>27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3</v>
      </c>
      <c r="D8" t="s">
        <v>2</v>
      </c>
      <c r="E8">
        <v>24</v>
      </c>
      <c r="F8" t="s">
        <v>29</v>
      </c>
      <c r="G8" t="s">
        <v>28</v>
      </c>
      <c r="H8">
        <v>27</v>
      </c>
      <c r="I8">
        <v>1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3</v>
      </c>
      <c r="D9" t="s">
        <v>2</v>
      </c>
      <c r="E9">
        <v>43</v>
      </c>
      <c r="F9" t="s">
        <v>29</v>
      </c>
      <c r="G9" t="s">
        <v>28</v>
      </c>
      <c r="H9">
        <v>11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3</v>
      </c>
      <c r="D10" t="s">
        <v>2</v>
      </c>
      <c r="E10">
        <v>12</v>
      </c>
      <c r="F10" t="s">
        <v>29</v>
      </c>
      <c r="G10" t="s">
        <v>28</v>
      </c>
      <c r="H10">
        <v>26</v>
      </c>
      <c r="I10">
        <v>1</v>
      </c>
      <c r="K10" s="8" t="s">
        <v>6</v>
      </c>
      <c r="L10" s="8"/>
      <c r="M10" s="10">
        <f>AVERAGE($E$1:$E$100,)</f>
        <v>27.861386138613863</v>
      </c>
      <c r="N10" s="10"/>
      <c r="O10" s="10" cm="1">
        <f t="array" ref="O10">AVERAGE(_xlfn._xlws.FILTER($E$1:$E$100,$I$1:$I$100 = 0))</f>
        <v>37.799999999999997</v>
      </c>
      <c r="P10" s="10"/>
      <c r="Q10" s="11" cm="1">
        <f t="array" ref="Q10">AVERAGE(_xlfn._xlws.FILTER($E$1:$E$100,$I$1:$I$100 = 1))</f>
        <v>20.236363636363638</v>
      </c>
      <c r="R10" s="12"/>
    </row>
    <row r="11" spans="1:20" x14ac:dyDescent="0.3">
      <c r="A11">
        <v>2</v>
      </c>
      <c r="B11">
        <v>0</v>
      </c>
      <c r="C11" t="s">
        <v>3</v>
      </c>
      <c r="D11" t="s">
        <v>2</v>
      </c>
      <c r="E11">
        <v>44</v>
      </c>
      <c r="F11" t="s">
        <v>29</v>
      </c>
      <c r="G11" t="s">
        <v>28</v>
      </c>
      <c r="H11">
        <v>23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3</v>
      </c>
      <c r="D12" t="s">
        <v>2</v>
      </c>
      <c r="E12">
        <v>23</v>
      </c>
      <c r="F12" t="s">
        <v>29</v>
      </c>
      <c r="G12" t="s">
        <v>28</v>
      </c>
      <c r="H12">
        <v>19</v>
      </c>
      <c r="I12">
        <v>0</v>
      </c>
      <c r="K12" s="8" t="s">
        <v>5</v>
      </c>
      <c r="L12" s="8"/>
      <c r="M12" s="10">
        <f>AVERAGE($H$1:$H$100,)</f>
        <v>30.574257425742573</v>
      </c>
      <c r="N12" s="10"/>
      <c r="O12" s="10" cm="1">
        <f t="array" ref="O12">AVERAGE(_xlfn._xlws.FILTER($H$1:$H$100,$I$1:$I$100 = 0))</f>
        <v>22.488888888888887</v>
      </c>
      <c r="P12" s="10"/>
      <c r="Q12" s="10" cm="1">
        <f t="array" ref="Q12">AVERAGE(_xlfn._xlws.FILTER($H$1:$H$100,$I$1:$I$100 = 1))</f>
        <v>37.745454545454542</v>
      </c>
      <c r="R12" s="13"/>
    </row>
    <row r="13" spans="1:20" x14ac:dyDescent="0.3">
      <c r="A13">
        <v>2</v>
      </c>
      <c r="B13">
        <v>0</v>
      </c>
      <c r="C13" t="s">
        <v>3</v>
      </c>
      <c r="D13" t="s">
        <v>2</v>
      </c>
      <c r="E13">
        <v>26</v>
      </c>
      <c r="F13" t="s">
        <v>29</v>
      </c>
      <c r="G13" t="s">
        <v>28</v>
      </c>
      <c r="H13">
        <v>28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3</v>
      </c>
      <c r="D14" t="s">
        <v>2</v>
      </c>
      <c r="E14">
        <v>47</v>
      </c>
      <c r="F14" t="s">
        <v>29</v>
      </c>
      <c r="G14" t="s">
        <v>28</v>
      </c>
      <c r="H14">
        <v>21</v>
      </c>
      <c r="I14">
        <v>0</v>
      </c>
      <c r="K14" s="19" t="s">
        <v>4</v>
      </c>
      <c r="L14" s="12"/>
      <c r="M14" s="20" cm="1">
        <f t="array" ref="M14">AVERAGE($E$1:$E$100 - $H$1:$H$100)</f>
        <v>-2.74</v>
      </c>
      <c r="N14" s="20"/>
      <c r="O14" s="20" cm="1">
        <f t="array" ref="O14">AVERAGE(_xlfn._xlws.FILTER($E$1:$E$100 - $H$1:$H$100, I$1:I$100 = 0))</f>
        <v>15.311111111111112</v>
      </c>
      <c r="P14" s="20"/>
      <c r="Q14" s="20" cm="1">
        <f t="array" ref="Q14">AVERAGE(_xlfn._xlws.FILTER($E$1:$E$100 - $H$1:$H$100, I$1:I$100 = 1))</f>
        <v>-17.509090909090908</v>
      </c>
      <c r="R14" s="22"/>
    </row>
    <row r="15" spans="1:20" x14ac:dyDescent="0.3">
      <c r="A15">
        <v>2</v>
      </c>
      <c r="B15">
        <v>0</v>
      </c>
      <c r="C15" t="s">
        <v>3</v>
      </c>
      <c r="D15" t="s">
        <v>2</v>
      </c>
      <c r="E15">
        <v>8</v>
      </c>
      <c r="F15" t="s">
        <v>29</v>
      </c>
      <c r="G15" t="s">
        <v>28</v>
      </c>
      <c r="H15">
        <v>16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3</v>
      </c>
      <c r="D16" t="s">
        <v>2</v>
      </c>
      <c r="E16">
        <v>63</v>
      </c>
      <c r="F16" t="s">
        <v>29</v>
      </c>
      <c r="G16" t="s">
        <v>28</v>
      </c>
      <c r="H16">
        <v>59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3</v>
      </c>
      <c r="D17" t="s">
        <v>2</v>
      </c>
      <c r="E17">
        <v>20</v>
      </c>
      <c r="F17" t="s">
        <v>29</v>
      </c>
      <c r="G17" t="s">
        <v>28</v>
      </c>
      <c r="H17">
        <v>33</v>
      </c>
      <c r="I17">
        <v>1</v>
      </c>
    </row>
    <row r="18" spans="1:9" x14ac:dyDescent="0.3">
      <c r="A18">
        <v>2</v>
      </c>
      <c r="B18">
        <v>0</v>
      </c>
      <c r="C18" t="s">
        <v>3</v>
      </c>
      <c r="D18" t="s">
        <v>2</v>
      </c>
      <c r="E18">
        <v>46</v>
      </c>
      <c r="F18" t="s">
        <v>29</v>
      </c>
      <c r="G18" t="s">
        <v>28</v>
      </c>
      <c r="H18">
        <v>24</v>
      </c>
      <c r="I18">
        <v>0</v>
      </c>
    </row>
    <row r="19" spans="1:9" x14ac:dyDescent="0.3">
      <c r="A19">
        <v>2</v>
      </c>
      <c r="B19">
        <v>0</v>
      </c>
      <c r="C19" t="s">
        <v>3</v>
      </c>
      <c r="D19" t="s">
        <v>2</v>
      </c>
      <c r="E19">
        <v>21</v>
      </c>
      <c r="F19" t="s">
        <v>29</v>
      </c>
      <c r="G19" t="s">
        <v>28</v>
      </c>
      <c r="H19">
        <v>37</v>
      </c>
      <c r="I19">
        <v>1</v>
      </c>
    </row>
    <row r="20" spans="1:9" x14ac:dyDescent="0.3">
      <c r="A20">
        <v>2</v>
      </c>
      <c r="B20">
        <v>0</v>
      </c>
      <c r="C20" t="s">
        <v>3</v>
      </c>
      <c r="D20" t="s">
        <v>2</v>
      </c>
      <c r="E20">
        <v>32</v>
      </c>
      <c r="F20" t="s">
        <v>29</v>
      </c>
      <c r="G20" t="s">
        <v>28</v>
      </c>
      <c r="H20">
        <v>32</v>
      </c>
      <c r="I20">
        <v>0</v>
      </c>
    </row>
    <row r="21" spans="1:9" x14ac:dyDescent="0.3">
      <c r="A21">
        <v>2</v>
      </c>
      <c r="B21">
        <v>0</v>
      </c>
      <c r="C21" t="s">
        <v>3</v>
      </c>
      <c r="D21" t="s">
        <v>2</v>
      </c>
      <c r="E21">
        <v>25</v>
      </c>
      <c r="F21" t="s">
        <v>29</v>
      </c>
      <c r="G21" t="s">
        <v>28</v>
      </c>
      <c r="H21">
        <v>27</v>
      </c>
      <c r="I21">
        <v>1</v>
      </c>
    </row>
    <row r="22" spans="1:9" x14ac:dyDescent="0.3">
      <c r="A22">
        <v>2</v>
      </c>
      <c r="B22">
        <v>0</v>
      </c>
      <c r="C22" t="s">
        <v>3</v>
      </c>
      <c r="D22" t="s">
        <v>2</v>
      </c>
      <c r="E22">
        <v>32</v>
      </c>
      <c r="F22" t="s">
        <v>29</v>
      </c>
      <c r="G22" t="s">
        <v>28</v>
      </c>
      <c r="H22">
        <v>10</v>
      </c>
      <c r="I22">
        <v>0</v>
      </c>
    </row>
    <row r="23" spans="1:9" x14ac:dyDescent="0.3">
      <c r="A23">
        <v>2</v>
      </c>
      <c r="B23">
        <v>0</v>
      </c>
      <c r="C23" t="s">
        <v>3</v>
      </c>
      <c r="D23" t="s">
        <v>2</v>
      </c>
      <c r="E23">
        <v>24</v>
      </c>
      <c r="F23" t="s">
        <v>29</v>
      </c>
      <c r="G23" t="s">
        <v>28</v>
      </c>
      <c r="H23">
        <v>19</v>
      </c>
      <c r="I23">
        <v>0</v>
      </c>
    </row>
    <row r="24" spans="1:9" x14ac:dyDescent="0.3">
      <c r="A24">
        <v>2</v>
      </c>
      <c r="B24">
        <v>0</v>
      </c>
      <c r="C24" t="s">
        <v>3</v>
      </c>
      <c r="D24" t="s">
        <v>2</v>
      </c>
      <c r="E24">
        <v>20</v>
      </c>
      <c r="F24" t="s">
        <v>29</v>
      </c>
      <c r="G24" t="s">
        <v>28</v>
      </c>
      <c r="H24">
        <v>53</v>
      </c>
      <c r="I24">
        <v>1</v>
      </c>
    </row>
    <row r="25" spans="1:9" x14ac:dyDescent="0.3">
      <c r="A25">
        <v>2</v>
      </c>
      <c r="B25">
        <v>0</v>
      </c>
      <c r="C25" t="s">
        <v>3</v>
      </c>
      <c r="D25" t="s">
        <v>2</v>
      </c>
      <c r="E25">
        <v>21</v>
      </c>
      <c r="F25" t="s">
        <v>29</v>
      </c>
      <c r="G25" t="s">
        <v>28</v>
      </c>
      <c r="H25">
        <v>15</v>
      </c>
      <c r="I25">
        <v>0</v>
      </c>
    </row>
    <row r="26" spans="1:9" x14ac:dyDescent="0.3">
      <c r="A26">
        <v>2</v>
      </c>
      <c r="B26">
        <v>0</v>
      </c>
      <c r="C26" t="s">
        <v>3</v>
      </c>
      <c r="D26" t="s">
        <v>2</v>
      </c>
      <c r="E26">
        <v>17</v>
      </c>
      <c r="F26" t="s">
        <v>29</v>
      </c>
      <c r="G26" t="s">
        <v>28</v>
      </c>
      <c r="H26">
        <v>31</v>
      </c>
      <c r="I26">
        <v>1</v>
      </c>
    </row>
    <row r="27" spans="1:9" x14ac:dyDescent="0.3">
      <c r="A27">
        <v>2</v>
      </c>
      <c r="B27">
        <v>0</v>
      </c>
      <c r="C27" t="s">
        <v>3</v>
      </c>
      <c r="D27" t="s">
        <v>2</v>
      </c>
      <c r="E27">
        <v>47</v>
      </c>
      <c r="F27" t="s">
        <v>29</v>
      </c>
      <c r="G27" t="s">
        <v>28</v>
      </c>
      <c r="H27">
        <v>27</v>
      </c>
      <c r="I27">
        <v>0</v>
      </c>
    </row>
    <row r="28" spans="1:9" x14ac:dyDescent="0.3">
      <c r="A28">
        <v>2</v>
      </c>
      <c r="B28">
        <v>0</v>
      </c>
      <c r="C28" t="s">
        <v>3</v>
      </c>
      <c r="D28" t="s">
        <v>2</v>
      </c>
      <c r="E28">
        <v>37</v>
      </c>
      <c r="F28" t="s">
        <v>29</v>
      </c>
      <c r="G28" t="s">
        <v>28</v>
      </c>
      <c r="H28">
        <v>26</v>
      </c>
      <c r="I28">
        <v>0</v>
      </c>
    </row>
    <row r="29" spans="1:9" x14ac:dyDescent="0.3">
      <c r="A29">
        <v>2</v>
      </c>
      <c r="B29">
        <v>0</v>
      </c>
      <c r="C29" t="s">
        <v>3</v>
      </c>
      <c r="D29" t="s">
        <v>2</v>
      </c>
      <c r="E29">
        <v>27</v>
      </c>
      <c r="F29" t="s">
        <v>29</v>
      </c>
      <c r="G29" t="s">
        <v>28</v>
      </c>
      <c r="H29">
        <v>23</v>
      </c>
      <c r="I29">
        <v>0</v>
      </c>
    </row>
    <row r="30" spans="1:9" x14ac:dyDescent="0.3">
      <c r="A30">
        <v>2</v>
      </c>
      <c r="B30">
        <v>0</v>
      </c>
      <c r="C30" t="s">
        <v>3</v>
      </c>
      <c r="D30" t="s">
        <v>2</v>
      </c>
      <c r="E30">
        <v>19</v>
      </c>
      <c r="F30" t="s">
        <v>29</v>
      </c>
      <c r="G30" t="s">
        <v>28</v>
      </c>
      <c r="H30">
        <v>7</v>
      </c>
      <c r="I30">
        <v>0</v>
      </c>
    </row>
    <row r="31" spans="1:9" x14ac:dyDescent="0.3">
      <c r="A31">
        <v>2</v>
      </c>
      <c r="B31">
        <v>0</v>
      </c>
      <c r="C31" t="s">
        <v>3</v>
      </c>
      <c r="D31" t="s">
        <v>2</v>
      </c>
      <c r="E31">
        <v>45</v>
      </c>
      <c r="F31" t="s">
        <v>29</v>
      </c>
      <c r="G31" t="s">
        <v>28</v>
      </c>
      <c r="H31">
        <v>10</v>
      </c>
      <c r="I31">
        <v>0</v>
      </c>
    </row>
    <row r="32" spans="1:9" x14ac:dyDescent="0.3">
      <c r="A32">
        <v>2</v>
      </c>
      <c r="B32">
        <v>0</v>
      </c>
      <c r="C32" t="s">
        <v>3</v>
      </c>
      <c r="D32" t="s">
        <v>2</v>
      </c>
      <c r="E32">
        <v>31</v>
      </c>
      <c r="F32" t="s">
        <v>29</v>
      </c>
      <c r="G32" t="s">
        <v>28</v>
      </c>
      <c r="H32">
        <v>49</v>
      </c>
      <c r="I32">
        <v>1</v>
      </c>
    </row>
    <row r="33" spans="1:9" x14ac:dyDescent="0.3">
      <c r="A33">
        <v>2</v>
      </c>
      <c r="B33">
        <v>0</v>
      </c>
      <c r="C33" t="s">
        <v>3</v>
      </c>
      <c r="D33" t="s">
        <v>2</v>
      </c>
      <c r="E33">
        <v>22</v>
      </c>
      <c r="F33" t="s">
        <v>29</v>
      </c>
      <c r="G33" t="s">
        <v>28</v>
      </c>
      <c r="H33">
        <v>27</v>
      </c>
      <c r="I33">
        <v>1</v>
      </c>
    </row>
    <row r="34" spans="1:9" x14ac:dyDescent="0.3">
      <c r="A34">
        <v>2</v>
      </c>
      <c r="B34">
        <v>0</v>
      </c>
      <c r="C34" t="s">
        <v>3</v>
      </c>
      <c r="D34" t="s">
        <v>2</v>
      </c>
      <c r="E34">
        <v>39</v>
      </c>
      <c r="F34" t="s">
        <v>29</v>
      </c>
      <c r="G34" t="s">
        <v>28</v>
      </c>
      <c r="H34">
        <v>15</v>
      </c>
      <c r="I34">
        <v>0</v>
      </c>
    </row>
    <row r="35" spans="1:9" x14ac:dyDescent="0.3">
      <c r="A35">
        <v>2</v>
      </c>
      <c r="B35">
        <v>0</v>
      </c>
      <c r="C35" t="s">
        <v>3</v>
      </c>
      <c r="D35" t="s">
        <v>2</v>
      </c>
      <c r="E35">
        <v>38</v>
      </c>
      <c r="F35" t="s">
        <v>29</v>
      </c>
      <c r="G35" t="s">
        <v>28</v>
      </c>
      <c r="H35">
        <v>27</v>
      </c>
      <c r="I35">
        <v>0</v>
      </c>
    </row>
    <row r="36" spans="1:9" x14ac:dyDescent="0.3">
      <c r="A36">
        <v>2</v>
      </c>
      <c r="B36">
        <v>0</v>
      </c>
      <c r="C36" t="s">
        <v>3</v>
      </c>
      <c r="D36" t="s">
        <v>2</v>
      </c>
      <c r="E36">
        <v>13</v>
      </c>
      <c r="F36" t="s">
        <v>29</v>
      </c>
      <c r="G36" t="s">
        <v>28</v>
      </c>
      <c r="H36">
        <v>23</v>
      </c>
      <c r="I36">
        <v>1</v>
      </c>
    </row>
    <row r="37" spans="1:9" x14ac:dyDescent="0.3">
      <c r="A37">
        <v>2</v>
      </c>
      <c r="B37">
        <v>0</v>
      </c>
      <c r="C37" t="s">
        <v>3</v>
      </c>
      <c r="D37" t="s">
        <v>2</v>
      </c>
      <c r="E37">
        <v>32</v>
      </c>
      <c r="F37" t="s">
        <v>29</v>
      </c>
      <c r="G37" t="s">
        <v>28</v>
      </c>
      <c r="H37">
        <v>22</v>
      </c>
      <c r="I37">
        <v>0</v>
      </c>
    </row>
    <row r="38" spans="1:9" x14ac:dyDescent="0.3">
      <c r="A38">
        <v>2</v>
      </c>
      <c r="B38">
        <v>0</v>
      </c>
      <c r="C38" t="s">
        <v>3</v>
      </c>
      <c r="D38" t="s">
        <v>2</v>
      </c>
      <c r="E38">
        <v>27</v>
      </c>
      <c r="F38" t="s">
        <v>29</v>
      </c>
      <c r="G38" t="s">
        <v>28</v>
      </c>
      <c r="H38">
        <v>23</v>
      </c>
      <c r="I38">
        <v>0</v>
      </c>
    </row>
    <row r="39" spans="1:9" x14ac:dyDescent="0.3">
      <c r="A39">
        <v>2</v>
      </c>
      <c r="B39">
        <v>0</v>
      </c>
      <c r="C39" t="s">
        <v>3</v>
      </c>
      <c r="D39" t="s">
        <v>2</v>
      </c>
      <c r="E39">
        <v>10</v>
      </c>
      <c r="F39" t="s">
        <v>29</v>
      </c>
      <c r="G39" t="s">
        <v>28</v>
      </c>
      <c r="H39">
        <v>44</v>
      </c>
      <c r="I39">
        <v>1</v>
      </c>
    </row>
    <row r="40" spans="1:9" x14ac:dyDescent="0.3">
      <c r="A40">
        <v>2</v>
      </c>
      <c r="B40">
        <v>0</v>
      </c>
      <c r="C40" t="s">
        <v>3</v>
      </c>
      <c r="D40" t="s">
        <v>2</v>
      </c>
      <c r="E40">
        <v>32</v>
      </c>
      <c r="F40" t="s">
        <v>29</v>
      </c>
      <c r="G40" t="s">
        <v>28</v>
      </c>
      <c r="H40">
        <v>43</v>
      </c>
      <c r="I40">
        <v>1</v>
      </c>
    </row>
    <row r="41" spans="1:9" x14ac:dyDescent="0.3">
      <c r="A41">
        <v>2</v>
      </c>
      <c r="B41">
        <v>0</v>
      </c>
      <c r="C41" t="s">
        <v>3</v>
      </c>
      <c r="D41" t="s">
        <v>2</v>
      </c>
      <c r="E41">
        <v>31</v>
      </c>
      <c r="F41" t="s">
        <v>29</v>
      </c>
      <c r="G41" t="s">
        <v>28</v>
      </c>
      <c r="H41">
        <v>13</v>
      </c>
      <c r="I41">
        <v>0</v>
      </c>
    </row>
    <row r="42" spans="1:9" x14ac:dyDescent="0.3">
      <c r="A42">
        <v>2</v>
      </c>
      <c r="B42">
        <v>0</v>
      </c>
      <c r="C42" t="s">
        <v>3</v>
      </c>
      <c r="D42" t="s">
        <v>2</v>
      </c>
      <c r="E42">
        <v>17</v>
      </c>
      <c r="F42" t="s">
        <v>29</v>
      </c>
      <c r="G42" t="s">
        <v>28</v>
      </c>
      <c r="H42">
        <v>23</v>
      </c>
      <c r="I42">
        <v>1</v>
      </c>
    </row>
    <row r="43" spans="1:9" x14ac:dyDescent="0.3">
      <c r="A43">
        <v>2</v>
      </c>
      <c r="B43">
        <v>0</v>
      </c>
      <c r="C43" t="s">
        <v>3</v>
      </c>
      <c r="D43" t="s">
        <v>2</v>
      </c>
      <c r="E43">
        <v>24</v>
      </c>
      <c r="F43" t="s">
        <v>29</v>
      </c>
      <c r="G43" t="s">
        <v>28</v>
      </c>
      <c r="H43">
        <v>41</v>
      </c>
      <c r="I43">
        <v>1</v>
      </c>
    </row>
    <row r="44" spans="1:9" x14ac:dyDescent="0.3">
      <c r="A44">
        <v>2</v>
      </c>
      <c r="B44">
        <v>0</v>
      </c>
      <c r="C44" t="s">
        <v>3</v>
      </c>
      <c r="D44" t="s">
        <v>2</v>
      </c>
      <c r="E44">
        <v>27</v>
      </c>
      <c r="F44" t="s">
        <v>29</v>
      </c>
      <c r="G44" t="s">
        <v>28</v>
      </c>
      <c r="H44">
        <v>25</v>
      </c>
      <c r="I44">
        <v>0</v>
      </c>
    </row>
    <row r="45" spans="1:9" x14ac:dyDescent="0.3">
      <c r="A45">
        <v>2</v>
      </c>
      <c r="B45">
        <v>0</v>
      </c>
      <c r="C45" t="s">
        <v>3</v>
      </c>
      <c r="D45" t="s">
        <v>2</v>
      </c>
      <c r="E45">
        <v>28</v>
      </c>
      <c r="F45" t="s">
        <v>29</v>
      </c>
      <c r="G45" t="s">
        <v>28</v>
      </c>
      <c r="H45">
        <v>52</v>
      </c>
      <c r="I45">
        <v>1</v>
      </c>
    </row>
    <row r="46" spans="1:9" x14ac:dyDescent="0.3">
      <c r="A46">
        <v>2</v>
      </c>
      <c r="B46">
        <v>0</v>
      </c>
      <c r="C46" t="s">
        <v>3</v>
      </c>
      <c r="D46" t="s">
        <v>2</v>
      </c>
      <c r="E46">
        <v>26</v>
      </c>
      <c r="F46" t="s">
        <v>29</v>
      </c>
      <c r="G46" t="s">
        <v>28</v>
      </c>
      <c r="H46">
        <v>26</v>
      </c>
      <c r="I46">
        <v>0</v>
      </c>
    </row>
    <row r="47" spans="1:9" x14ac:dyDescent="0.3">
      <c r="A47">
        <v>2</v>
      </c>
      <c r="B47">
        <v>0</v>
      </c>
      <c r="C47" t="s">
        <v>3</v>
      </c>
      <c r="D47" t="s">
        <v>2</v>
      </c>
      <c r="E47">
        <v>23</v>
      </c>
      <c r="F47" t="s">
        <v>29</v>
      </c>
      <c r="G47" t="s">
        <v>28</v>
      </c>
      <c r="H47">
        <v>54</v>
      </c>
      <c r="I47">
        <v>1</v>
      </c>
    </row>
    <row r="48" spans="1:9" x14ac:dyDescent="0.3">
      <c r="A48">
        <v>2</v>
      </c>
      <c r="B48">
        <v>0</v>
      </c>
      <c r="C48" t="s">
        <v>3</v>
      </c>
      <c r="D48" t="s">
        <v>2</v>
      </c>
      <c r="E48">
        <v>7</v>
      </c>
      <c r="F48" t="s">
        <v>29</v>
      </c>
      <c r="G48" t="s">
        <v>28</v>
      </c>
      <c r="H48">
        <v>21</v>
      </c>
      <c r="I48">
        <v>1</v>
      </c>
    </row>
    <row r="49" spans="1:9" x14ac:dyDescent="0.3">
      <c r="A49">
        <v>2</v>
      </c>
      <c r="B49">
        <v>0</v>
      </c>
      <c r="C49" t="s">
        <v>3</v>
      </c>
      <c r="D49" t="s">
        <v>2</v>
      </c>
      <c r="E49">
        <v>0</v>
      </c>
      <c r="F49" t="s">
        <v>29</v>
      </c>
      <c r="G49" t="s">
        <v>28</v>
      </c>
      <c r="H49">
        <v>38</v>
      </c>
      <c r="I49">
        <v>1</v>
      </c>
    </row>
    <row r="50" spans="1:9" x14ac:dyDescent="0.3">
      <c r="A50">
        <v>2</v>
      </c>
      <c r="B50">
        <v>0</v>
      </c>
      <c r="C50" t="s">
        <v>3</v>
      </c>
      <c r="D50" t="s">
        <v>2</v>
      </c>
      <c r="E50">
        <v>28</v>
      </c>
      <c r="F50" t="s">
        <v>29</v>
      </c>
      <c r="G50" t="s">
        <v>28</v>
      </c>
      <c r="H50">
        <v>35</v>
      </c>
      <c r="I50">
        <v>1</v>
      </c>
    </row>
    <row r="51" spans="1:9" x14ac:dyDescent="0.3">
      <c r="A51">
        <v>2</v>
      </c>
      <c r="B51">
        <v>1</v>
      </c>
      <c r="C51" t="s">
        <v>3</v>
      </c>
      <c r="D51" t="s">
        <v>2</v>
      </c>
      <c r="E51">
        <v>6</v>
      </c>
      <c r="F51" t="s">
        <v>29</v>
      </c>
      <c r="G51" t="s">
        <v>28</v>
      </c>
      <c r="H51">
        <v>17</v>
      </c>
      <c r="I51">
        <v>1</v>
      </c>
    </row>
    <row r="52" spans="1:9" x14ac:dyDescent="0.3">
      <c r="A52">
        <v>2</v>
      </c>
      <c r="B52">
        <v>1</v>
      </c>
      <c r="C52" t="s">
        <v>3</v>
      </c>
      <c r="D52" t="s">
        <v>2</v>
      </c>
      <c r="E52">
        <v>57</v>
      </c>
      <c r="F52" t="s">
        <v>29</v>
      </c>
      <c r="G52" t="s">
        <v>28</v>
      </c>
      <c r="H52">
        <v>33</v>
      </c>
      <c r="I52">
        <v>0</v>
      </c>
    </row>
    <row r="53" spans="1:9" x14ac:dyDescent="0.3">
      <c r="A53">
        <v>2</v>
      </c>
      <c r="B53">
        <v>1</v>
      </c>
      <c r="C53" t="s">
        <v>3</v>
      </c>
      <c r="D53" t="s">
        <v>2</v>
      </c>
      <c r="E53">
        <v>42</v>
      </c>
      <c r="F53" t="s">
        <v>29</v>
      </c>
      <c r="G53" t="s">
        <v>28</v>
      </c>
      <c r="H53">
        <v>51</v>
      </c>
      <c r="I53">
        <v>1</v>
      </c>
    </row>
    <row r="54" spans="1:9" x14ac:dyDescent="0.3">
      <c r="A54">
        <v>2</v>
      </c>
      <c r="B54">
        <v>1</v>
      </c>
      <c r="C54" t="s">
        <v>3</v>
      </c>
      <c r="D54" t="s">
        <v>2</v>
      </c>
      <c r="E54">
        <v>34</v>
      </c>
      <c r="F54" t="s">
        <v>29</v>
      </c>
      <c r="G54" t="s">
        <v>28</v>
      </c>
      <c r="H54">
        <v>37</v>
      </c>
      <c r="I54">
        <v>1</v>
      </c>
    </row>
    <row r="55" spans="1:9" x14ac:dyDescent="0.3">
      <c r="A55">
        <v>2</v>
      </c>
      <c r="B55">
        <v>1</v>
      </c>
      <c r="C55" t="s">
        <v>3</v>
      </c>
      <c r="D55" t="s">
        <v>2</v>
      </c>
      <c r="E55">
        <v>15</v>
      </c>
      <c r="F55" t="s">
        <v>29</v>
      </c>
      <c r="G55" t="s">
        <v>28</v>
      </c>
      <c r="H55">
        <v>28</v>
      </c>
      <c r="I55">
        <v>1</v>
      </c>
    </row>
    <row r="56" spans="1:9" x14ac:dyDescent="0.3">
      <c r="A56">
        <v>2</v>
      </c>
      <c r="B56">
        <v>1</v>
      </c>
      <c r="C56" t="s">
        <v>3</v>
      </c>
      <c r="D56" t="s">
        <v>2</v>
      </c>
      <c r="E56">
        <v>1</v>
      </c>
      <c r="F56" t="s">
        <v>29</v>
      </c>
      <c r="G56" t="s">
        <v>28</v>
      </c>
      <c r="H56">
        <v>52</v>
      </c>
      <c r="I56">
        <v>1</v>
      </c>
    </row>
    <row r="57" spans="1:9" x14ac:dyDescent="0.3">
      <c r="A57">
        <v>2</v>
      </c>
      <c r="B57">
        <v>1</v>
      </c>
      <c r="C57" t="s">
        <v>3</v>
      </c>
      <c r="D57" t="s">
        <v>2</v>
      </c>
      <c r="E57">
        <v>67</v>
      </c>
      <c r="F57" t="s">
        <v>29</v>
      </c>
      <c r="G57" t="s">
        <v>28</v>
      </c>
      <c r="H57">
        <v>34</v>
      </c>
      <c r="I57">
        <v>0</v>
      </c>
    </row>
    <row r="58" spans="1:9" x14ac:dyDescent="0.3">
      <c r="A58">
        <v>2</v>
      </c>
      <c r="B58">
        <v>1</v>
      </c>
      <c r="C58" t="s">
        <v>3</v>
      </c>
      <c r="D58" t="s">
        <v>2</v>
      </c>
      <c r="E58">
        <v>25</v>
      </c>
      <c r="F58" t="s">
        <v>29</v>
      </c>
      <c r="G58" t="s">
        <v>28</v>
      </c>
      <c r="H58">
        <v>50</v>
      </c>
      <c r="I58">
        <v>1</v>
      </c>
    </row>
    <row r="59" spans="1:9" x14ac:dyDescent="0.3">
      <c r="A59">
        <v>2</v>
      </c>
      <c r="B59">
        <v>1</v>
      </c>
      <c r="C59" t="s">
        <v>3</v>
      </c>
      <c r="D59" t="s">
        <v>2</v>
      </c>
      <c r="E59">
        <v>41</v>
      </c>
      <c r="F59" t="s">
        <v>29</v>
      </c>
      <c r="G59" t="s">
        <v>28</v>
      </c>
      <c r="H59">
        <v>20</v>
      </c>
      <c r="I59">
        <v>0</v>
      </c>
    </row>
    <row r="60" spans="1:9" x14ac:dyDescent="0.3">
      <c r="A60">
        <v>2</v>
      </c>
      <c r="B60">
        <v>1</v>
      </c>
      <c r="C60" t="s">
        <v>3</v>
      </c>
      <c r="D60" t="s">
        <v>2</v>
      </c>
      <c r="E60">
        <v>81</v>
      </c>
      <c r="F60" t="s">
        <v>29</v>
      </c>
      <c r="G60" t="s">
        <v>28</v>
      </c>
      <c r="H60">
        <v>50</v>
      </c>
      <c r="I60">
        <v>0</v>
      </c>
    </row>
    <row r="61" spans="1:9" x14ac:dyDescent="0.3">
      <c r="A61">
        <v>2</v>
      </c>
      <c r="B61">
        <v>1</v>
      </c>
      <c r="C61" t="s">
        <v>3</v>
      </c>
      <c r="D61" t="s">
        <v>2</v>
      </c>
      <c r="E61">
        <v>61</v>
      </c>
      <c r="F61" t="s">
        <v>29</v>
      </c>
      <c r="G61" t="s">
        <v>28</v>
      </c>
      <c r="H61">
        <v>21</v>
      </c>
      <c r="I61">
        <v>0</v>
      </c>
    </row>
    <row r="62" spans="1:9" x14ac:dyDescent="0.3">
      <c r="A62">
        <v>2</v>
      </c>
      <c r="B62">
        <v>1</v>
      </c>
      <c r="C62" t="s">
        <v>3</v>
      </c>
      <c r="D62" t="s">
        <v>2</v>
      </c>
      <c r="E62">
        <v>10</v>
      </c>
      <c r="F62" t="s">
        <v>29</v>
      </c>
      <c r="G62" t="s">
        <v>28</v>
      </c>
      <c r="H62">
        <v>34</v>
      </c>
      <c r="I62">
        <v>1</v>
      </c>
    </row>
    <row r="63" spans="1:9" x14ac:dyDescent="0.3">
      <c r="A63">
        <v>2</v>
      </c>
      <c r="B63">
        <v>1</v>
      </c>
      <c r="C63" t="s">
        <v>3</v>
      </c>
      <c r="D63" t="s">
        <v>2</v>
      </c>
      <c r="E63">
        <v>35</v>
      </c>
      <c r="F63" t="s">
        <v>29</v>
      </c>
      <c r="G63" t="s">
        <v>28</v>
      </c>
      <c r="H63">
        <v>25</v>
      </c>
      <c r="I63">
        <v>0</v>
      </c>
    </row>
    <row r="64" spans="1:9" x14ac:dyDescent="0.3">
      <c r="A64">
        <v>2</v>
      </c>
      <c r="B64">
        <v>1</v>
      </c>
      <c r="C64" t="s">
        <v>3</v>
      </c>
      <c r="D64" t="s">
        <v>2</v>
      </c>
      <c r="E64">
        <v>33</v>
      </c>
      <c r="F64" t="s">
        <v>29</v>
      </c>
      <c r="G64" t="s">
        <v>28</v>
      </c>
      <c r="H64">
        <v>35</v>
      </c>
      <c r="I64">
        <v>1</v>
      </c>
    </row>
    <row r="65" spans="1:9" x14ac:dyDescent="0.3">
      <c r="A65">
        <v>2</v>
      </c>
      <c r="B65">
        <v>1</v>
      </c>
      <c r="C65" t="s">
        <v>3</v>
      </c>
      <c r="D65" t="s">
        <v>2</v>
      </c>
      <c r="E65">
        <v>25</v>
      </c>
      <c r="F65" t="s">
        <v>29</v>
      </c>
      <c r="G65" t="s">
        <v>28</v>
      </c>
      <c r="H65">
        <v>15</v>
      </c>
      <c r="I65">
        <v>0</v>
      </c>
    </row>
    <row r="66" spans="1:9" x14ac:dyDescent="0.3">
      <c r="A66">
        <v>2</v>
      </c>
      <c r="B66">
        <v>1</v>
      </c>
      <c r="C66" t="s">
        <v>3</v>
      </c>
      <c r="D66" t="s">
        <v>2</v>
      </c>
      <c r="E66">
        <v>50</v>
      </c>
      <c r="F66" t="s">
        <v>29</v>
      </c>
      <c r="G66" t="s">
        <v>28</v>
      </c>
      <c r="H66">
        <v>17</v>
      </c>
      <c r="I66">
        <v>0</v>
      </c>
    </row>
    <row r="67" spans="1:9" x14ac:dyDescent="0.3">
      <c r="A67">
        <v>2</v>
      </c>
      <c r="B67">
        <v>1</v>
      </c>
      <c r="C67" t="s">
        <v>3</v>
      </c>
      <c r="D67" t="s">
        <v>2</v>
      </c>
      <c r="E67">
        <v>12</v>
      </c>
      <c r="F67" t="s">
        <v>29</v>
      </c>
      <c r="G67" t="s">
        <v>28</v>
      </c>
      <c r="H67">
        <v>55</v>
      </c>
      <c r="I67">
        <v>1</v>
      </c>
    </row>
    <row r="68" spans="1:9" x14ac:dyDescent="0.3">
      <c r="A68">
        <v>2</v>
      </c>
      <c r="B68">
        <v>1</v>
      </c>
      <c r="C68" t="s">
        <v>3</v>
      </c>
      <c r="D68" t="s">
        <v>2</v>
      </c>
      <c r="E68">
        <v>23</v>
      </c>
      <c r="F68" t="s">
        <v>29</v>
      </c>
      <c r="G68" t="s">
        <v>28</v>
      </c>
      <c r="H68">
        <v>28</v>
      </c>
      <c r="I68">
        <v>1</v>
      </c>
    </row>
    <row r="69" spans="1:9" x14ac:dyDescent="0.3">
      <c r="A69">
        <v>2</v>
      </c>
      <c r="B69">
        <v>1</v>
      </c>
      <c r="C69" t="s">
        <v>3</v>
      </c>
      <c r="D69" t="s">
        <v>2</v>
      </c>
      <c r="E69">
        <v>16</v>
      </c>
      <c r="F69" t="s">
        <v>29</v>
      </c>
      <c r="G69" t="s">
        <v>28</v>
      </c>
      <c r="H69">
        <v>31</v>
      </c>
      <c r="I69">
        <v>1</v>
      </c>
    </row>
    <row r="70" spans="1:9" x14ac:dyDescent="0.3">
      <c r="A70">
        <v>2</v>
      </c>
      <c r="B70">
        <v>1</v>
      </c>
      <c r="C70" t="s">
        <v>3</v>
      </c>
      <c r="D70" t="s">
        <v>2</v>
      </c>
      <c r="E70">
        <v>7</v>
      </c>
      <c r="F70" t="s">
        <v>29</v>
      </c>
      <c r="G70" t="s">
        <v>28</v>
      </c>
      <c r="H70">
        <v>28</v>
      </c>
      <c r="I70">
        <v>1</v>
      </c>
    </row>
    <row r="71" spans="1:9" x14ac:dyDescent="0.3">
      <c r="A71">
        <v>2</v>
      </c>
      <c r="B71">
        <v>1</v>
      </c>
      <c r="C71" t="s">
        <v>3</v>
      </c>
      <c r="D71" t="s">
        <v>2</v>
      </c>
      <c r="E71">
        <v>37</v>
      </c>
      <c r="F71" t="s">
        <v>29</v>
      </c>
      <c r="G71" t="s">
        <v>28</v>
      </c>
      <c r="H71">
        <v>48</v>
      </c>
      <c r="I71">
        <v>1</v>
      </c>
    </row>
    <row r="72" spans="1:9" x14ac:dyDescent="0.3">
      <c r="A72">
        <v>2</v>
      </c>
      <c r="B72">
        <v>1</v>
      </c>
      <c r="C72" t="s">
        <v>3</v>
      </c>
      <c r="D72" t="s">
        <v>2</v>
      </c>
      <c r="E72">
        <v>15</v>
      </c>
      <c r="F72" t="s">
        <v>29</v>
      </c>
      <c r="G72" t="s">
        <v>28</v>
      </c>
      <c r="H72">
        <v>62</v>
      </c>
      <c r="I72">
        <v>1</v>
      </c>
    </row>
    <row r="73" spans="1:9" x14ac:dyDescent="0.3">
      <c r="A73">
        <v>2</v>
      </c>
      <c r="B73">
        <v>1</v>
      </c>
      <c r="C73" t="s">
        <v>3</v>
      </c>
      <c r="D73" t="s">
        <v>2</v>
      </c>
      <c r="E73">
        <v>2</v>
      </c>
      <c r="F73" t="s">
        <v>29</v>
      </c>
      <c r="G73" t="s">
        <v>28</v>
      </c>
      <c r="H73">
        <v>0</v>
      </c>
      <c r="I73">
        <v>0</v>
      </c>
    </row>
    <row r="74" spans="1:9" x14ac:dyDescent="0.3">
      <c r="A74">
        <v>2</v>
      </c>
      <c r="B74">
        <v>1</v>
      </c>
      <c r="C74" t="s">
        <v>3</v>
      </c>
      <c r="D74" t="s">
        <v>2</v>
      </c>
      <c r="E74">
        <v>27</v>
      </c>
      <c r="F74" t="s">
        <v>29</v>
      </c>
      <c r="G74" t="s">
        <v>28</v>
      </c>
      <c r="H74">
        <v>8</v>
      </c>
      <c r="I74">
        <v>0</v>
      </c>
    </row>
    <row r="75" spans="1:9" x14ac:dyDescent="0.3">
      <c r="A75">
        <v>2</v>
      </c>
      <c r="B75">
        <v>1</v>
      </c>
      <c r="C75" t="s">
        <v>3</v>
      </c>
      <c r="D75" t="s">
        <v>2</v>
      </c>
      <c r="E75">
        <v>30</v>
      </c>
      <c r="F75" t="s">
        <v>29</v>
      </c>
      <c r="G75" t="s">
        <v>28</v>
      </c>
      <c r="H75">
        <v>35</v>
      </c>
      <c r="I75">
        <v>1</v>
      </c>
    </row>
    <row r="76" spans="1:9" x14ac:dyDescent="0.3">
      <c r="A76">
        <v>2</v>
      </c>
      <c r="B76">
        <v>1</v>
      </c>
      <c r="C76" t="s">
        <v>3</v>
      </c>
      <c r="D76" t="s">
        <v>2</v>
      </c>
      <c r="E76">
        <v>34</v>
      </c>
      <c r="F76" t="s">
        <v>29</v>
      </c>
      <c r="G76" t="s">
        <v>28</v>
      </c>
      <c r="H76">
        <v>12</v>
      </c>
      <c r="I76">
        <v>0</v>
      </c>
    </row>
    <row r="77" spans="1:9" x14ac:dyDescent="0.3">
      <c r="A77">
        <v>2</v>
      </c>
      <c r="B77">
        <v>1</v>
      </c>
      <c r="C77" t="s">
        <v>3</v>
      </c>
      <c r="D77" t="s">
        <v>2</v>
      </c>
      <c r="E77">
        <v>39</v>
      </c>
      <c r="F77" t="s">
        <v>29</v>
      </c>
      <c r="G77" t="s">
        <v>28</v>
      </c>
      <c r="H77">
        <v>66</v>
      </c>
      <c r="I77">
        <v>1</v>
      </c>
    </row>
    <row r="78" spans="1:9" x14ac:dyDescent="0.3">
      <c r="A78">
        <v>2</v>
      </c>
      <c r="B78">
        <v>1</v>
      </c>
      <c r="C78" t="s">
        <v>3</v>
      </c>
      <c r="D78" t="s">
        <v>2</v>
      </c>
      <c r="E78">
        <v>30</v>
      </c>
      <c r="F78" t="s">
        <v>29</v>
      </c>
      <c r="G78" t="s">
        <v>28</v>
      </c>
      <c r="H78">
        <v>30</v>
      </c>
      <c r="I78">
        <v>0</v>
      </c>
    </row>
    <row r="79" spans="1:9" x14ac:dyDescent="0.3">
      <c r="A79">
        <v>2</v>
      </c>
      <c r="B79">
        <v>1</v>
      </c>
      <c r="C79" t="s">
        <v>3</v>
      </c>
      <c r="D79" t="s">
        <v>2</v>
      </c>
      <c r="E79">
        <v>36</v>
      </c>
      <c r="F79" t="s">
        <v>29</v>
      </c>
      <c r="G79" t="s">
        <v>28</v>
      </c>
      <c r="H79">
        <v>61</v>
      </c>
      <c r="I79">
        <v>1</v>
      </c>
    </row>
    <row r="80" spans="1:9" x14ac:dyDescent="0.3">
      <c r="A80">
        <v>2</v>
      </c>
      <c r="B80">
        <v>1</v>
      </c>
      <c r="C80" t="s">
        <v>3</v>
      </c>
      <c r="D80" t="s">
        <v>2</v>
      </c>
      <c r="E80">
        <v>14</v>
      </c>
      <c r="F80" t="s">
        <v>29</v>
      </c>
      <c r="G80" t="s">
        <v>28</v>
      </c>
      <c r="H80">
        <v>22</v>
      </c>
      <c r="I80">
        <v>1</v>
      </c>
    </row>
    <row r="81" spans="1:9" x14ac:dyDescent="0.3">
      <c r="A81">
        <v>2</v>
      </c>
      <c r="B81">
        <v>1</v>
      </c>
      <c r="C81" t="s">
        <v>3</v>
      </c>
      <c r="D81" t="s">
        <v>2</v>
      </c>
      <c r="E81">
        <v>29</v>
      </c>
      <c r="F81" t="s">
        <v>29</v>
      </c>
      <c r="G81" t="s">
        <v>28</v>
      </c>
      <c r="H81">
        <v>35</v>
      </c>
      <c r="I81">
        <v>1</v>
      </c>
    </row>
    <row r="82" spans="1:9" x14ac:dyDescent="0.3">
      <c r="A82">
        <v>2</v>
      </c>
      <c r="B82">
        <v>1</v>
      </c>
      <c r="C82" t="s">
        <v>3</v>
      </c>
      <c r="D82" t="s">
        <v>2</v>
      </c>
      <c r="E82">
        <v>38</v>
      </c>
      <c r="F82" t="s">
        <v>29</v>
      </c>
      <c r="G82" t="s">
        <v>28</v>
      </c>
      <c r="H82">
        <v>54</v>
      </c>
      <c r="I82">
        <v>1</v>
      </c>
    </row>
    <row r="83" spans="1:9" x14ac:dyDescent="0.3">
      <c r="A83">
        <v>2</v>
      </c>
      <c r="B83">
        <v>1</v>
      </c>
      <c r="C83" t="s">
        <v>3</v>
      </c>
      <c r="D83" t="s">
        <v>2</v>
      </c>
      <c r="E83">
        <v>9</v>
      </c>
      <c r="F83" t="s">
        <v>29</v>
      </c>
      <c r="G83" t="s">
        <v>28</v>
      </c>
      <c r="H83">
        <v>49</v>
      </c>
      <c r="I83">
        <v>1</v>
      </c>
    </row>
    <row r="84" spans="1:9" x14ac:dyDescent="0.3">
      <c r="A84">
        <v>2</v>
      </c>
      <c r="B84">
        <v>1</v>
      </c>
      <c r="C84" t="s">
        <v>3</v>
      </c>
      <c r="D84" t="s">
        <v>2</v>
      </c>
      <c r="E84">
        <v>40</v>
      </c>
      <c r="F84" t="s">
        <v>29</v>
      </c>
      <c r="G84" t="s">
        <v>28</v>
      </c>
      <c r="H84">
        <v>36</v>
      </c>
      <c r="I84">
        <v>0</v>
      </c>
    </row>
    <row r="85" spans="1:9" x14ac:dyDescent="0.3">
      <c r="A85">
        <v>2</v>
      </c>
      <c r="B85">
        <v>1</v>
      </c>
      <c r="C85" t="s">
        <v>3</v>
      </c>
      <c r="D85" t="s">
        <v>2</v>
      </c>
      <c r="E85">
        <v>19</v>
      </c>
      <c r="F85" t="s">
        <v>29</v>
      </c>
      <c r="G85" t="s">
        <v>28</v>
      </c>
      <c r="H85">
        <v>31</v>
      </c>
      <c r="I85">
        <v>1</v>
      </c>
    </row>
    <row r="86" spans="1:9" x14ac:dyDescent="0.3">
      <c r="A86">
        <v>2</v>
      </c>
      <c r="B86">
        <v>1</v>
      </c>
      <c r="C86" t="s">
        <v>3</v>
      </c>
      <c r="D86" t="s">
        <v>2</v>
      </c>
      <c r="E86">
        <v>22</v>
      </c>
      <c r="F86" t="s">
        <v>29</v>
      </c>
      <c r="G86" t="s">
        <v>28</v>
      </c>
      <c r="H86">
        <v>32</v>
      </c>
      <c r="I86">
        <v>1</v>
      </c>
    </row>
    <row r="87" spans="1:9" x14ac:dyDescent="0.3">
      <c r="A87">
        <v>2</v>
      </c>
      <c r="B87">
        <v>1</v>
      </c>
      <c r="C87" t="s">
        <v>3</v>
      </c>
      <c r="D87" t="s">
        <v>2</v>
      </c>
      <c r="E87">
        <v>4</v>
      </c>
      <c r="F87" t="s">
        <v>29</v>
      </c>
      <c r="G87" t="s">
        <v>28</v>
      </c>
      <c r="H87">
        <v>14</v>
      </c>
      <c r="I87">
        <v>1</v>
      </c>
    </row>
    <row r="88" spans="1:9" x14ac:dyDescent="0.3">
      <c r="A88">
        <v>2</v>
      </c>
      <c r="B88">
        <v>1</v>
      </c>
      <c r="C88" t="s">
        <v>3</v>
      </c>
      <c r="D88" t="s">
        <v>2</v>
      </c>
      <c r="E88">
        <v>46</v>
      </c>
      <c r="F88" t="s">
        <v>29</v>
      </c>
      <c r="G88" t="s">
        <v>28</v>
      </c>
      <c r="H88">
        <v>32</v>
      </c>
      <c r="I88">
        <v>0</v>
      </c>
    </row>
    <row r="89" spans="1:9" x14ac:dyDescent="0.3">
      <c r="A89">
        <v>2</v>
      </c>
      <c r="B89">
        <v>1</v>
      </c>
      <c r="C89" t="s">
        <v>3</v>
      </c>
      <c r="D89" t="s">
        <v>2</v>
      </c>
      <c r="E89">
        <v>4</v>
      </c>
      <c r="F89" t="s">
        <v>29</v>
      </c>
      <c r="G89" t="s">
        <v>28</v>
      </c>
      <c r="H89">
        <v>34</v>
      </c>
      <c r="I89">
        <v>1</v>
      </c>
    </row>
    <row r="90" spans="1:9" x14ac:dyDescent="0.3">
      <c r="A90">
        <v>2</v>
      </c>
      <c r="B90">
        <v>1</v>
      </c>
      <c r="C90" t="s">
        <v>3</v>
      </c>
      <c r="D90" t="s">
        <v>2</v>
      </c>
      <c r="E90">
        <v>15</v>
      </c>
      <c r="F90" t="s">
        <v>29</v>
      </c>
      <c r="G90" t="s">
        <v>28</v>
      </c>
      <c r="H90">
        <v>42</v>
      </c>
      <c r="I90">
        <v>1</v>
      </c>
    </row>
    <row r="91" spans="1:9" x14ac:dyDescent="0.3">
      <c r="A91">
        <v>2</v>
      </c>
      <c r="B91">
        <v>1</v>
      </c>
      <c r="C91" t="s">
        <v>3</v>
      </c>
      <c r="D91" t="s">
        <v>2</v>
      </c>
      <c r="E91">
        <v>16</v>
      </c>
      <c r="F91" t="s">
        <v>29</v>
      </c>
      <c r="G91" t="s">
        <v>28</v>
      </c>
      <c r="H91">
        <v>30</v>
      </c>
      <c r="I91">
        <v>1</v>
      </c>
    </row>
    <row r="92" spans="1:9" x14ac:dyDescent="0.3">
      <c r="A92">
        <v>2</v>
      </c>
      <c r="B92">
        <v>1</v>
      </c>
      <c r="C92" t="s">
        <v>3</v>
      </c>
      <c r="D92" t="s">
        <v>2</v>
      </c>
      <c r="E92">
        <v>35</v>
      </c>
      <c r="F92" t="s">
        <v>29</v>
      </c>
      <c r="G92" t="s">
        <v>28</v>
      </c>
      <c r="H92">
        <v>46</v>
      </c>
      <c r="I92">
        <v>1</v>
      </c>
    </row>
    <row r="93" spans="1:9" x14ac:dyDescent="0.3">
      <c r="A93">
        <v>2</v>
      </c>
      <c r="B93">
        <v>1</v>
      </c>
      <c r="C93" t="s">
        <v>3</v>
      </c>
      <c r="D93" t="s">
        <v>2</v>
      </c>
      <c r="E93">
        <v>57</v>
      </c>
      <c r="F93" t="s">
        <v>29</v>
      </c>
      <c r="G93" t="s">
        <v>28</v>
      </c>
      <c r="H93">
        <v>66</v>
      </c>
      <c r="I93">
        <v>1</v>
      </c>
    </row>
    <row r="94" spans="1:9" x14ac:dyDescent="0.3">
      <c r="A94">
        <v>2</v>
      </c>
      <c r="B94">
        <v>1</v>
      </c>
      <c r="C94" t="s">
        <v>3</v>
      </c>
      <c r="D94" t="s">
        <v>2</v>
      </c>
      <c r="E94">
        <v>29</v>
      </c>
      <c r="F94" t="s">
        <v>29</v>
      </c>
      <c r="G94" t="s">
        <v>28</v>
      </c>
      <c r="H94">
        <v>19</v>
      </c>
      <c r="I94">
        <v>0</v>
      </c>
    </row>
    <row r="95" spans="1:9" x14ac:dyDescent="0.3">
      <c r="A95">
        <v>2</v>
      </c>
      <c r="B95">
        <v>1</v>
      </c>
      <c r="C95" t="s">
        <v>3</v>
      </c>
      <c r="D95" t="s">
        <v>2</v>
      </c>
      <c r="E95">
        <v>18</v>
      </c>
      <c r="F95" t="s">
        <v>29</v>
      </c>
      <c r="G95" t="s">
        <v>28</v>
      </c>
      <c r="H95">
        <v>72</v>
      </c>
      <c r="I95">
        <v>1</v>
      </c>
    </row>
    <row r="96" spans="1:9" x14ac:dyDescent="0.3">
      <c r="A96">
        <v>2</v>
      </c>
      <c r="B96">
        <v>1</v>
      </c>
      <c r="C96" t="s">
        <v>3</v>
      </c>
      <c r="D96" t="s">
        <v>2</v>
      </c>
      <c r="E96">
        <v>41</v>
      </c>
      <c r="F96" t="s">
        <v>29</v>
      </c>
      <c r="G96" t="s">
        <v>28</v>
      </c>
      <c r="H96">
        <v>34</v>
      </c>
      <c r="I96">
        <v>0</v>
      </c>
    </row>
    <row r="97" spans="1:9" x14ac:dyDescent="0.3">
      <c r="A97">
        <v>2</v>
      </c>
      <c r="B97">
        <v>1</v>
      </c>
      <c r="C97" t="s">
        <v>3</v>
      </c>
      <c r="D97" t="s">
        <v>2</v>
      </c>
      <c r="E97">
        <v>25</v>
      </c>
      <c r="F97" t="s">
        <v>29</v>
      </c>
      <c r="G97" t="s">
        <v>28</v>
      </c>
      <c r="H97">
        <v>15</v>
      </c>
      <c r="I97">
        <v>0</v>
      </c>
    </row>
    <row r="98" spans="1:9" x14ac:dyDescent="0.3">
      <c r="A98">
        <v>2</v>
      </c>
      <c r="B98">
        <v>1</v>
      </c>
      <c r="C98" t="s">
        <v>3</v>
      </c>
      <c r="D98" t="s">
        <v>2</v>
      </c>
      <c r="E98">
        <v>42</v>
      </c>
      <c r="F98" t="s">
        <v>29</v>
      </c>
      <c r="G98" t="s">
        <v>28</v>
      </c>
      <c r="H98">
        <v>3</v>
      </c>
      <c r="I98">
        <v>0</v>
      </c>
    </row>
    <row r="99" spans="1:9" x14ac:dyDescent="0.3">
      <c r="A99">
        <v>2</v>
      </c>
      <c r="B99">
        <v>1</v>
      </c>
      <c r="C99" t="s">
        <v>3</v>
      </c>
      <c r="D99" t="s">
        <v>2</v>
      </c>
      <c r="E99">
        <v>58</v>
      </c>
      <c r="F99" t="s">
        <v>29</v>
      </c>
      <c r="G99" t="s">
        <v>28</v>
      </c>
      <c r="H99">
        <v>42</v>
      </c>
      <c r="I99">
        <v>0</v>
      </c>
    </row>
    <row r="100" spans="1:9" x14ac:dyDescent="0.3">
      <c r="A100">
        <v>2</v>
      </c>
      <c r="B100">
        <v>1</v>
      </c>
      <c r="C100" t="s">
        <v>3</v>
      </c>
      <c r="D100" t="s">
        <v>2</v>
      </c>
      <c r="E100">
        <v>41</v>
      </c>
      <c r="F100" t="s">
        <v>29</v>
      </c>
      <c r="G100" t="s">
        <v>28</v>
      </c>
      <c r="H100">
        <v>25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5A27E-14BF-4E74-B078-625333DD0D31}">
  <dimension ref="A1:T100"/>
  <sheetViews>
    <sheetView topLeftCell="J1" workbookViewId="0">
      <selection activeCell="M23" sqref="M2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</v>
      </c>
      <c r="D1" t="s">
        <v>0</v>
      </c>
      <c r="E1">
        <v>65</v>
      </c>
      <c r="F1" t="s">
        <v>16</v>
      </c>
      <c r="G1" t="s">
        <v>17</v>
      </c>
      <c r="H1">
        <v>4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</v>
      </c>
      <c r="D2" t="s">
        <v>0</v>
      </c>
      <c r="E2">
        <v>49</v>
      </c>
      <c r="F2" t="s">
        <v>16</v>
      </c>
      <c r="G2" t="s">
        <v>17</v>
      </c>
      <c r="H2">
        <v>11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</v>
      </c>
      <c r="D3" t="s">
        <v>0</v>
      </c>
      <c r="E3">
        <v>47</v>
      </c>
      <c r="F3" t="s">
        <v>16</v>
      </c>
      <c r="G3" t="s">
        <v>17</v>
      </c>
      <c r="H3">
        <v>0</v>
      </c>
      <c r="I3">
        <v>0</v>
      </c>
      <c r="K3" s="8" t="s">
        <v>11</v>
      </c>
      <c r="L3" s="8"/>
      <c r="M3" s="10">
        <f>COUNTIF($I$1:$I$100, 0)</f>
        <v>93</v>
      </c>
      <c r="N3" s="10"/>
      <c r="O3" s="10">
        <f>COUNTIFS($I$1:$I$100, 0, $B$1:$B$100, 0)</f>
        <v>47</v>
      </c>
      <c r="P3" s="10"/>
      <c r="Q3" s="11">
        <f>COUNTIFS($I$1:$I$100, 0, $B$1:$B$100, 1)</f>
        <v>46</v>
      </c>
      <c r="R3" s="12"/>
      <c r="T3" cm="1">
        <f t="array" ref="T3">SUMPRODUCT(--($E$1:$E$100=$H$1:$H$100))</f>
        <v>0</v>
      </c>
    </row>
    <row r="4" spans="1:20" x14ac:dyDescent="0.3">
      <c r="A4">
        <v>2</v>
      </c>
      <c r="B4">
        <v>0</v>
      </c>
      <c r="C4" t="s">
        <v>1</v>
      </c>
      <c r="D4" t="s">
        <v>0</v>
      </c>
      <c r="E4">
        <v>38</v>
      </c>
      <c r="F4" t="s">
        <v>16</v>
      </c>
      <c r="G4" t="s">
        <v>17</v>
      </c>
      <c r="H4">
        <v>6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</v>
      </c>
      <c r="D5" t="s">
        <v>0</v>
      </c>
      <c r="E5">
        <v>46</v>
      </c>
      <c r="F5" t="s">
        <v>16</v>
      </c>
      <c r="G5" t="s">
        <v>17</v>
      </c>
      <c r="H5">
        <v>9</v>
      </c>
      <c r="I5">
        <v>0</v>
      </c>
      <c r="K5" s="8" t="s">
        <v>10</v>
      </c>
      <c r="L5" s="8"/>
      <c r="M5" s="14">
        <f>COUNTIF($I$1:$I$100, 1)</f>
        <v>7</v>
      </c>
      <c r="N5" s="10"/>
      <c r="O5" s="10">
        <f>COUNTIFS($I$1:$I$100, 1, $B$1:$B$100, 0)</f>
        <v>3</v>
      </c>
      <c r="P5" s="10"/>
      <c r="Q5" s="10">
        <f>COUNTIFS($I$1:$I$100, 1, $B$1:$B$100, 1)</f>
        <v>4</v>
      </c>
      <c r="R5" s="13"/>
    </row>
    <row r="6" spans="1:20" x14ac:dyDescent="0.3">
      <c r="A6">
        <v>2</v>
      </c>
      <c r="B6">
        <v>0</v>
      </c>
      <c r="C6" t="s">
        <v>1</v>
      </c>
      <c r="D6" t="s">
        <v>0</v>
      </c>
      <c r="E6">
        <v>61</v>
      </c>
      <c r="F6" t="s">
        <v>16</v>
      </c>
      <c r="G6" t="s">
        <v>17</v>
      </c>
      <c r="H6">
        <v>32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</v>
      </c>
      <c r="D7" t="s">
        <v>0</v>
      </c>
      <c r="E7">
        <v>69</v>
      </c>
      <c r="F7" t="s">
        <v>16</v>
      </c>
      <c r="G7" t="s">
        <v>17</v>
      </c>
      <c r="H7">
        <v>4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</v>
      </c>
      <c r="D8" t="s">
        <v>0</v>
      </c>
      <c r="E8">
        <v>59</v>
      </c>
      <c r="F8" t="s">
        <v>16</v>
      </c>
      <c r="G8" t="s">
        <v>17</v>
      </c>
      <c r="H8">
        <v>0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</v>
      </c>
      <c r="D9" t="s">
        <v>0</v>
      </c>
      <c r="E9">
        <v>55</v>
      </c>
      <c r="F9" t="s">
        <v>16</v>
      </c>
      <c r="G9" t="s">
        <v>17</v>
      </c>
      <c r="H9">
        <v>27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</v>
      </c>
      <c r="D10" t="s">
        <v>0</v>
      </c>
      <c r="E10">
        <v>21</v>
      </c>
      <c r="F10" t="s">
        <v>16</v>
      </c>
      <c r="G10" t="s">
        <v>17</v>
      </c>
      <c r="H10">
        <v>3</v>
      </c>
      <c r="I10">
        <v>0</v>
      </c>
      <c r="K10" s="8" t="s">
        <v>6</v>
      </c>
      <c r="L10" s="8"/>
      <c r="M10" s="10">
        <f>AVERAGE($E$1:$E$100,)</f>
        <v>45.920792079207921</v>
      </c>
      <c r="N10" s="10"/>
      <c r="O10" s="10" cm="1">
        <f t="array" ref="O10">AVERAGE(_xlfn._xlws.FILTER($E$1:$E$100,$I$1:$I$100 = 0))</f>
        <v>48.41935483870968</v>
      </c>
      <c r="P10" s="10"/>
      <c r="Q10" s="11" cm="1">
        <f t="array" ref="Q10">AVERAGE(_xlfn._xlws.FILTER($E$1:$E$100,$I$1:$I$100 = 1))</f>
        <v>19.285714285714285</v>
      </c>
      <c r="R10" s="12"/>
    </row>
    <row r="11" spans="1:20" x14ac:dyDescent="0.3">
      <c r="A11">
        <v>2</v>
      </c>
      <c r="B11">
        <v>0</v>
      </c>
      <c r="C11" t="s">
        <v>1</v>
      </c>
      <c r="D11" t="s">
        <v>0</v>
      </c>
      <c r="E11">
        <v>49</v>
      </c>
      <c r="F11" t="s">
        <v>16</v>
      </c>
      <c r="G11" t="s">
        <v>17</v>
      </c>
      <c r="H11">
        <v>11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</v>
      </c>
      <c r="D12" t="s">
        <v>0</v>
      </c>
      <c r="E12">
        <v>51</v>
      </c>
      <c r="F12" t="s">
        <v>16</v>
      </c>
      <c r="G12" t="s">
        <v>17</v>
      </c>
      <c r="H12">
        <v>8</v>
      </c>
      <c r="I12">
        <v>0</v>
      </c>
      <c r="K12" s="8" t="s">
        <v>5</v>
      </c>
      <c r="L12" s="8"/>
      <c r="M12" s="10">
        <f>AVERAGE($H$1:$H$100,)</f>
        <v>8.7326732673267333</v>
      </c>
      <c r="N12" s="10"/>
      <c r="O12" s="10" cm="1">
        <f t="array" ref="O12">AVERAGE(_xlfn._xlws.FILTER($H$1:$H$100,$I$1:$I$100 = 0))</f>
        <v>6.752688172043011</v>
      </c>
      <c r="P12" s="10"/>
      <c r="Q12" s="10" cm="1">
        <f t="array" ref="Q12">AVERAGE(_xlfn._xlws.FILTER($H$1:$H$100,$I$1:$I$100 = 1))</f>
        <v>36.285714285714285</v>
      </c>
      <c r="R12" s="13"/>
    </row>
    <row r="13" spans="1:20" x14ac:dyDescent="0.3">
      <c r="A13">
        <v>2</v>
      </c>
      <c r="B13">
        <v>0</v>
      </c>
      <c r="C13" t="s">
        <v>1</v>
      </c>
      <c r="D13" t="s">
        <v>0</v>
      </c>
      <c r="E13">
        <v>42</v>
      </c>
      <c r="F13" t="s">
        <v>16</v>
      </c>
      <c r="G13" t="s">
        <v>17</v>
      </c>
      <c r="H13">
        <v>2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</v>
      </c>
      <c r="D14" t="s">
        <v>0</v>
      </c>
      <c r="E14">
        <v>59</v>
      </c>
      <c r="F14" t="s">
        <v>16</v>
      </c>
      <c r="G14" t="s">
        <v>17</v>
      </c>
      <c r="H14">
        <v>0</v>
      </c>
      <c r="I14">
        <v>0</v>
      </c>
      <c r="K14" s="19" t="s">
        <v>4</v>
      </c>
      <c r="L14" s="12"/>
      <c r="M14" s="20" cm="1">
        <f t="array" ref="M14">AVERAGE($E$1:$E$100 - $H$1:$H$100)</f>
        <v>37.56</v>
      </c>
      <c r="N14" s="20"/>
      <c r="O14" s="20" cm="1">
        <f t="array" ref="O14">AVERAGE(_xlfn._xlws.FILTER($E$1:$E$100 - $H$1:$H$100, I$1:I$100 = 0))</f>
        <v>41.666666666666664</v>
      </c>
      <c r="P14" s="20"/>
      <c r="Q14" s="20" cm="1">
        <f t="array" ref="Q14">AVERAGE(_xlfn._xlws.FILTER($E$1:$E$100 - $H$1:$H$100, I$1:I$100 = 1))</f>
        <v>-17</v>
      </c>
      <c r="R14" s="22"/>
    </row>
    <row r="15" spans="1:20" x14ac:dyDescent="0.3">
      <c r="A15">
        <v>2</v>
      </c>
      <c r="B15">
        <v>0</v>
      </c>
      <c r="C15" t="s">
        <v>1</v>
      </c>
      <c r="D15" t="s">
        <v>0</v>
      </c>
      <c r="E15">
        <v>56</v>
      </c>
      <c r="F15" t="s">
        <v>16</v>
      </c>
      <c r="G15" t="s">
        <v>17</v>
      </c>
      <c r="H15">
        <v>3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</v>
      </c>
      <c r="D16" t="s">
        <v>0</v>
      </c>
      <c r="E16">
        <v>47</v>
      </c>
      <c r="F16" t="s">
        <v>16</v>
      </c>
      <c r="G16" t="s">
        <v>17</v>
      </c>
      <c r="H16">
        <v>0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</v>
      </c>
      <c r="D17" t="s">
        <v>0</v>
      </c>
      <c r="E17">
        <v>93</v>
      </c>
      <c r="F17" t="s">
        <v>16</v>
      </c>
      <c r="G17" t="s">
        <v>17</v>
      </c>
      <c r="H17">
        <v>22</v>
      </c>
      <c r="I17">
        <v>0</v>
      </c>
    </row>
    <row r="18" spans="1:9" x14ac:dyDescent="0.3">
      <c r="A18">
        <v>2</v>
      </c>
      <c r="B18">
        <v>0</v>
      </c>
      <c r="C18" t="s">
        <v>1</v>
      </c>
      <c r="D18" t="s">
        <v>0</v>
      </c>
      <c r="E18">
        <v>51</v>
      </c>
      <c r="F18" t="s">
        <v>16</v>
      </c>
      <c r="G18" t="s">
        <v>17</v>
      </c>
      <c r="H18">
        <v>2</v>
      </c>
      <c r="I18">
        <v>0</v>
      </c>
    </row>
    <row r="19" spans="1:9" x14ac:dyDescent="0.3">
      <c r="A19">
        <v>2</v>
      </c>
      <c r="B19">
        <v>0</v>
      </c>
      <c r="C19" t="s">
        <v>1</v>
      </c>
      <c r="D19" t="s">
        <v>0</v>
      </c>
      <c r="E19">
        <v>59</v>
      </c>
      <c r="F19" t="s">
        <v>16</v>
      </c>
      <c r="G19" t="s">
        <v>17</v>
      </c>
      <c r="H19">
        <v>0</v>
      </c>
      <c r="I19">
        <v>0</v>
      </c>
    </row>
    <row r="20" spans="1:9" x14ac:dyDescent="0.3">
      <c r="A20">
        <v>2</v>
      </c>
      <c r="B20">
        <v>0</v>
      </c>
      <c r="C20" t="s">
        <v>1</v>
      </c>
      <c r="D20" t="s">
        <v>0</v>
      </c>
      <c r="E20">
        <v>42</v>
      </c>
      <c r="F20" t="s">
        <v>16</v>
      </c>
      <c r="G20" t="s">
        <v>17</v>
      </c>
      <c r="H20">
        <v>2</v>
      </c>
      <c r="I20">
        <v>0</v>
      </c>
    </row>
    <row r="21" spans="1:9" x14ac:dyDescent="0.3">
      <c r="A21">
        <v>2</v>
      </c>
      <c r="B21">
        <v>0</v>
      </c>
      <c r="C21" t="s">
        <v>1</v>
      </c>
      <c r="D21" t="s">
        <v>0</v>
      </c>
      <c r="E21">
        <v>67</v>
      </c>
      <c r="F21" t="s">
        <v>16</v>
      </c>
      <c r="G21" t="s">
        <v>17</v>
      </c>
      <c r="H21">
        <v>16</v>
      </c>
      <c r="I21">
        <v>0</v>
      </c>
    </row>
    <row r="22" spans="1:9" x14ac:dyDescent="0.3">
      <c r="A22">
        <v>2</v>
      </c>
      <c r="B22">
        <v>0</v>
      </c>
      <c r="C22" t="s">
        <v>1</v>
      </c>
      <c r="D22" t="s">
        <v>0</v>
      </c>
      <c r="E22">
        <v>24</v>
      </c>
      <c r="F22" t="s">
        <v>16</v>
      </c>
      <c r="G22" t="s">
        <v>17</v>
      </c>
      <c r="H22">
        <v>0</v>
      </c>
      <c r="I22">
        <v>0</v>
      </c>
    </row>
    <row r="23" spans="1:9" x14ac:dyDescent="0.3">
      <c r="A23">
        <v>2</v>
      </c>
      <c r="B23">
        <v>0</v>
      </c>
      <c r="C23" t="s">
        <v>1</v>
      </c>
      <c r="D23" t="s">
        <v>0</v>
      </c>
      <c r="E23">
        <v>31</v>
      </c>
      <c r="F23" t="s">
        <v>16</v>
      </c>
      <c r="G23" t="s">
        <v>17</v>
      </c>
      <c r="H23">
        <v>0</v>
      </c>
      <c r="I23">
        <v>0</v>
      </c>
    </row>
    <row r="24" spans="1:9" x14ac:dyDescent="0.3">
      <c r="A24">
        <v>2</v>
      </c>
      <c r="B24">
        <v>0</v>
      </c>
      <c r="C24" t="s">
        <v>1</v>
      </c>
      <c r="D24" t="s">
        <v>0</v>
      </c>
      <c r="E24">
        <v>33</v>
      </c>
      <c r="F24" t="s">
        <v>16</v>
      </c>
      <c r="G24" t="s">
        <v>17</v>
      </c>
      <c r="H24">
        <v>3</v>
      </c>
      <c r="I24">
        <v>0</v>
      </c>
    </row>
    <row r="25" spans="1:9" x14ac:dyDescent="0.3">
      <c r="A25">
        <v>2</v>
      </c>
      <c r="B25">
        <v>0</v>
      </c>
      <c r="C25" t="s">
        <v>1</v>
      </c>
      <c r="D25" t="s">
        <v>0</v>
      </c>
      <c r="E25">
        <v>47</v>
      </c>
      <c r="F25" t="s">
        <v>16</v>
      </c>
      <c r="G25" t="s">
        <v>17</v>
      </c>
      <c r="H25">
        <v>1</v>
      </c>
      <c r="I25">
        <v>0</v>
      </c>
    </row>
    <row r="26" spans="1:9" x14ac:dyDescent="0.3">
      <c r="A26">
        <v>2</v>
      </c>
      <c r="B26">
        <v>0</v>
      </c>
      <c r="C26" t="s">
        <v>1</v>
      </c>
      <c r="D26" t="s">
        <v>0</v>
      </c>
      <c r="E26">
        <v>52</v>
      </c>
      <c r="F26" t="s">
        <v>16</v>
      </c>
      <c r="G26" t="s">
        <v>17</v>
      </c>
      <c r="H26">
        <v>0</v>
      </c>
      <c r="I26">
        <v>0</v>
      </c>
    </row>
    <row r="27" spans="1:9" x14ac:dyDescent="0.3">
      <c r="A27">
        <v>2</v>
      </c>
      <c r="B27">
        <v>0</v>
      </c>
      <c r="C27" t="s">
        <v>1</v>
      </c>
      <c r="D27" t="s">
        <v>0</v>
      </c>
      <c r="E27">
        <v>20</v>
      </c>
      <c r="F27" t="s">
        <v>16</v>
      </c>
      <c r="G27" t="s">
        <v>17</v>
      </c>
      <c r="H27">
        <v>27</v>
      </c>
      <c r="I27">
        <v>1</v>
      </c>
    </row>
    <row r="28" spans="1:9" x14ac:dyDescent="0.3">
      <c r="A28">
        <v>2</v>
      </c>
      <c r="B28">
        <v>0</v>
      </c>
      <c r="C28" t="s">
        <v>1</v>
      </c>
      <c r="D28" t="s">
        <v>0</v>
      </c>
      <c r="E28">
        <v>76</v>
      </c>
      <c r="F28" t="s">
        <v>16</v>
      </c>
      <c r="G28" t="s">
        <v>17</v>
      </c>
      <c r="H28">
        <v>17</v>
      </c>
      <c r="I28">
        <v>0</v>
      </c>
    </row>
    <row r="29" spans="1:9" x14ac:dyDescent="0.3">
      <c r="A29">
        <v>2</v>
      </c>
      <c r="B29">
        <v>0</v>
      </c>
      <c r="C29" t="s">
        <v>1</v>
      </c>
      <c r="D29" t="s">
        <v>0</v>
      </c>
      <c r="E29">
        <v>59</v>
      </c>
      <c r="F29" t="s">
        <v>16</v>
      </c>
      <c r="G29" t="s">
        <v>17</v>
      </c>
      <c r="H29">
        <v>1</v>
      </c>
      <c r="I29">
        <v>0</v>
      </c>
    </row>
    <row r="30" spans="1:9" x14ac:dyDescent="0.3">
      <c r="A30">
        <v>2</v>
      </c>
      <c r="B30">
        <v>0</v>
      </c>
      <c r="C30" t="s">
        <v>1</v>
      </c>
      <c r="D30" t="s">
        <v>0</v>
      </c>
      <c r="E30">
        <v>16</v>
      </c>
      <c r="F30" t="s">
        <v>16</v>
      </c>
      <c r="G30" t="s">
        <v>17</v>
      </c>
      <c r="H30">
        <v>9</v>
      </c>
      <c r="I30">
        <v>0</v>
      </c>
    </row>
    <row r="31" spans="1:9" x14ac:dyDescent="0.3">
      <c r="A31">
        <v>2</v>
      </c>
      <c r="B31">
        <v>0</v>
      </c>
      <c r="C31" t="s">
        <v>1</v>
      </c>
      <c r="D31" t="s">
        <v>0</v>
      </c>
      <c r="E31">
        <v>48</v>
      </c>
      <c r="F31" t="s">
        <v>16</v>
      </c>
      <c r="G31" t="s">
        <v>17</v>
      </c>
      <c r="H31">
        <v>6</v>
      </c>
      <c r="I31">
        <v>0</v>
      </c>
    </row>
    <row r="32" spans="1:9" x14ac:dyDescent="0.3">
      <c r="A32">
        <v>2</v>
      </c>
      <c r="B32">
        <v>0</v>
      </c>
      <c r="C32" t="s">
        <v>1</v>
      </c>
      <c r="D32" t="s">
        <v>0</v>
      </c>
      <c r="E32">
        <v>70</v>
      </c>
      <c r="F32" t="s">
        <v>16</v>
      </c>
      <c r="G32" t="s">
        <v>17</v>
      </c>
      <c r="H32">
        <v>0</v>
      </c>
      <c r="I32">
        <v>0</v>
      </c>
    </row>
    <row r="33" spans="1:9" x14ac:dyDescent="0.3">
      <c r="A33">
        <v>2</v>
      </c>
      <c r="B33">
        <v>0</v>
      </c>
      <c r="C33" t="s">
        <v>1</v>
      </c>
      <c r="D33" t="s">
        <v>0</v>
      </c>
      <c r="E33">
        <v>48</v>
      </c>
      <c r="F33" t="s">
        <v>16</v>
      </c>
      <c r="G33" t="s">
        <v>17</v>
      </c>
      <c r="H33">
        <v>7</v>
      </c>
      <c r="I33">
        <v>0</v>
      </c>
    </row>
    <row r="34" spans="1:9" x14ac:dyDescent="0.3">
      <c r="A34">
        <v>2</v>
      </c>
      <c r="B34">
        <v>0</v>
      </c>
      <c r="C34" t="s">
        <v>1</v>
      </c>
      <c r="D34" t="s">
        <v>0</v>
      </c>
      <c r="E34">
        <v>75</v>
      </c>
      <c r="F34" t="s">
        <v>16</v>
      </c>
      <c r="G34" t="s">
        <v>17</v>
      </c>
      <c r="H34">
        <v>8</v>
      </c>
      <c r="I34">
        <v>0</v>
      </c>
    </row>
    <row r="35" spans="1:9" x14ac:dyDescent="0.3">
      <c r="A35">
        <v>2</v>
      </c>
      <c r="B35">
        <v>0</v>
      </c>
      <c r="C35" t="s">
        <v>1</v>
      </c>
      <c r="D35" t="s">
        <v>0</v>
      </c>
      <c r="E35">
        <v>37</v>
      </c>
      <c r="F35" t="s">
        <v>16</v>
      </c>
      <c r="G35" t="s">
        <v>17</v>
      </c>
      <c r="H35">
        <v>11</v>
      </c>
      <c r="I35">
        <v>0</v>
      </c>
    </row>
    <row r="36" spans="1:9" x14ac:dyDescent="0.3">
      <c r="A36">
        <v>2</v>
      </c>
      <c r="B36">
        <v>0</v>
      </c>
      <c r="C36" t="s">
        <v>1</v>
      </c>
      <c r="D36" t="s">
        <v>0</v>
      </c>
      <c r="E36">
        <v>58</v>
      </c>
      <c r="F36" t="s">
        <v>16</v>
      </c>
      <c r="G36" t="s">
        <v>17</v>
      </c>
      <c r="H36">
        <v>25</v>
      </c>
      <c r="I36">
        <v>0</v>
      </c>
    </row>
    <row r="37" spans="1:9" x14ac:dyDescent="0.3">
      <c r="A37">
        <v>2</v>
      </c>
      <c r="B37">
        <v>0</v>
      </c>
      <c r="C37" t="s">
        <v>1</v>
      </c>
      <c r="D37" t="s">
        <v>0</v>
      </c>
      <c r="E37">
        <v>64</v>
      </c>
      <c r="F37" t="s">
        <v>16</v>
      </c>
      <c r="G37" t="s">
        <v>17</v>
      </c>
      <c r="H37">
        <v>0</v>
      </c>
      <c r="I37">
        <v>0</v>
      </c>
    </row>
    <row r="38" spans="1:9" x14ac:dyDescent="0.3">
      <c r="A38">
        <v>2</v>
      </c>
      <c r="B38">
        <v>0</v>
      </c>
      <c r="C38" t="s">
        <v>1</v>
      </c>
      <c r="D38" t="s">
        <v>0</v>
      </c>
      <c r="E38">
        <v>17</v>
      </c>
      <c r="F38" t="s">
        <v>16</v>
      </c>
      <c r="G38" t="s">
        <v>17</v>
      </c>
      <c r="H38">
        <v>14</v>
      </c>
      <c r="I38">
        <v>0</v>
      </c>
    </row>
    <row r="39" spans="1:9" x14ac:dyDescent="0.3">
      <c r="A39">
        <v>2</v>
      </c>
      <c r="B39">
        <v>0</v>
      </c>
      <c r="C39" t="s">
        <v>1</v>
      </c>
      <c r="D39" t="s">
        <v>0</v>
      </c>
      <c r="E39">
        <v>39</v>
      </c>
      <c r="F39" t="s">
        <v>16</v>
      </c>
      <c r="G39" t="s">
        <v>17</v>
      </c>
      <c r="H39">
        <v>2</v>
      </c>
      <c r="I39">
        <v>0</v>
      </c>
    </row>
    <row r="40" spans="1:9" x14ac:dyDescent="0.3">
      <c r="A40">
        <v>2</v>
      </c>
      <c r="B40">
        <v>0</v>
      </c>
      <c r="C40" t="s">
        <v>1</v>
      </c>
      <c r="D40" t="s">
        <v>0</v>
      </c>
      <c r="E40">
        <v>50</v>
      </c>
      <c r="F40" t="s">
        <v>16</v>
      </c>
      <c r="G40" t="s">
        <v>17</v>
      </c>
      <c r="H40">
        <v>18</v>
      </c>
      <c r="I40">
        <v>0</v>
      </c>
    </row>
    <row r="41" spans="1:9" x14ac:dyDescent="0.3">
      <c r="A41">
        <v>2</v>
      </c>
      <c r="B41">
        <v>0</v>
      </c>
      <c r="C41" t="s">
        <v>1</v>
      </c>
      <c r="D41" t="s">
        <v>0</v>
      </c>
      <c r="E41">
        <v>47</v>
      </c>
      <c r="F41" t="s">
        <v>16</v>
      </c>
      <c r="G41" t="s">
        <v>17</v>
      </c>
      <c r="H41">
        <v>0</v>
      </c>
      <c r="I41">
        <v>0</v>
      </c>
    </row>
    <row r="42" spans="1:9" x14ac:dyDescent="0.3">
      <c r="A42">
        <v>2</v>
      </c>
      <c r="B42">
        <v>0</v>
      </c>
      <c r="C42" t="s">
        <v>1</v>
      </c>
      <c r="D42" t="s">
        <v>0</v>
      </c>
      <c r="E42">
        <v>31</v>
      </c>
      <c r="F42" t="s">
        <v>16</v>
      </c>
      <c r="G42" t="s">
        <v>17</v>
      </c>
      <c r="H42">
        <v>2</v>
      </c>
      <c r="I42">
        <v>0</v>
      </c>
    </row>
    <row r="43" spans="1:9" x14ac:dyDescent="0.3">
      <c r="A43">
        <v>2</v>
      </c>
      <c r="B43">
        <v>0</v>
      </c>
      <c r="C43" t="s">
        <v>1</v>
      </c>
      <c r="D43" t="s">
        <v>0</v>
      </c>
      <c r="E43">
        <v>68</v>
      </c>
      <c r="F43" t="s">
        <v>16</v>
      </c>
      <c r="G43" t="s">
        <v>17</v>
      </c>
      <c r="H43">
        <v>10</v>
      </c>
      <c r="I43">
        <v>0</v>
      </c>
    </row>
    <row r="44" spans="1:9" x14ac:dyDescent="0.3">
      <c r="A44">
        <v>2</v>
      </c>
      <c r="B44">
        <v>0</v>
      </c>
      <c r="C44" t="s">
        <v>1</v>
      </c>
      <c r="D44" t="s">
        <v>0</v>
      </c>
      <c r="E44">
        <v>29</v>
      </c>
      <c r="F44" t="s">
        <v>16</v>
      </c>
      <c r="G44" t="s">
        <v>17</v>
      </c>
      <c r="H44">
        <v>0</v>
      </c>
      <c r="I44">
        <v>0</v>
      </c>
    </row>
    <row r="45" spans="1:9" x14ac:dyDescent="0.3">
      <c r="A45">
        <v>2</v>
      </c>
      <c r="B45">
        <v>0</v>
      </c>
      <c r="C45" t="s">
        <v>1</v>
      </c>
      <c r="D45" t="s">
        <v>0</v>
      </c>
      <c r="E45">
        <v>80</v>
      </c>
      <c r="F45" t="s">
        <v>16</v>
      </c>
      <c r="G45" t="s">
        <v>17</v>
      </c>
      <c r="H45">
        <v>2</v>
      </c>
      <c r="I45">
        <v>0</v>
      </c>
    </row>
    <row r="46" spans="1:9" x14ac:dyDescent="0.3">
      <c r="A46">
        <v>2</v>
      </c>
      <c r="B46">
        <v>0</v>
      </c>
      <c r="C46" t="s">
        <v>1</v>
      </c>
      <c r="D46" t="s">
        <v>0</v>
      </c>
      <c r="E46">
        <v>53</v>
      </c>
      <c r="F46" t="s">
        <v>16</v>
      </c>
      <c r="G46" t="s">
        <v>17</v>
      </c>
      <c r="H46">
        <v>2</v>
      </c>
      <c r="I46">
        <v>0</v>
      </c>
    </row>
    <row r="47" spans="1:9" x14ac:dyDescent="0.3">
      <c r="A47">
        <v>2</v>
      </c>
      <c r="B47">
        <v>0</v>
      </c>
      <c r="C47" t="s">
        <v>1</v>
      </c>
      <c r="D47" t="s">
        <v>0</v>
      </c>
      <c r="E47">
        <v>22</v>
      </c>
      <c r="F47" t="s">
        <v>16</v>
      </c>
      <c r="G47" t="s">
        <v>17</v>
      </c>
      <c r="H47">
        <v>58</v>
      </c>
      <c r="I47">
        <v>1</v>
      </c>
    </row>
    <row r="48" spans="1:9" x14ac:dyDescent="0.3">
      <c r="A48">
        <v>2</v>
      </c>
      <c r="B48">
        <v>0</v>
      </c>
      <c r="C48" t="s">
        <v>1</v>
      </c>
      <c r="D48" t="s">
        <v>0</v>
      </c>
      <c r="E48">
        <v>68</v>
      </c>
      <c r="F48" t="s">
        <v>16</v>
      </c>
      <c r="G48" t="s">
        <v>17</v>
      </c>
      <c r="H48">
        <v>3</v>
      </c>
      <c r="I48">
        <v>0</v>
      </c>
    </row>
    <row r="49" spans="1:9" x14ac:dyDescent="0.3">
      <c r="A49">
        <v>2</v>
      </c>
      <c r="B49">
        <v>0</v>
      </c>
      <c r="C49" t="s">
        <v>1</v>
      </c>
      <c r="D49" t="s">
        <v>0</v>
      </c>
      <c r="E49">
        <v>35</v>
      </c>
      <c r="F49" t="s">
        <v>16</v>
      </c>
      <c r="G49" t="s">
        <v>17</v>
      </c>
      <c r="H49">
        <v>46</v>
      </c>
      <c r="I49">
        <v>1</v>
      </c>
    </row>
    <row r="50" spans="1:9" x14ac:dyDescent="0.3">
      <c r="A50">
        <v>2</v>
      </c>
      <c r="B50">
        <v>0</v>
      </c>
      <c r="C50" t="s">
        <v>1</v>
      </c>
      <c r="D50" t="s">
        <v>0</v>
      </c>
      <c r="E50">
        <v>37</v>
      </c>
      <c r="F50" t="s">
        <v>16</v>
      </c>
      <c r="G50" t="s">
        <v>17</v>
      </c>
      <c r="H50">
        <v>0</v>
      </c>
      <c r="I50">
        <v>0</v>
      </c>
    </row>
    <row r="51" spans="1:9" x14ac:dyDescent="0.3">
      <c r="A51">
        <v>2</v>
      </c>
      <c r="B51">
        <v>1</v>
      </c>
      <c r="C51" t="s">
        <v>1</v>
      </c>
      <c r="D51" t="s">
        <v>0</v>
      </c>
      <c r="E51">
        <v>62</v>
      </c>
      <c r="F51" t="s">
        <v>16</v>
      </c>
      <c r="G51" t="s">
        <v>17</v>
      </c>
      <c r="H51">
        <v>4</v>
      </c>
      <c r="I51">
        <v>0</v>
      </c>
    </row>
    <row r="52" spans="1:9" x14ac:dyDescent="0.3">
      <c r="A52">
        <v>2</v>
      </c>
      <c r="B52">
        <v>1</v>
      </c>
      <c r="C52" t="s">
        <v>1</v>
      </c>
      <c r="D52" t="s">
        <v>0</v>
      </c>
      <c r="E52">
        <v>62</v>
      </c>
      <c r="F52" t="s">
        <v>16</v>
      </c>
      <c r="G52" t="s">
        <v>17</v>
      </c>
      <c r="H52">
        <v>16</v>
      </c>
      <c r="I52">
        <v>0</v>
      </c>
    </row>
    <row r="53" spans="1:9" x14ac:dyDescent="0.3">
      <c r="A53">
        <v>2</v>
      </c>
      <c r="B53">
        <v>1</v>
      </c>
      <c r="C53" t="s">
        <v>1</v>
      </c>
      <c r="D53" t="s">
        <v>0</v>
      </c>
      <c r="E53">
        <v>59</v>
      </c>
      <c r="F53" t="s">
        <v>16</v>
      </c>
      <c r="G53" t="s">
        <v>17</v>
      </c>
      <c r="H53">
        <v>10</v>
      </c>
      <c r="I53">
        <v>0</v>
      </c>
    </row>
    <row r="54" spans="1:9" x14ac:dyDescent="0.3">
      <c r="A54">
        <v>2</v>
      </c>
      <c r="B54">
        <v>1</v>
      </c>
      <c r="C54" t="s">
        <v>1</v>
      </c>
      <c r="D54" t="s">
        <v>0</v>
      </c>
      <c r="E54">
        <v>51</v>
      </c>
      <c r="F54" t="s">
        <v>16</v>
      </c>
      <c r="G54" t="s">
        <v>17</v>
      </c>
      <c r="H54">
        <v>6</v>
      </c>
      <c r="I54">
        <v>0</v>
      </c>
    </row>
    <row r="55" spans="1:9" x14ac:dyDescent="0.3">
      <c r="A55">
        <v>2</v>
      </c>
      <c r="B55">
        <v>1</v>
      </c>
      <c r="C55" t="s">
        <v>1</v>
      </c>
      <c r="D55" t="s">
        <v>0</v>
      </c>
      <c r="E55">
        <v>58</v>
      </c>
      <c r="F55" t="s">
        <v>16</v>
      </c>
      <c r="G55" t="s">
        <v>17</v>
      </c>
      <c r="H55">
        <v>15</v>
      </c>
      <c r="I55">
        <v>0</v>
      </c>
    </row>
    <row r="56" spans="1:9" x14ac:dyDescent="0.3">
      <c r="A56">
        <v>2</v>
      </c>
      <c r="B56">
        <v>1</v>
      </c>
      <c r="C56" t="s">
        <v>1</v>
      </c>
      <c r="D56" t="s">
        <v>0</v>
      </c>
      <c r="E56">
        <v>49</v>
      </c>
      <c r="F56" t="s">
        <v>16</v>
      </c>
      <c r="G56" t="s">
        <v>17</v>
      </c>
      <c r="H56">
        <v>10</v>
      </c>
      <c r="I56">
        <v>0</v>
      </c>
    </row>
    <row r="57" spans="1:9" x14ac:dyDescent="0.3">
      <c r="A57">
        <v>2</v>
      </c>
      <c r="B57">
        <v>1</v>
      </c>
      <c r="C57" t="s">
        <v>1</v>
      </c>
      <c r="D57" t="s">
        <v>0</v>
      </c>
      <c r="E57">
        <v>14</v>
      </c>
      <c r="F57" t="s">
        <v>16</v>
      </c>
      <c r="G57" t="s">
        <v>17</v>
      </c>
      <c r="H57">
        <v>0</v>
      </c>
      <c r="I57">
        <v>0</v>
      </c>
    </row>
    <row r="58" spans="1:9" x14ac:dyDescent="0.3">
      <c r="A58">
        <v>2</v>
      </c>
      <c r="B58">
        <v>1</v>
      </c>
      <c r="C58" t="s">
        <v>1</v>
      </c>
      <c r="D58" t="s">
        <v>0</v>
      </c>
      <c r="E58">
        <v>37</v>
      </c>
      <c r="F58" t="s">
        <v>16</v>
      </c>
      <c r="G58" t="s">
        <v>17</v>
      </c>
      <c r="H58">
        <v>0</v>
      </c>
      <c r="I58">
        <v>0</v>
      </c>
    </row>
    <row r="59" spans="1:9" x14ac:dyDescent="0.3">
      <c r="A59">
        <v>2</v>
      </c>
      <c r="B59">
        <v>1</v>
      </c>
      <c r="C59" t="s">
        <v>1</v>
      </c>
      <c r="D59" t="s">
        <v>0</v>
      </c>
      <c r="E59">
        <v>46</v>
      </c>
      <c r="F59" t="s">
        <v>16</v>
      </c>
      <c r="G59" t="s">
        <v>17</v>
      </c>
      <c r="H59">
        <v>0</v>
      </c>
      <c r="I59">
        <v>0</v>
      </c>
    </row>
    <row r="60" spans="1:9" x14ac:dyDescent="0.3">
      <c r="A60">
        <v>2</v>
      </c>
      <c r="B60">
        <v>1</v>
      </c>
      <c r="C60" t="s">
        <v>1</v>
      </c>
      <c r="D60" t="s">
        <v>0</v>
      </c>
      <c r="E60">
        <v>52</v>
      </c>
      <c r="F60" t="s">
        <v>16</v>
      </c>
      <c r="G60" t="s">
        <v>17</v>
      </c>
      <c r="H60">
        <v>18</v>
      </c>
      <c r="I60">
        <v>0</v>
      </c>
    </row>
    <row r="61" spans="1:9" x14ac:dyDescent="0.3">
      <c r="A61">
        <v>2</v>
      </c>
      <c r="B61">
        <v>1</v>
      </c>
      <c r="C61" t="s">
        <v>1</v>
      </c>
      <c r="D61" t="s">
        <v>0</v>
      </c>
      <c r="E61">
        <v>6</v>
      </c>
      <c r="F61" t="s">
        <v>16</v>
      </c>
      <c r="G61" t="s">
        <v>17</v>
      </c>
      <c r="H61">
        <v>2</v>
      </c>
      <c r="I61">
        <v>0</v>
      </c>
    </row>
    <row r="62" spans="1:9" x14ac:dyDescent="0.3">
      <c r="A62">
        <v>2</v>
      </c>
      <c r="B62">
        <v>1</v>
      </c>
      <c r="C62" t="s">
        <v>1</v>
      </c>
      <c r="D62" t="s">
        <v>0</v>
      </c>
      <c r="E62">
        <v>79</v>
      </c>
      <c r="F62" t="s">
        <v>16</v>
      </c>
      <c r="G62" t="s">
        <v>17</v>
      </c>
      <c r="H62">
        <v>0</v>
      </c>
      <c r="I62">
        <v>0</v>
      </c>
    </row>
    <row r="63" spans="1:9" x14ac:dyDescent="0.3">
      <c r="A63">
        <v>2</v>
      </c>
      <c r="B63">
        <v>1</v>
      </c>
      <c r="C63" t="s">
        <v>1</v>
      </c>
      <c r="D63" t="s">
        <v>0</v>
      </c>
      <c r="E63">
        <v>26</v>
      </c>
      <c r="F63" t="s">
        <v>16</v>
      </c>
      <c r="G63" t="s">
        <v>17</v>
      </c>
      <c r="H63">
        <v>14</v>
      </c>
      <c r="I63">
        <v>0</v>
      </c>
    </row>
    <row r="64" spans="1:9" x14ac:dyDescent="0.3">
      <c r="A64">
        <v>2</v>
      </c>
      <c r="B64">
        <v>1</v>
      </c>
      <c r="C64" t="s">
        <v>1</v>
      </c>
      <c r="D64" t="s">
        <v>0</v>
      </c>
      <c r="E64">
        <v>31</v>
      </c>
      <c r="F64" t="s">
        <v>16</v>
      </c>
      <c r="G64" t="s">
        <v>17</v>
      </c>
      <c r="H64">
        <v>4</v>
      </c>
      <c r="I64">
        <v>0</v>
      </c>
    </row>
    <row r="65" spans="1:9" x14ac:dyDescent="0.3">
      <c r="A65">
        <v>2</v>
      </c>
      <c r="B65">
        <v>1</v>
      </c>
      <c r="C65" t="s">
        <v>1</v>
      </c>
      <c r="D65" t="s">
        <v>0</v>
      </c>
      <c r="E65">
        <v>37</v>
      </c>
      <c r="F65" t="s">
        <v>16</v>
      </c>
      <c r="G65" t="s">
        <v>17</v>
      </c>
      <c r="H65">
        <v>0</v>
      </c>
      <c r="I65">
        <v>0</v>
      </c>
    </row>
    <row r="66" spans="1:9" x14ac:dyDescent="0.3">
      <c r="A66">
        <v>2</v>
      </c>
      <c r="B66">
        <v>1</v>
      </c>
      <c r="C66" t="s">
        <v>1</v>
      </c>
      <c r="D66" t="s">
        <v>0</v>
      </c>
      <c r="E66">
        <v>26</v>
      </c>
      <c r="F66" t="s">
        <v>16</v>
      </c>
      <c r="G66" t="s">
        <v>17</v>
      </c>
      <c r="H66">
        <v>0</v>
      </c>
      <c r="I66">
        <v>0</v>
      </c>
    </row>
    <row r="67" spans="1:9" x14ac:dyDescent="0.3">
      <c r="A67">
        <v>2</v>
      </c>
      <c r="B67">
        <v>1</v>
      </c>
      <c r="C67" t="s">
        <v>1</v>
      </c>
      <c r="D67" t="s">
        <v>0</v>
      </c>
      <c r="E67">
        <v>51</v>
      </c>
      <c r="F67" t="s">
        <v>16</v>
      </c>
      <c r="G67" t="s">
        <v>17</v>
      </c>
      <c r="H67">
        <v>0</v>
      </c>
      <c r="I67">
        <v>0</v>
      </c>
    </row>
    <row r="68" spans="1:9" x14ac:dyDescent="0.3">
      <c r="A68">
        <v>2</v>
      </c>
      <c r="B68">
        <v>1</v>
      </c>
      <c r="C68" t="s">
        <v>1</v>
      </c>
      <c r="D68" t="s">
        <v>0</v>
      </c>
      <c r="E68">
        <v>27</v>
      </c>
      <c r="F68" t="s">
        <v>16</v>
      </c>
      <c r="G68" t="s">
        <v>17</v>
      </c>
      <c r="H68">
        <v>42</v>
      </c>
      <c r="I68">
        <v>1</v>
      </c>
    </row>
    <row r="69" spans="1:9" x14ac:dyDescent="0.3">
      <c r="A69">
        <v>2</v>
      </c>
      <c r="B69">
        <v>1</v>
      </c>
      <c r="C69" t="s">
        <v>1</v>
      </c>
      <c r="D69" t="s">
        <v>0</v>
      </c>
      <c r="E69">
        <v>42</v>
      </c>
      <c r="F69" t="s">
        <v>16</v>
      </c>
      <c r="G69" t="s">
        <v>17</v>
      </c>
      <c r="H69">
        <v>16</v>
      </c>
      <c r="I69">
        <v>0</v>
      </c>
    </row>
    <row r="70" spans="1:9" x14ac:dyDescent="0.3">
      <c r="A70">
        <v>2</v>
      </c>
      <c r="B70">
        <v>1</v>
      </c>
      <c r="C70" t="s">
        <v>1</v>
      </c>
      <c r="D70" t="s">
        <v>0</v>
      </c>
      <c r="E70">
        <v>51</v>
      </c>
      <c r="F70" t="s">
        <v>16</v>
      </c>
      <c r="G70" t="s">
        <v>17</v>
      </c>
      <c r="H70">
        <v>6</v>
      </c>
      <c r="I70">
        <v>0</v>
      </c>
    </row>
    <row r="71" spans="1:9" x14ac:dyDescent="0.3">
      <c r="A71">
        <v>2</v>
      </c>
      <c r="B71">
        <v>1</v>
      </c>
      <c r="C71" t="s">
        <v>1</v>
      </c>
      <c r="D71" t="s">
        <v>0</v>
      </c>
      <c r="E71">
        <v>47</v>
      </c>
      <c r="F71" t="s">
        <v>16</v>
      </c>
      <c r="G71" t="s">
        <v>17</v>
      </c>
      <c r="H71">
        <v>0</v>
      </c>
      <c r="I71">
        <v>0</v>
      </c>
    </row>
    <row r="72" spans="1:9" x14ac:dyDescent="0.3">
      <c r="A72">
        <v>2</v>
      </c>
      <c r="B72">
        <v>1</v>
      </c>
      <c r="C72" t="s">
        <v>1</v>
      </c>
      <c r="D72" t="s">
        <v>0</v>
      </c>
      <c r="E72">
        <v>38</v>
      </c>
      <c r="F72" t="s">
        <v>16</v>
      </c>
      <c r="G72" t="s">
        <v>17</v>
      </c>
      <c r="H72">
        <v>33</v>
      </c>
      <c r="I72">
        <v>0</v>
      </c>
    </row>
    <row r="73" spans="1:9" x14ac:dyDescent="0.3">
      <c r="A73">
        <v>2</v>
      </c>
      <c r="B73">
        <v>1</v>
      </c>
      <c r="C73" t="s">
        <v>1</v>
      </c>
      <c r="D73" t="s">
        <v>0</v>
      </c>
      <c r="E73">
        <v>40</v>
      </c>
      <c r="F73" t="s">
        <v>16</v>
      </c>
      <c r="G73" t="s">
        <v>17</v>
      </c>
      <c r="H73">
        <v>36</v>
      </c>
      <c r="I73">
        <v>0</v>
      </c>
    </row>
    <row r="74" spans="1:9" x14ac:dyDescent="0.3">
      <c r="A74">
        <v>2</v>
      </c>
      <c r="B74">
        <v>1</v>
      </c>
      <c r="C74" t="s">
        <v>1</v>
      </c>
      <c r="D74" t="s">
        <v>0</v>
      </c>
      <c r="E74">
        <v>9</v>
      </c>
      <c r="F74" t="s">
        <v>16</v>
      </c>
      <c r="G74" t="s">
        <v>17</v>
      </c>
      <c r="H74">
        <v>31</v>
      </c>
      <c r="I74">
        <v>1</v>
      </c>
    </row>
    <row r="75" spans="1:9" x14ac:dyDescent="0.3">
      <c r="A75">
        <v>2</v>
      </c>
      <c r="B75">
        <v>1</v>
      </c>
      <c r="C75" t="s">
        <v>1</v>
      </c>
      <c r="D75" t="s">
        <v>0</v>
      </c>
      <c r="E75">
        <v>34</v>
      </c>
      <c r="F75" t="s">
        <v>16</v>
      </c>
      <c r="G75" t="s">
        <v>17</v>
      </c>
      <c r="H75">
        <v>0</v>
      </c>
      <c r="I75">
        <v>0</v>
      </c>
    </row>
    <row r="76" spans="1:9" x14ac:dyDescent="0.3">
      <c r="A76">
        <v>2</v>
      </c>
      <c r="B76">
        <v>1</v>
      </c>
      <c r="C76" t="s">
        <v>1</v>
      </c>
      <c r="D76" t="s">
        <v>0</v>
      </c>
      <c r="E76">
        <v>39</v>
      </c>
      <c r="F76" t="s">
        <v>16</v>
      </c>
      <c r="G76" t="s">
        <v>17</v>
      </c>
      <c r="H76">
        <v>2</v>
      </c>
      <c r="I76">
        <v>0</v>
      </c>
    </row>
    <row r="77" spans="1:9" x14ac:dyDescent="0.3">
      <c r="A77">
        <v>2</v>
      </c>
      <c r="B77">
        <v>1</v>
      </c>
      <c r="C77" t="s">
        <v>1</v>
      </c>
      <c r="D77" t="s">
        <v>0</v>
      </c>
      <c r="E77">
        <v>50</v>
      </c>
      <c r="F77" t="s">
        <v>16</v>
      </c>
      <c r="G77" t="s">
        <v>17</v>
      </c>
      <c r="H77">
        <v>7</v>
      </c>
      <c r="I77">
        <v>0</v>
      </c>
    </row>
    <row r="78" spans="1:9" x14ac:dyDescent="0.3">
      <c r="A78">
        <v>2</v>
      </c>
      <c r="B78">
        <v>1</v>
      </c>
      <c r="C78" t="s">
        <v>1</v>
      </c>
      <c r="D78" t="s">
        <v>0</v>
      </c>
      <c r="E78">
        <v>25</v>
      </c>
      <c r="F78" t="s">
        <v>16</v>
      </c>
      <c r="G78" t="s">
        <v>17</v>
      </c>
      <c r="H78">
        <v>17</v>
      </c>
      <c r="I78">
        <v>0</v>
      </c>
    </row>
    <row r="79" spans="1:9" x14ac:dyDescent="0.3">
      <c r="A79">
        <v>2</v>
      </c>
      <c r="B79">
        <v>1</v>
      </c>
      <c r="C79" t="s">
        <v>1</v>
      </c>
      <c r="D79" t="s">
        <v>0</v>
      </c>
      <c r="E79">
        <v>2</v>
      </c>
      <c r="F79" t="s">
        <v>16</v>
      </c>
      <c r="G79" t="s">
        <v>17</v>
      </c>
      <c r="H79">
        <v>28</v>
      </c>
      <c r="I79">
        <v>1</v>
      </c>
    </row>
    <row r="80" spans="1:9" x14ac:dyDescent="0.3">
      <c r="A80">
        <v>2</v>
      </c>
      <c r="B80">
        <v>1</v>
      </c>
      <c r="C80" t="s">
        <v>1</v>
      </c>
      <c r="D80" t="s">
        <v>0</v>
      </c>
      <c r="E80">
        <v>55</v>
      </c>
      <c r="F80" t="s">
        <v>16</v>
      </c>
      <c r="G80" t="s">
        <v>17</v>
      </c>
      <c r="H80">
        <v>2</v>
      </c>
      <c r="I80">
        <v>0</v>
      </c>
    </row>
    <row r="81" spans="1:9" x14ac:dyDescent="0.3">
      <c r="A81">
        <v>2</v>
      </c>
      <c r="B81">
        <v>1</v>
      </c>
      <c r="C81" t="s">
        <v>1</v>
      </c>
      <c r="D81" t="s">
        <v>0</v>
      </c>
      <c r="E81">
        <v>64</v>
      </c>
      <c r="F81" t="s">
        <v>16</v>
      </c>
      <c r="G81" t="s">
        <v>17</v>
      </c>
      <c r="H81">
        <v>1</v>
      </c>
      <c r="I81">
        <v>0</v>
      </c>
    </row>
    <row r="82" spans="1:9" x14ac:dyDescent="0.3">
      <c r="A82">
        <v>2</v>
      </c>
      <c r="B82">
        <v>1</v>
      </c>
      <c r="C82" t="s">
        <v>1</v>
      </c>
      <c r="D82" t="s">
        <v>0</v>
      </c>
      <c r="E82">
        <v>48</v>
      </c>
      <c r="F82" t="s">
        <v>16</v>
      </c>
      <c r="G82" t="s">
        <v>17</v>
      </c>
      <c r="H82">
        <v>2</v>
      </c>
      <c r="I82">
        <v>0</v>
      </c>
    </row>
    <row r="83" spans="1:9" x14ac:dyDescent="0.3">
      <c r="A83">
        <v>2</v>
      </c>
      <c r="B83">
        <v>1</v>
      </c>
      <c r="C83" t="s">
        <v>1</v>
      </c>
      <c r="D83" t="s">
        <v>0</v>
      </c>
      <c r="E83">
        <v>68</v>
      </c>
      <c r="F83" t="s">
        <v>16</v>
      </c>
      <c r="G83" t="s">
        <v>17</v>
      </c>
      <c r="H83">
        <v>0</v>
      </c>
      <c r="I83">
        <v>0</v>
      </c>
    </row>
    <row r="84" spans="1:9" x14ac:dyDescent="0.3">
      <c r="A84">
        <v>2</v>
      </c>
      <c r="B84">
        <v>1</v>
      </c>
      <c r="C84" t="s">
        <v>1</v>
      </c>
      <c r="D84" t="s">
        <v>0</v>
      </c>
      <c r="E84">
        <v>33</v>
      </c>
      <c r="F84" t="s">
        <v>16</v>
      </c>
      <c r="G84" t="s">
        <v>17</v>
      </c>
      <c r="H84">
        <v>2</v>
      </c>
      <c r="I84">
        <v>0</v>
      </c>
    </row>
    <row r="85" spans="1:9" x14ac:dyDescent="0.3">
      <c r="A85">
        <v>2</v>
      </c>
      <c r="B85">
        <v>1</v>
      </c>
      <c r="C85" t="s">
        <v>1</v>
      </c>
      <c r="D85" t="s">
        <v>0</v>
      </c>
      <c r="E85">
        <v>60</v>
      </c>
      <c r="F85" t="s">
        <v>16</v>
      </c>
      <c r="G85" t="s">
        <v>17</v>
      </c>
      <c r="H85">
        <v>12</v>
      </c>
      <c r="I85">
        <v>0</v>
      </c>
    </row>
    <row r="86" spans="1:9" x14ac:dyDescent="0.3">
      <c r="A86">
        <v>2</v>
      </c>
      <c r="B86">
        <v>1</v>
      </c>
      <c r="C86" t="s">
        <v>1</v>
      </c>
      <c r="D86" t="s">
        <v>0</v>
      </c>
      <c r="E86">
        <v>45</v>
      </c>
      <c r="F86" t="s">
        <v>16</v>
      </c>
      <c r="G86" t="s">
        <v>17</v>
      </c>
      <c r="H86">
        <v>0</v>
      </c>
      <c r="I86">
        <v>0</v>
      </c>
    </row>
    <row r="87" spans="1:9" x14ac:dyDescent="0.3">
      <c r="A87">
        <v>2</v>
      </c>
      <c r="B87">
        <v>1</v>
      </c>
      <c r="C87" t="s">
        <v>1</v>
      </c>
      <c r="D87" t="s">
        <v>0</v>
      </c>
      <c r="E87">
        <v>42</v>
      </c>
      <c r="F87" t="s">
        <v>16</v>
      </c>
      <c r="G87" t="s">
        <v>17</v>
      </c>
      <c r="H87">
        <v>17</v>
      </c>
      <c r="I87">
        <v>0</v>
      </c>
    </row>
    <row r="88" spans="1:9" x14ac:dyDescent="0.3">
      <c r="A88">
        <v>2</v>
      </c>
      <c r="B88">
        <v>1</v>
      </c>
      <c r="C88" t="s">
        <v>1</v>
      </c>
      <c r="D88" t="s">
        <v>0</v>
      </c>
      <c r="E88">
        <v>37</v>
      </c>
      <c r="F88" t="s">
        <v>16</v>
      </c>
      <c r="G88" t="s">
        <v>17</v>
      </c>
      <c r="H88">
        <v>4</v>
      </c>
      <c r="I88">
        <v>0</v>
      </c>
    </row>
    <row r="89" spans="1:9" x14ac:dyDescent="0.3">
      <c r="A89">
        <v>2</v>
      </c>
      <c r="B89">
        <v>1</v>
      </c>
      <c r="C89" t="s">
        <v>1</v>
      </c>
      <c r="D89" t="s">
        <v>0</v>
      </c>
      <c r="E89">
        <v>49</v>
      </c>
      <c r="F89" t="s">
        <v>16</v>
      </c>
      <c r="G89" t="s">
        <v>17</v>
      </c>
      <c r="H89">
        <v>17</v>
      </c>
      <c r="I89">
        <v>0</v>
      </c>
    </row>
    <row r="90" spans="1:9" x14ac:dyDescent="0.3">
      <c r="A90">
        <v>2</v>
      </c>
      <c r="B90">
        <v>1</v>
      </c>
      <c r="C90" t="s">
        <v>1</v>
      </c>
      <c r="D90" t="s">
        <v>0</v>
      </c>
      <c r="E90">
        <v>53</v>
      </c>
      <c r="F90" t="s">
        <v>16</v>
      </c>
      <c r="G90" t="s">
        <v>17</v>
      </c>
      <c r="H90">
        <v>0</v>
      </c>
      <c r="I90">
        <v>0</v>
      </c>
    </row>
    <row r="91" spans="1:9" x14ac:dyDescent="0.3">
      <c r="A91">
        <v>2</v>
      </c>
      <c r="B91">
        <v>1</v>
      </c>
      <c r="C91" t="s">
        <v>1</v>
      </c>
      <c r="D91" t="s">
        <v>0</v>
      </c>
      <c r="E91">
        <v>20</v>
      </c>
      <c r="F91" t="s">
        <v>16</v>
      </c>
      <c r="G91" t="s">
        <v>17</v>
      </c>
      <c r="H91">
        <v>22</v>
      </c>
      <c r="I91">
        <v>1</v>
      </c>
    </row>
    <row r="92" spans="1:9" x14ac:dyDescent="0.3">
      <c r="A92">
        <v>2</v>
      </c>
      <c r="B92">
        <v>1</v>
      </c>
      <c r="C92" t="s">
        <v>1</v>
      </c>
      <c r="D92" t="s">
        <v>0</v>
      </c>
      <c r="E92">
        <v>32</v>
      </c>
      <c r="F92" t="s">
        <v>16</v>
      </c>
      <c r="G92" t="s">
        <v>17</v>
      </c>
      <c r="H92">
        <v>13</v>
      </c>
      <c r="I92">
        <v>0</v>
      </c>
    </row>
    <row r="93" spans="1:9" x14ac:dyDescent="0.3">
      <c r="A93">
        <v>2</v>
      </c>
      <c r="B93">
        <v>1</v>
      </c>
      <c r="C93" t="s">
        <v>1</v>
      </c>
      <c r="D93" t="s">
        <v>0</v>
      </c>
      <c r="E93">
        <v>82</v>
      </c>
      <c r="F93" t="s">
        <v>16</v>
      </c>
      <c r="G93" t="s">
        <v>17</v>
      </c>
      <c r="H93">
        <v>0</v>
      </c>
      <c r="I93">
        <v>0</v>
      </c>
    </row>
    <row r="94" spans="1:9" x14ac:dyDescent="0.3">
      <c r="A94">
        <v>2</v>
      </c>
      <c r="B94">
        <v>1</v>
      </c>
      <c r="C94" t="s">
        <v>1</v>
      </c>
      <c r="D94" t="s">
        <v>0</v>
      </c>
      <c r="E94">
        <v>68</v>
      </c>
      <c r="F94" t="s">
        <v>16</v>
      </c>
      <c r="G94" t="s">
        <v>17</v>
      </c>
      <c r="H94">
        <v>0</v>
      </c>
      <c r="I94">
        <v>0</v>
      </c>
    </row>
    <row r="95" spans="1:9" x14ac:dyDescent="0.3">
      <c r="A95">
        <v>2</v>
      </c>
      <c r="B95">
        <v>1</v>
      </c>
      <c r="C95" t="s">
        <v>1</v>
      </c>
      <c r="D95" t="s">
        <v>0</v>
      </c>
      <c r="E95">
        <v>40</v>
      </c>
      <c r="F95" t="s">
        <v>16</v>
      </c>
      <c r="G95" t="s">
        <v>17</v>
      </c>
      <c r="H95">
        <v>8</v>
      </c>
      <c r="I95">
        <v>0</v>
      </c>
    </row>
    <row r="96" spans="1:9" x14ac:dyDescent="0.3">
      <c r="A96">
        <v>2</v>
      </c>
      <c r="B96">
        <v>1</v>
      </c>
      <c r="C96" t="s">
        <v>1</v>
      </c>
      <c r="D96" t="s">
        <v>0</v>
      </c>
      <c r="E96">
        <v>67</v>
      </c>
      <c r="F96" t="s">
        <v>16</v>
      </c>
      <c r="G96" t="s">
        <v>17</v>
      </c>
      <c r="H96">
        <v>0</v>
      </c>
      <c r="I96">
        <v>0</v>
      </c>
    </row>
    <row r="97" spans="1:9" x14ac:dyDescent="0.3">
      <c r="A97">
        <v>2</v>
      </c>
      <c r="B97">
        <v>1</v>
      </c>
      <c r="C97" t="s">
        <v>1</v>
      </c>
      <c r="D97" t="s">
        <v>0</v>
      </c>
      <c r="E97">
        <v>38</v>
      </c>
      <c r="F97" t="s">
        <v>16</v>
      </c>
      <c r="G97" t="s">
        <v>17</v>
      </c>
      <c r="H97">
        <v>11</v>
      </c>
      <c r="I97">
        <v>0</v>
      </c>
    </row>
    <row r="98" spans="1:9" x14ac:dyDescent="0.3">
      <c r="A98">
        <v>2</v>
      </c>
      <c r="B98">
        <v>1</v>
      </c>
      <c r="C98" t="s">
        <v>1</v>
      </c>
      <c r="D98" t="s">
        <v>0</v>
      </c>
      <c r="E98">
        <v>35</v>
      </c>
      <c r="F98" t="s">
        <v>16</v>
      </c>
      <c r="G98" t="s">
        <v>17</v>
      </c>
      <c r="H98">
        <v>2</v>
      </c>
      <c r="I98">
        <v>0</v>
      </c>
    </row>
    <row r="99" spans="1:9" x14ac:dyDescent="0.3">
      <c r="A99">
        <v>2</v>
      </c>
      <c r="B99">
        <v>1</v>
      </c>
      <c r="C99" t="s">
        <v>1</v>
      </c>
      <c r="D99" t="s">
        <v>0</v>
      </c>
      <c r="E99">
        <v>62</v>
      </c>
      <c r="F99" t="s">
        <v>16</v>
      </c>
      <c r="G99" t="s">
        <v>17</v>
      </c>
      <c r="H99">
        <v>0</v>
      </c>
      <c r="I99">
        <v>0</v>
      </c>
    </row>
    <row r="100" spans="1:9" x14ac:dyDescent="0.3">
      <c r="A100">
        <v>2</v>
      </c>
      <c r="B100">
        <v>1</v>
      </c>
      <c r="C100" t="s">
        <v>1</v>
      </c>
      <c r="D100" t="s">
        <v>0</v>
      </c>
      <c r="E100">
        <v>30</v>
      </c>
      <c r="F100" t="s">
        <v>16</v>
      </c>
      <c r="G100" t="s">
        <v>17</v>
      </c>
      <c r="H100">
        <v>18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A5228-A57B-4323-ABAA-DD2D277D6B93}">
  <dimension ref="A1:T100"/>
  <sheetViews>
    <sheetView topLeftCell="J1" workbookViewId="0">
      <selection activeCell="T15" sqref="T15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</v>
      </c>
      <c r="D1" t="s">
        <v>0</v>
      </c>
      <c r="E1">
        <v>48</v>
      </c>
      <c r="F1" t="s">
        <v>19</v>
      </c>
      <c r="G1" t="s">
        <v>18</v>
      </c>
      <c r="H1">
        <v>27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</v>
      </c>
      <c r="D2" t="s">
        <v>0</v>
      </c>
      <c r="E2">
        <v>46</v>
      </c>
      <c r="F2" t="s">
        <v>19</v>
      </c>
      <c r="G2" t="s">
        <v>18</v>
      </c>
      <c r="H2">
        <v>41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</v>
      </c>
      <c r="D3" t="s">
        <v>0</v>
      </c>
      <c r="E3">
        <v>76</v>
      </c>
      <c r="F3" t="s">
        <v>19</v>
      </c>
      <c r="G3" t="s">
        <v>18</v>
      </c>
      <c r="H3">
        <v>31</v>
      </c>
      <c r="I3">
        <v>0</v>
      </c>
      <c r="K3" s="8" t="s">
        <v>11</v>
      </c>
      <c r="L3" s="8"/>
      <c r="M3" s="10">
        <f>COUNTIF($I$1:$I$100, 0)</f>
        <v>54</v>
      </c>
      <c r="N3" s="10"/>
      <c r="O3" s="10">
        <f>COUNTIFS($I$1:$I$100, 0, $B$1:$B$100, 0)</f>
        <v>24</v>
      </c>
      <c r="P3" s="10"/>
      <c r="Q3" s="11">
        <f>COUNTIFS($I$1:$I$100, 0, $B$1:$B$100, 1)</f>
        <v>30</v>
      </c>
      <c r="R3" s="12"/>
      <c r="T3" cm="1">
        <f t="array" ref="T3">SUMPRODUCT(--($E$1:$E$100=$H$1:$H$100))</f>
        <v>1</v>
      </c>
    </row>
    <row r="4" spans="1:20" x14ac:dyDescent="0.3">
      <c r="A4">
        <v>2</v>
      </c>
      <c r="B4">
        <v>0</v>
      </c>
      <c r="C4" t="s">
        <v>1</v>
      </c>
      <c r="D4" t="s">
        <v>0</v>
      </c>
      <c r="E4">
        <v>9</v>
      </c>
      <c r="F4" t="s">
        <v>19</v>
      </c>
      <c r="G4" t="s">
        <v>18</v>
      </c>
      <c r="H4">
        <v>90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</v>
      </c>
      <c r="D5" t="s">
        <v>0</v>
      </c>
      <c r="E5">
        <v>0</v>
      </c>
      <c r="F5" t="s">
        <v>19</v>
      </c>
      <c r="G5" t="s">
        <v>18</v>
      </c>
      <c r="H5">
        <v>41</v>
      </c>
      <c r="I5">
        <v>1</v>
      </c>
      <c r="K5" s="8" t="s">
        <v>10</v>
      </c>
      <c r="L5" s="8"/>
      <c r="M5" s="14">
        <f>COUNTIF($I$1:$I$100, 1)</f>
        <v>46</v>
      </c>
      <c r="N5" s="10"/>
      <c r="O5" s="10">
        <f>COUNTIFS($I$1:$I$100, 1, $B$1:$B$100, 0)</f>
        <v>26</v>
      </c>
      <c r="P5" s="10"/>
      <c r="Q5" s="10">
        <f>COUNTIFS($I$1:$I$100, 1, $B$1:$B$100, 1)</f>
        <v>20</v>
      </c>
      <c r="R5" s="13"/>
    </row>
    <row r="6" spans="1:20" x14ac:dyDescent="0.3">
      <c r="A6">
        <v>2</v>
      </c>
      <c r="B6">
        <v>0</v>
      </c>
      <c r="C6" t="s">
        <v>1</v>
      </c>
      <c r="D6" t="s">
        <v>0</v>
      </c>
      <c r="E6">
        <v>39</v>
      </c>
      <c r="F6" t="s">
        <v>19</v>
      </c>
      <c r="G6" t="s">
        <v>18</v>
      </c>
      <c r="H6">
        <v>54</v>
      </c>
      <c r="I6">
        <v>1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</v>
      </c>
      <c r="D7" t="s">
        <v>0</v>
      </c>
      <c r="E7">
        <v>36</v>
      </c>
      <c r="F7" t="s">
        <v>19</v>
      </c>
      <c r="G7" t="s">
        <v>18</v>
      </c>
      <c r="H7">
        <v>49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</v>
      </c>
      <c r="D8" t="s">
        <v>0</v>
      </c>
      <c r="E8">
        <v>72</v>
      </c>
      <c r="F8" t="s">
        <v>19</v>
      </c>
      <c r="G8" t="s">
        <v>18</v>
      </c>
      <c r="H8">
        <v>38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</v>
      </c>
      <c r="D9" t="s">
        <v>0</v>
      </c>
      <c r="E9">
        <v>44</v>
      </c>
      <c r="F9" t="s">
        <v>19</v>
      </c>
      <c r="G9" t="s">
        <v>18</v>
      </c>
      <c r="H9">
        <v>44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</v>
      </c>
      <c r="D10" t="s">
        <v>0</v>
      </c>
      <c r="E10">
        <v>45</v>
      </c>
      <c r="F10" t="s">
        <v>19</v>
      </c>
      <c r="G10" t="s">
        <v>18</v>
      </c>
      <c r="H10">
        <v>41</v>
      </c>
      <c r="I10">
        <v>0</v>
      </c>
      <c r="K10" s="8" t="s">
        <v>6</v>
      </c>
      <c r="L10" s="8"/>
      <c r="M10" s="10">
        <f>AVERAGE($E$1:$E$100,)</f>
        <v>36.386138613861384</v>
      </c>
      <c r="N10" s="10"/>
      <c r="O10" s="10" cm="1">
        <f t="array" ref="O10">AVERAGE(_xlfn._xlws.FILTER($E$1:$E$100,$I$1:$I$100 = 0))</f>
        <v>49.703703703703702</v>
      </c>
      <c r="P10" s="10"/>
      <c r="Q10" s="11" cm="1">
        <f t="array" ref="Q10">AVERAGE(_xlfn._xlws.FILTER($E$1:$E$100,$I$1:$I$100 = 1))</f>
        <v>21.543478260869566</v>
      </c>
      <c r="R10" s="12"/>
    </row>
    <row r="11" spans="1:20" x14ac:dyDescent="0.3">
      <c r="A11">
        <v>2</v>
      </c>
      <c r="B11">
        <v>0</v>
      </c>
      <c r="C11" t="s">
        <v>1</v>
      </c>
      <c r="D11" t="s">
        <v>0</v>
      </c>
      <c r="E11">
        <v>57</v>
      </c>
      <c r="F11" t="s">
        <v>19</v>
      </c>
      <c r="G11" t="s">
        <v>18</v>
      </c>
      <c r="H11">
        <v>51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</v>
      </c>
      <c r="D12" t="s">
        <v>0</v>
      </c>
      <c r="E12">
        <v>38</v>
      </c>
      <c r="F12" t="s">
        <v>19</v>
      </c>
      <c r="G12" t="s">
        <v>18</v>
      </c>
      <c r="H12">
        <v>43</v>
      </c>
      <c r="I12">
        <v>1</v>
      </c>
      <c r="K12" s="8" t="s">
        <v>5</v>
      </c>
      <c r="L12" s="8"/>
      <c r="M12" s="10">
        <f>AVERAGE($H$1:$H$100,)</f>
        <v>37.594059405940591</v>
      </c>
      <c r="N12" s="10"/>
      <c r="O12" s="10" cm="1">
        <f t="array" ref="O12">AVERAGE(_xlfn._xlws.FILTER($H$1:$H$100,$I$1:$I$100 = 0))</f>
        <v>31.481481481481481</v>
      </c>
      <c r="P12" s="10"/>
      <c r="Q12" s="10" cm="1">
        <f t="array" ref="Q12">AVERAGE(_xlfn._xlws.FILTER($H$1:$H$100,$I$1:$I$100 = 1))</f>
        <v>45.586956521739133</v>
      </c>
      <c r="R12" s="13"/>
    </row>
    <row r="13" spans="1:20" x14ac:dyDescent="0.3">
      <c r="A13">
        <v>2</v>
      </c>
      <c r="B13">
        <v>0</v>
      </c>
      <c r="C13" t="s">
        <v>1</v>
      </c>
      <c r="D13" t="s">
        <v>0</v>
      </c>
      <c r="E13">
        <v>46</v>
      </c>
      <c r="F13" t="s">
        <v>19</v>
      </c>
      <c r="G13" t="s">
        <v>18</v>
      </c>
      <c r="H13">
        <v>35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</v>
      </c>
      <c r="D14" t="s">
        <v>0</v>
      </c>
      <c r="E14">
        <v>63</v>
      </c>
      <c r="F14" t="s">
        <v>19</v>
      </c>
      <c r="G14" t="s">
        <v>18</v>
      </c>
      <c r="H14">
        <v>36</v>
      </c>
      <c r="I14">
        <v>0</v>
      </c>
      <c r="K14" s="19" t="s">
        <v>4</v>
      </c>
      <c r="L14" s="12"/>
      <c r="M14" s="20" cm="1">
        <f t="array" ref="M14">AVERAGE($E$1:$E$100 - $H$1:$H$100)</f>
        <v>-1.22</v>
      </c>
      <c r="N14" s="20"/>
      <c r="O14" s="20" cm="1">
        <f t="array" ref="O14">AVERAGE(_xlfn._xlws.FILTER($E$1:$E$100 - $H$1:$H$100, I$1:I$100 = 0))</f>
        <v>18.222222222222221</v>
      </c>
      <c r="P14" s="20"/>
      <c r="Q14" s="20" cm="1">
        <f t="array" ref="Q14">AVERAGE(_xlfn._xlws.FILTER($E$1:$E$100 - $H$1:$H$100, I$1:I$100 = 1))</f>
        <v>-24.043478260869566</v>
      </c>
      <c r="R14" s="22"/>
    </row>
    <row r="15" spans="1:20" x14ac:dyDescent="0.3">
      <c r="A15">
        <v>2</v>
      </c>
      <c r="B15">
        <v>0</v>
      </c>
      <c r="C15" t="s">
        <v>1</v>
      </c>
      <c r="D15" t="s">
        <v>0</v>
      </c>
      <c r="E15">
        <v>44</v>
      </c>
      <c r="F15" t="s">
        <v>19</v>
      </c>
      <c r="G15" t="s">
        <v>18</v>
      </c>
      <c r="H15">
        <v>58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</v>
      </c>
      <c r="D16" t="s">
        <v>0</v>
      </c>
      <c r="E16">
        <v>54</v>
      </c>
      <c r="F16" t="s">
        <v>19</v>
      </c>
      <c r="G16" t="s">
        <v>18</v>
      </c>
      <c r="H16">
        <v>51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</v>
      </c>
      <c r="D17" t="s">
        <v>0</v>
      </c>
      <c r="E17">
        <v>33</v>
      </c>
      <c r="F17" t="s">
        <v>19</v>
      </c>
      <c r="G17" t="s">
        <v>18</v>
      </c>
      <c r="H17">
        <v>45</v>
      </c>
      <c r="I17">
        <v>1</v>
      </c>
    </row>
    <row r="18" spans="1:9" x14ac:dyDescent="0.3">
      <c r="A18">
        <v>2</v>
      </c>
      <c r="B18">
        <v>0</v>
      </c>
      <c r="C18" t="s">
        <v>1</v>
      </c>
      <c r="D18" t="s">
        <v>0</v>
      </c>
      <c r="E18">
        <v>53</v>
      </c>
      <c r="F18" t="s">
        <v>19</v>
      </c>
      <c r="G18" t="s">
        <v>18</v>
      </c>
      <c r="H18">
        <v>32</v>
      </c>
      <c r="I18">
        <v>0</v>
      </c>
    </row>
    <row r="19" spans="1:9" x14ac:dyDescent="0.3">
      <c r="A19">
        <v>2</v>
      </c>
      <c r="B19">
        <v>0</v>
      </c>
      <c r="C19" t="s">
        <v>1</v>
      </c>
      <c r="D19" t="s">
        <v>0</v>
      </c>
      <c r="E19">
        <v>4</v>
      </c>
      <c r="F19" t="s">
        <v>19</v>
      </c>
      <c r="G19" t="s">
        <v>18</v>
      </c>
      <c r="H19">
        <v>23</v>
      </c>
      <c r="I19">
        <v>1</v>
      </c>
    </row>
    <row r="20" spans="1:9" x14ac:dyDescent="0.3">
      <c r="A20">
        <v>2</v>
      </c>
      <c r="B20">
        <v>0</v>
      </c>
      <c r="C20" t="s">
        <v>1</v>
      </c>
      <c r="D20" t="s">
        <v>0</v>
      </c>
      <c r="E20">
        <v>37</v>
      </c>
      <c r="F20" t="s">
        <v>19</v>
      </c>
      <c r="G20" t="s">
        <v>18</v>
      </c>
      <c r="H20">
        <v>39</v>
      </c>
      <c r="I20">
        <v>1</v>
      </c>
    </row>
    <row r="21" spans="1:9" x14ac:dyDescent="0.3">
      <c r="A21">
        <v>2</v>
      </c>
      <c r="B21">
        <v>0</v>
      </c>
      <c r="C21" t="s">
        <v>1</v>
      </c>
      <c r="D21" t="s">
        <v>0</v>
      </c>
      <c r="E21">
        <v>49</v>
      </c>
      <c r="F21" t="s">
        <v>19</v>
      </c>
      <c r="G21" t="s">
        <v>18</v>
      </c>
      <c r="H21">
        <v>31</v>
      </c>
      <c r="I21">
        <v>0</v>
      </c>
    </row>
    <row r="22" spans="1:9" x14ac:dyDescent="0.3">
      <c r="A22">
        <v>2</v>
      </c>
      <c r="B22">
        <v>0</v>
      </c>
      <c r="C22" t="s">
        <v>1</v>
      </c>
      <c r="D22" t="s">
        <v>0</v>
      </c>
      <c r="E22">
        <v>39</v>
      </c>
      <c r="F22" t="s">
        <v>19</v>
      </c>
      <c r="G22" t="s">
        <v>18</v>
      </c>
      <c r="H22">
        <v>28</v>
      </c>
      <c r="I22">
        <v>0</v>
      </c>
    </row>
    <row r="23" spans="1:9" x14ac:dyDescent="0.3">
      <c r="A23">
        <v>2</v>
      </c>
      <c r="B23">
        <v>0</v>
      </c>
      <c r="C23" t="s">
        <v>1</v>
      </c>
      <c r="D23" t="s">
        <v>0</v>
      </c>
      <c r="E23">
        <v>0</v>
      </c>
      <c r="F23" t="s">
        <v>19</v>
      </c>
      <c r="G23" t="s">
        <v>18</v>
      </c>
      <c r="H23">
        <v>45</v>
      </c>
      <c r="I23">
        <v>1</v>
      </c>
    </row>
    <row r="24" spans="1:9" x14ac:dyDescent="0.3">
      <c r="A24">
        <v>2</v>
      </c>
      <c r="B24">
        <v>0</v>
      </c>
      <c r="C24" t="s">
        <v>1</v>
      </c>
      <c r="D24" t="s">
        <v>0</v>
      </c>
      <c r="E24">
        <v>23</v>
      </c>
      <c r="F24" t="s">
        <v>19</v>
      </c>
      <c r="G24" t="s">
        <v>18</v>
      </c>
      <c r="H24">
        <v>52</v>
      </c>
      <c r="I24">
        <v>1</v>
      </c>
    </row>
    <row r="25" spans="1:9" x14ac:dyDescent="0.3">
      <c r="A25">
        <v>2</v>
      </c>
      <c r="B25">
        <v>0</v>
      </c>
      <c r="C25" t="s">
        <v>1</v>
      </c>
      <c r="D25" t="s">
        <v>0</v>
      </c>
      <c r="E25">
        <v>33</v>
      </c>
      <c r="F25" t="s">
        <v>19</v>
      </c>
      <c r="G25" t="s">
        <v>18</v>
      </c>
      <c r="H25">
        <v>55</v>
      </c>
      <c r="I25">
        <v>1</v>
      </c>
    </row>
    <row r="26" spans="1:9" x14ac:dyDescent="0.3">
      <c r="A26">
        <v>2</v>
      </c>
      <c r="B26">
        <v>0</v>
      </c>
      <c r="C26" t="s">
        <v>1</v>
      </c>
      <c r="D26" t="s">
        <v>0</v>
      </c>
      <c r="E26">
        <v>31</v>
      </c>
      <c r="F26" t="s">
        <v>19</v>
      </c>
      <c r="G26" t="s">
        <v>18</v>
      </c>
      <c r="H26">
        <v>55</v>
      </c>
      <c r="I26">
        <v>1</v>
      </c>
    </row>
    <row r="27" spans="1:9" x14ac:dyDescent="0.3">
      <c r="A27">
        <v>2</v>
      </c>
      <c r="B27">
        <v>0</v>
      </c>
      <c r="C27" t="s">
        <v>1</v>
      </c>
      <c r="D27" t="s">
        <v>0</v>
      </c>
      <c r="E27">
        <v>67</v>
      </c>
      <c r="F27" t="s">
        <v>19</v>
      </c>
      <c r="G27" t="s">
        <v>18</v>
      </c>
      <c r="H27">
        <v>46</v>
      </c>
      <c r="I27">
        <v>0</v>
      </c>
    </row>
    <row r="28" spans="1:9" x14ac:dyDescent="0.3">
      <c r="A28">
        <v>2</v>
      </c>
      <c r="B28">
        <v>0</v>
      </c>
      <c r="C28" t="s">
        <v>1</v>
      </c>
      <c r="D28" t="s">
        <v>0</v>
      </c>
      <c r="E28">
        <v>50</v>
      </c>
      <c r="F28" t="s">
        <v>19</v>
      </c>
      <c r="G28" t="s">
        <v>18</v>
      </c>
      <c r="H28">
        <v>32</v>
      </c>
      <c r="I28">
        <v>0</v>
      </c>
    </row>
    <row r="29" spans="1:9" x14ac:dyDescent="0.3">
      <c r="A29">
        <v>2</v>
      </c>
      <c r="B29">
        <v>0</v>
      </c>
      <c r="C29" t="s">
        <v>1</v>
      </c>
      <c r="D29" t="s">
        <v>0</v>
      </c>
      <c r="E29">
        <v>2</v>
      </c>
      <c r="F29" t="s">
        <v>19</v>
      </c>
      <c r="G29" t="s">
        <v>18</v>
      </c>
      <c r="H29">
        <v>101</v>
      </c>
      <c r="I29">
        <v>1</v>
      </c>
    </row>
    <row r="30" spans="1:9" x14ac:dyDescent="0.3">
      <c r="A30">
        <v>2</v>
      </c>
      <c r="B30">
        <v>0</v>
      </c>
      <c r="C30" t="s">
        <v>1</v>
      </c>
      <c r="D30" t="s">
        <v>0</v>
      </c>
      <c r="E30">
        <v>3</v>
      </c>
      <c r="F30" t="s">
        <v>19</v>
      </c>
      <c r="G30" t="s">
        <v>18</v>
      </c>
      <c r="H30">
        <v>44</v>
      </c>
      <c r="I30">
        <v>1</v>
      </c>
    </row>
    <row r="31" spans="1:9" x14ac:dyDescent="0.3">
      <c r="A31">
        <v>2</v>
      </c>
      <c r="B31">
        <v>0</v>
      </c>
      <c r="C31" t="s">
        <v>1</v>
      </c>
      <c r="D31" t="s">
        <v>0</v>
      </c>
      <c r="E31">
        <v>44</v>
      </c>
      <c r="F31" t="s">
        <v>19</v>
      </c>
      <c r="G31" t="s">
        <v>18</v>
      </c>
      <c r="H31">
        <v>36</v>
      </c>
      <c r="I31">
        <v>0</v>
      </c>
    </row>
    <row r="32" spans="1:9" x14ac:dyDescent="0.3">
      <c r="A32">
        <v>2</v>
      </c>
      <c r="B32">
        <v>0</v>
      </c>
      <c r="C32" t="s">
        <v>1</v>
      </c>
      <c r="D32" t="s">
        <v>0</v>
      </c>
      <c r="E32">
        <v>33</v>
      </c>
      <c r="F32" t="s">
        <v>19</v>
      </c>
      <c r="G32" t="s">
        <v>18</v>
      </c>
      <c r="H32">
        <v>38</v>
      </c>
      <c r="I32">
        <v>1</v>
      </c>
    </row>
    <row r="33" spans="1:9" x14ac:dyDescent="0.3">
      <c r="A33">
        <v>2</v>
      </c>
      <c r="B33">
        <v>0</v>
      </c>
      <c r="C33" t="s">
        <v>1</v>
      </c>
      <c r="D33" t="s">
        <v>0</v>
      </c>
      <c r="E33">
        <v>43</v>
      </c>
      <c r="F33" t="s">
        <v>19</v>
      </c>
      <c r="G33" t="s">
        <v>18</v>
      </c>
      <c r="H33">
        <v>29</v>
      </c>
      <c r="I33">
        <v>0</v>
      </c>
    </row>
    <row r="34" spans="1:9" x14ac:dyDescent="0.3">
      <c r="A34">
        <v>2</v>
      </c>
      <c r="B34">
        <v>0</v>
      </c>
      <c r="C34" t="s">
        <v>1</v>
      </c>
      <c r="D34" t="s">
        <v>0</v>
      </c>
      <c r="E34">
        <v>18</v>
      </c>
      <c r="F34" t="s">
        <v>19</v>
      </c>
      <c r="G34" t="s">
        <v>18</v>
      </c>
      <c r="H34">
        <v>9</v>
      </c>
      <c r="I34">
        <v>0</v>
      </c>
    </row>
    <row r="35" spans="1:9" x14ac:dyDescent="0.3">
      <c r="A35">
        <v>2</v>
      </c>
      <c r="B35">
        <v>0</v>
      </c>
      <c r="C35" t="s">
        <v>1</v>
      </c>
      <c r="D35" t="s">
        <v>0</v>
      </c>
      <c r="E35">
        <v>0</v>
      </c>
      <c r="F35" t="s">
        <v>19</v>
      </c>
      <c r="G35" t="s">
        <v>18</v>
      </c>
      <c r="H35">
        <v>44</v>
      </c>
      <c r="I35">
        <v>1</v>
      </c>
    </row>
    <row r="36" spans="1:9" x14ac:dyDescent="0.3">
      <c r="A36">
        <v>2</v>
      </c>
      <c r="B36">
        <v>0</v>
      </c>
      <c r="C36" t="s">
        <v>1</v>
      </c>
      <c r="D36" t="s">
        <v>0</v>
      </c>
      <c r="E36">
        <v>38</v>
      </c>
      <c r="F36" t="s">
        <v>19</v>
      </c>
      <c r="G36" t="s">
        <v>18</v>
      </c>
      <c r="H36">
        <v>54</v>
      </c>
      <c r="I36">
        <v>1</v>
      </c>
    </row>
    <row r="37" spans="1:9" x14ac:dyDescent="0.3">
      <c r="A37">
        <v>2</v>
      </c>
      <c r="B37">
        <v>0</v>
      </c>
      <c r="C37" t="s">
        <v>1</v>
      </c>
      <c r="D37" t="s">
        <v>0</v>
      </c>
      <c r="E37">
        <v>48</v>
      </c>
      <c r="F37" t="s">
        <v>19</v>
      </c>
      <c r="G37" t="s">
        <v>18</v>
      </c>
      <c r="H37">
        <v>22</v>
      </c>
      <c r="I37">
        <v>0</v>
      </c>
    </row>
    <row r="38" spans="1:9" x14ac:dyDescent="0.3">
      <c r="A38">
        <v>2</v>
      </c>
      <c r="B38">
        <v>0</v>
      </c>
      <c r="C38" t="s">
        <v>1</v>
      </c>
      <c r="D38" t="s">
        <v>0</v>
      </c>
      <c r="E38">
        <v>53</v>
      </c>
      <c r="F38" t="s">
        <v>19</v>
      </c>
      <c r="G38" t="s">
        <v>18</v>
      </c>
      <c r="H38">
        <v>30</v>
      </c>
      <c r="I38">
        <v>0</v>
      </c>
    </row>
    <row r="39" spans="1:9" x14ac:dyDescent="0.3">
      <c r="A39">
        <v>2</v>
      </c>
      <c r="B39">
        <v>0</v>
      </c>
      <c r="C39" t="s">
        <v>1</v>
      </c>
      <c r="D39" t="s">
        <v>0</v>
      </c>
      <c r="E39">
        <v>24</v>
      </c>
      <c r="F39" t="s">
        <v>19</v>
      </c>
      <c r="G39" t="s">
        <v>18</v>
      </c>
      <c r="H39">
        <v>61</v>
      </c>
      <c r="I39">
        <v>1</v>
      </c>
    </row>
    <row r="40" spans="1:9" x14ac:dyDescent="0.3">
      <c r="A40">
        <v>2</v>
      </c>
      <c r="B40">
        <v>0</v>
      </c>
      <c r="C40" t="s">
        <v>1</v>
      </c>
      <c r="D40" t="s">
        <v>0</v>
      </c>
      <c r="E40">
        <v>32</v>
      </c>
      <c r="F40" t="s">
        <v>19</v>
      </c>
      <c r="G40" t="s">
        <v>18</v>
      </c>
      <c r="H40">
        <v>36</v>
      </c>
      <c r="I40">
        <v>1</v>
      </c>
    </row>
    <row r="41" spans="1:9" x14ac:dyDescent="0.3">
      <c r="A41">
        <v>2</v>
      </c>
      <c r="B41">
        <v>0</v>
      </c>
      <c r="C41" t="s">
        <v>1</v>
      </c>
      <c r="D41" t="s">
        <v>0</v>
      </c>
      <c r="E41">
        <v>2</v>
      </c>
      <c r="F41" t="s">
        <v>19</v>
      </c>
      <c r="G41" t="s">
        <v>18</v>
      </c>
      <c r="H41">
        <v>49</v>
      </c>
      <c r="I41">
        <v>1</v>
      </c>
    </row>
    <row r="42" spans="1:9" x14ac:dyDescent="0.3">
      <c r="A42">
        <v>2</v>
      </c>
      <c r="B42">
        <v>0</v>
      </c>
      <c r="C42" t="s">
        <v>1</v>
      </c>
      <c r="D42" t="s">
        <v>0</v>
      </c>
      <c r="E42">
        <v>8</v>
      </c>
      <c r="F42" t="s">
        <v>19</v>
      </c>
      <c r="G42" t="s">
        <v>18</v>
      </c>
      <c r="H42">
        <v>40</v>
      </c>
      <c r="I42">
        <v>1</v>
      </c>
    </row>
    <row r="43" spans="1:9" x14ac:dyDescent="0.3">
      <c r="A43">
        <v>2</v>
      </c>
      <c r="B43">
        <v>0</v>
      </c>
      <c r="C43" t="s">
        <v>1</v>
      </c>
      <c r="D43" t="s">
        <v>0</v>
      </c>
      <c r="E43">
        <v>68</v>
      </c>
      <c r="F43" t="s">
        <v>19</v>
      </c>
      <c r="G43" t="s">
        <v>18</v>
      </c>
      <c r="H43">
        <v>29</v>
      </c>
      <c r="I43">
        <v>0</v>
      </c>
    </row>
    <row r="44" spans="1:9" x14ac:dyDescent="0.3">
      <c r="A44">
        <v>2</v>
      </c>
      <c r="B44">
        <v>0</v>
      </c>
      <c r="C44" t="s">
        <v>1</v>
      </c>
      <c r="D44" t="s">
        <v>0</v>
      </c>
      <c r="E44">
        <v>15</v>
      </c>
      <c r="F44" t="s">
        <v>19</v>
      </c>
      <c r="G44" t="s">
        <v>18</v>
      </c>
      <c r="H44">
        <v>39</v>
      </c>
      <c r="I44">
        <v>1</v>
      </c>
    </row>
    <row r="45" spans="1:9" x14ac:dyDescent="0.3">
      <c r="A45">
        <v>2</v>
      </c>
      <c r="B45">
        <v>0</v>
      </c>
      <c r="C45" t="s">
        <v>1</v>
      </c>
      <c r="D45" t="s">
        <v>0</v>
      </c>
      <c r="E45">
        <v>36</v>
      </c>
      <c r="F45" t="s">
        <v>19</v>
      </c>
      <c r="G45" t="s">
        <v>18</v>
      </c>
      <c r="H45">
        <v>62</v>
      </c>
      <c r="I45">
        <v>1</v>
      </c>
    </row>
    <row r="46" spans="1:9" x14ac:dyDescent="0.3">
      <c r="A46">
        <v>2</v>
      </c>
      <c r="B46">
        <v>0</v>
      </c>
      <c r="C46" t="s">
        <v>1</v>
      </c>
      <c r="D46" t="s">
        <v>0</v>
      </c>
      <c r="E46">
        <v>29</v>
      </c>
      <c r="F46" t="s">
        <v>19</v>
      </c>
      <c r="G46" t="s">
        <v>18</v>
      </c>
      <c r="H46">
        <v>20</v>
      </c>
      <c r="I46">
        <v>0</v>
      </c>
    </row>
    <row r="47" spans="1:9" x14ac:dyDescent="0.3">
      <c r="A47">
        <v>2</v>
      </c>
      <c r="B47">
        <v>0</v>
      </c>
      <c r="C47" t="s">
        <v>1</v>
      </c>
      <c r="D47" t="s">
        <v>0</v>
      </c>
      <c r="E47">
        <v>49</v>
      </c>
      <c r="F47" t="s">
        <v>19</v>
      </c>
      <c r="G47" t="s">
        <v>18</v>
      </c>
      <c r="H47">
        <v>23</v>
      </c>
      <c r="I47">
        <v>0</v>
      </c>
    </row>
    <row r="48" spans="1:9" x14ac:dyDescent="0.3">
      <c r="A48">
        <v>2</v>
      </c>
      <c r="B48">
        <v>0</v>
      </c>
      <c r="C48" t="s">
        <v>1</v>
      </c>
      <c r="D48" t="s">
        <v>0</v>
      </c>
      <c r="E48">
        <v>54</v>
      </c>
      <c r="F48" t="s">
        <v>19</v>
      </c>
      <c r="G48" t="s">
        <v>18</v>
      </c>
      <c r="H48">
        <v>28</v>
      </c>
      <c r="I48">
        <v>0</v>
      </c>
    </row>
    <row r="49" spans="1:9" x14ac:dyDescent="0.3">
      <c r="A49">
        <v>2</v>
      </c>
      <c r="B49">
        <v>0</v>
      </c>
      <c r="C49" t="s">
        <v>1</v>
      </c>
      <c r="D49" t="s">
        <v>0</v>
      </c>
      <c r="E49">
        <v>21</v>
      </c>
      <c r="F49" t="s">
        <v>19</v>
      </c>
      <c r="G49" t="s">
        <v>18</v>
      </c>
      <c r="H49">
        <v>32</v>
      </c>
      <c r="I49">
        <v>1</v>
      </c>
    </row>
    <row r="50" spans="1:9" x14ac:dyDescent="0.3">
      <c r="A50">
        <v>2</v>
      </c>
      <c r="B50">
        <v>0</v>
      </c>
      <c r="C50" t="s">
        <v>1</v>
      </c>
      <c r="D50" t="s">
        <v>0</v>
      </c>
      <c r="E50">
        <v>24</v>
      </c>
      <c r="F50" t="s">
        <v>19</v>
      </c>
      <c r="G50" t="s">
        <v>18</v>
      </c>
      <c r="H50">
        <v>49</v>
      </c>
      <c r="I50">
        <v>1</v>
      </c>
    </row>
    <row r="51" spans="1:9" x14ac:dyDescent="0.3">
      <c r="A51">
        <v>2</v>
      </c>
      <c r="B51">
        <v>1</v>
      </c>
      <c r="C51" t="s">
        <v>1</v>
      </c>
      <c r="D51" t="s">
        <v>0</v>
      </c>
      <c r="E51">
        <v>73</v>
      </c>
      <c r="F51" t="s">
        <v>19</v>
      </c>
      <c r="G51" t="s">
        <v>18</v>
      </c>
      <c r="H51">
        <v>43</v>
      </c>
      <c r="I51">
        <v>0</v>
      </c>
    </row>
    <row r="52" spans="1:9" x14ac:dyDescent="0.3">
      <c r="A52">
        <v>2</v>
      </c>
      <c r="B52">
        <v>1</v>
      </c>
      <c r="C52" t="s">
        <v>1</v>
      </c>
      <c r="D52" t="s">
        <v>0</v>
      </c>
      <c r="E52">
        <v>45</v>
      </c>
      <c r="F52" t="s">
        <v>19</v>
      </c>
      <c r="G52" t="s">
        <v>18</v>
      </c>
      <c r="H52">
        <v>12</v>
      </c>
      <c r="I52">
        <v>0</v>
      </c>
    </row>
    <row r="53" spans="1:9" x14ac:dyDescent="0.3">
      <c r="A53">
        <v>2</v>
      </c>
      <c r="B53">
        <v>1</v>
      </c>
      <c r="C53" t="s">
        <v>1</v>
      </c>
      <c r="D53" t="s">
        <v>0</v>
      </c>
      <c r="E53">
        <v>38</v>
      </c>
      <c r="F53" t="s">
        <v>19</v>
      </c>
      <c r="G53" t="s">
        <v>18</v>
      </c>
      <c r="H53">
        <v>51</v>
      </c>
      <c r="I53">
        <v>1</v>
      </c>
    </row>
    <row r="54" spans="1:9" x14ac:dyDescent="0.3">
      <c r="A54">
        <v>2</v>
      </c>
      <c r="B54">
        <v>1</v>
      </c>
      <c r="C54" t="s">
        <v>1</v>
      </c>
      <c r="D54" t="s">
        <v>0</v>
      </c>
      <c r="E54">
        <v>39</v>
      </c>
      <c r="F54" t="s">
        <v>19</v>
      </c>
      <c r="G54" t="s">
        <v>18</v>
      </c>
      <c r="H54">
        <v>37</v>
      </c>
      <c r="I54">
        <v>0</v>
      </c>
    </row>
    <row r="55" spans="1:9" x14ac:dyDescent="0.3">
      <c r="A55">
        <v>2</v>
      </c>
      <c r="B55">
        <v>1</v>
      </c>
      <c r="C55" t="s">
        <v>1</v>
      </c>
      <c r="D55" t="s">
        <v>0</v>
      </c>
      <c r="E55">
        <v>14</v>
      </c>
      <c r="F55" t="s">
        <v>19</v>
      </c>
      <c r="G55" t="s">
        <v>18</v>
      </c>
      <c r="H55">
        <v>29</v>
      </c>
      <c r="I55">
        <v>1</v>
      </c>
    </row>
    <row r="56" spans="1:9" x14ac:dyDescent="0.3">
      <c r="A56">
        <v>2</v>
      </c>
      <c r="B56">
        <v>1</v>
      </c>
      <c r="C56" t="s">
        <v>1</v>
      </c>
      <c r="D56" t="s">
        <v>0</v>
      </c>
      <c r="E56">
        <v>45</v>
      </c>
      <c r="F56" t="s">
        <v>19</v>
      </c>
      <c r="G56" t="s">
        <v>18</v>
      </c>
      <c r="H56">
        <v>39</v>
      </c>
      <c r="I56">
        <v>0</v>
      </c>
    </row>
    <row r="57" spans="1:9" x14ac:dyDescent="0.3">
      <c r="A57">
        <v>2</v>
      </c>
      <c r="B57">
        <v>1</v>
      </c>
      <c r="C57" t="s">
        <v>1</v>
      </c>
      <c r="D57" t="s">
        <v>0</v>
      </c>
      <c r="E57">
        <v>33</v>
      </c>
      <c r="F57" t="s">
        <v>19</v>
      </c>
      <c r="G57" t="s">
        <v>18</v>
      </c>
      <c r="H57">
        <v>29</v>
      </c>
      <c r="I57">
        <v>0</v>
      </c>
    </row>
    <row r="58" spans="1:9" x14ac:dyDescent="0.3">
      <c r="A58">
        <v>2</v>
      </c>
      <c r="B58">
        <v>1</v>
      </c>
      <c r="C58" t="s">
        <v>1</v>
      </c>
      <c r="D58" t="s">
        <v>0</v>
      </c>
      <c r="E58">
        <v>32</v>
      </c>
      <c r="F58" t="s">
        <v>19</v>
      </c>
      <c r="G58" t="s">
        <v>18</v>
      </c>
      <c r="H58">
        <v>45</v>
      </c>
      <c r="I58">
        <v>1</v>
      </c>
    </row>
    <row r="59" spans="1:9" x14ac:dyDescent="0.3">
      <c r="A59">
        <v>2</v>
      </c>
      <c r="B59">
        <v>1</v>
      </c>
      <c r="C59" t="s">
        <v>1</v>
      </c>
      <c r="D59" t="s">
        <v>0</v>
      </c>
      <c r="E59">
        <v>23</v>
      </c>
      <c r="F59" t="s">
        <v>19</v>
      </c>
      <c r="G59" t="s">
        <v>18</v>
      </c>
      <c r="H59">
        <v>36</v>
      </c>
      <c r="I59">
        <v>1</v>
      </c>
    </row>
    <row r="60" spans="1:9" x14ac:dyDescent="0.3">
      <c r="A60">
        <v>2</v>
      </c>
      <c r="B60">
        <v>1</v>
      </c>
      <c r="C60" t="s">
        <v>1</v>
      </c>
      <c r="D60" t="s">
        <v>0</v>
      </c>
      <c r="E60">
        <v>45</v>
      </c>
      <c r="F60" t="s">
        <v>19</v>
      </c>
      <c r="G60" t="s">
        <v>18</v>
      </c>
      <c r="H60">
        <v>27</v>
      </c>
      <c r="I60">
        <v>0</v>
      </c>
    </row>
    <row r="61" spans="1:9" x14ac:dyDescent="0.3">
      <c r="A61">
        <v>2</v>
      </c>
      <c r="B61">
        <v>1</v>
      </c>
      <c r="C61" t="s">
        <v>1</v>
      </c>
      <c r="D61" t="s">
        <v>0</v>
      </c>
      <c r="E61">
        <v>38</v>
      </c>
      <c r="F61" t="s">
        <v>19</v>
      </c>
      <c r="G61" t="s">
        <v>18</v>
      </c>
      <c r="H61">
        <v>20</v>
      </c>
      <c r="I61">
        <v>0</v>
      </c>
    </row>
    <row r="62" spans="1:9" x14ac:dyDescent="0.3">
      <c r="A62">
        <v>2</v>
      </c>
      <c r="B62">
        <v>1</v>
      </c>
      <c r="C62" t="s">
        <v>1</v>
      </c>
      <c r="D62" t="s">
        <v>0</v>
      </c>
      <c r="E62">
        <v>25</v>
      </c>
      <c r="F62" t="s">
        <v>19</v>
      </c>
      <c r="G62" t="s">
        <v>18</v>
      </c>
      <c r="H62">
        <v>39</v>
      </c>
      <c r="I62">
        <v>1</v>
      </c>
    </row>
    <row r="63" spans="1:9" x14ac:dyDescent="0.3">
      <c r="A63">
        <v>2</v>
      </c>
      <c r="B63">
        <v>1</v>
      </c>
      <c r="C63" t="s">
        <v>1</v>
      </c>
      <c r="D63" t="s">
        <v>0</v>
      </c>
      <c r="E63">
        <v>40</v>
      </c>
      <c r="F63" t="s">
        <v>19</v>
      </c>
      <c r="G63" t="s">
        <v>18</v>
      </c>
      <c r="H63">
        <v>38</v>
      </c>
      <c r="I63">
        <v>0</v>
      </c>
    </row>
    <row r="64" spans="1:9" x14ac:dyDescent="0.3">
      <c r="A64">
        <v>2</v>
      </c>
      <c r="B64">
        <v>1</v>
      </c>
      <c r="C64" t="s">
        <v>1</v>
      </c>
      <c r="D64" t="s">
        <v>0</v>
      </c>
      <c r="E64">
        <v>72</v>
      </c>
      <c r="F64" t="s">
        <v>19</v>
      </c>
      <c r="G64" t="s">
        <v>18</v>
      </c>
      <c r="H64">
        <v>52</v>
      </c>
      <c r="I64">
        <v>0</v>
      </c>
    </row>
    <row r="65" spans="1:9" x14ac:dyDescent="0.3">
      <c r="A65">
        <v>2</v>
      </c>
      <c r="B65">
        <v>1</v>
      </c>
      <c r="C65" t="s">
        <v>1</v>
      </c>
      <c r="D65" t="s">
        <v>0</v>
      </c>
      <c r="E65">
        <v>21</v>
      </c>
      <c r="F65" t="s">
        <v>19</v>
      </c>
      <c r="G65" t="s">
        <v>18</v>
      </c>
      <c r="H65">
        <v>51</v>
      </c>
      <c r="I65">
        <v>1</v>
      </c>
    </row>
    <row r="66" spans="1:9" x14ac:dyDescent="0.3">
      <c r="A66">
        <v>2</v>
      </c>
      <c r="B66">
        <v>1</v>
      </c>
      <c r="C66" t="s">
        <v>1</v>
      </c>
      <c r="D66" t="s">
        <v>0</v>
      </c>
      <c r="E66">
        <v>51</v>
      </c>
      <c r="F66" t="s">
        <v>19</v>
      </c>
      <c r="G66" t="s">
        <v>18</v>
      </c>
      <c r="H66">
        <v>33</v>
      </c>
      <c r="I66">
        <v>0</v>
      </c>
    </row>
    <row r="67" spans="1:9" x14ac:dyDescent="0.3">
      <c r="A67">
        <v>2</v>
      </c>
      <c r="B67">
        <v>1</v>
      </c>
      <c r="C67" t="s">
        <v>1</v>
      </c>
      <c r="D67" t="s">
        <v>0</v>
      </c>
      <c r="E67">
        <v>0</v>
      </c>
      <c r="F67" t="s">
        <v>19</v>
      </c>
      <c r="G67" t="s">
        <v>18</v>
      </c>
      <c r="H67">
        <v>26</v>
      </c>
      <c r="I67">
        <v>1</v>
      </c>
    </row>
    <row r="68" spans="1:9" x14ac:dyDescent="0.3">
      <c r="A68">
        <v>2</v>
      </c>
      <c r="B68">
        <v>1</v>
      </c>
      <c r="C68" t="s">
        <v>1</v>
      </c>
      <c r="D68" t="s">
        <v>0</v>
      </c>
      <c r="E68">
        <v>82</v>
      </c>
      <c r="F68" t="s">
        <v>19</v>
      </c>
      <c r="G68" t="s">
        <v>18</v>
      </c>
      <c r="H68">
        <v>29</v>
      </c>
      <c r="I68">
        <v>0</v>
      </c>
    </row>
    <row r="69" spans="1:9" x14ac:dyDescent="0.3">
      <c r="A69">
        <v>2</v>
      </c>
      <c r="B69">
        <v>1</v>
      </c>
      <c r="C69" t="s">
        <v>1</v>
      </c>
      <c r="D69" t="s">
        <v>0</v>
      </c>
      <c r="E69">
        <v>42</v>
      </c>
      <c r="F69" t="s">
        <v>19</v>
      </c>
      <c r="G69" t="s">
        <v>18</v>
      </c>
      <c r="H69">
        <v>22</v>
      </c>
      <c r="I69">
        <v>0</v>
      </c>
    </row>
    <row r="70" spans="1:9" x14ac:dyDescent="0.3">
      <c r="A70">
        <v>2</v>
      </c>
      <c r="B70">
        <v>1</v>
      </c>
      <c r="C70" t="s">
        <v>1</v>
      </c>
      <c r="D70" t="s">
        <v>0</v>
      </c>
      <c r="E70">
        <v>50</v>
      </c>
      <c r="F70" t="s">
        <v>19</v>
      </c>
      <c r="G70" t="s">
        <v>18</v>
      </c>
      <c r="H70">
        <v>39</v>
      </c>
      <c r="I70">
        <v>0</v>
      </c>
    </row>
    <row r="71" spans="1:9" x14ac:dyDescent="0.3">
      <c r="A71">
        <v>2</v>
      </c>
      <c r="B71">
        <v>1</v>
      </c>
      <c r="C71" t="s">
        <v>1</v>
      </c>
      <c r="D71" t="s">
        <v>0</v>
      </c>
      <c r="E71">
        <v>68</v>
      </c>
      <c r="F71" t="s">
        <v>19</v>
      </c>
      <c r="G71" t="s">
        <v>18</v>
      </c>
      <c r="H71">
        <v>40</v>
      </c>
      <c r="I71">
        <v>0</v>
      </c>
    </row>
    <row r="72" spans="1:9" x14ac:dyDescent="0.3">
      <c r="A72">
        <v>2</v>
      </c>
      <c r="B72">
        <v>1</v>
      </c>
      <c r="C72" t="s">
        <v>1</v>
      </c>
      <c r="D72" t="s">
        <v>0</v>
      </c>
      <c r="E72">
        <v>33</v>
      </c>
      <c r="F72" t="s">
        <v>19</v>
      </c>
      <c r="G72" t="s">
        <v>18</v>
      </c>
      <c r="H72">
        <v>34</v>
      </c>
      <c r="I72">
        <v>1</v>
      </c>
    </row>
    <row r="73" spans="1:9" x14ac:dyDescent="0.3">
      <c r="A73">
        <v>2</v>
      </c>
      <c r="B73">
        <v>1</v>
      </c>
      <c r="C73" t="s">
        <v>1</v>
      </c>
      <c r="D73" t="s">
        <v>0</v>
      </c>
      <c r="E73">
        <v>68</v>
      </c>
      <c r="F73" t="s">
        <v>19</v>
      </c>
      <c r="G73" t="s">
        <v>18</v>
      </c>
      <c r="H73">
        <v>32</v>
      </c>
      <c r="I73">
        <v>0</v>
      </c>
    </row>
    <row r="74" spans="1:9" x14ac:dyDescent="0.3">
      <c r="A74">
        <v>2</v>
      </c>
      <c r="B74">
        <v>1</v>
      </c>
      <c r="C74" t="s">
        <v>1</v>
      </c>
      <c r="D74" t="s">
        <v>0</v>
      </c>
      <c r="E74">
        <v>38</v>
      </c>
      <c r="F74" t="s">
        <v>19</v>
      </c>
      <c r="G74" t="s">
        <v>18</v>
      </c>
      <c r="H74">
        <v>24</v>
      </c>
      <c r="I74">
        <v>0</v>
      </c>
    </row>
    <row r="75" spans="1:9" x14ac:dyDescent="0.3">
      <c r="A75">
        <v>2</v>
      </c>
      <c r="B75">
        <v>1</v>
      </c>
      <c r="C75" t="s">
        <v>1</v>
      </c>
      <c r="D75" t="s">
        <v>0</v>
      </c>
      <c r="E75">
        <v>43</v>
      </c>
      <c r="F75" t="s">
        <v>19</v>
      </c>
      <c r="G75" t="s">
        <v>18</v>
      </c>
      <c r="H75">
        <v>33</v>
      </c>
      <c r="I75">
        <v>0</v>
      </c>
    </row>
    <row r="76" spans="1:9" x14ac:dyDescent="0.3">
      <c r="A76">
        <v>2</v>
      </c>
      <c r="B76">
        <v>1</v>
      </c>
      <c r="C76" t="s">
        <v>1</v>
      </c>
      <c r="D76" t="s">
        <v>0</v>
      </c>
      <c r="E76">
        <v>32</v>
      </c>
      <c r="F76" t="s">
        <v>19</v>
      </c>
      <c r="G76" t="s">
        <v>18</v>
      </c>
      <c r="H76">
        <v>27</v>
      </c>
      <c r="I76">
        <v>0</v>
      </c>
    </row>
    <row r="77" spans="1:9" x14ac:dyDescent="0.3">
      <c r="A77">
        <v>2</v>
      </c>
      <c r="B77">
        <v>1</v>
      </c>
      <c r="C77" t="s">
        <v>1</v>
      </c>
      <c r="D77" t="s">
        <v>0</v>
      </c>
      <c r="E77">
        <v>57</v>
      </c>
      <c r="F77" t="s">
        <v>19</v>
      </c>
      <c r="G77" t="s">
        <v>18</v>
      </c>
      <c r="H77">
        <v>58</v>
      </c>
      <c r="I77">
        <v>1</v>
      </c>
    </row>
    <row r="78" spans="1:9" x14ac:dyDescent="0.3">
      <c r="A78">
        <v>2</v>
      </c>
      <c r="B78">
        <v>1</v>
      </c>
      <c r="C78" t="s">
        <v>1</v>
      </c>
      <c r="D78" t="s">
        <v>0</v>
      </c>
      <c r="E78">
        <v>53</v>
      </c>
      <c r="F78" t="s">
        <v>19</v>
      </c>
      <c r="G78" t="s">
        <v>18</v>
      </c>
      <c r="H78">
        <v>50</v>
      </c>
      <c r="I78">
        <v>0</v>
      </c>
    </row>
    <row r="79" spans="1:9" x14ac:dyDescent="0.3">
      <c r="A79">
        <v>2</v>
      </c>
      <c r="B79">
        <v>1</v>
      </c>
      <c r="C79" t="s">
        <v>1</v>
      </c>
      <c r="D79" t="s">
        <v>0</v>
      </c>
      <c r="E79">
        <v>52</v>
      </c>
      <c r="F79" t="s">
        <v>19</v>
      </c>
      <c r="G79" t="s">
        <v>18</v>
      </c>
      <c r="H79">
        <v>28</v>
      </c>
      <c r="I79">
        <v>0</v>
      </c>
    </row>
    <row r="80" spans="1:9" x14ac:dyDescent="0.3">
      <c r="A80">
        <v>2</v>
      </c>
      <c r="B80">
        <v>1</v>
      </c>
      <c r="C80" t="s">
        <v>1</v>
      </c>
      <c r="D80" t="s">
        <v>0</v>
      </c>
      <c r="E80">
        <v>2</v>
      </c>
      <c r="F80" t="s">
        <v>19</v>
      </c>
      <c r="G80" t="s">
        <v>18</v>
      </c>
      <c r="H80">
        <v>60</v>
      </c>
      <c r="I80">
        <v>1</v>
      </c>
    </row>
    <row r="81" spans="1:9" x14ac:dyDescent="0.3">
      <c r="A81">
        <v>2</v>
      </c>
      <c r="B81">
        <v>1</v>
      </c>
      <c r="C81" t="s">
        <v>1</v>
      </c>
      <c r="D81" t="s">
        <v>0</v>
      </c>
      <c r="E81">
        <v>0</v>
      </c>
      <c r="F81" t="s">
        <v>19</v>
      </c>
      <c r="G81" t="s">
        <v>18</v>
      </c>
      <c r="H81">
        <v>68</v>
      </c>
      <c r="I81">
        <v>1</v>
      </c>
    </row>
    <row r="82" spans="1:9" x14ac:dyDescent="0.3">
      <c r="A82">
        <v>2</v>
      </c>
      <c r="B82">
        <v>1</v>
      </c>
      <c r="C82" t="s">
        <v>1</v>
      </c>
      <c r="D82" t="s">
        <v>0</v>
      </c>
      <c r="E82">
        <v>4</v>
      </c>
      <c r="F82" t="s">
        <v>19</v>
      </c>
      <c r="G82" t="s">
        <v>18</v>
      </c>
      <c r="H82">
        <v>18</v>
      </c>
      <c r="I82">
        <v>1</v>
      </c>
    </row>
    <row r="83" spans="1:9" x14ac:dyDescent="0.3">
      <c r="A83">
        <v>2</v>
      </c>
      <c r="B83">
        <v>1</v>
      </c>
      <c r="C83" t="s">
        <v>1</v>
      </c>
      <c r="D83" t="s">
        <v>0</v>
      </c>
      <c r="E83">
        <v>33</v>
      </c>
      <c r="F83" t="s">
        <v>19</v>
      </c>
      <c r="G83" t="s">
        <v>18</v>
      </c>
      <c r="H83">
        <v>34</v>
      </c>
      <c r="I83">
        <v>1</v>
      </c>
    </row>
    <row r="84" spans="1:9" x14ac:dyDescent="0.3">
      <c r="A84">
        <v>2</v>
      </c>
      <c r="B84">
        <v>1</v>
      </c>
      <c r="C84" t="s">
        <v>1</v>
      </c>
      <c r="D84" t="s">
        <v>0</v>
      </c>
      <c r="E84">
        <v>36</v>
      </c>
      <c r="F84" t="s">
        <v>19</v>
      </c>
      <c r="G84" t="s">
        <v>18</v>
      </c>
      <c r="H84">
        <v>10</v>
      </c>
      <c r="I84">
        <v>0</v>
      </c>
    </row>
    <row r="85" spans="1:9" x14ac:dyDescent="0.3">
      <c r="A85">
        <v>2</v>
      </c>
      <c r="B85">
        <v>1</v>
      </c>
      <c r="C85" t="s">
        <v>1</v>
      </c>
      <c r="D85" t="s">
        <v>0</v>
      </c>
      <c r="E85">
        <v>48</v>
      </c>
      <c r="F85" t="s">
        <v>19</v>
      </c>
      <c r="G85" t="s">
        <v>18</v>
      </c>
      <c r="H85">
        <v>40</v>
      </c>
      <c r="I85">
        <v>0</v>
      </c>
    </row>
    <row r="86" spans="1:9" x14ac:dyDescent="0.3">
      <c r="A86">
        <v>2</v>
      </c>
      <c r="B86">
        <v>1</v>
      </c>
      <c r="C86" t="s">
        <v>1</v>
      </c>
      <c r="D86" t="s">
        <v>0</v>
      </c>
      <c r="E86">
        <v>35</v>
      </c>
      <c r="F86" t="s">
        <v>19</v>
      </c>
      <c r="G86" t="s">
        <v>18</v>
      </c>
      <c r="H86">
        <v>33</v>
      </c>
      <c r="I86">
        <v>0</v>
      </c>
    </row>
    <row r="87" spans="1:9" x14ac:dyDescent="0.3">
      <c r="A87">
        <v>2</v>
      </c>
      <c r="B87">
        <v>1</v>
      </c>
      <c r="C87" t="s">
        <v>1</v>
      </c>
      <c r="D87" t="s">
        <v>0</v>
      </c>
      <c r="E87">
        <v>54</v>
      </c>
      <c r="F87" t="s">
        <v>19</v>
      </c>
      <c r="G87" t="s">
        <v>18</v>
      </c>
      <c r="H87">
        <v>33</v>
      </c>
      <c r="I87">
        <v>0</v>
      </c>
    </row>
    <row r="88" spans="1:9" x14ac:dyDescent="0.3">
      <c r="A88">
        <v>2</v>
      </c>
      <c r="B88">
        <v>1</v>
      </c>
      <c r="C88" t="s">
        <v>1</v>
      </c>
      <c r="D88" t="s">
        <v>0</v>
      </c>
      <c r="E88">
        <v>57</v>
      </c>
      <c r="F88" t="s">
        <v>19</v>
      </c>
      <c r="G88" t="s">
        <v>18</v>
      </c>
      <c r="H88">
        <v>32</v>
      </c>
      <c r="I88">
        <v>0</v>
      </c>
    </row>
    <row r="89" spans="1:9" x14ac:dyDescent="0.3">
      <c r="A89">
        <v>2</v>
      </c>
      <c r="B89">
        <v>1</v>
      </c>
      <c r="C89" t="s">
        <v>1</v>
      </c>
      <c r="D89" t="s">
        <v>0</v>
      </c>
      <c r="E89">
        <v>24</v>
      </c>
      <c r="F89" t="s">
        <v>19</v>
      </c>
      <c r="G89" t="s">
        <v>18</v>
      </c>
      <c r="H89">
        <v>31</v>
      </c>
      <c r="I89">
        <v>1</v>
      </c>
    </row>
    <row r="90" spans="1:9" x14ac:dyDescent="0.3">
      <c r="A90">
        <v>2</v>
      </c>
      <c r="B90">
        <v>1</v>
      </c>
      <c r="C90" t="s">
        <v>1</v>
      </c>
      <c r="D90" t="s">
        <v>0</v>
      </c>
      <c r="E90">
        <v>47</v>
      </c>
      <c r="F90" t="s">
        <v>19</v>
      </c>
      <c r="G90" t="s">
        <v>18</v>
      </c>
      <c r="H90">
        <v>9</v>
      </c>
      <c r="I90">
        <v>0</v>
      </c>
    </row>
    <row r="91" spans="1:9" x14ac:dyDescent="0.3">
      <c r="A91">
        <v>2</v>
      </c>
      <c r="B91">
        <v>1</v>
      </c>
      <c r="C91" t="s">
        <v>1</v>
      </c>
      <c r="D91" t="s">
        <v>0</v>
      </c>
      <c r="E91">
        <v>60</v>
      </c>
      <c r="F91" t="s">
        <v>19</v>
      </c>
      <c r="G91" t="s">
        <v>18</v>
      </c>
      <c r="H91">
        <v>26</v>
      </c>
      <c r="I91">
        <v>0</v>
      </c>
    </row>
    <row r="92" spans="1:9" x14ac:dyDescent="0.3">
      <c r="A92">
        <v>2</v>
      </c>
      <c r="B92">
        <v>1</v>
      </c>
      <c r="C92" t="s">
        <v>1</v>
      </c>
      <c r="D92" t="s">
        <v>0</v>
      </c>
      <c r="E92">
        <v>11</v>
      </c>
      <c r="F92" t="s">
        <v>19</v>
      </c>
      <c r="G92" t="s">
        <v>18</v>
      </c>
      <c r="H92">
        <v>52</v>
      </c>
      <c r="I92">
        <v>1</v>
      </c>
    </row>
    <row r="93" spans="1:9" x14ac:dyDescent="0.3">
      <c r="A93">
        <v>2</v>
      </c>
      <c r="B93">
        <v>1</v>
      </c>
      <c r="C93" t="s">
        <v>1</v>
      </c>
      <c r="D93" t="s">
        <v>0</v>
      </c>
      <c r="E93">
        <v>25</v>
      </c>
      <c r="F93" t="s">
        <v>19</v>
      </c>
      <c r="G93" t="s">
        <v>18</v>
      </c>
      <c r="H93">
        <v>38</v>
      </c>
      <c r="I93">
        <v>1</v>
      </c>
    </row>
    <row r="94" spans="1:9" x14ac:dyDescent="0.3">
      <c r="A94">
        <v>2</v>
      </c>
      <c r="B94">
        <v>1</v>
      </c>
      <c r="C94" t="s">
        <v>1</v>
      </c>
      <c r="D94" t="s">
        <v>0</v>
      </c>
      <c r="E94">
        <v>19</v>
      </c>
      <c r="F94" t="s">
        <v>19</v>
      </c>
      <c r="G94" t="s">
        <v>18</v>
      </c>
      <c r="H94">
        <v>28</v>
      </c>
      <c r="I94">
        <v>1</v>
      </c>
    </row>
    <row r="95" spans="1:9" x14ac:dyDescent="0.3">
      <c r="A95">
        <v>2</v>
      </c>
      <c r="B95">
        <v>1</v>
      </c>
      <c r="C95" t="s">
        <v>1</v>
      </c>
      <c r="D95" t="s">
        <v>0</v>
      </c>
      <c r="E95">
        <v>48</v>
      </c>
      <c r="F95" t="s">
        <v>19</v>
      </c>
      <c r="G95" t="s">
        <v>18</v>
      </c>
      <c r="H95">
        <v>22</v>
      </c>
      <c r="I95">
        <v>0</v>
      </c>
    </row>
    <row r="96" spans="1:9" x14ac:dyDescent="0.3">
      <c r="A96">
        <v>2</v>
      </c>
      <c r="B96">
        <v>1</v>
      </c>
      <c r="C96" t="s">
        <v>1</v>
      </c>
      <c r="D96" t="s">
        <v>0</v>
      </c>
      <c r="E96">
        <v>6</v>
      </c>
      <c r="F96" t="s">
        <v>19</v>
      </c>
      <c r="G96" t="s">
        <v>18</v>
      </c>
      <c r="H96">
        <v>32</v>
      </c>
      <c r="I96">
        <v>1</v>
      </c>
    </row>
    <row r="97" spans="1:9" x14ac:dyDescent="0.3">
      <c r="A97">
        <v>2</v>
      </c>
      <c r="B97">
        <v>1</v>
      </c>
      <c r="C97" t="s">
        <v>1</v>
      </c>
      <c r="D97" t="s">
        <v>0</v>
      </c>
      <c r="E97">
        <v>44</v>
      </c>
      <c r="F97" t="s">
        <v>19</v>
      </c>
      <c r="G97" t="s">
        <v>18</v>
      </c>
      <c r="H97">
        <v>47</v>
      </c>
      <c r="I97">
        <v>1</v>
      </c>
    </row>
    <row r="98" spans="1:9" x14ac:dyDescent="0.3">
      <c r="A98">
        <v>2</v>
      </c>
      <c r="B98">
        <v>1</v>
      </c>
      <c r="C98" t="s">
        <v>1</v>
      </c>
      <c r="D98" t="s">
        <v>0</v>
      </c>
      <c r="E98">
        <v>15</v>
      </c>
      <c r="F98" t="s">
        <v>19</v>
      </c>
      <c r="G98" t="s">
        <v>18</v>
      </c>
      <c r="H98">
        <v>22</v>
      </c>
      <c r="I98">
        <v>1</v>
      </c>
    </row>
    <row r="99" spans="1:9" x14ac:dyDescent="0.3">
      <c r="A99">
        <v>2</v>
      </c>
      <c r="B99">
        <v>1</v>
      </c>
      <c r="C99" t="s">
        <v>1</v>
      </c>
      <c r="D99" t="s">
        <v>0</v>
      </c>
      <c r="E99">
        <v>36</v>
      </c>
      <c r="F99" t="s">
        <v>19</v>
      </c>
      <c r="G99" t="s">
        <v>18</v>
      </c>
      <c r="H99">
        <v>33</v>
      </c>
      <c r="I99">
        <v>0</v>
      </c>
    </row>
    <row r="100" spans="1:9" x14ac:dyDescent="0.3">
      <c r="A100">
        <v>2</v>
      </c>
      <c r="B100">
        <v>1</v>
      </c>
      <c r="C100" t="s">
        <v>1</v>
      </c>
      <c r="D100" t="s">
        <v>0</v>
      </c>
      <c r="E100">
        <v>39</v>
      </c>
      <c r="F100" t="s">
        <v>19</v>
      </c>
      <c r="G100" t="s">
        <v>18</v>
      </c>
      <c r="H100">
        <v>18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78E89-8FD4-47A5-AB18-59E950234A95}">
  <dimension ref="A1:T100"/>
  <sheetViews>
    <sheetView topLeftCell="J1" workbookViewId="0">
      <selection activeCell="Q26" sqref="Q26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</v>
      </c>
      <c r="D1" t="s">
        <v>0</v>
      </c>
      <c r="E1">
        <v>11</v>
      </c>
      <c r="F1" t="s">
        <v>21</v>
      </c>
      <c r="G1" t="s">
        <v>20</v>
      </c>
      <c r="H1">
        <v>29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</v>
      </c>
      <c r="D2" t="s">
        <v>0</v>
      </c>
      <c r="E2">
        <v>30</v>
      </c>
      <c r="F2" t="s">
        <v>21</v>
      </c>
      <c r="G2" t="s">
        <v>20</v>
      </c>
      <c r="H2">
        <v>6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</v>
      </c>
      <c r="D3" t="s">
        <v>0</v>
      </c>
      <c r="E3">
        <v>19</v>
      </c>
      <c r="F3" t="s">
        <v>21</v>
      </c>
      <c r="G3" t="s">
        <v>20</v>
      </c>
      <c r="H3">
        <v>14</v>
      </c>
      <c r="I3">
        <v>0</v>
      </c>
      <c r="K3" s="8" t="s">
        <v>11</v>
      </c>
      <c r="L3" s="8"/>
      <c r="M3" s="10">
        <f>COUNTIF($I$1:$I$100, 0)</f>
        <v>72</v>
      </c>
      <c r="N3" s="10"/>
      <c r="O3" s="10">
        <f>COUNTIFS($I$1:$I$100, 0, $B$1:$B$100, 0)</f>
        <v>36</v>
      </c>
      <c r="P3" s="10"/>
      <c r="Q3" s="11">
        <f>COUNTIFS($I$1:$I$100, 0, $B$1:$B$100, 1)</f>
        <v>36</v>
      </c>
      <c r="R3" s="12"/>
      <c r="T3" cm="1">
        <f t="array" ref="T3">SUMPRODUCT(--($E$1:$E$100=$H$1:$H$100))</f>
        <v>2</v>
      </c>
    </row>
    <row r="4" spans="1:20" x14ac:dyDescent="0.3">
      <c r="A4">
        <v>2</v>
      </c>
      <c r="B4">
        <v>0</v>
      </c>
      <c r="C4" t="s">
        <v>1</v>
      </c>
      <c r="D4" t="s">
        <v>0</v>
      </c>
      <c r="E4">
        <v>38</v>
      </c>
      <c r="F4" t="s">
        <v>21</v>
      </c>
      <c r="G4" t="s">
        <v>20</v>
      </c>
      <c r="H4">
        <v>44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</v>
      </c>
      <c r="D5" t="s">
        <v>0</v>
      </c>
      <c r="E5">
        <v>39</v>
      </c>
      <c r="F5" t="s">
        <v>21</v>
      </c>
      <c r="G5" t="s">
        <v>20</v>
      </c>
      <c r="H5">
        <v>24</v>
      </c>
      <c r="I5">
        <v>0</v>
      </c>
      <c r="K5" s="8" t="s">
        <v>10</v>
      </c>
      <c r="L5" s="8"/>
      <c r="M5" s="14">
        <f>COUNTIF($I$1:$I$100, 1)</f>
        <v>28</v>
      </c>
      <c r="N5" s="10"/>
      <c r="O5" s="10">
        <f>COUNTIFS($I$1:$I$100, 1, $B$1:$B$100, 0)</f>
        <v>14</v>
      </c>
      <c r="P5" s="10"/>
      <c r="Q5" s="10">
        <f>COUNTIFS($I$1:$I$100, 1, $B$1:$B$100, 1)</f>
        <v>14</v>
      </c>
      <c r="R5" s="13"/>
    </row>
    <row r="6" spans="1:20" x14ac:dyDescent="0.3">
      <c r="A6">
        <v>2</v>
      </c>
      <c r="B6">
        <v>0</v>
      </c>
      <c r="C6" t="s">
        <v>1</v>
      </c>
      <c r="D6" t="s">
        <v>0</v>
      </c>
      <c r="E6">
        <v>50</v>
      </c>
      <c r="F6" t="s">
        <v>21</v>
      </c>
      <c r="G6" t="s">
        <v>20</v>
      </c>
      <c r="H6">
        <v>2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</v>
      </c>
      <c r="D7" t="s">
        <v>0</v>
      </c>
      <c r="E7">
        <v>44</v>
      </c>
      <c r="F7" t="s">
        <v>21</v>
      </c>
      <c r="G7" t="s">
        <v>20</v>
      </c>
      <c r="H7">
        <v>2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</v>
      </c>
      <c r="D8" t="s">
        <v>0</v>
      </c>
      <c r="E8">
        <v>43</v>
      </c>
      <c r="F8" t="s">
        <v>21</v>
      </c>
      <c r="G8" t="s">
        <v>20</v>
      </c>
      <c r="H8">
        <v>18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</v>
      </c>
      <c r="D9" t="s">
        <v>0</v>
      </c>
      <c r="E9">
        <v>36</v>
      </c>
      <c r="F9" t="s">
        <v>21</v>
      </c>
      <c r="G9" t="s">
        <v>20</v>
      </c>
      <c r="H9">
        <v>32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</v>
      </c>
      <c r="D10" t="s">
        <v>0</v>
      </c>
      <c r="E10">
        <v>20</v>
      </c>
      <c r="F10" t="s">
        <v>21</v>
      </c>
      <c r="G10" t="s">
        <v>20</v>
      </c>
      <c r="H10">
        <v>2</v>
      </c>
      <c r="I10">
        <v>0</v>
      </c>
      <c r="K10" s="8" t="s">
        <v>6</v>
      </c>
      <c r="L10" s="8"/>
      <c r="M10" s="10">
        <f>AVERAGE($E$1:$E$100,)</f>
        <v>30.277227722772277</v>
      </c>
      <c r="N10" s="10"/>
      <c r="O10" s="10" cm="1">
        <f t="array" ref="O10">AVERAGE(_xlfn._xlws.FILTER($E$1:$E$100,$I$1:$I$100 = 0))</f>
        <v>35.819444444444443</v>
      </c>
      <c r="P10" s="10"/>
      <c r="Q10" s="11" cm="1">
        <f t="array" ref="Q10">AVERAGE(_xlfn._xlws.FILTER($E$1:$E$100,$I$1:$I$100 = 1))</f>
        <v>17.107142857142858</v>
      </c>
      <c r="R10" s="12"/>
    </row>
    <row r="11" spans="1:20" x14ac:dyDescent="0.3">
      <c r="A11">
        <v>2</v>
      </c>
      <c r="B11">
        <v>0</v>
      </c>
      <c r="C11" t="s">
        <v>1</v>
      </c>
      <c r="D11" t="s">
        <v>0</v>
      </c>
      <c r="E11">
        <v>49</v>
      </c>
      <c r="F11" t="s">
        <v>21</v>
      </c>
      <c r="G11" t="s">
        <v>20</v>
      </c>
      <c r="H11">
        <v>11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</v>
      </c>
      <c r="D12" t="s">
        <v>0</v>
      </c>
      <c r="E12">
        <v>23</v>
      </c>
      <c r="F12" t="s">
        <v>21</v>
      </c>
      <c r="G12" t="s">
        <v>20</v>
      </c>
      <c r="H12">
        <v>8</v>
      </c>
      <c r="I12">
        <v>0</v>
      </c>
      <c r="K12" s="8" t="s">
        <v>5</v>
      </c>
      <c r="L12" s="8"/>
      <c r="M12" s="10">
        <f>AVERAGE($H$1:$H$100,)</f>
        <v>17.405940594059405</v>
      </c>
      <c r="N12" s="10"/>
      <c r="O12" s="10" cm="1">
        <f t="array" ref="O12">AVERAGE(_xlfn._xlws.FILTER($H$1:$H$100,$I$1:$I$100 = 0))</f>
        <v>13.305555555555555</v>
      </c>
      <c r="P12" s="10"/>
      <c r="Q12" s="10" cm="1">
        <f t="array" ref="Q12">AVERAGE(_xlfn._xlws.FILTER($H$1:$H$100,$I$1:$I$100 = 1))</f>
        <v>28.571428571428573</v>
      </c>
      <c r="R12" s="13"/>
    </row>
    <row r="13" spans="1:20" x14ac:dyDescent="0.3">
      <c r="A13">
        <v>2</v>
      </c>
      <c r="B13">
        <v>0</v>
      </c>
      <c r="C13" t="s">
        <v>1</v>
      </c>
      <c r="D13" t="s">
        <v>0</v>
      </c>
      <c r="E13">
        <v>34</v>
      </c>
      <c r="F13" t="s">
        <v>21</v>
      </c>
      <c r="G13" t="s">
        <v>20</v>
      </c>
      <c r="H13">
        <v>28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</v>
      </c>
      <c r="D14" t="s">
        <v>0</v>
      </c>
      <c r="E14">
        <v>28</v>
      </c>
      <c r="F14" t="s">
        <v>21</v>
      </c>
      <c r="G14" t="s">
        <v>20</v>
      </c>
      <c r="H14">
        <v>31</v>
      </c>
      <c r="I14">
        <v>1</v>
      </c>
      <c r="K14" s="19" t="s">
        <v>4</v>
      </c>
      <c r="L14" s="12"/>
      <c r="M14" s="20" cm="1">
        <f t="array" ref="M14">AVERAGE($E$1:$E$100 - $H$1:$H$100)</f>
        <v>13</v>
      </c>
      <c r="N14" s="20"/>
      <c r="O14" s="20" cm="1">
        <f t="array" ref="O14">AVERAGE(_xlfn._xlws.FILTER($E$1:$E$100 - $H$1:$H$100, I$1:I$100 = 0))</f>
        <v>22.513888888888889</v>
      </c>
      <c r="P14" s="20"/>
      <c r="Q14" s="20" cm="1">
        <f t="array" ref="Q14">AVERAGE(_xlfn._xlws.FILTER($E$1:$E$100 - $H$1:$H$100, I$1:I$100 = 1))</f>
        <v>-11.464285714285714</v>
      </c>
      <c r="R14" s="22"/>
    </row>
    <row r="15" spans="1:20" x14ac:dyDescent="0.3">
      <c r="A15">
        <v>2</v>
      </c>
      <c r="B15">
        <v>0</v>
      </c>
      <c r="C15" t="s">
        <v>1</v>
      </c>
      <c r="D15" t="s">
        <v>0</v>
      </c>
      <c r="E15">
        <v>21</v>
      </c>
      <c r="F15" t="s">
        <v>21</v>
      </c>
      <c r="G15" t="s">
        <v>20</v>
      </c>
      <c r="H15">
        <v>28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</v>
      </c>
      <c r="D16" t="s">
        <v>0</v>
      </c>
      <c r="E16">
        <v>55</v>
      </c>
      <c r="F16" t="s">
        <v>21</v>
      </c>
      <c r="G16" t="s">
        <v>20</v>
      </c>
      <c r="H16">
        <v>39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</v>
      </c>
      <c r="D17" t="s">
        <v>0</v>
      </c>
      <c r="E17">
        <v>44</v>
      </c>
      <c r="F17" t="s">
        <v>21</v>
      </c>
      <c r="G17" t="s">
        <v>20</v>
      </c>
      <c r="H17">
        <v>25</v>
      </c>
      <c r="I17">
        <v>0</v>
      </c>
    </row>
    <row r="18" spans="1:9" x14ac:dyDescent="0.3">
      <c r="A18">
        <v>2</v>
      </c>
      <c r="B18">
        <v>0</v>
      </c>
      <c r="C18" t="s">
        <v>1</v>
      </c>
      <c r="D18" t="s">
        <v>0</v>
      </c>
      <c r="E18">
        <v>41</v>
      </c>
      <c r="F18" t="s">
        <v>21</v>
      </c>
      <c r="G18" t="s">
        <v>20</v>
      </c>
      <c r="H18">
        <v>45</v>
      </c>
      <c r="I18">
        <v>1</v>
      </c>
    </row>
    <row r="19" spans="1:9" x14ac:dyDescent="0.3">
      <c r="A19">
        <v>2</v>
      </c>
      <c r="B19">
        <v>0</v>
      </c>
      <c r="C19" t="s">
        <v>1</v>
      </c>
      <c r="D19" t="s">
        <v>0</v>
      </c>
      <c r="E19">
        <v>64</v>
      </c>
      <c r="F19" t="s">
        <v>21</v>
      </c>
      <c r="G19" t="s">
        <v>20</v>
      </c>
      <c r="H19">
        <v>26</v>
      </c>
      <c r="I19">
        <v>0</v>
      </c>
    </row>
    <row r="20" spans="1:9" x14ac:dyDescent="0.3">
      <c r="A20">
        <v>2</v>
      </c>
      <c r="B20">
        <v>0</v>
      </c>
      <c r="C20" t="s">
        <v>1</v>
      </c>
      <c r="D20" t="s">
        <v>0</v>
      </c>
      <c r="E20">
        <v>30</v>
      </c>
      <c r="F20" t="s">
        <v>21</v>
      </c>
      <c r="G20" t="s">
        <v>20</v>
      </c>
      <c r="H20">
        <v>14</v>
      </c>
      <c r="I20">
        <v>0</v>
      </c>
    </row>
    <row r="21" spans="1:9" x14ac:dyDescent="0.3">
      <c r="A21">
        <v>2</v>
      </c>
      <c r="B21">
        <v>0</v>
      </c>
      <c r="C21" t="s">
        <v>1</v>
      </c>
      <c r="D21" t="s">
        <v>0</v>
      </c>
      <c r="E21">
        <v>20</v>
      </c>
      <c r="F21" t="s">
        <v>21</v>
      </c>
      <c r="G21" t="s">
        <v>20</v>
      </c>
      <c r="H21">
        <v>48</v>
      </c>
      <c r="I21">
        <v>1</v>
      </c>
    </row>
    <row r="22" spans="1:9" x14ac:dyDescent="0.3">
      <c r="A22">
        <v>2</v>
      </c>
      <c r="B22">
        <v>0</v>
      </c>
      <c r="C22" t="s">
        <v>1</v>
      </c>
      <c r="D22" t="s">
        <v>0</v>
      </c>
      <c r="E22">
        <v>19</v>
      </c>
      <c r="F22" t="s">
        <v>21</v>
      </c>
      <c r="G22" t="s">
        <v>20</v>
      </c>
      <c r="H22">
        <v>24</v>
      </c>
      <c r="I22">
        <v>1</v>
      </c>
    </row>
    <row r="23" spans="1:9" x14ac:dyDescent="0.3">
      <c r="A23">
        <v>2</v>
      </c>
      <c r="B23">
        <v>0</v>
      </c>
      <c r="C23" t="s">
        <v>1</v>
      </c>
      <c r="D23" t="s">
        <v>0</v>
      </c>
      <c r="E23">
        <v>61</v>
      </c>
      <c r="F23" t="s">
        <v>21</v>
      </c>
      <c r="G23" t="s">
        <v>20</v>
      </c>
      <c r="H23">
        <v>24</v>
      </c>
      <c r="I23">
        <v>0</v>
      </c>
    </row>
    <row r="24" spans="1:9" x14ac:dyDescent="0.3">
      <c r="A24">
        <v>2</v>
      </c>
      <c r="B24">
        <v>0</v>
      </c>
      <c r="C24" t="s">
        <v>1</v>
      </c>
      <c r="D24" t="s">
        <v>0</v>
      </c>
      <c r="E24">
        <v>18</v>
      </c>
      <c r="F24" t="s">
        <v>21</v>
      </c>
      <c r="G24" t="s">
        <v>20</v>
      </c>
      <c r="H24">
        <v>23</v>
      </c>
      <c r="I24">
        <v>1</v>
      </c>
    </row>
    <row r="25" spans="1:9" x14ac:dyDescent="0.3">
      <c r="A25">
        <v>2</v>
      </c>
      <c r="B25">
        <v>0</v>
      </c>
      <c r="C25" t="s">
        <v>1</v>
      </c>
      <c r="D25" t="s">
        <v>0</v>
      </c>
      <c r="E25">
        <v>48</v>
      </c>
      <c r="F25" t="s">
        <v>21</v>
      </c>
      <c r="G25" t="s">
        <v>20</v>
      </c>
      <c r="H25">
        <v>2</v>
      </c>
      <c r="I25">
        <v>0</v>
      </c>
    </row>
    <row r="26" spans="1:9" x14ac:dyDescent="0.3">
      <c r="A26">
        <v>2</v>
      </c>
      <c r="B26">
        <v>0</v>
      </c>
      <c r="C26" t="s">
        <v>1</v>
      </c>
      <c r="D26" t="s">
        <v>0</v>
      </c>
      <c r="E26">
        <v>32</v>
      </c>
      <c r="F26" t="s">
        <v>21</v>
      </c>
      <c r="G26" t="s">
        <v>20</v>
      </c>
      <c r="H26">
        <v>14</v>
      </c>
      <c r="I26">
        <v>0</v>
      </c>
    </row>
    <row r="27" spans="1:9" x14ac:dyDescent="0.3">
      <c r="A27">
        <v>2</v>
      </c>
      <c r="B27">
        <v>0</v>
      </c>
      <c r="C27" t="s">
        <v>1</v>
      </c>
      <c r="D27" t="s">
        <v>0</v>
      </c>
      <c r="E27">
        <v>47</v>
      </c>
      <c r="F27" t="s">
        <v>21</v>
      </c>
      <c r="G27" t="s">
        <v>20</v>
      </c>
      <c r="H27">
        <v>7</v>
      </c>
      <c r="I27">
        <v>0</v>
      </c>
    </row>
    <row r="28" spans="1:9" x14ac:dyDescent="0.3">
      <c r="A28">
        <v>2</v>
      </c>
      <c r="B28">
        <v>0</v>
      </c>
      <c r="C28" t="s">
        <v>1</v>
      </c>
      <c r="D28" t="s">
        <v>0</v>
      </c>
      <c r="E28">
        <v>36</v>
      </c>
      <c r="F28" t="s">
        <v>21</v>
      </c>
      <c r="G28" t="s">
        <v>20</v>
      </c>
      <c r="H28">
        <v>0</v>
      </c>
      <c r="I28">
        <v>0</v>
      </c>
    </row>
    <row r="29" spans="1:9" x14ac:dyDescent="0.3">
      <c r="A29">
        <v>2</v>
      </c>
      <c r="B29">
        <v>0</v>
      </c>
      <c r="C29" t="s">
        <v>1</v>
      </c>
      <c r="D29" t="s">
        <v>0</v>
      </c>
      <c r="E29">
        <v>33</v>
      </c>
      <c r="F29" t="s">
        <v>21</v>
      </c>
      <c r="G29" t="s">
        <v>20</v>
      </c>
      <c r="H29">
        <v>10</v>
      </c>
      <c r="I29">
        <v>0</v>
      </c>
    </row>
    <row r="30" spans="1:9" x14ac:dyDescent="0.3">
      <c r="A30">
        <v>2</v>
      </c>
      <c r="B30">
        <v>0</v>
      </c>
      <c r="C30" t="s">
        <v>1</v>
      </c>
      <c r="D30" t="s">
        <v>0</v>
      </c>
      <c r="E30">
        <v>28</v>
      </c>
      <c r="F30" t="s">
        <v>21</v>
      </c>
      <c r="G30" t="s">
        <v>20</v>
      </c>
      <c r="H30">
        <v>2</v>
      </c>
      <c r="I30">
        <v>0</v>
      </c>
    </row>
    <row r="31" spans="1:9" x14ac:dyDescent="0.3">
      <c r="A31">
        <v>2</v>
      </c>
      <c r="B31">
        <v>0</v>
      </c>
      <c r="C31" t="s">
        <v>1</v>
      </c>
      <c r="D31" t="s">
        <v>0</v>
      </c>
      <c r="E31">
        <v>2</v>
      </c>
      <c r="F31" t="s">
        <v>21</v>
      </c>
      <c r="G31" t="s">
        <v>20</v>
      </c>
      <c r="H31">
        <v>28</v>
      </c>
      <c r="I31">
        <v>1</v>
      </c>
    </row>
    <row r="32" spans="1:9" x14ac:dyDescent="0.3">
      <c r="A32">
        <v>2</v>
      </c>
      <c r="B32">
        <v>0</v>
      </c>
      <c r="C32" t="s">
        <v>1</v>
      </c>
      <c r="D32" t="s">
        <v>0</v>
      </c>
      <c r="E32">
        <v>34</v>
      </c>
      <c r="F32" t="s">
        <v>21</v>
      </c>
      <c r="G32" t="s">
        <v>20</v>
      </c>
      <c r="H32">
        <v>49</v>
      </c>
      <c r="I32">
        <v>1</v>
      </c>
    </row>
    <row r="33" spans="1:9" x14ac:dyDescent="0.3">
      <c r="A33">
        <v>2</v>
      </c>
      <c r="B33">
        <v>0</v>
      </c>
      <c r="C33" t="s">
        <v>1</v>
      </c>
      <c r="D33" t="s">
        <v>0</v>
      </c>
      <c r="E33">
        <v>14</v>
      </c>
      <c r="F33" t="s">
        <v>21</v>
      </c>
      <c r="G33" t="s">
        <v>20</v>
      </c>
      <c r="H33">
        <v>0</v>
      </c>
      <c r="I33">
        <v>0</v>
      </c>
    </row>
    <row r="34" spans="1:9" x14ac:dyDescent="0.3">
      <c r="A34">
        <v>2</v>
      </c>
      <c r="B34">
        <v>0</v>
      </c>
      <c r="C34" t="s">
        <v>1</v>
      </c>
      <c r="D34" t="s">
        <v>0</v>
      </c>
      <c r="E34">
        <v>36</v>
      </c>
      <c r="F34" t="s">
        <v>21</v>
      </c>
      <c r="G34" t="s">
        <v>20</v>
      </c>
      <c r="H34">
        <v>36</v>
      </c>
      <c r="I34">
        <v>0</v>
      </c>
    </row>
    <row r="35" spans="1:9" x14ac:dyDescent="0.3">
      <c r="A35">
        <v>2</v>
      </c>
      <c r="B35">
        <v>0</v>
      </c>
      <c r="C35" t="s">
        <v>1</v>
      </c>
      <c r="D35" t="s">
        <v>0</v>
      </c>
      <c r="E35">
        <v>47</v>
      </c>
      <c r="F35" t="s">
        <v>21</v>
      </c>
      <c r="G35" t="s">
        <v>20</v>
      </c>
      <c r="H35">
        <v>9</v>
      </c>
      <c r="I35">
        <v>0</v>
      </c>
    </row>
    <row r="36" spans="1:9" x14ac:dyDescent="0.3">
      <c r="A36">
        <v>2</v>
      </c>
      <c r="B36">
        <v>0</v>
      </c>
      <c r="C36" t="s">
        <v>1</v>
      </c>
      <c r="D36" t="s">
        <v>0</v>
      </c>
      <c r="E36">
        <v>25</v>
      </c>
      <c r="F36" t="s">
        <v>21</v>
      </c>
      <c r="G36" t="s">
        <v>20</v>
      </c>
      <c r="H36">
        <v>6</v>
      </c>
      <c r="I36">
        <v>0</v>
      </c>
    </row>
    <row r="37" spans="1:9" x14ac:dyDescent="0.3">
      <c r="A37">
        <v>2</v>
      </c>
      <c r="B37">
        <v>0</v>
      </c>
      <c r="C37" t="s">
        <v>1</v>
      </c>
      <c r="D37" t="s">
        <v>0</v>
      </c>
      <c r="E37">
        <v>47</v>
      </c>
      <c r="F37" t="s">
        <v>21</v>
      </c>
      <c r="G37" t="s">
        <v>20</v>
      </c>
      <c r="H37">
        <v>2</v>
      </c>
      <c r="I37">
        <v>0</v>
      </c>
    </row>
    <row r="38" spans="1:9" x14ac:dyDescent="0.3">
      <c r="A38">
        <v>2</v>
      </c>
      <c r="B38">
        <v>0</v>
      </c>
      <c r="C38" t="s">
        <v>1</v>
      </c>
      <c r="D38" t="s">
        <v>0</v>
      </c>
      <c r="E38">
        <v>42</v>
      </c>
      <c r="F38" t="s">
        <v>21</v>
      </c>
      <c r="G38" t="s">
        <v>20</v>
      </c>
      <c r="H38">
        <v>16</v>
      </c>
      <c r="I38">
        <v>0</v>
      </c>
    </row>
    <row r="39" spans="1:9" x14ac:dyDescent="0.3">
      <c r="A39">
        <v>2</v>
      </c>
      <c r="B39">
        <v>0</v>
      </c>
      <c r="C39" t="s">
        <v>1</v>
      </c>
      <c r="D39" t="s">
        <v>0</v>
      </c>
      <c r="E39">
        <v>74</v>
      </c>
      <c r="F39" t="s">
        <v>21</v>
      </c>
      <c r="G39" t="s">
        <v>20</v>
      </c>
      <c r="H39">
        <v>16</v>
      </c>
      <c r="I39">
        <v>0</v>
      </c>
    </row>
    <row r="40" spans="1:9" x14ac:dyDescent="0.3">
      <c r="A40">
        <v>2</v>
      </c>
      <c r="B40">
        <v>0</v>
      </c>
      <c r="C40" t="s">
        <v>1</v>
      </c>
      <c r="D40" t="s">
        <v>0</v>
      </c>
      <c r="E40">
        <v>18</v>
      </c>
      <c r="F40" t="s">
        <v>21</v>
      </c>
      <c r="G40" t="s">
        <v>20</v>
      </c>
      <c r="H40">
        <v>0</v>
      </c>
      <c r="I40">
        <v>0</v>
      </c>
    </row>
    <row r="41" spans="1:9" x14ac:dyDescent="0.3">
      <c r="A41">
        <v>2</v>
      </c>
      <c r="B41">
        <v>0</v>
      </c>
      <c r="C41" t="s">
        <v>1</v>
      </c>
      <c r="D41" t="s">
        <v>0</v>
      </c>
      <c r="E41">
        <v>32</v>
      </c>
      <c r="F41" t="s">
        <v>21</v>
      </c>
      <c r="G41" t="s">
        <v>20</v>
      </c>
      <c r="H41">
        <v>25</v>
      </c>
      <c r="I41">
        <v>0</v>
      </c>
    </row>
    <row r="42" spans="1:9" x14ac:dyDescent="0.3">
      <c r="A42">
        <v>2</v>
      </c>
      <c r="B42">
        <v>0</v>
      </c>
      <c r="C42" t="s">
        <v>1</v>
      </c>
      <c r="D42" t="s">
        <v>0</v>
      </c>
      <c r="E42">
        <v>55</v>
      </c>
      <c r="F42" t="s">
        <v>21</v>
      </c>
      <c r="G42" t="s">
        <v>20</v>
      </c>
      <c r="H42">
        <v>47</v>
      </c>
      <c r="I42">
        <v>0</v>
      </c>
    </row>
    <row r="43" spans="1:9" x14ac:dyDescent="0.3">
      <c r="A43">
        <v>2</v>
      </c>
      <c r="B43">
        <v>0</v>
      </c>
      <c r="C43" t="s">
        <v>1</v>
      </c>
      <c r="D43" t="s">
        <v>0</v>
      </c>
      <c r="E43">
        <v>41</v>
      </c>
      <c r="F43" t="s">
        <v>21</v>
      </c>
      <c r="G43" t="s">
        <v>20</v>
      </c>
      <c r="H43">
        <v>21</v>
      </c>
      <c r="I43">
        <v>0</v>
      </c>
    </row>
    <row r="44" spans="1:9" x14ac:dyDescent="0.3">
      <c r="A44">
        <v>2</v>
      </c>
      <c r="B44">
        <v>0</v>
      </c>
      <c r="C44" t="s">
        <v>1</v>
      </c>
      <c r="D44" t="s">
        <v>0</v>
      </c>
      <c r="E44">
        <v>0</v>
      </c>
      <c r="F44" t="s">
        <v>21</v>
      </c>
      <c r="G44" t="s">
        <v>20</v>
      </c>
      <c r="H44">
        <v>15</v>
      </c>
      <c r="I44">
        <v>1</v>
      </c>
    </row>
    <row r="45" spans="1:9" x14ac:dyDescent="0.3">
      <c r="A45">
        <v>2</v>
      </c>
      <c r="B45">
        <v>0</v>
      </c>
      <c r="C45" t="s">
        <v>1</v>
      </c>
      <c r="D45" t="s">
        <v>0</v>
      </c>
      <c r="E45">
        <v>48</v>
      </c>
      <c r="F45" t="s">
        <v>21</v>
      </c>
      <c r="G45" t="s">
        <v>20</v>
      </c>
      <c r="H45">
        <v>12</v>
      </c>
      <c r="I45">
        <v>0</v>
      </c>
    </row>
    <row r="46" spans="1:9" x14ac:dyDescent="0.3">
      <c r="A46">
        <v>2</v>
      </c>
      <c r="B46">
        <v>0</v>
      </c>
      <c r="C46" t="s">
        <v>1</v>
      </c>
      <c r="D46" t="s">
        <v>0</v>
      </c>
      <c r="E46">
        <v>24</v>
      </c>
      <c r="F46" t="s">
        <v>21</v>
      </c>
      <c r="G46" t="s">
        <v>20</v>
      </c>
      <c r="H46">
        <v>8</v>
      </c>
      <c r="I46">
        <v>0</v>
      </c>
    </row>
    <row r="47" spans="1:9" x14ac:dyDescent="0.3">
      <c r="A47">
        <v>2</v>
      </c>
      <c r="B47">
        <v>0</v>
      </c>
      <c r="C47" t="s">
        <v>1</v>
      </c>
      <c r="D47" t="s">
        <v>0</v>
      </c>
      <c r="E47">
        <v>34</v>
      </c>
      <c r="F47" t="s">
        <v>21</v>
      </c>
      <c r="G47" t="s">
        <v>20</v>
      </c>
      <c r="H47">
        <v>12</v>
      </c>
      <c r="I47">
        <v>0</v>
      </c>
    </row>
    <row r="48" spans="1:9" x14ac:dyDescent="0.3">
      <c r="A48">
        <v>2</v>
      </c>
      <c r="B48">
        <v>0</v>
      </c>
      <c r="C48" t="s">
        <v>1</v>
      </c>
      <c r="D48" t="s">
        <v>0</v>
      </c>
      <c r="E48">
        <v>5</v>
      </c>
      <c r="F48" t="s">
        <v>21</v>
      </c>
      <c r="G48" t="s">
        <v>20</v>
      </c>
      <c r="H48">
        <v>9</v>
      </c>
      <c r="I48">
        <v>1</v>
      </c>
    </row>
    <row r="49" spans="1:9" x14ac:dyDescent="0.3">
      <c r="A49">
        <v>2</v>
      </c>
      <c r="B49">
        <v>0</v>
      </c>
      <c r="C49" t="s">
        <v>1</v>
      </c>
      <c r="D49" t="s">
        <v>0</v>
      </c>
      <c r="E49">
        <v>23</v>
      </c>
      <c r="F49" t="s">
        <v>21</v>
      </c>
      <c r="G49" t="s">
        <v>20</v>
      </c>
      <c r="H49">
        <v>41</v>
      </c>
      <c r="I49">
        <v>1</v>
      </c>
    </row>
    <row r="50" spans="1:9" x14ac:dyDescent="0.3">
      <c r="A50">
        <v>2</v>
      </c>
      <c r="B50">
        <v>0</v>
      </c>
      <c r="C50" t="s">
        <v>1</v>
      </c>
      <c r="D50" t="s">
        <v>0</v>
      </c>
      <c r="E50">
        <v>6</v>
      </c>
      <c r="F50" t="s">
        <v>21</v>
      </c>
      <c r="G50" t="s">
        <v>20</v>
      </c>
      <c r="H50">
        <v>33</v>
      </c>
      <c r="I50">
        <v>1</v>
      </c>
    </row>
    <row r="51" spans="1:9" x14ac:dyDescent="0.3">
      <c r="A51">
        <v>2</v>
      </c>
      <c r="B51">
        <v>1</v>
      </c>
      <c r="C51" t="s">
        <v>1</v>
      </c>
      <c r="D51" t="s">
        <v>0</v>
      </c>
      <c r="E51">
        <v>2</v>
      </c>
      <c r="F51" t="s">
        <v>21</v>
      </c>
      <c r="G51" t="s">
        <v>20</v>
      </c>
      <c r="H51">
        <v>26</v>
      </c>
      <c r="I51">
        <v>1</v>
      </c>
    </row>
    <row r="52" spans="1:9" x14ac:dyDescent="0.3">
      <c r="A52">
        <v>2</v>
      </c>
      <c r="B52">
        <v>1</v>
      </c>
      <c r="C52" t="s">
        <v>1</v>
      </c>
      <c r="D52" t="s">
        <v>0</v>
      </c>
      <c r="E52">
        <v>18</v>
      </c>
      <c r="F52" t="s">
        <v>21</v>
      </c>
      <c r="G52" t="s">
        <v>20</v>
      </c>
      <c r="H52">
        <v>0</v>
      </c>
      <c r="I52">
        <v>0</v>
      </c>
    </row>
    <row r="53" spans="1:9" x14ac:dyDescent="0.3">
      <c r="A53">
        <v>2</v>
      </c>
      <c r="B53">
        <v>1</v>
      </c>
      <c r="C53" t="s">
        <v>1</v>
      </c>
      <c r="D53" t="s">
        <v>0</v>
      </c>
      <c r="E53">
        <v>34</v>
      </c>
      <c r="F53" t="s">
        <v>21</v>
      </c>
      <c r="G53" t="s">
        <v>20</v>
      </c>
      <c r="H53">
        <v>43</v>
      </c>
      <c r="I53">
        <v>1</v>
      </c>
    </row>
    <row r="54" spans="1:9" x14ac:dyDescent="0.3">
      <c r="A54">
        <v>2</v>
      </c>
      <c r="B54">
        <v>1</v>
      </c>
      <c r="C54" t="s">
        <v>1</v>
      </c>
      <c r="D54" t="s">
        <v>0</v>
      </c>
      <c r="E54">
        <v>44</v>
      </c>
      <c r="F54" t="s">
        <v>21</v>
      </c>
      <c r="G54" t="s">
        <v>20</v>
      </c>
      <c r="H54">
        <v>23</v>
      </c>
      <c r="I54">
        <v>0</v>
      </c>
    </row>
    <row r="55" spans="1:9" x14ac:dyDescent="0.3">
      <c r="A55">
        <v>2</v>
      </c>
      <c r="B55">
        <v>1</v>
      </c>
      <c r="C55" t="s">
        <v>1</v>
      </c>
      <c r="D55" t="s">
        <v>0</v>
      </c>
      <c r="E55">
        <v>6</v>
      </c>
      <c r="F55" t="s">
        <v>21</v>
      </c>
      <c r="G55" t="s">
        <v>20</v>
      </c>
      <c r="H55">
        <v>19</v>
      </c>
      <c r="I55">
        <v>1</v>
      </c>
    </row>
    <row r="56" spans="1:9" x14ac:dyDescent="0.3">
      <c r="A56">
        <v>2</v>
      </c>
      <c r="B56">
        <v>1</v>
      </c>
      <c r="C56" t="s">
        <v>1</v>
      </c>
      <c r="D56" t="s">
        <v>0</v>
      </c>
      <c r="E56">
        <v>12</v>
      </c>
      <c r="F56" t="s">
        <v>21</v>
      </c>
      <c r="G56" t="s">
        <v>20</v>
      </c>
      <c r="H56">
        <v>13</v>
      </c>
      <c r="I56">
        <v>1</v>
      </c>
    </row>
    <row r="57" spans="1:9" x14ac:dyDescent="0.3">
      <c r="A57">
        <v>2</v>
      </c>
      <c r="B57">
        <v>1</v>
      </c>
      <c r="C57" t="s">
        <v>1</v>
      </c>
      <c r="D57" t="s">
        <v>0</v>
      </c>
      <c r="E57">
        <v>42</v>
      </c>
      <c r="F57" t="s">
        <v>21</v>
      </c>
      <c r="G57" t="s">
        <v>20</v>
      </c>
      <c r="H57">
        <v>3</v>
      </c>
      <c r="I57">
        <v>0</v>
      </c>
    </row>
    <row r="58" spans="1:9" x14ac:dyDescent="0.3">
      <c r="A58">
        <v>2</v>
      </c>
      <c r="B58">
        <v>1</v>
      </c>
      <c r="C58" t="s">
        <v>1</v>
      </c>
      <c r="D58" t="s">
        <v>0</v>
      </c>
      <c r="E58">
        <v>18</v>
      </c>
      <c r="F58" t="s">
        <v>21</v>
      </c>
      <c r="G58" t="s">
        <v>20</v>
      </c>
      <c r="H58">
        <v>25</v>
      </c>
      <c r="I58">
        <v>1</v>
      </c>
    </row>
    <row r="59" spans="1:9" x14ac:dyDescent="0.3">
      <c r="A59">
        <v>2</v>
      </c>
      <c r="B59">
        <v>1</v>
      </c>
      <c r="C59" t="s">
        <v>1</v>
      </c>
      <c r="D59" t="s">
        <v>0</v>
      </c>
      <c r="E59">
        <v>41</v>
      </c>
      <c r="F59" t="s">
        <v>21</v>
      </c>
      <c r="G59" t="s">
        <v>20</v>
      </c>
      <c r="H59">
        <v>13</v>
      </c>
      <c r="I59">
        <v>0</v>
      </c>
    </row>
    <row r="60" spans="1:9" x14ac:dyDescent="0.3">
      <c r="A60">
        <v>2</v>
      </c>
      <c r="B60">
        <v>1</v>
      </c>
      <c r="C60" t="s">
        <v>1</v>
      </c>
      <c r="D60" t="s">
        <v>0</v>
      </c>
      <c r="E60">
        <v>13</v>
      </c>
      <c r="F60" t="s">
        <v>21</v>
      </c>
      <c r="G60" t="s">
        <v>20</v>
      </c>
      <c r="H60">
        <v>43</v>
      </c>
      <c r="I60">
        <v>1</v>
      </c>
    </row>
    <row r="61" spans="1:9" x14ac:dyDescent="0.3">
      <c r="A61">
        <v>2</v>
      </c>
      <c r="B61">
        <v>1</v>
      </c>
      <c r="C61" t="s">
        <v>1</v>
      </c>
      <c r="D61" t="s">
        <v>0</v>
      </c>
      <c r="E61">
        <v>17</v>
      </c>
      <c r="F61" t="s">
        <v>21</v>
      </c>
      <c r="G61" t="s">
        <v>20</v>
      </c>
      <c r="H61">
        <v>7</v>
      </c>
      <c r="I61">
        <v>0</v>
      </c>
    </row>
    <row r="62" spans="1:9" x14ac:dyDescent="0.3">
      <c r="A62">
        <v>2</v>
      </c>
      <c r="B62">
        <v>1</v>
      </c>
      <c r="C62" t="s">
        <v>1</v>
      </c>
      <c r="D62" t="s">
        <v>0</v>
      </c>
      <c r="E62">
        <v>30</v>
      </c>
      <c r="F62" t="s">
        <v>21</v>
      </c>
      <c r="G62" t="s">
        <v>20</v>
      </c>
      <c r="H62">
        <v>0</v>
      </c>
      <c r="I62">
        <v>0</v>
      </c>
    </row>
    <row r="63" spans="1:9" x14ac:dyDescent="0.3">
      <c r="A63">
        <v>2</v>
      </c>
      <c r="B63">
        <v>1</v>
      </c>
      <c r="C63" t="s">
        <v>1</v>
      </c>
      <c r="D63" t="s">
        <v>0</v>
      </c>
      <c r="E63">
        <v>36</v>
      </c>
      <c r="F63" t="s">
        <v>21</v>
      </c>
      <c r="G63" t="s">
        <v>20</v>
      </c>
      <c r="H63">
        <v>34</v>
      </c>
      <c r="I63">
        <v>0</v>
      </c>
    </row>
    <row r="64" spans="1:9" x14ac:dyDescent="0.3">
      <c r="A64">
        <v>2</v>
      </c>
      <c r="B64">
        <v>1</v>
      </c>
      <c r="C64" t="s">
        <v>1</v>
      </c>
      <c r="D64" t="s">
        <v>0</v>
      </c>
      <c r="E64">
        <v>20</v>
      </c>
      <c r="F64" t="s">
        <v>21</v>
      </c>
      <c r="G64" t="s">
        <v>20</v>
      </c>
      <c r="H64">
        <v>9</v>
      </c>
      <c r="I64">
        <v>0</v>
      </c>
    </row>
    <row r="65" spans="1:9" x14ac:dyDescent="0.3">
      <c r="A65">
        <v>2</v>
      </c>
      <c r="B65">
        <v>1</v>
      </c>
      <c r="C65" t="s">
        <v>1</v>
      </c>
      <c r="D65" t="s">
        <v>0</v>
      </c>
      <c r="E65">
        <v>7</v>
      </c>
      <c r="F65" t="s">
        <v>21</v>
      </c>
      <c r="G65" t="s">
        <v>20</v>
      </c>
      <c r="H65">
        <v>11</v>
      </c>
      <c r="I65">
        <v>1</v>
      </c>
    </row>
    <row r="66" spans="1:9" x14ac:dyDescent="0.3">
      <c r="A66">
        <v>2</v>
      </c>
      <c r="B66">
        <v>1</v>
      </c>
      <c r="C66" t="s">
        <v>1</v>
      </c>
      <c r="D66" t="s">
        <v>0</v>
      </c>
      <c r="E66">
        <v>2</v>
      </c>
      <c r="F66" t="s">
        <v>21</v>
      </c>
      <c r="G66" t="s">
        <v>20</v>
      </c>
      <c r="H66">
        <v>18</v>
      </c>
      <c r="I66">
        <v>1</v>
      </c>
    </row>
    <row r="67" spans="1:9" x14ac:dyDescent="0.3">
      <c r="A67">
        <v>2</v>
      </c>
      <c r="B67">
        <v>1</v>
      </c>
      <c r="C67" t="s">
        <v>1</v>
      </c>
      <c r="D67" t="s">
        <v>0</v>
      </c>
      <c r="E67">
        <v>34</v>
      </c>
      <c r="F67" t="s">
        <v>21</v>
      </c>
      <c r="G67" t="s">
        <v>20</v>
      </c>
      <c r="H67">
        <v>2</v>
      </c>
      <c r="I67">
        <v>0</v>
      </c>
    </row>
    <row r="68" spans="1:9" x14ac:dyDescent="0.3">
      <c r="A68">
        <v>2</v>
      </c>
      <c r="B68">
        <v>1</v>
      </c>
      <c r="C68" t="s">
        <v>1</v>
      </c>
      <c r="D68" t="s">
        <v>0</v>
      </c>
      <c r="E68">
        <v>8</v>
      </c>
      <c r="F68" t="s">
        <v>21</v>
      </c>
      <c r="G68" t="s">
        <v>20</v>
      </c>
      <c r="H68">
        <v>4</v>
      </c>
      <c r="I68">
        <v>0</v>
      </c>
    </row>
    <row r="69" spans="1:9" x14ac:dyDescent="0.3">
      <c r="A69">
        <v>2</v>
      </c>
      <c r="B69">
        <v>1</v>
      </c>
      <c r="C69" t="s">
        <v>1</v>
      </c>
      <c r="D69" t="s">
        <v>0</v>
      </c>
      <c r="E69">
        <v>27</v>
      </c>
      <c r="F69" t="s">
        <v>21</v>
      </c>
      <c r="G69" t="s">
        <v>20</v>
      </c>
      <c r="H69">
        <v>12</v>
      </c>
      <c r="I69">
        <v>0</v>
      </c>
    </row>
    <row r="70" spans="1:9" x14ac:dyDescent="0.3">
      <c r="A70">
        <v>2</v>
      </c>
      <c r="B70">
        <v>1</v>
      </c>
      <c r="C70" t="s">
        <v>1</v>
      </c>
      <c r="D70" t="s">
        <v>0</v>
      </c>
      <c r="E70">
        <v>32</v>
      </c>
      <c r="F70" t="s">
        <v>21</v>
      </c>
      <c r="G70" t="s">
        <v>20</v>
      </c>
      <c r="H70">
        <v>10</v>
      </c>
      <c r="I70">
        <v>0</v>
      </c>
    </row>
    <row r="71" spans="1:9" x14ac:dyDescent="0.3">
      <c r="A71">
        <v>2</v>
      </c>
      <c r="B71">
        <v>1</v>
      </c>
      <c r="C71" t="s">
        <v>1</v>
      </c>
      <c r="D71" t="s">
        <v>0</v>
      </c>
      <c r="E71">
        <v>16</v>
      </c>
      <c r="F71" t="s">
        <v>21</v>
      </c>
      <c r="G71" t="s">
        <v>20</v>
      </c>
      <c r="H71">
        <v>2</v>
      </c>
      <c r="I71">
        <v>0</v>
      </c>
    </row>
    <row r="72" spans="1:9" x14ac:dyDescent="0.3">
      <c r="A72">
        <v>2</v>
      </c>
      <c r="B72">
        <v>1</v>
      </c>
      <c r="C72" t="s">
        <v>1</v>
      </c>
      <c r="D72" t="s">
        <v>0</v>
      </c>
      <c r="E72">
        <v>37</v>
      </c>
      <c r="F72" t="s">
        <v>21</v>
      </c>
      <c r="G72" t="s">
        <v>20</v>
      </c>
      <c r="H72">
        <v>10</v>
      </c>
      <c r="I72">
        <v>0</v>
      </c>
    </row>
    <row r="73" spans="1:9" x14ac:dyDescent="0.3">
      <c r="A73">
        <v>2</v>
      </c>
      <c r="B73">
        <v>1</v>
      </c>
      <c r="C73" t="s">
        <v>1</v>
      </c>
      <c r="D73" t="s">
        <v>0</v>
      </c>
      <c r="E73">
        <v>49</v>
      </c>
      <c r="F73" t="s">
        <v>21</v>
      </c>
      <c r="G73" t="s">
        <v>20</v>
      </c>
      <c r="H73">
        <v>21</v>
      </c>
      <c r="I73">
        <v>0</v>
      </c>
    </row>
    <row r="74" spans="1:9" x14ac:dyDescent="0.3">
      <c r="A74">
        <v>2</v>
      </c>
      <c r="B74">
        <v>1</v>
      </c>
      <c r="C74" t="s">
        <v>1</v>
      </c>
      <c r="D74" t="s">
        <v>0</v>
      </c>
      <c r="E74">
        <v>27</v>
      </c>
      <c r="F74" t="s">
        <v>21</v>
      </c>
      <c r="G74" t="s">
        <v>20</v>
      </c>
      <c r="H74">
        <v>30</v>
      </c>
      <c r="I74">
        <v>1</v>
      </c>
    </row>
    <row r="75" spans="1:9" x14ac:dyDescent="0.3">
      <c r="A75">
        <v>2</v>
      </c>
      <c r="B75">
        <v>1</v>
      </c>
      <c r="C75" t="s">
        <v>1</v>
      </c>
      <c r="D75" t="s">
        <v>0</v>
      </c>
      <c r="E75">
        <v>20</v>
      </c>
      <c r="F75" t="s">
        <v>21</v>
      </c>
      <c r="G75" t="s">
        <v>20</v>
      </c>
      <c r="H75">
        <v>10</v>
      </c>
      <c r="I75">
        <v>0</v>
      </c>
    </row>
    <row r="76" spans="1:9" x14ac:dyDescent="0.3">
      <c r="A76">
        <v>2</v>
      </c>
      <c r="B76">
        <v>1</v>
      </c>
      <c r="C76" t="s">
        <v>1</v>
      </c>
      <c r="D76" t="s">
        <v>0</v>
      </c>
      <c r="E76">
        <v>20</v>
      </c>
      <c r="F76" t="s">
        <v>21</v>
      </c>
      <c r="G76" t="s">
        <v>20</v>
      </c>
      <c r="H76">
        <v>21</v>
      </c>
      <c r="I76">
        <v>1</v>
      </c>
    </row>
    <row r="77" spans="1:9" x14ac:dyDescent="0.3">
      <c r="A77">
        <v>2</v>
      </c>
      <c r="B77">
        <v>1</v>
      </c>
      <c r="C77" t="s">
        <v>1</v>
      </c>
      <c r="D77" t="s">
        <v>0</v>
      </c>
      <c r="E77">
        <v>17</v>
      </c>
      <c r="F77" t="s">
        <v>21</v>
      </c>
      <c r="G77" t="s">
        <v>20</v>
      </c>
      <c r="H77">
        <v>20</v>
      </c>
      <c r="I77">
        <v>1</v>
      </c>
    </row>
    <row r="78" spans="1:9" x14ac:dyDescent="0.3">
      <c r="A78">
        <v>2</v>
      </c>
      <c r="B78">
        <v>1</v>
      </c>
      <c r="C78" t="s">
        <v>1</v>
      </c>
      <c r="D78" t="s">
        <v>0</v>
      </c>
      <c r="E78">
        <v>34</v>
      </c>
      <c r="F78" t="s">
        <v>21</v>
      </c>
      <c r="G78" t="s">
        <v>20</v>
      </c>
      <c r="H78">
        <v>0</v>
      </c>
      <c r="I78">
        <v>0</v>
      </c>
    </row>
    <row r="79" spans="1:9" x14ac:dyDescent="0.3">
      <c r="A79">
        <v>2</v>
      </c>
      <c r="B79">
        <v>1</v>
      </c>
      <c r="C79" t="s">
        <v>1</v>
      </c>
      <c r="D79" t="s">
        <v>0</v>
      </c>
      <c r="E79">
        <v>49</v>
      </c>
      <c r="F79" t="s">
        <v>21</v>
      </c>
      <c r="G79" t="s">
        <v>20</v>
      </c>
      <c r="H79">
        <v>34</v>
      </c>
      <c r="I79">
        <v>0</v>
      </c>
    </row>
    <row r="80" spans="1:9" x14ac:dyDescent="0.3">
      <c r="A80">
        <v>2</v>
      </c>
      <c r="B80">
        <v>1</v>
      </c>
      <c r="C80" t="s">
        <v>1</v>
      </c>
      <c r="D80" t="s">
        <v>0</v>
      </c>
      <c r="E80">
        <v>55</v>
      </c>
      <c r="F80" t="s">
        <v>21</v>
      </c>
      <c r="G80" t="s">
        <v>20</v>
      </c>
      <c r="H80">
        <v>9</v>
      </c>
      <c r="I80">
        <v>0</v>
      </c>
    </row>
    <row r="81" spans="1:9" x14ac:dyDescent="0.3">
      <c r="A81">
        <v>2</v>
      </c>
      <c r="B81">
        <v>1</v>
      </c>
      <c r="C81" t="s">
        <v>1</v>
      </c>
      <c r="D81" t="s">
        <v>0</v>
      </c>
      <c r="E81">
        <v>13</v>
      </c>
      <c r="F81" t="s">
        <v>21</v>
      </c>
      <c r="G81" t="s">
        <v>20</v>
      </c>
      <c r="H81">
        <v>18</v>
      </c>
      <c r="I81">
        <v>1</v>
      </c>
    </row>
    <row r="82" spans="1:9" x14ac:dyDescent="0.3">
      <c r="A82">
        <v>2</v>
      </c>
      <c r="B82">
        <v>1</v>
      </c>
      <c r="C82" t="s">
        <v>1</v>
      </c>
      <c r="D82" t="s">
        <v>0</v>
      </c>
      <c r="E82">
        <v>29</v>
      </c>
      <c r="F82" t="s">
        <v>21</v>
      </c>
      <c r="G82" t="s">
        <v>20</v>
      </c>
      <c r="H82">
        <v>29</v>
      </c>
      <c r="I82">
        <v>0</v>
      </c>
    </row>
    <row r="83" spans="1:9" x14ac:dyDescent="0.3">
      <c r="A83">
        <v>2</v>
      </c>
      <c r="B83">
        <v>1</v>
      </c>
      <c r="C83" t="s">
        <v>1</v>
      </c>
      <c r="D83" t="s">
        <v>0</v>
      </c>
      <c r="E83">
        <v>3</v>
      </c>
      <c r="F83" t="s">
        <v>21</v>
      </c>
      <c r="G83" t="s">
        <v>20</v>
      </c>
      <c r="H83">
        <v>1</v>
      </c>
      <c r="I83">
        <v>0</v>
      </c>
    </row>
    <row r="84" spans="1:9" x14ac:dyDescent="0.3">
      <c r="A84">
        <v>2</v>
      </c>
      <c r="B84">
        <v>1</v>
      </c>
      <c r="C84" t="s">
        <v>1</v>
      </c>
      <c r="D84" t="s">
        <v>0</v>
      </c>
      <c r="E84">
        <v>39</v>
      </c>
      <c r="F84" t="s">
        <v>21</v>
      </c>
      <c r="G84" t="s">
        <v>20</v>
      </c>
      <c r="H84">
        <v>5</v>
      </c>
      <c r="I84">
        <v>0</v>
      </c>
    </row>
    <row r="85" spans="1:9" x14ac:dyDescent="0.3">
      <c r="A85">
        <v>2</v>
      </c>
      <c r="B85">
        <v>1</v>
      </c>
      <c r="C85" t="s">
        <v>1</v>
      </c>
      <c r="D85" t="s">
        <v>0</v>
      </c>
      <c r="E85">
        <v>50</v>
      </c>
      <c r="F85" t="s">
        <v>21</v>
      </c>
      <c r="G85" t="s">
        <v>20</v>
      </c>
      <c r="H85">
        <v>23</v>
      </c>
      <c r="I85">
        <v>0</v>
      </c>
    </row>
    <row r="86" spans="1:9" x14ac:dyDescent="0.3">
      <c r="A86">
        <v>2</v>
      </c>
      <c r="B86">
        <v>1</v>
      </c>
      <c r="C86" t="s">
        <v>1</v>
      </c>
      <c r="D86" t="s">
        <v>0</v>
      </c>
      <c r="E86">
        <v>35</v>
      </c>
      <c r="F86" t="s">
        <v>21</v>
      </c>
      <c r="G86" t="s">
        <v>20</v>
      </c>
      <c r="H86">
        <v>36</v>
      </c>
      <c r="I86">
        <v>1</v>
      </c>
    </row>
    <row r="87" spans="1:9" x14ac:dyDescent="0.3">
      <c r="A87">
        <v>2</v>
      </c>
      <c r="B87">
        <v>1</v>
      </c>
      <c r="C87" t="s">
        <v>1</v>
      </c>
      <c r="D87" t="s">
        <v>0</v>
      </c>
      <c r="E87">
        <v>15</v>
      </c>
      <c r="F87" t="s">
        <v>21</v>
      </c>
      <c r="G87" t="s">
        <v>20</v>
      </c>
      <c r="H87">
        <v>9</v>
      </c>
      <c r="I87">
        <v>0</v>
      </c>
    </row>
    <row r="88" spans="1:9" x14ac:dyDescent="0.3">
      <c r="A88">
        <v>2</v>
      </c>
      <c r="B88">
        <v>1</v>
      </c>
      <c r="C88" t="s">
        <v>1</v>
      </c>
      <c r="D88" t="s">
        <v>0</v>
      </c>
      <c r="E88">
        <v>48</v>
      </c>
      <c r="F88" t="s">
        <v>21</v>
      </c>
      <c r="G88" t="s">
        <v>20</v>
      </c>
      <c r="H88">
        <v>16</v>
      </c>
      <c r="I88">
        <v>0</v>
      </c>
    </row>
    <row r="89" spans="1:9" x14ac:dyDescent="0.3">
      <c r="A89">
        <v>2</v>
      </c>
      <c r="B89">
        <v>1</v>
      </c>
      <c r="C89" t="s">
        <v>1</v>
      </c>
      <c r="D89" t="s">
        <v>0</v>
      </c>
      <c r="E89">
        <v>7</v>
      </c>
      <c r="F89" t="s">
        <v>21</v>
      </c>
      <c r="G89" t="s">
        <v>20</v>
      </c>
      <c r="H89">
        <v>30</v>
      </c>
      <c r="I89">
        <v>1</v>
      </c>
    </row>
    <row r="90" spans="1:9" x14ac:dyDescent="0.3">
      <c r="A90">
        <v>2</v>
      </c>
      <c r="B90">
        <v>1</v>
      </c>
      <c r="C90" t="s">
        <v>1</v>
      </c>
      <c r="D90" t="s">
        <v>0</v>
      </c>
      <c r="E90">
        <v>2</v>
      </c>
      <c r="F90" t="s">
        <v>21</v>
      </c>
      <c r="G90" t="s">
        <v>20</v>
      </c>
      <c r="H90">
        <v>0</v>
      </c>
      <c r="I90">
        <v>0</v>
      </c>
    </row>
    <row r="91" spans="1:9" x14ac:dyDescent="0.3">
      <c r="A91">
        <v>2</v>
      </c>
      <c r="B91">
        <v>1</v>
      </c>
      <c r="C91" t="s">
        <v>1</v>
      </c>
      <c r="D91" t="s">
        <v>0</v>
      </c>
      <c r="E91">
        <v>28</v>
      </c>
      <c r="F91" t="s">
        <v>21</v>
      </c>
      <c r="G91" t="s">
        <v>20</v>
      </c>
      <c r="H91">
        <v>6</v>
      </c>
      <c r="I91">
        <v>0</v>
      </c>
    </row>
    <row r="92" spans="1:9" x14ac:dyDescent="0.3">
      <c r="A92">
        <v>2</v>
      </c>
      <c r="B92">
        <v>1</v>
      </c>
      <c r="C92" t="s">
        <v>1</v>
      </c>
      <c r="D92" t="s">
        <v>0</v>
      </c>
      <c r="E92">
        <v>48</v>
      </c>
      <c r="F92" t="s">
        <v>21</v>
      </c>
      <c r="G92" t="s">
        <v>20</v>
      </c>
      <c r="H92">
        <v>28</v>
      </c>
      <c r="I92">
        <v>0</v>
      </c>
    </row>
    <row r="93" spans="1:9" x14ac:dyDescent="0.3">
      <c r="A93">
        <v>2</v>
      </c>
      <c r="B93">
        <v>1</v>
      </c>
      <c r="C93" t="s">
        <v>1</v>
      </c>
      <c r="D93" t="s">
        <v>0</v>
      </c>
      <c r="E93">
        <v>50</v>
      </c>
      <c r="F93" t="s">
        <v>21</v>
      </c>
      <c r="G93" t="s">
        <v>20</v>
      </c>
      <c r="H93">
        <v>28</v>
      </c>
      <c r="I93">
        <v>0</v>
      </c>
    </row>
    <row r="94" spans="1:9" x14ac:dyDescent="0.3">
      <c r="A94">
        <v>2</v>
      </c>
      <c r="B94">
        <v>1</v>
      </c>
      <c r="C94" t="s">
        <v>1</v>
      </c>
      <c r="D94" t="s">
        <v>0</v>
      </c>
      <c r="E94">
        <v>37</v>
      </c>
      <c r="F94" t="s">
        <v>21</v>
      </c>
      <c r="G94" t="s">
        <v>20</v>
      </c>
      <c r="H94">
        <v>8</v>
      </c>
      <c r="I94">
        <v>0</v>
      </c>
    </row>
    <row r="95" spans="1:9" x14ac:dyDescent="0.3">
      <c r="A95">
        <v>2</v>
      </c>
      <c r="B95">
        <v>1</v>
      </c>
      <c r="C95" t="s">
        <v>1</v>
      </c>
      <c r="D95" t="s">
        <v>0</v>
      </c>
      <c r="E95">
        <v>43</v>
      </c>
      <c r="F95" t="s">
        <v>21</v>
      </c>
      <c r="G95" t="s">
        <v>20</v>
      </c>
      <c r="H95">
        <v>38</v>
      </c>
      <c r="I95">
        <v>0</v>
      </c>
    </row>
    <row r="96" spans="1:9" x14ac:dyDescent="0.3">
      <c r="A96">
        <v>2</v>
      </c>
      <c r="B96">
        <v>1</v>
      </c>
      <c r="C96" t="s">
        <v>1</v>
      </c>
      <c r="D96" t="s">
        <v>0</v>
      </c>
      <c r="E96">
        <v>50</v>
      </c>
      <c r="F96" t="s">
        <v>21</v>
      </c>
      <c r="G96" t="s">
        <v>20</v>
      </c>
      <c r="H96">
        <v>0</v>
      </c>
      <c r="I96">
        <v>0</v>
      </c>
    </row>
    <row r="97" spans="1:9" x14ac:dyDescent="0.3">
      <c r="A97">
        <v>2</v>
      </c>
      <c r="B97">
        <v>1</v>
      </c>
      <c r="C97" t="s">
        <v>1</v>
      </c>
      <c r="D97" t="s">
        <v>0</v>
      </c>
      <c r="E97">
        <v>19</v>
      </c>
      <c r="F97" t="s">
        <v>21</v>
      </c>
      <c r="G97" t="s">
        <v>20</v>
      </c>
      <c r="H97">
        <v>12</v>
      </c>
      <c r="I97">
        <v>0</v>
      </c>
    </row>
    <row r="98" spans="1:9" x14ac:dyDescent="0.3">
      <c r="A98">
        <v>2</v>
      </c>
      <c r="B98">
        <v>1</v>
      </c>
      <c r="C98" t="s">
        <v>1</v>
      </c>
      <c r="D98" t="s">
        <v>0</v>
      </c>
      <c r="E98">
        <v>60</v>
      </c>
      <c r="F98" t="s">
        <v>21</v>
      </c>
      <c r="G98" t="s">
        <v>20</v>
      </c>
      <c r="H98">
        <v>20</v>
      </c>
      <c r="I98">
        <v>0</v>
      </c>
    </row>
    <row r="99" spans="1:9" x14ac:dyDescent="0.3">
      <c r="A99">
        <v>2</v>
      </c>
      <c r="B99">
        <v>1</v>
      </c>
      <c r="C99" t="s">
        <v>1</v>
      </c>
      <c r="D99" t="s">
        <v>0</v>
      </c>
      <c r="E99">
        <v>24</v>
      </c>
      <c r="F99" t="s">
        <v>21</v>
      </c>
      <c r="G99" t="s">
        <v>20</v>
      </c>
      <c r="H99">
        <v>5</v>
      </c>
      <c r="I99">
        <v>0</v>
      </c>
    </row>
    <row r="100" spans="1:9" x14ac:dyDescent="0.3">
      <c r="A100">
        <v>2</v>
      </c>
      <c r="B100">
        <v>1</v>
      </c>
      <c r="C100" t="s">
        <v>1</v>
      </c>
      <c r="D100" t="s">
        <v>0</v>
      </c>
      <c r="E100">
        <v>23</v>
      </c>
      <c r="F100" t="s">
        <v>21</v>
      </c>
      <c r="G100" t="s">
        <v>20</v>
      </c>
      <c r="H100">
        <v>7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A12B-2DD9-4D19-BD1C-7610D081EF9B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</v>
      </c>
      <c r="D1" t="s">
        <v>0</v>
      </c>
      <c r="E1">
        <v>0</v>
      </c>
      <c r="F1" t="s">
        <v>23</v>
      </c>
      <c r="G1" t="s">
        <v>22</v>
      </c>
      <c r="H1">
        <v>43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</v>
      </c>
      <c r="D2" t="s">
        <v>0</v>
      </c>
      <c r="E2">
        <v>24</v>
      </c>
      <c r="F2" t="s">
        <v>23</v>
      </c>
      <c r="G2" t="s">
        <v>22</v>
      </c>
      <c r="H2">
        <v>49</v>
      </c>
      <c r="I2">
        <v>1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</v>
      </c>
      <c r="D3" t="s">
        <v>0</v>
      </c>
      <c r="E3">
        <v>45</v>
      </c>
      <c r="F3" t="s">
        <v>23</v>
      </c>
      <c r="G3" t="s">
        <v>22</v>
      </c>
      <c r="H3">
        <v>53</v>
      </c>
      <c r="I3">
        <v>1</v>
      </c>
      <c r="K3" s="8" t="s">
        <v>11</v>
      </c>
      <c r="L3" s="8"/>
      <c r="M3" s="10">
        <f>COUNTIF($I$1:$I$100, 0)</f>
        <v>70</v>
      </c>
      <c r="N3" s="10"/>
      <c r="O3" s="10">
        <f>COUNTIFS($I$1:$I$100, 0, $B$1:$B$100, 0)</f>
        <v>33</v>
      </c>
      <c r="P3" s="10"/>
      <c r="Q3" s="11">
        <f>COUNTIFS($I$1:$I$100, 0, $B$1:$B$100, 1)</f>
        <v>37</v>
      </c>
      <c r="R3" s="12"/>
      <c r="T3" cm="1">
        <f t="array" ref="T3">SUMPRODUCT(--($E$1:$E$100=$H$1:$H$100))</f>
        <v>3</v>
      </c>
    </row>
    <row r="4" spans="1:20" x14ac:dyDescent="0.3">
      <c r="A4">
        <v>2</v>
      </c>
      <c r="B4">
        <v>0</v>
      </c>
      <c r="C4" t="s">
        <v>1</v>
      </c>
      <c r="D4" t="s">
        <v>0</v>
      </c>
      <c r="E4">
        <v>23</v>
      </c>
      <c r="F4" t="s">
        <v>23</v>
      </c>
      <c r="G4" t="s">
        <v>22</v>
      </c>
      <c r="H4">
        <v>79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</v>
      </c>
      <c r="D5" t="s">
        <v>0</v>
      </c>
      <c r="E5">
        <v>50</v>
      </c>
      <c r="F5" t="s">
        <v>23</v>
      </c>
      <c r="G5" t="s">
        <v>22</v>
      </c>
      <c r="H5">
        <v>46</v>
      </c>
      <c r="I5">
        <v>0</v>
      </c>
      <c r="K5" s="8" t="s">
        <v>10</v>
      </c>
      <c r="L5" s="8"/>
      <c r="M5" s="14">
        <f>COUNTIF($I$1:$I$100, 1)</f>
        <v>30</v>
      </c>
      <c r="N5" s="10"/>
      <c r="O5" s="10">
        <f>COUNTIFS($I$1:$I$100, 1, $B$1:$B$100, 0)</f>
        <v>17</v>
      </c>
      <c r="P5" s="10"/>
      <c r="Q5" s="10">
        <f>COUNTIFS($I$1:$I$100, 1, $B$1:$B$100, 1)</f>
        <v>13</v>
      </c>
      <c r="R5" s="13"/>
    </row>
    <row r="6" spans="1:20" x14ac:dyDescent="0.3">
      <c r="A6">
        <v>2</v>
      </c>
      <c r="B6">
        <v>0</v>
      </c>
      <c r="C6" t="s">
        <v>1</v>
      </c>
      <c r="D6" t="s">
        <v>0</v>
      </c>
      <c r="E6">
        <v>0</v>
      </c>
      <c r="F6" t="s">
        <v>23</v>
      </c>
      <c r="G6" t="s">
        <v>22</v>
      </c>
      <c r="H6">
        <v>33</v>
      </c>
      <c r="I6">
        <v>1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</v>
      </c>
      <c r="D7" t="s">
        <v>0</v>
      </c>
      <c r="E7">
        <v>30</v>
      </c>
      <c r="F7" t="s">
        <v>23</v>
      </c>
      <c r="G7" t="s">
        <v>22</v>
      </c>
      <c r="H7">
        <v>40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</v>
      </c>
      <c r="D8" t="s">
        <v>0</v>
      </c>
      <c r="E8">
        <v>34</v>
      </c>
      <c r="F8" t="s">
        <v>23</v>
      </c>
      <c r="G8" t="s">
        <v>22</v>
      </c>
      <c r="H8">
        <v>56</v>
      </c>
      <c r="I8">
        <v>1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</v>
      </c>
      <c r="D9" t="s">
        <v>0</v>
      </c>
      <c r="E9">
        <v>46</v>
      </c>
      <c r="F9" t="s">
        <v>23</v>
      </c>
      <c r="G9" t="s">
        <v>22</v>
      </c>
      <c r="H9">
        <v>20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</v>
      </c>
      <c r="D10" t="s">
        <v>0</v>
      </c>
      <c r="E10">
        <v>42</v>
      </c>
      <c r="F10" t="s">
        <v>23</v>
      </c>
      <c r="G10" t="s">
        <v>22</v>
      </c>
      <c r="H10">
        <v>29</v>
      </c>
      <c r="I10">
        <v>0</v>
      </c>
      <c r="K10" s="8" t="s">
        <v>6</v>
      </c>
      <c r="L10" s="8"/>
      <c r="M10" s="10">
        <f>AVERAGE($E$1:$E$100,)</f>
        <v>41.980198019801982</v>
      </c>
      <c r="N10" s="10"/>
      <c r="O10" s="10" cm="1">
        <f t="array" ref="O10">AVERAGE(_xlfn._xlws.FILTER($E$1:$E$100,$I$1:$I$100 = 0))</f>
        <v>49.2</v>
      </c>
      <c r="P10" s="10"/>
      <c r="Q10" s="11" cm="1">
        <f t="array" ref="Q10">AVERAGE(_xlfn._xlws.FILTER($E$1:$E$100,$I$1:$I$100 = 1))</f>
        <v>26.533333333333335</v>
      </c>
      <c r="R10" s="12"/>
    </row>
    <row r="11" spans="1:20" x14ac:dyDescent="0.3">
      <c r="A11">
        <v>2</v>
      </c>
      <c r="B11">
        <v>0</v>
      </c>
      <c r="C11" t="s">
        <v>1</v>
      </c>
      <c r="D11" t="s">
        <v>0</v>
      </c>
      <c r="E11">
        <v>45</v>
      </c>
      <c r="F11" t="s">
        <v>23</v>
      </c>
      <c r="G11" t="s">
        <v>22</v>
      </c>
      <c r="H11">
        <v>31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</v>
      </c>
      <c r="D12" t="s">
        <v>0</v>
      </c>
      <c r="E12">
        <v>32</v>
      </c>
      <c r="F12" t="s">
        <v>23</v>
      </c>
      <c r="G12" t="s">
        <v>22</v>
      </c>
      <c r="H12">
        <v>47</v>
      </c>
      <c r="I12">
        <v>1</v>
      </c>
      <c r="K12" s="8" t="s">
        <v>5</v>
      </c>
      <c r="L12" s="8"/>
      <c r="M12" s="10">
        <f>AVERAGE($H$1:$H$100,)</f>
        <v>32.415841584158414</v>
      </c>
      <c r="N12" s="10"/>
      <c r="O12" s="10" cm="1">
        <f t="array" ref="O12">AVERAGE(_xlfn._xlws.FILTER($H$1:$H$100,$I$1:$I$100 = 0))</f>
        <v>27.314285714285713</v>
      </c>
      <c r="P12" s="10"/>
      <c r="Q12" s="10" cm="1">
        <f t="array" ref="Q12">AVERAGE(_xlfn._xlws.FILTER($H$1:$H$100,$I$1:$I$100 = 1))</f>
        <v>45.4</v>
      </c>
      <c r="R12" s="13"/>
    </row>
    <row r="13" spans="1:20" x14ac:dyDescent="0.3">
      <c r="A13">
        <v>2</v>
      </c>
      <c r="B13">
        <v>0</v>
      </c>
      <c r="C13" t="s">
        <v>1</v>
      </c>
      <c r="D13" t="s">
        <v>0</v>
      </c>
      <c r="E13">
        <v>40</v>
      </c>
      <c r="F13" t="s">
        <v>23</v>
      </c>
      <c r="G13" t="s">
        <v>22</v>
      </c>
      <c r="H13">
        <v>45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</v>
      </c>
      <c r="D14" t="s">
        <v>0</v>
      </c>
      <c r="E14">
        <v>31</v>
      </c>
      <c r="F14" t="s">
        <v>23</v>
      </c>
      <c r="G14" t="s">
        <v>22</v>
      </c>
      <c r="H14">
        <v>23</v>
      </c>
      <c r="I14">
        <v>0</v>
      </c>
      <c r="K14" s="19" t="s">
        <v>4</v>
      </c>
      <c r="L14" s="12"/>
      <c r="M14" s="20" cm="1">
        <f t="array" ref="M14">AVERAGE($E$1:$E$100 - $H$1:$H$100)</f>
        <v>9.66</v>
      </c>
      <c r="N14" s="20"/>
      <c r="O14" s="20" cm="1">
        <f t="array" ref="O14">AVERAGE(_xlfn._xlws.FILTER($E$1:$E$100 - $H$1:$H$100, I$1:I$100 = 0))</f>
        <v>21.885714285714286</v>
      </c>
      <c r="P14" s="20"/>
      <c r="Q14" s="20" cm="1">
        <f t="array" ref="Q14">AVERAGE(_xlfn._xlws.FILTER($E$1:$E$100 - $H$1:$H$100, I$1:I$100 = 1))</f>
        <v>-18.866666666666667</v>
      </c>
      <c r="R14" s="22"/>
    </row>
    <row r="15" spans="1:20" x14ac:dyDescent="0.3">
      <c r="A15">
        <v>2</v>
      </c>
      <c r="B15">
        <v>0</v>
      </c>
      <c r="C15" t="s">
        <v>1</v>
      </c>
      <c r="D15" t="s">
        <v>0</v>
      </c>
      <c r="E15">
        <v>50</v>
      </c>
      <c r="F15" t="s">
        <v>23</v>
      </c>
      <c r="G15" t="s">
        <v>22</v>
      </c>
      <c r="H15">
        <v>23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</v>
      </c>
      <c r="D16" t="s">
        <v>0</v>
      </c>
      <c r="E16">
        <v>29</v>
      </c>
      <c r="F16" t="s">
        <v>23</v>
      </c>
      <c r="G16" t="s">
        <v>22</v>
      </c>
      <c r="H16">
        <v>28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</v>
      </c>
      <c r="D17" t="s">
        <v>0</v>
      </c>
      <c r="E17">
        <v>40</v>
      </c>
      <c r="F17" t="s">
        <v>23</v>
      </c>
      <c r="G17" t="s">
        <v>22</v>
      </c>
      <c r="H17">
        <v>43</v>
      </c>
      <c r="I17">
        <v>1</v>
      </c>
    </row>
    <row r="18" spans="1:9" x14ac:dyDescent="0.3">
      <c r="A18">
        <v>2</v>
      </c>
      <c r="B18">
        <v>0</v>
      </c>
      <c r="C18" t="s">
        <v>1</v>
      </c>
      <c r="D18" t="s">
        <v>0</v>
      </c>
      <c r="E18">
        <v>36</v>
      </c>
      <c r="F18" t="s">
        <v>23</v>
      </c>
      <c r="G18" t="s">
        <v>22</v>
      </c>
      <c r="H18">
        <v>38</v>
      </c>
      <c r="I18">
        <v>1</v>
      </c>
    </row>
    <row r="19" spans="1:9" x14ac:dyDescent="0.3">
      <c r="A19">
        <v>2</v>
      </c>
      <c r="B19">
        <v>0</v>
      </c>
      <c r="C19" t="s">
        <v>1</v>
      </c>
      <c r="D19" t="s">
        <v>0</v>
      </c>
      <c r="E19">
        <v>52</v>
      </c>
      <c r="F19" t="s">
        <v>23</v>
      </c>
      <c r="G19" t="s">
        <v>22</v>
      </c>
      <c r="H19">
        <v>42</v>
      </c>
      <c r="I19">
        <v>0</v>
      </c>
    </row>
    <row r="20" spans="1:9" x14ac:dyDescent="0.3">
      <c r="A20">
        <v>2</v>
      </c>
      <c r="B20">
        <v>0</v>
      </c>
      <c r="C20" t="s">
        <v>1</v>
      </c>
      <c r="D20" t="s">
        <v>0</v>
      </c>
      <c r="E20">
        <v>16</v>
      </c>
      <c r="F20" t="s">
        <v>23</v>
      </c>
      <c r="G20" t="s">
        <v>22</v>
      </c>
      <c r="H20">
        <v>31</v>
      </c>
      <c r="I20">
        <v>1</v>
      </c>
    </row>
    <row r="21" spans="1:9" x14ac:dyDescent="0.3">
      <c r="A21">
        <v>2</v>
      </c>
      <c r="B21">
        <v>0</v>
      </c>
      <c r="C21" t="s">
        <v>1</v>
      </c>
      <c r="D21" t="s">
        <v>0</v>
      </c>
      <c r="E21">
        <v>2</v>
      </c>
      <c r="F21" t="s">
        <v>23</v>
      </c>
      <c r="G21" t="s">
        <v>22</v>
      </c>
      <c r="H21">
        <v>48</v>
      </c>
      <c r="I21">
        <v>1</v>
      </c>
    </row>
    <row r="22" spans="1:9" x14ac:dyDescent="0.3">
      <c r="A22">
        <v>2</v>
      </c>
      <c r="B22">
        <v>0</v>
      </c>
      <c r="C22" t="s">
        <v>1</v>
      </c>
      <c r="D22" t="s">
        <v>0</v>
      </c>
      <c r="E22">
        <v>47</v>
      </c>
      <c r="F22" t="s">
        <v>23</v>
      </c>
      <c r="G22" t="s">
        <v>22</v>
      </c>
      <c r="H22">
        <v>23</v>
      </c>
      <c r="I22">
        <v>0</v>
      </c>
    </row>
    <row r="23" spans="1:9" x14ac:dyDescent="0.3">
      <c r="A23">
        <v>2</v>
      </c>
      <c r="B23">
        <v>0</v>
      </c>
      <c r="C23" t="s">
        <v>1</v>
      </c>
      <c r="D23" t="s">
        <v>0</v>
      </c>
      <c r="E23">
        <v>42</v>
      </c>
      <c r="F23" t="s">
        <v>23</v>
      </c>
      <c r="G23" t="s">
        <v>22</v>
      </c>
      <c r="H23">
        <v>13</v>
      </c>
      <c r="I23">
        <v>0</v>
      </c>
    </row>
    <row r="24" spans="1:9" x14ac:dyDescent="0.3">
      <c r="A24">
        <v>2</v>
      </c>
      <c r="B24">
        <v>0</v>
      </c>
      <c r="C24" t="s">
        <v>1</v>
      </c>
      <c r="D24" t="s">
        <v>0</v>
      </c>
      <c r="E24">
        <v>33</v>
      </c>
      <c r="F24" t="s">
        <v>23</v>
      </c>
      <c r="G24" t="s">
        <v>22</v>
      </c>
      <c r="H24">
        <v>25</v>
      </c>
      <c r="I24">
        <v>0</v>
      </c>
    </row>
    <row r="25" spans="1:9" x14ac:dyDescent="0.3">
      <c r="A25">
        <v>2</v>
      </c>
      <c r="B25">
        <v>0</v>
      </c>
      <c r="C25" t="s">
        <v>1</v>
      </c>
      <c r="D25" t="s">
        <v>0</v>
      </c>
      <c r="E25">
        <v>45</v>
      </c>
      <c r="F25" t="s">
        <v>23</v>
      </c>
      <c r="G25" t="s">
        <v>22</v>
      </c>
      <c r="H25">
        <v>53</v>
      </c>
      <c r="I25">
        <v>1</v>
      </c>
    </row>
    <row r="26" spans="1:9" x14ac:dyDescent="0.3">
      <c r="A26">
        <v>2</v>
      </c>
      <c r="B26">
        <v>0</v>
      </c>
      <c r="C26" t="s">
        <v>1</v>
      </c>
      <c r="D26" t="s">
        <v>0</v>
      </c>
      <c r="E26">
        <v>47</v>
      </c>
      <c r="F26" t="s">
        <v>23</v>
      </c>
      <c r="G26" t="s">
        <v>22</v>
      </c>
      <c r="H26">
        <v>11</v>
      </c>
      <c r="I26">
        <v>0</v>
      </c>
    </row>
    <row r="27" spans="1:9" x14ac:dyDescent="0.3">
      <c r="A27">
        <v>2</v>
      </c>
      <c r="B27">
        <v>0</v>
      </c>
      <c r="C27" t="s">
        <v>1</v>
      </c>
      <c r="D27" t="s">
        <v>0</v>
      </c>
      <c r="E27">
        <v>27</v>
      </c>
      <c r="F27" t="s">
        <v>23</v>
      </c>
      <c r="G27" t="s">
        <v>22</v>
      </c>
      <c r="H27">
        <v>24</v>
      </c>
      <c r="I27">
        <v>0</v>
      </c>
    </row>
    <row r="28" spans="1:9" x14ac:dyDescent="0.3">
      <c r="A28">
        <v>2</v>
      </c>
      <c r="B28">
        <v>0</v>
      </c>
      <c r="C28" t="s">
        <v>1</v>
      </c>
      <c r="D28" t="s">
        <v>0</v>
      </c>
      <c r="E28">
        <v>48</v>
      </c>
      <c r="F28" t="s">
        <v>23</v>
      </c>
      <c r="G28" t="s">
        <v>22</v>
      </c>
      <c r="H28">
        <v>24</v>
      </c>
      <c r="I28">
        <v>0</v>
      </c>
    </row>
    <row r="29" spans="1:9" x14ac:dyDescent="0.3">
      <c r="A29">
        <v>2</v>
      </c>
      <c r="B29">
        <v>0</v>
      </c>
      <c r="C29" t="s">
        <v>1</v>
      </c>
      <c r="D29" t="s">
        <v>0</v>
      </c>
      <c r="E29">
        <v>55</v>
      </c>
      <c r="F29" t="s">
        <v>23</v>
      </c>
      <c r="G29" t="s">
        <v>22</v>
      </c>
      <c r="H29">
        <v>33</v>
      </c>
      <c r="I29">
        <v>0</v>
      </c>
    </row>
    <row r="30" spans="1:9" x14ac:dyDescent="0.3">
      <c r="A30">
        <v>2</v>
      </c>
      <c r="B30">
        <v>0</v>
      </c>
      <c r="C30" t="s">
        <v>1</v>
      </c>
      <c r="D30" t="s">
        <v>0</v>
      </c>
      <c r="E30">
        <v>10</v>
      </c>
      <c r="F30" t="s">
        <v>23</v>
      </c>
      <c r="G30" t="s">
        <v>22</v>
      </c>
      <c r="H30">
        <v>51</v>
      </c>
      <c r="I30">
        <v>1</v>
      </c>
    </row>
    <row r="31" spans="1:9" x14ac:dyDescent="0.3">
      <c r="A31">
        <v>2</v>
      </c>
      <c r="B31">
        <v>0</v>
      </c>
      <c r="C31" t="s">
        <v>1</v>
      </c>
      <c r="D31" t="s">
        <v>0</v>
      </c>
      <c r="E31">
        <v>31</v>
      </c>
      <c r="F31" t="s">
        <v>23</v>
      </c>
      <c r="G31" t="s">
        <v>22</v>
      </c>
      <c r="H31">
        <v>57</v>
      </c>
      <c r="I31">
        <v>1</v>
      </c>
    </row>
    <row r="32" spans="1:9" x14ac:dyDescent="0.3">
      <c r="A32">
        <v>2</v>
      </c>
      <c r="B32">
        <v>0</v>
      </c>
      <c r="C32" t="s">
        <v>1</v>
      </c>
      <c r="D32" t="s">
        <v>0</v>
      </c>
      <c r="E32">
        <v>45</v>
      </c>
      <c r="F32" t="s">
        <v>23</v>
      </c>
      <c r="G32" t="s">
        <v>22</v>
      </c>
      <c r="H32">
        <v>32</v>
      </c>
      <c r="I32">
        <v>0</v>
      </c>
    </row>
    <row r="33" spans="1:9" x14ac:dyDescent="0.3">
      <c r="A33">
        <v>2</v>
      </c>
      <c r="B33">
        <v>0</v>
      </c>
      <c r="C33" t="s">
        <v>1</v>
      </c>
      <c r="D33" t="s">
        <v>0</v>
      </c>
      <c r="E33">
        <v>52</v>
      </c>
      <c r="F33" t="s">
        <v>23</v>
      </c>
      <c r="G33" t="s">
        <v>22</v>
      </c>
      <c r="H33">
        <v>10</v>
      </c>
      <c r="I33">
        <v>0</v>
      </c>
    </row>
    <row r="34" spans="1:9" x14ac:dyDescent="0.3">
      <c r="A34">
        <v>2</v>
      </c>
      <c r="B34">
        <v>0</v>
      </c>
      <c r="C34" t="s">
        <v>1</v>
      </c>
      <c r="D34" t="s">
        <v>0</v>
      </c>
      <c r="E34">
        <v>21</v>
      </c>
      <c r="F34" t="s">
        <v>23</v>
      </c>
      <c r="G34" t="s">
        <v>22</v>
      </c>
      <c r="H34">
        <v>21</v>
      </c>
      <c r="I34">
        <v>0</v>
      </c>
    </row>
    <row r="35" spans="1:9" x14ac:dyDescent="0.3">
      <c r="A35">
        <v>2</v>
      </c>
      <c r="B35">
        <v>0</v>
      </c>
      <c r="C35" t="s">
        <v>1</v>
      </c>
      <c r="D35" t="s">
        <v>0</v>
      </c>
      <c r="E35">
        <v>36</v>
      </c>
      <c r="F35" t="s">
        <v>23</v>
      </c>
      <c r="G35" t="s">
        <v>22</v>
      </c>
      <c r="H35">
        <v>14</v>
      </c>
      <c r="I35">
        <v>0</v>
      </c>
    </row>
    <row r="36" spans="1:9" x14ac:dyDescent="0.3">
      <c r="A36">
        <v>2</v>
      </c>
      <c r="B36">
        <v>0</v>
      </c>
      <c r="C36" t="s">
        <v>1</v>
      </c>
      <c r="D36" t="s">
        <v>0</v>
      </c>
      <c r="E36">
        <v>38</v>
      </c>
      <c r="F36" t="s">
        <v>23</v>
      </c>
      <c r="G36" t="s">
        <v>22</v>
      </c>
      <c r="H36">
        <v>29</v>
      </c>
      <c r="I36">
        <v>0</v>
      </c>
    </row>
    <row r="37" spans="1:9" x14ac:dyDescent="0.3">
      <c r="A37">
        <v>2</v>
      </c>
      <c r="B37">
        <v>0</v>
      </c>
      <c r="C37" t="s">
        <v>1</v>
      </c>
      <c r="D37" t="s">
        <v>0</v>
      </c>
      <c r="E37">
        <v>21</v>
      </c>
      <c r="F37" t="s">
        <v>23</v>
      </c>
      <c r="G37" t="s">
        <v>22</v>
      </c>
      <c r="H37">
        <v>18</v>
      </c>
      <c r="I37">
        <v>0</v>
      </c>
    </row>
    <row r="38" spans="1:9" x14ac:dyDescent="0.3">
      <c r="A38">
        <v>2</v>
      </c>
      <c r="B38">
        <v>0</v>
      </c>
      <c r="C38" t="s">
        <v>1</v>
      </c>
      <c r="D38" t="s">
        <v>0</v>
      </c>
      <c r="E38">
        <v>40</v>
      </c>
      <c r="F38" t="s">
        <v>23</v>
      </c>
      <c r="G38" t="s">
        <v>22</v>
      </c>
      <c r="H38">
        <v>24</v>
      </c>
      <c r="I38">
        <v>0</v>
      </c>
    </row>
    <row r="39" spans="1:9" x14ac:dyDescent="0.3">
      <c r="A39">
        <v>2</v>
      </c>
      <c r="B39">
        <v>0</v>
      </c>
      <c r="C39" t="s">
        <v>1</v>
      </c>
      <c r="D39" t="s">
        <v>0</v>
      </c>
      <c r="E39">
        <v>37</v>
      </c>
      <c r="F39" t="s">
        <v>23</v>
      </c>
      <c r="G39" t="s">
        <v>22</v>
      </c>
      <c r="H39">
        <v>50</v>
      </c>
      <c r="I39">
        <v>1</v>
      </c>
    </row>
    <row r="40" spans="1:9" x14ac:dyDescent="0.3">
      <c r="A40">
        <v>2</v>
      </c>
      <c r="B40">
        <v>0</v>
      </c>
      <c r="C40" t="s">
        <v>1</v>
      </c>
      <c r="D40" t="s">
        <v>0</v>
      </c>
      <c r="E40">
        <v>74</v>
      </c>
      <c r="F40" t="s">
        <v>23</v>
      </c>
      <c r="G40" t="s">
        <v>22</v>
      </c>
      <c r="H40">
        <v>34</v>
      </c>
      <c r="I40">
        <v>0</v>
      </c>
    </row>
    <row r="41" spans="1:9" x14ac:dyDescent="0.3">
      <c r="A41">
        <v>2</v>
      </c>
      <c r="B41">
        <v>0</v>
      </c>
      <c r="C41" t="s">
        <v>1</v>
      </c>
      <c r="D41" t="s">
        <v>0</v>
      </c>
      <c r="E41">
        <v>55</v>
      </c>
      <c r="F41" t="s">
        <v>23</v>
      </c>
      <c r="G41" t="s">
        <v>22</v>
      </c>
      <c r="H41">
        <v>34</v>
      </c>
      <c r="I41">
        <v>0</v>
      </c>
    </row>
    <row r="42" spans="1:9" x14ac:dyDescent="0.3">
      <c r="A42">
        <v>2</v>
      </c>
      <c r="B42">
        <v>0</v>
      </c>
      <c r="C42" t="s">
        <v>1</v>
      </c>
      <c r="D42" t="s">
        <v>0</v>
      </c>
      <c r="E42">
        <v>48</v>
      </c>
      <c r="F42" t="s">
        <v>23</v>
      </c>
      <c r="G42" t="s">
        <v>22</v>
      </c>
      <c r="H42">
        <v>31</v>
      </c>
      <c r="I42">
        <v>0</v>
      </c>
    </row>
    <row r="43" spans="1:9" x14ac:dyDescent="0.3">
      <c r="A43">
        <v>2</v>
      </c>
      <c r="B43">
        <v>0</v>
      </c>
      <c r="C43" t="s">
        <v>1</v>
      </c>
      <c r="D43" t="s">
        <v>0</v>
      </c>
      <c r="E43">
        <v>66</v>
      </c>
      <c r="F43" t="s">
        <v>23</v>
      </c>
      <c r="G43" t="s">
        <v>22</v>
      </c>
      <c r="H43">
        <v>38</v>
      </c>
      <c r="I43">
        <v>0</v>
      </c>
    </row>
    <row r="44" spans="1:9" x14ac:dyDescent="0.3">
      <c r="A44">
        <v>2</v>
      </c>
      <c r="B44">
        <v>0</v>
      </c>
      <c r="C44" t="s">
        <v>1</v>
      </c>
      <c r="D44" t="s">
        <v>0</v>
      </c>
      <c r="E44">
        <v>75</v>
      </c>
      <c r="F44" t="s">
        <v>23</v>
      </c>
      <c r="G44" t="s">
        <v>22</v>
      </c>
      <c r="H44">
        <v>22</v>
      </c>
      <c r="I44">
        <v>0</v>
      </c>
    </row>
    <row r="45" spans="1:9" x14ac:dyDescent="0.3">
      <c r="A45">
        <v>2</v>
      </c>
      <c r="B45">
        <v>0</v>
      </c>
      <c r="C45" t="s">
        <v>1</v>
      </c>
      <c r="D45" t="s">
        <v>0</v>
      </c>
      <c r="E45">
        <v>46</v>
      </c>
      <c r="F45" t="s">
        <v>23</v>
      </c>
      <c r="G45" t="s">
        <v>22</v>
      </c>
      <c r="H45">
        <v>21</v>
      </c>
      <c r="I45">
        <v>0</v>
      </c>
    </row>
    <row r="46" spans="1:9" x14ac:dyDescent="0.3">
      <c r="A46">
        <v>2</v>
      </c>
      <c r="B46">
        <v>0</v>
      </c>
      <c r="C46" t="s">
        <v>1</v>
      </c>
      <c r="D46" t="s">
        <v>0</v>
      </c>
      <c r="E46">
        <v>53</v>
      </c>
      <c r="F46" t="s">
        <v>23</v>
      </c>
      <c r="G46" t="s">
        <v>22</v>
      </c>
      <c r="H46">
        <v>50</v>
      </c>
      <c r="I46">
        <v>0</v>
      </c>
    </row>
    <row r="47" spans="1:9" x14ac:dyDescent="0.3">
      <c r="A47">
        <v>2</v>
      </c>
      <c r="B47">
        <v>0</v>
      </c>
      <c r="C47" t="s">
        <v>1</v>
      </c>
      <c r="D47" t="s">
        <v>0</v>
      </c>
      <c r="E47">
        <v>48</v>
      </c>
      <c r="F47" t="s">
        <v>23</v>
      </c>
      <c r="G47" t="s">
        <v>22</v>
      </c>
      <c r="H47">
        <v>29</v>
      </c>
      <c r="I47">
        <v>0</v>
      </c>
    </row>
    <row r="48" spans="1:9" x14ac:dyDescent="0.3">
      <c r="A48">
        <v>2</v>
      </c>
      <c r="B48">
        <v>0</v>
      </c>
      <c r="C48" t="s">
        <v>1</v>
      </c>
      <c r="D48" t="s">
        <v>0</v>
      </c>
      <c r="E48">
        <v>32</v>
      </c>
      <c r="F48" t="s">
        <v>23</v>
      </c>
      <c r="G48" t="s">
        <v>22</v>
      </c>
      <c r="H48">
        <v>30</v>
      </c>
      <c r="I48">
        <v>0</v>
      </c>
    </row>
    <row r="49" spans="1:9" x14ac:dyDescent="0.3">
      <c r="A49">
        <v>2</v>
      </c>
      <c r="B49">
        <v>0</v>
      </c>
      <c r="C49" t="s">
        <v>1</v>
      </c>
      <c r="D49" t="s">
        <v>0</v>
      </c>
      <c r="E49">
        <v>64</v>
      </c>
      <c r="F49" t="s">
        <v>23</v>
      </c>
      <c r="G49" t="s">
        <v>22</v>
      </c>
      <c r="H49">
        <v>31</v>
      </c>
      <c r="I49">
        <v>0</v>
      </c>
    </row>
    <row r="50" spans="1:9" x14ac:dyDescent="0.3">
      <c r="A50">
        <v>2</v>
      </c>
      <c r="B50">
        <v>0</v>
      </c>
      <c r="C50" t="s">
        <v>1</v>
      </c>
      <c r="D50" t="s">
        <v>0</v>
      </c>
      <c r="E50">
        <v>53</v>
      </c>
      <c r="F50" t="s">
        <v>23</v>
      </c>
      <c r="G50" t="s">
        <v>22</v>
      </c>
      <c r="H50">
        <v>12</v>
      </c>
      <c r="I50">
        <v>0</v>
      </c>
    </row>
    <row r="51" spans="1:9" x14ac:dyDescent="0.3">
      <c r="A51">
        <v>2</v>
      </c>
      <c r="B51">
        <v>1</v>
      </c>
      <c r="C51" t="s">
        <v>1</v>
      </c>
      <c r="D51" t="s">
        <v>0</v>
      </c>
      <c r="E51">
        <v>17</v>
      </c>
      <c r="F51" t="s">
        <v>23</v>
      </c>
      <c r="G51" t="s">
        <v>22</v>
      </c>
      <c r="H51">
        <v>42</v>
      </c>
      <c r="I51">
        <v>1</v>
      </c>
    </row>
    <row r="52" spans="1:9" x14ac:dyDescent="0.3">
      <c r="A52">
        <v>2</v>
      </c>
      <c r="B52">
        <v>1</v>
      </c>
      <c r="C52" t="s">
        <v>1</v>
      </c>
      <c r="D52" t="s">
        <v>0</v>
      </c>
      <c r="E52">
        <v>49</v>
      </c>
      <c r="F52" t="s">
        <v>23</v>
      </c>
      <c r="G52" t="s">
        <v>22</v>
      </c>
      <c r="H52">
        <v>52</v>
      </c>
      <c r="I52">
        <v>1</v>
      </c>
    </row>
    <row r="53" spans="1:9" x14ac:dyDescent="0.3">
      <c r="A53">
        <v>2</v>
      </c>
      <c r="B53">
        <v>1</v>
      </c>
      <c r="C53" t="s">
        <v>1</v>
      </c>
      <c r="D53" t="s">
        <v>0</v>
      </c>
      <c r="E53">
        <v>57</v>
      </c>
      <c r="F53" t="s">
        <v>23</v>
      </c>
      <c r="G53" t="s">
        <v>22</v>
      </c>
      <c r="H53">
        <v>40</v>
      </c>
      <c r="I53">
        <v>0</v>
      </c>
    </row>
    <row r="54" spans="1:9" x14ac:dyDescent="0.3">
      <c r="A54">
        <v>2</v>
      </c>
      <c r="B54">
        <v>1</v>
      </c>
      <c r="C54" t="s">
        <v>1</v>
      </c>
      <c r="D54" t="s">
        <v>0</v>
      </c>
      <c r="E54">
        <v>47</v>
      </c>
      <c r="F54" t="s">
        <v>23</v>
      </c>
      <c r="G54" t="s">
        <v>22</v>
      </c>
      <c r="H54">
        <v>40</v>
      </c>
      <c r="I54">
        <v>0</v>
      </c>
    </row>
    <row r="55" spans="1:9" x14ac:dyDescent="0.3">
      <c r="A55">
        <v>2</v>
      </c>
      <c r="B55">
        <v>1</v>
      </c>
      <c r="C55" t="s">
        <v>1</v>
      </c>
      <c r="D55" t="s">
        <v>0</v>
      </c>
      <c r="E55">
        <v>55</v>
      </c>
      <c r="F55" t="s">
        <v>23</v>
      </c>
      <c r="G55" t="s">
        <v>22</v>
      </c>
      <c r="H55">
        <v>26</v>
      </c>
      <c r="I55">
        <v>0</v>
      </c>
    </row>
    <row r="56" spans="1:9" x14ac:dyDescent="0.3">
      <c r="A56">
        <v>2</v>
      </c>
      <c r="B56">
        <v>1</v>
      </c>
      <c r="C56" t="s">
        <v>1</v>
      </c>
      <c r="D56" t="s">
        <v>0</v>
      </c>
      <c r="E56">
        <v>72</v>
      </c>
      <c r="F56" t="s">
        <v>23</v>
      </c>
      <c r="G56" t="s">
        <v>22</v>
      </c>
      <c r="H56">
        <v>43</v>
      </c>
      <c r="I56">
        <v>0</v>
      </c>
    </row>
    <row r="57" spans="1:9" x14ac:dyDescent="0.3">
      <c r="A57">
        <v>2</v>
      </c>
      <c r="B57">
        <v>1</v>
      </c>
      <c r="C57" t="s">
        <v>1</v>
      </c>
      <c r="D57" t="s">
        <v>0</v>
      </c>
      <c r="E57">
        <v>69</v>
      </c>
      <c r="F57" t="s">
        <v>23</v>
      </c>
      <c r="G57" t="s">
        <v>22</v>
      </c>
      <c r="H57">
        <v>24</v>
      </c>
      <c r="I57">
        <v>0</v>
      </c>
    </row>
    <row r="58" spans="1:9" x14ac:dyDescent="0.3">
      <c r="A58">
        <v>2</v>
      </c>
      <c r="B58">
        <v>1</v>
      </c>
      <c r="C58" t="s">
        <v>1</v>
      </c>
      <c r="D58" t="s">
        <v>0</v>
      </c>
      <c r="E58">
        <v>56</v>
      </c>
      <c r="F58" t="s">
        <v>23</v>
      </c>
      <c r="G58" t="s">
        <v>22</v>
      </c>
      <c r="H58">
        <v>37</v>
      </c>
      <c r="I58">
        <v>0</v>
      </c>
    </row>
    <row r="59" spans="1:9" x14ac:dyDescent="0.3">
      <c r="A59">
        <v>2</v>
      </c>
      <c r="B59">
        <v>1</v>
      </c>
      <c r="C59" t="s">
        <v>1</v>
      </c>
      <c r="D59" t="s">
        <v>0</v>
      </c>
      <c r="E59">
        <v>70</v>
      </c>
      <c r="F59" t="s">
        <v>23</v>
      </c>
      <c r="G59" t="s">
        <v>22</v>
      </c>
      <c r="H59">
        <v>42</v>
      </c>
      <c r="I59">
        <v>0</v>
      </c>
    </row>
    <row r="60" spans="1:9" x14ac:dyDescent="0.3">
      <c r="A60">
        <v>2</v>
      </c>
      <c r="B60">
        <v>1</v>
      </c>
      <c r="C60" t="s">
        <v>1</v>
      </c>
      <c r="D60" t="s">
        <v>0</v>
      </c>
      <c r="E60">
        <v>55</v>
      </c>
      <c r="F60" t="s">
        <v>23</v>
      </c>
      <c r="G60" t="s">
        <v>22</v>
      </c>
      <c r="H60">
        <v>35</v>
      </c>
      <c r="I60">
        <v>0</v>
      </c>
    </row>
    <row r="61" spans="1:9" x14ac:dyDescent="0.3">
      <c r="A61">
        <v>2</v>
      </c>
      <c r="B61">
        <v>1</v>
      </c>
      <c r="C61" t="s">
        <v>1</v>
      </c>
      <c r="D61" t="s">
        <v>0</v>
      </c>
      <c r="E61">
        <v>32</v>
      </c>
      <c r="F61" t="s">
        <v>23</v>
      </c>
      <c r="G61" t="s">
        <v>22</v>
      </c>
      <c r="H61">
        <v>15</v>
      </c>
      <c r="I61">
        <v>0</v>
      </c>
    </row>
    <row r="62" spans="1:9" x14ac:dyDescent="0.3">
      <c r="A62">
        <v>2</v>
      </c>
      <c r="B62">
        <v>1</v>
      </c>
      <c r="C62" t="s">
        <v>1</v>
      </c>
      <c r="D62" t="s">
        <v>0</v>
      </c>
      <c r="E62">
        <v>48</v>
      </c>
      <c r="F62" t="s">
        <v>23</v>
      </c>
      <c r="G62" t="s">
        <v>22</v>
      </c>
      <c r="H62">
        <v>33</v>
      </c>
      <c r="I62">
        <v>0</v>
      </c>
    </row>
    <row r="63" spans="1:9" x14ac:dyDescent="0.3">
      <c r="A63">
        <v>2</v>
      </c>
      <c r="B63">
        <v>1</v>
      </c>
      <c r="C63" t="s">
        <v>1</v>
      </c>
      <c r="D63" t="s">
        <v>0</v>
      </c>
      <c r="E63">
        <v>26</v>
      </c>
      <c r="F63" t="s">
        <v>23</v>
      </c>
      <c r="G63" t="s">
        <v>22</v>
      </c>
      <c r="H63">
        <v>39</v>
      </c>
      <c r="I63">
        <v>1</v>
      </c>
    </row>
    <row r="64" spans="1:9" x14ac:dyDescent="0.3">
      <c r="A64">
        <v>2</v>
      </c>
      <c r="B64">
        <v>1</v>
      </c>
      <c r="C64" t="s">
        <v>1</v>
      </c>
      <c r="D64" t="s">
        <v>0</v>
      </c>
      <c r="E64">
        <v>47</v>
      </c>
      <c r="F64" t="s">
        <v>23</v>
      </c>
      <c r="G64" t="s">
        <v>22</v>
      </c>
      <c r="H64">
        <v>14</v>
      </c>
      <c r="I64">
        <v>0</v>
      </c>
    </row>
    <row r="65" spans="1:9" x14ac:dyDescent="0.3">
      <c r="A65">
        <v>2</v>
      </c>
      <c r="B65">
        <v>1</v>
      </c>
      <c r="C65" t="s">
        <v>1</v>
      </c>
      <c r="D65" t="s">
        <v>0</v>
      </c>
      <c r="E65">
        <v>27</v>
      </c>
      <c r="F65" t="s">
        <v>23</v>
      </c>
      <c r="G65" t="s">
        <v>22</v>
      </c>
      <c r="H65">
        <v>21</v>
      </c>
      <c r="I65">
        <v>0</v>
      </c>
    </row>
    <row r="66" spans="1:9" x14ac:dyDescent="0.3">
      <c r="A66">
        <v>2</v>
      </c>
      <c r="B66">
        <v>1</v>
      </c>
      <c r="C66" t="s">
        <v>1</v>
      </c>
      <c r="D66" t="s">
        <v>0</v>
      </c>
      <c r="E66">
        <v>73</v>
      </c>
      <c r="F66" t="s">
        <v>23</v>
      </c>
      <c r="G66" t="s">
        <v>22</v>
      </c>
      <c r="H66">
        <v>6</v>
      </c>
      <c r="I66">
        <v>0</v>
      </c>
    </row>
    <row r="67" spans="1:9" x14ac:dyDescent="0.3">
      <c r="A67">
        <v>2</v>
      </c>
      <c r="B67">
        <v>1</v>
      </c>
      <c r="C67" t="s">
        <v>1</v>
      </c>
      <c r="D67" t="s">
        <v>0</v>
      </c>
      <c r="E67">
        <v>12</v>
      </c>
      <c r="F67" t="s">
        <v>23</v>
      </c>
      <c r="G67" t="s">
        <v>22</v>
      </c>
      <c r="H67">
        <v>30</v>
      </c>
      <c r="I67">
        <v>1</v>
      </c>
    </row>
    <row r="68" spans="1:9" x14ac:dyDescent="0.3">
      <c r="A68">
        <v>2</v>
      </c>
      <c r="B68">
        <v>1</v>
      </c>
      <c r="C68" t="s">
        <v>1</v>
      </c>
      <c r="D68" t="s">
        <v>0</v>
      </c>
      <c r="E68">
        <v>55</v>
      </c>
      <c r="F68" t="s">
        <v>23</v>
      </c>
      <c r="G68" t="s">
        <v>22</v>
      </c>
      <c r="H68">
        <v>0</v>
      </c>
      <c r="I68">
        <v>0</v>
      </c>
    </row>
    <row r="69" spans="1:9" x14ac:dyDescent="0.3">
      <c r="A69">
        <v>2</v>
      </c>
      <c r="B69">
        <v>1</v>
      </c>
      <c r="C69" t="s">
        <v>1</v>
      </c>
      <c r="D69" t="s">
        <v>0</v>
      </c>
      <c r="E69">
        <v>24</v>
      </c>
      <c r="F69" t="s">
        <v>23</v>
      </c>
      <c r="G69" t="s">
        <v>22</v>
      </c>
      <c r="H69">
        <v>25</v>
      </c>
      <c r="I69">
        <v>1</v>
      </c>
    </row>
    <row r="70" spans="1:9" x14ac:dyDescent="0.3">
      <c r="A70">
        <v>2</v>
      </c>
      <c r="B70">
        <v>1</v>
      </c>
      <c r="C70" t="s">
        <v>1</v>
      </c>
      <c r="D70" t="s">
        <v>0</v>
      </c>
      <c r="E70">
        <v>62</v>
      </c>
      <c r="F70" t="s">
        <v>23</v>
      </c>
      <c r="G70" t="s">
        <v>22</v>
      </c>
      <c r="H70">
        <v>24</v>
      </c>
      <c r="I70">
        <v>0</v>
      </c>
    </row>
    <row r="71" spans="1:9" x14ac:dyDescent="0.3">
      <c r="A71">
        <v>2</v>
      </c>
      <c r="B71">
        <v>1</v>
      </c>
      <c r="C71" t="s">
        <v>1</v>
      </c>
      <c r="D71" t="s">
        <v>0</v>
      </c>
      <c r="E71">
        <v>21</v>
      </c>
      <c r="F71" t="s">
        <v>23</v>
      </c>
      <c r="G71" t="s">
        <v>22</v>
      </c>
      <c r="H71">
        <v>21</v>
      </c>
      <c r="I71">
        <v>0</v>
      </c>
    </row>
    <row r="72" spans="1:9" x14ac:dyDescent="0.3">
      <c r="A72">
        <v>2</v>
      </c>
      <c r="B72">
        <v>1</v>
      </c>
      <c r="C72" t="s">
        <v>1</v>
      </c>
      <c r="D72" t="s">
        <v>0</v>
      </c>
      <c r="E72">
        <v>44</v>
      </c>
      <c r="F72" t="s">
        <v>23</v>
      </c>
      <c r="G72" t="s">
        <v>22</v>
      </c>
      <c r="H72">
        <v>43</v>
      </c>
      <c r="I72">
        <v>0</v>
      </c>
    </row>
    <row r="73" spans="1:9" x14ac:dyDescent="0.3">
      <c r="A73">
        <v>2</v>
      </c>
      <c r="B73">
        <v>1</v>
      </c>
      <c r="C73" t="s">
        <v>1</v>
      </c>
      <c r="D73" t="s">
        <v>0</v>
      </c>
      <c r="E73">
        <v>36</v>
      </c>
      <c r="F73" t="s">
        <v>23</v>
      </c>
      <c r="G73" t="s">
        <v>22</v>
      </c>
      <c r="H73">
        <v>53</v>
      </c>
      <c r="I73">
        <v>1</v>
      </c>
    </row>
    <row r="74" spans="1:9" x14ac:dyDescent="0.3">
      <c r="A74">
        <v>2</v>
      </c>
      <c r="B74">
        <v>1</v>
      </c>
      <c r="C74" t="s">
        <v>1</v>
      </c>
      <c r="D74" t="s">
        <v>0</v>
      </c>
      <c r="E74">
        <v>48</v>
      </c>
      <c r="F74" t="s">
        <v>23</v>
      </c>
      <c r="G74" t="s">
        <v>22</v>
      </c>
      <c r="H74">
        <v>50</v>
      </c>
      <c r="I74">
        <v>1</v>
      </c>
    </row>
    <row r="75" spans="1:9" x14ac:dyDescent="0.3">
      <c r="A75">
        <v>2</v>
      </c>
      <c r="B75">
        <v>1</v>
      </c>
      <c r="C75" t="s">
        <v>1</v>
      </c>
      <c r="D75" t="s">
        <v>0</v>
      </c>
      <c r="E75">
        <v>59</v>
      </c>
      <c r="F75" t="s">
        <v>23</v>
      </c>
      <c r="G75" t="s">
        <v>22</v>
      </c>
      <c r="H75">
        <v>30</v>
      </c>
      <c r="I75">
        <v>0</v>
      </c>
    </row>
    <row r="76" spans="1:9" x14ac:dyDescent="0.3">
      <c r="A76">
        <v>2</v>
      </c>
      <c r="B76">
        <v>1</v>
      </c>
      <c r="C76" t="s">
        <v>1</v>
      </c>
      <c r="D76" t="s">
        <v>0</v>
      </c>
      <c r="E76">
        <v>55</v>
      </c>
      <c r="F76" t="s">
        <v>23</v>
      </c>
      <c r="G76" t="s">
        <v>22</v>
      </c>
      <c r="H76">
        <v>36</v>
      </c>
      <c r="I76">
        <v>0</v>
      </c>
    </row>
    <row r="77" spans="1:9" x14ac:dyDescent="0.3">
      <c r="A77">
        <v>2</v>
      </c>
      <c r="B77">
        <v>1</v>
      </c>
      <c r="C77" t="s">
        <v>1</v>
      </c>
      <c r="D77" t="s">
        <v>0</v>
      </c>
      <c r="E77">
        <v>43</v>
      </c>
      <c r="F77" t="s">
        <v>23</v>
      </c>
      <c r="G77" t="s">
        <v>22</v>
      </c>
      <c r="H77">
        <v>16</v>
      </c>
      <c r="I77">
        <v>0</v>
      </c>
    </row>
    <row r="78" spans="1:9" x14ac:dyDescent="0.3">
      <c r="A78">
        <v>2</v>
      </c>
      <c r="B78">
        <v>1</v>
      </c>
      <c r="C78" t="s">
        <v>1</v>
      </c>
      <c r="D78" t="s">
        <v>0</v>
      </c>
      <c r="E78">
        <v>32</v>
      </c>
      <c r="F78" t="s">
        <v>23</v>
      </c>
      <c r="G78" t="s">
        <v>22</v>
      </c>
      <c r="H78">
        <v>32</v>
      </c>
      <c r="I78">
        <v>0</v>
      </c>
    </row>
    <row r="79" spans="1:9" x14ac:dyDescent="0.3">
      <c r="A79">
        <v>2</v>
      </c>
      <c r="B79">
        <v>1</v>
      </c>
      <c r="C79" t="s">
        <v>1</v>
      </c>
      <c r="D79" t="s">
        <v>0</v>
      </c>
      <c r="E79">
        <v>41</v>
      </c>
      <c r="F79" t="s">
        <v>23</v>
      </c>
      <c r="G79" t="s">
        <v>22</v>
      </c>
      <c r="H79">
        <v>36</v>
      </c>
      <c r="I79">
        <v>0</v>
      </c>
    </row>
    <row r="80" spans="1:9" x14ac:dyDescent="0.3">
      <c r="A80">
        <v>2</v>
      </c>
      <c r="B80">
        <v>1</v>
      </c>
      <c r="C80" t="s">
        <v>1</v>
      </c>
      <c r="D80" t="s">
        <v>0</v>
      </c>
      <c r="E80">
        <v>54</v>
      </c>
      <c r="F80" t="s">
        <v>23</v>
      </c>
      <c r="G80" t="s">
        <v>22</v>
      </c>
      <c r="H80">
        <v>16</v>
      </c>
      <c r="I80">
        <v>0</v>
      </c>
    </row>
    <row r="81" spans="1:9" x14ac:dyDescent="0.3">
      <c r="A81">
        <v>2</v>
      </c>
      <c r="B81">
        <v>1</v>
      </c>
      <c r="C81" t="s">
        <v>1</v>
      </c>
      <c r="D81" t="s">
        <v>0</v>
      </c>
      <c r="E81">
        <v>51</v>
      </c>
      <c r="F81" t="s">
        <v>23</v>
      </c>
      <c r="G81" t="s">
        <v>22</v>
      </c>
      <c r="H81">
        <v>33</v>
      </c>
      <c r="I81">
        <v>0</v>
      </c>
    </row>
    <row r="82" spans="1:9" x14ac:dyDescent="0.3">
      <c r="A82">
        <v>2</v>
      </c>
      <c r="B82">
        <v>1</v>
      </c>
      <c r="C82" t="s">
        <v>1</v>
      </c>
      <c r="D82" t="s">
        <v>0</v>
      </c>
      <c r="E82">
        <v>64</v>
      </c>
      <c r="F82" t="s">
        <v>23</v>
      </c>
      <c r="G82" t="s">
        <v>22</v>
      </c>
      <c r="H82">
        <v>54</v>
      </c>
      <c r="I82">
        <v>0</v>
      </c>
    </row>
    <row r="83" spans="1:9" x14ac:dyDescent="0.3">
      <c r="A83">
        <v>2</v>
      </c>
      <c r="B83">
        <v>1</v>
      </c>
      <c r="C83" t="s">
        <v>1</v>
      </c>
      <c r="D83" t="s">
        <v>0</v>
      </c>
      <c r="E83">
        <v>28</v>
      </c>
      <c r="F83" t="s">
        <v>23</v>
      </c>
      <c r="G83" t="s">
        <v>22</v>
      </c>
      <c r="H83">
        <v>35</v>
      </c>
      <c r="I83">
        <v>1</v>
      </c>
    </row>
    <row r="84" spans="1:9" x14ac:dyDescent="0.3">
      <c r="A84">
        <v>2</v>
      </c>
      <c r="B84">
        <v>1</v>
      </c>
      <c r="C84" t="s">
        <v>1</v>
      </c>
      <c r="D84" t="s">
        <v>0</v>
      </c>
      <c r="E84">
        <v>74</v>
      </c>
      <c r="F84" t="s">
        <v>23</v>
      </c>
      <c r="G84" t="s">
        <v>22</v>
      </c>
      <c r="H84">
        <v>21</v>
      </c>
      <c r="I84">
        <v>0</v>
      </c>
    </row>
    <row r="85" spans="1:9" x14ac:dyDescent="0.3">
      <c r="A85">
        <v>2</v>
      </c>
      <c r="B85">
        <v>1</v>
      </c>
      <c r="C85" t="s">
        <v>1</v>
      </c>
      <c r="D85" t="s">
        <v>0</v>
      </c>
      <c r="E85">
        <v>59</v>
      </c>
      <c r="F85" t="s">
        <v>23</v>
      </c>
      <c r="G85" t="s">
        <v>22</v>
      </c>
      <c r="H85">
        <v>52</v>
      </c>
      <c r="I85">
        <v>0</v>
      </c>
    </row>
    <row r="86" spans="1:9" x14ac:dyDescent="0.3">
      <c r="A86">
        <v>2</v>
      </c>
      <c r="B86">
        <v>1</v>
      </c>
      <c r="C86" t="s">
        <v>1</v>
      </c>
      <c r="D86" t="s">
        <v>0</v>
      </c>
      <c r="E86">
        <v>22</v>
      </c>
      <c r="F86" t="s">
        <v>23</v>
      </c>
      <c r="G86" t="s">
        <v>22</v>
      </c>
      <c r="H86">
        <v>57</v>
      </c>
      <c r="I86">
        <v>1</v>
      </c>
    </row>
    <row r="87" spans="1:9" x14ac:dyDescent="0.3">
      <c r="A87">
        <v>2</v>
      </c>
      <c r="B87">
        <v>1</v>
      </c>
      <c r="C87" t="s">
        <v>1</v>
      </c>
      <c r="D87" t="s">
        <v>0</v>
      </c>
      <c r="E87">
        <v>54</v>
      </c>
      <c r="F87" t="s">
        <v>23</v>
      </c>
      <c r="G87" t="s">
        <v>22</v>
      </c>
      <c r="H87">
        <v>45</v>
      </c>
      <c r="I87">
        <v>0</v>
      </c>
    </row>
    <row r="88" spans="1:9" x14ac:dyDescent="0.3">
      <c r="A88">
        <v>2</v>
      </c>
      <c r="B88">
        <v>1</v>
      </c>
      <c r="C88" t="s">
        <v>1</v>
      </c>
      <c r="D88" t="s">
        <v>0</v>
      </c>
      <c r="E88">
        <v>58</v>
      </c>
      <c r="F88" t="s">
        <v>23</v>
      </c>
      <c r="G88" t="s">
        <v>22</v>
      </c>
      <c r="H88">
        <v>19</v>
      </c>
      <c r="I88">
        <v>0</v>
      </c>
    </row>
    <row r="89" spans="1:9" x14ac:dyDescent="0.3">
      <c r="A89">
        <v>2</v>
      </c>
      <c r="B89">
        <v>1</v>
      </c>
      <c r="C89" t="s">
        <v>1</v>
      </c>
      <c r="D89" t="s">
        <v>0</v>
      </c>
      <c r="E89">
        <v>69</v>
      </c>
      <c r="F89" t="s">
        <v>23</v>
      </c>
      <c r="G89" t="s">
        <v>22</v>
      </c>
      <c r="H89">
        <v>31</v>
      </c>
      <c r="I89">
        <v>0</v>
      </c>
    </row>
    <row r="90" spans="1:9" x14ac:dyDescent="0.3">
      <c r="A90">
        <v>2</v>
      </c>
      <c r="B90">
        <v>1</v>
      </c>
      <c r="C90" t="s">
        <v>1</v>
      </c>
      <c r="D90" t="s">
        <v>0</v>
      </c>
      <c r="E90">
        <v>22</v>
      </c>
      <c r="F90" t="s">
        <v>23</v>
      </c>
      <c r="G90" t="s">
        <v>22</v>
      </c>
      <c r="H90">
        <v>33</v>
      </c>
      <c r="I90">
        <v>1</v>
      </c>
    </row>
    <row r="91" spans="1:9" x14ac:dyDescent="0.3">
      <c r="A91">
        <v>2</v>
      </c>
      <c r="B91">
        <v>1</v>
      </c>
      <c r="C91" t="s">
        <v>1</v>
      </c>
      <c r="D91" t="s">
        <v>0</v>
      </c>
      <c r="E91">
        <v>27</v>
      </c>
      <c r="F91" t="s">
        <v>23</v>
      </c>
      <c r="G91" t="s">
        <v>22</v>
      </c>
      <c r="H91">
        <v>11</v>
      </c>
      <c r="I91">
        <v>0</v>
      </c>
    </row>
    <row r="92" spans="1:9" x14ac:dyDescent="0.3">
      <c r="A92">
        <v>2</v>
      </c>
      <c r="B92">
        <v>1</v>
      </c>
      <c r="C92" t="s">
        <v>1</v>
      </c>
      <c r="D92" t="s">
        <v>0</v>
      </c>
      <c r="E92">
        <v>35</v>
      </c>
      <c r="F92" t="s">
        <v>23</v>
      </c>
      <c r="G92" t="s">
        <v>22</v>
      </c>
      <c r="H92">
        <v>47</v>
      </c>
      <c r="I92">
        <v>1</v>
      </c>
    </row>
    <row r="93" spans="1:9" x14ac:dyDescent="0.3">
      <c r="A93">
        <v>2</v>
      </c>
      <c r="B93">
        <v>1</v>
      </c>
      <c r="C93" t="s">
        <v>1</v>
      </c>
      <c r="D93" t="s">
        <v>0</v>
      </c>
      <c r="E93">
        <v>42</v>
      </c>
      <c r="F93" t="s">
        <v>23</v>
      </c>
      <c r="G93" t="s">
        <v>22</v>
      </c>
      <c r="H93">
        <v>17</v>
      </c>
      <c r="I93">
        <v>0</v>
      </c>
    </row>
    <row r="94" spans="1:9" x14ac:dyDescent="0.3">
      <c r="A94">
        <v>2</v>
      </c>
      <c r="B94">
        <v>1</v>
      </c>
      <c r="C94" t="s">
        <v>1</v>
      </c>
      <c r="D94" t="s">
        <v>0</v>
      </c>
      <c r="E94">
        <v>64</v>
      </c>
      <c r="F94" t="s">
        <v>23</v>
      </c>
      <c r="G94" t="s">
        <v>22</v>
      </c>
      <c r="H94">
        <v>17</v>
      </c>
      <c r="I94">
        <v>0</v>
      </c>
    </row>
    <row r="95" spans="1:9" x14ac:dyDescent="0.3">
      <c r="A95">
        <v>2</v>
      </c>
      <c r="B95">
        <v>1</v>
      </c>
      <c r="C95" t="s">
        <v>1</v>
      </c>
      <c r="D95" t="s">
        <v>0</v>
      </c>
      <c r="E95">
        <v>66</v>
      </c>
      <c r="F95" t="s">
        <v>23</v>
      </c>
      <c r="G95" t="s">
        <v>22</v>
      </c>
      <c r="H95">
        <v>33</v>
      </c>
      <c r="I95">
        <v>0</v>
      </c>
    </row>
    <row r="96" spans="1:9" x14ac:dyDescent="0.3">
      <c r="A96">
        <v>2</v>
      </c>
      <c r="B96">
        <v>1</v>
      </c>
      <c r="C96" t="s">
        <v>1</v>
      </c>
      <c r="D96" t="s">
        <v>0</v>
      </c>
      <c r="E96">
        <v>42</v>
      </c>
      <c r="F96" t="s">
        <v>23</v>
      </c>
      <c r="G96" t="s">
        <v>22</v>
      </c>
      <c r="H96">
        <v>29</v>
      </c>
      <c r="I96">
        <v>0</v>
      </c>
    </row>
    <row r="97" spans="1:9" x14ac:dyDescent="0.3">
      <c r="A97">
        <v>2</v>
      </c>
      <c r="B97">
        <v>1</v>
      </c>
      <c r="C97" t="s">
        <v>1</v>
      </c>
      <c r="D97" t="s">
        <v>0</v>
      </c>
      <c r="E97">
        <v>44</v>
      </c>
      <c r="F97" t="s">
        <v>23</v>
      </c>
      <c r="G97" t="s">
        <v>22</v>
      </c>
      <c r="H97">
        <v>25</v>
      </c>
      <c r="I97">
        <v>0</v>
      </c>
    </row>
    <row r="98" spans="1:9" x14ac:dyDescent="0.3">
      <c r="A98">
        <v>2</v>
      </c>
      <c r="B98">
        <v>1</v>
      </c>
      <c r="C98" t="s">
        <v>1</v>
      </c>
      <c r="D98" t="s">
        <v>0</v>
      </c>
      <c r="E98">
        <v>32</v>
      </c>
      <c r="F98" t="s">
        <v>23</v>
      </c>
      <c r="G98" t="s">
        <v>22</v>
      </c>
      <c r="H98">
        <v>44</v>
      </c>
      <c r="I98">
        <v>1</v>
      </c>
    </row>
    <row r="99" spans="1:9" x14ac:dyDescent="0.3">
      <c r="A99">
        <v>2</v>
      </c>
      <c r="B99">
        <v>1</v>
      </c>
      <c r="C99" t="s">
        <v>1</v>
      </c>
      <c r="D99" t="s">
        <v>0</v>
      </c>
      <c r="E99">
        <v>45</v>
      </c>
      <c r="F99" t="s">
        <v>23</v>
      </c>
      <c r="G99" t="s">
        <v>22</v>
      </c>
      <c r="H99">
        <v>20</v>
      </c>
      <c r="I99">
        <v>0</v>
      </c>
    </row>
    <row r="100" spans="1:9" x14ac:dyDescent="0.3">
      <c r="A100">
        <v>2</v>
      </c>
      <c r="B100">
        <v>1</v>
      </c>
      <c r="C100" t="s">
        <v>1</v>
      </c>
      <c r="D100" t="s">
        <v>0</v>
      </c>
      <c r="E100">
        <v>0</v>
      </c>
      <c r="F100" t="s">
        <v>23</v>
      </c>
      <c r="G100" t="s">
        <v>22</v>
      </c>
      <c r="H100">
        <v>39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FDB8A-69B6-45EC-8231-0A6E081734D0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</v>
      </c>
      <c r="D1" t="s">
        <v>0</v>
      </c>
      <c r="E1">
        <v>74</v>
      </c>
      <c r="F1" t="s">
        <v>25</v>
      </c>
      <c r="G1" t="s">
        <v>24</v>
      </c>
      <c r="H1">
        <v>0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</v>
      </c>
      <c r="D2" t="s">
        <v>0</v>
      </c>
      <c r="E2">
        <v>65</v>
      </c>
      <c r="F2" t="s">
        <v>25</v>
      </c>
      <c r="G2" t="s">
        <v>24</v>
      </c>
      <c r="H2">
        <v>2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</v>
      </c>
      <c r="D3" t="s">
        <v>0</v>
      </c>
      <c r="E3">
        <v>27</v>
      </c>
      <c r="F3" t="s">
        <v>25</v>
      </c>
      <c r="G3" t="s">
        <v>24</v>
      </c>
      <c r="H3">
        <v>8</v>
      </c>
      <c r="I3">
        <v>0</v>
      </c>
      <c r="K3" s="8" t="s">
        <v>11</v>
      </c>
      <c r="L3" s="8"/>
      <c r="M3" s="10">
        <f>COUNTIF($I$1:$I$100, 0)</f>
        <v>97</v>
      </c>
      <c r="N3" s="10"/>
      <c r="O3" s="10">
        <f>COUNTIFS($I$1:$I$100, 0, $B$1:$B$100, 0)</f>
        <v>49</v>
      </c>
      <c r="P3" s="10"/>
      <c r="Q3" s="11">
        <f>COUNTIFS($I$1:$I$100, 0, $B$1:$B$100, 1)</f>
        <v>48</v>
      </c>
      <c r="R3" s="12"/>
      <c r="T3" cm="1">
        <f t="array" ref="T3">SUMPRODUCT(--($E$1:$E$100=$H$1:$H$100))</f>
        <v>0</v>
      </c>
    </row>
    <row r="4" spans="1:20" x14ac:dyDescent="0.3">
      <c r="A4">
        <v>2</v>
      </c>
      <c r="B4">
        <v>0</v>
      </c>
      <c r="C4" t="s">
        <v>1</v>
      </c>
      <c r="D4" t="s">
        <v>0</v>
      </c>
      <c r="E4">
        <v>59</v>
      </c>
      <c r="F4" t="s">
        <v>25</v>
      </c>
      <c r="G4" t="s">
        <v>24</v>
      </c>
      <c r="H4">
        <v>13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</v>
      </c>
      <c r="D5" t="s">
        <v>0</v>
      </c>
      <c r="E5">
        <v>48</v>
      </c>
      <c r="F5" t="s">
        <v>25</v>
      </c>
      <c r="G5" t="s">
        <v>24</v>
      </c>
      <c r="H5">
        <v>2</v>
      </c>
      <c r="I5">
        <v>0</v>
      </c>
      <c r="K5" s="8" t="s">
        <v>10</v>
      </c>
      <c r="L5" s="8"/>
      <c r="M5" s="14">
        <f>COUNTIF($I$1:$I$100, 1)</f>
        <v>3</v>
      </c>
      <c r="N5" s="10"/>
      <c r="O5" s="10">
        <f>COUNTIFS($I$1:$I$100, 1, $B$1:$B$100, 0)</f>
        <v>1</v>
      </c>
      <c r="P5" s="10"/>
      <c r="Q5" s="10">
        <f>COUNTIFS($I$1:$I$100, 1, $B$1:$B$100, 1)</f>
        <v>2</v>
      </c>
      <c r="R5" s="13"/>
    </row>
    <row r="6" spans="1:20" x14ac:dyDescent="0.3">
      <c r="A6">
        <v>2</v>
      </c>
      <c r="B6">
        <v>0</v>
      </c>
      <c r="C6" t="s">
        <v>1</v>
      </c>
      <c r="D6" t="s">
        <v>0</v>
      </c>
      <c r="E6">
        <v>38</v>
      </c>
      <c r="F6" t="s">
        <v>25</v>
      </c>
      <c r="G6" t="s">
        <v>24</v>
      </c>
      <c r="H6">
        <v>15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</v>
      </c>
      <c r="D7" t="s">
        <v>0</v>
      </c>
      <c r="E7">
        <v>56</v>
      </c>
      <c r="F7" t="s">
        <v>25</v>
      </c>
      <c r="G7" t="s">
        <v>24</v>
      </c>
      <c r="H7">
        <v>0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</v>
      </c>
      <c r="D8" t="s">
        <v>0</v>
      </c>
      <c r="E8">
        <v>69</v>
      </c>
      <c r="F8" t="s">
        <v>25</v>
      </c>
      <c r="G8" t="s">
        <v>24</v>
      </c>
      <c r="H8">
        <v>1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</v>
      </c>
      <c r="D9" t="s">
        <v>0</v>
      </c>
      <c r="E9">
        <v>27</v>
      </c>
      <c r="F9" t="s">
        <v>25</v>
      </c>
      <c r="G9" t="s">
        <v>24</v>
      </c>
      <c r="H9">
        <v>23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</v>
      </c>
      <c r="D10" t="s">
        <v>0</v>
      </c>
      <c r="E10">
        <v>46</v>
      </c>
      <c r="F10" t="s">
        <v>25</v>
      </c>
      <c r="G10" t="s">
        <v>24</v>
      </c>
      <c r="H10">
        <v>13</v>
      </c>
      <c r="I10">
        <v>0</v>
      </c>
      <c r="K10" s="8" t="s">
        <v>6</v>
      </c>
      <c r="L10" s="8"/>
      <c r="M10" s="10">
        <f>AVERAGE($E$1:$E$100,)</f>
        <v>49.019801980198018</v>
      </c>
      <c r="N10" s="10"/>
      <c r="O10" s="10" cm="1">
        <f t="array" ref="O10">AVERAGE(_xlfn._xlws.FILTER($E$1:$E$100,$I$1:$I$100 = 0))</f>
        <v>50.845360824742265</v>
      </c>
      <c r="P10" s="10"/>
      <c r="Q10" s="11" cm="1">
        <f t="array" ref="Q10">AVERAGE(_xlfn._xlws.FILTER($E$1:$E$100,$I$1:$I$100 = 1))</f>
        <v>6.333333333333333</v>
      </c>
      <c r="R10" s="12"/>
    </row>
    <row r="11" spans="1:20" x14ac:dyDescent="0.3">
      <c r="A11">
        <v>2</v>
      </c>
      <c r="B11">
        <v>0</v>
      </c>
      <c r="C11" t="s">
        <v>1</v>
      </c>
      <c r="D11" t="s">
        <v>0</v>
      </c>
      <c r="E11">
        <v>67</v>
      </c>
      <c r="F11" t="s">
        <v>25</v>
      </c>
      <c r="G11" t="s">
        <v>24</v>
      </c>
      <c r="H11">
        <v>15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</v>
      </c>
      <c r="D12" t="s">
        <v>0</v>
      </c>
      <c r="E12">
        <v>34</v>
      </c>
      <c r="F12" t="s">
        <v>25</v>
      </c>
      <c r="G12" t="s">
        <v>24</v>
      </c>
      <c r="H12">
        <v>10</v>
      </c>
      <c r="I12">
        <v>0</v>
      </c>
      <c r="K12" s="8" t="s">
        <v>5</v>
      </c>
      <c r="L12" s="8"/>
      <c r="M12" s="10">
        <f>AVERAGE($H$1:$H$100,)</f>
        <v>8.217821782178218</v>
      </c>
      <c r="N12" s="10"/>
      <c r="O12" s="10" cm="1">
        <f t="array" ref="O12">AVERAGE(_xlfn._xlws.FILTER($H$1:$H$100,$I$1:$I$100 = 0))</f>
        <v>7.8453608247422677</v>
      </c>
      <c r="P12" s="10"/>
      <c r="Q12" s="10" cm="1">
        <f t="array" ref="Q12">AVERAGE(_xlfn._xlws.FILTER($H$1:$H$100,$I$1:$I$100 = 1))</f>
        <v>23</v>
      </c>
      <c r="R12" s="13"/>
    </row>
    <row r="13" spans="1:20" x14ac:dyDescent="0.3">
      <c r="A13">
        <v>2</v>
      </c>
      <c r="B13">
        <v>0</v>
      </c>
      <c r="C13" t="s">
        <v>1</v>
      </c>
      <c r="D13" t="s">
        <v>0</v>
      </c>
      <c r="E13">
        <v>69</v>
      </c>
      <c r="F13" t="s">
        <v>25</v>
      </c>
      <c r="G13" t="s">
        <v>24</v>
      </c>
      <c r="H13">
        <v>2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</v>
      </c>
      <c r="D14" t="s">
        <v>0</v>
      </c>
      <c r="E14">
        <v>48</v>
      </c>
      <c r="F14" t="s">
        <v>25</v>
      </c>
      <c r="G14" t="s">
        <v>24</v>
      </c>
      <c r="H14">
        <v>3</v>
      </c>
      <c r="I14">
        <v>0</v>
      </c>
      <c r="K14" s="19" t="s">
        <v>4</v>
      </c>
      <c r="L14" s="12"/>
      <c r="M14" s="20" cm="1">
        <f t="array" ref="M14">AVERAGE($E$1:$E$100 - $H$1:$H$100)</f>
        <v>41.21</v>
      </c>
      <c r="N14" s="20"/>
      <c r="O14" s="20" cm="1">
        <f t="array" ref="O14">AVERAGE(_xlfn._xlws.FILTER($E$1:$E$100 - $H$1:$H$100, I$1:I$100 = 0))</f>
        <v>43</v>
      </c>
      <c r="P14" s="20"/>
      <c r="Q14" s="20" cm="1">
        <f t="array" ref="Q14">AVERAGE(_xlfn._xlws.FILTER($E$1:$E$100 - $H$1:$H$100, I$1:I$100 = 1))</f>
        <v>-16.666666666666668</v>
      </c>
      <c r="R14" s="22"/>
    </row>
    <row r="15" spans="1:20" x14ac:dyDescent="0.3">
      <c r="A15">
        <v>2</v>
      </c>
      <c r="B15">
        <v>0</v>
      </c>
      <c r="C15" t="s">
        <v>1</v>
      </c>
      <c r="D15" t="s">
        <v>0</v>
      </c>
      <c r="E15">
        <v>69</v>
      </c>
      <c r="F15" t="s">
        <v>25</v>
      </c>
      <c r="G15" t="s">
        <v>24</v>
      </c>
      <c r="H15">
        <v>0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</v>
      </c>
      <c r="D16" t="s">
        <v>0</v>
      </c>
      <c r="E16">
        <v>40</v>
      </c>
      <c r="F16" t="s">
        <v>25</v>
      </c>
      <c r="G16" t="s">
        <v>24</v>
      </c>
      <c r="H16">
        <v>19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</v>
      </c>
      <c r="D17" t="s">
        <v>0</v>
      </c>
      <c r="E17">
        <v>72</v>
      </c>
      <c r="F17" t="s">
        <v>25</v>
      </c>
      <c r="G17" t="s">
        <v>24</v>
      </c>
      <c r="H17">
        <v>10</v>
      </c>
      <c r="I17">
        <v>0</v>
      </c>
    </row>
    <row r="18" spans="1:9" x14ac:dyDescent="0.3">
      <c r="A18">
        <v>2</v>
      </c>
      <c r="B18">
        <v>0</v>
      </c>
      <c r="C18" t="s">
        <v>1</v>
      </c>
      <c r="D18" t="s">
        <v>0</v>
      </c>
      <c r="E18">
        <v>60</v>
      </c>
      <c r="F18" t="s">
        <v>25</v>
      </c>
      <c r="G18" t="s">
        <v>24</v>
      </c>
      <c r="H18">
        <v>6</v>
      </c>
      <c r="I18">
        <v>0</v>
      </c>
    </row>
    <row r="19" spans="1:9" x14ac:dyDescent="0.3">
      <c r="A19">
        <v>2</v>
      </c>
      <c r="B19">
        <v>0</v>
      </c>
      <c r="C19" t="s">
        <v>1</v>
      </c>
      <c r="D19" t="s">
        <v>0</v>
      </c>
      <c r="E19">
        <v>56</v>
      </c>
      <c r="F19" t="s">
        <v>25</v>
      </c>
      <c r="G19" t="s">
        <v>24</v>
      </c>
      <c r="H19">
        <v>0</v>
      </c>
      <c r="I19">
        <v>0</v>
      </c>
    </row>
    <row r="20" spans="1:9" x14ac:dyDescent="0.3">
      <c r="A20">
        <v>2</v>
      </c>
      <c r="B20">
        <v>0</v>
      </c>
      <c r="C20" t="s">
        <v>1</v>
      </c>
      <c r="D20" t="s">
        <v>0</v>
      </c>
      <c r="E20">
        <v>33</v>
      </c>
      <c r="F20" t="s">
        <v>25</v>
      </c>
      <c r="G20" t="s">
        <v>24</v>
      </c>
      <c r="H20">
        <v>0</v>
      </c>
      <c r="I20">
        <v>0</v>
      </c>
    </row>
    <row r="21" spans="1:9" x14ac:dyDescent="0.3">
      <c r="A21">
        <v>2</v>
      </c>
      <c r="B21">
        <v>0</v>
      </c>
      <c r="C21" t="s">
        <v>1</v>
      </c>
      <c r="D21" t="s">
        <v>0</v>
      </c>
      <c r="E21">
        <v>45</v>
      </c>
      <c r="F21" t="s">
        <v>25</v>
      </c>
      <c r="G21" t="s">
        <v>24</v>
      </c>
      <c r="H21">
        <v>0</v>
      </c>
      <c r="I21">
        <v>0</v>
      </c>
    </row>
    <row r="22" spans="1:9" x14ac:dyDescent="0.3">
      <c r="A22">
        <v>2</v>
      </c>
      <c r="B22">
        <v>0</v>
      </c>
      <c r="C22" t="s">
        <v>1</v>
      </c>
      <c r="D22" t="s">
        <v>0</v>
      </c>
      <c r="E22">
        <v>45</v>
      </c>
      <c r="F22" t="s">
        <v>25</v>
      </c>
      <c r="G22" t="s">
        <v>24</v>
      </c>
      <c r="H22">
        <v>9</v>
      </c>
      <c r="I22">
        <v>0</v>
      </c>
    </row>
    <row r="23" spans="1:9" x14ac:dyDescent="0.3">
      <c r="A23">
        <v>2</v>
      </c>
      <c r="B23">
        <v>0</v>
      </c>
      <c r="C23" t="s">
        <v>1</v>
      </c>
      <c r="D23" t="s">
        <v>0</v>
      </c>
      <c r="E23">
        <v>53</v>
      </c>
      <c r="F23" t="s">
        <v>25</v>
      </c>
      <c r="G23" t="s">
        <v>24</v>
      </c>
      <c r="H23">
        <v>0</v>
      </c>
      <c r="I23">
        <v>0</v>
      </c>
    </row>
    <row r="24" spans="1:9" x14ac:dyDescent="0.3">
      <c r="A24">
        <v>2</v>
      </c>
      <c r="B24">
        <v>0</v>
      </c>
      <c r="C24" t="s">
        <v>1</v>
      </c>
      <c r="D24" t="s">
        <v>0</v>
      </c>
      <c r="E24">
        <v>50</v>
      </c>
      <c r="F24" t="s">
        <v>25</v>
      </c>
      <c r="G24" t="s">
        <v>24</v>
      </c>
      <c r="H24">
        <v>14</v>
      </c>
      <c r="I24">
        <v>0</v>
      </c>
    </row>
    <row r="25" spans="1:9" x14ac:dyDescent="0.3">
      <c r="A25">
        <v>2</v>
      </c>
      <c r="B25">
        <v>0</v>
      </c>
      <c r="C25" t="s">
        <v>1</v>
      </c>
      <c r="D25" t="s">
        <v>0</v>
      </c>
      <c r="E25">
        <v>72</v>
      </c>
      <c r="F25" t="s">
        <v>25</v>
      </c>
      <c r="G25" t="s">
        <v>24</v>
      </c>
      <c r="H25">
        <v>6</v>
      </c>
      <c r="I25">
        <v>0</v>
      </c>
    </row>
    <row r="26" spans="1:9" x14ac:dyDescent="0.3">
      <c r="A26">
        <v>2</v>
      </c>
      <c r="B26">
        <v>0</v>
      </c>
      <c r="C26" t="s">
        <v>1</v>
      </c>
      <c r="D26" t="s">
        <v>0</v>
      </c>
      <c r="E26">
        <v>36</v>
      </c>
      <c r="F26" t="s">
        <v>25</v>
      </c>
      <c r="G26" t="s">
        <v>24</v>
      </c>
      <c r="H26">
        <v>0</v>
      </c>
      <c r="I26">
        <v>0</v>
      </c>
    </row>
    <row r="27" spans="1:9" x14ac:dyDescent="0.3">
      <c r="A27">
        <v>2</v>
      </c>
      <c r="B27">
        <v>0</v>
      </c>
      <c r="C27" t="s">
        <v>1</v>
      </c>
      <c r="D27" t="s">
        <v>0</v>
      </c>
      <c r="E27">
        <v>57</v>
      </c>
      <c r="F27" t="s">
        <v>25</v>
      </c>
      <c r="G27" t="s">
        <v>24</v>
      </c>
      <c r="H27">
        <v>0</v>
      </c>
      <c r="I27">
        <v>0</v>
      </c>
    </row>
    <row r="28" spans="1:9" x14ac:dyDescent="0.3">
      <c r="A28">
        <v>2</v>
      </c>
      <c r="B28">
        <v>0</v>
      </c>
      <c r="C28" t="s">
        <v>1</v>
      </c>
      <c r="D28" t="s">
        <v>0</v>
      </c>
      <c r="E28">
        <v>64</v>
      </c>
      <c r="F28" t="s">
        <v>25</v>
      </c>
      <c r="G28" t="s">
        <v>24</v>
      </c>
      <c r="H28">
        <v>33</v>
      </c>
      <c r="I28">
        <v>0</v>
      </c>
    </row>
    <row r="29" spans="1:9" x14ac:dyDescent="0.3">
      <c r="A29">
        <v>2</v>
      </c>
      <c r="B29">
        <v>0</v>
      </c>
      <c r="C29" t="s">
        <v>1</v>
      </c>
      <c r="D29" t="s">
        <v>0</v>
      </c>
      <c r="E29">
        <v>54</v>
      </c>
      <c r="F29" t="s">
        <v>25</v>
      </c>
      <c r="G29" t="s">
        <v>24</v>
      </c>
      <c r="H29">
        <v>2</v>
      </c>
      <c r="I29">
        <v>0</v>
      </c>
    </row>
    <row r="30" spans="1:9" x14ac:dyDescent="0.3">
      <c r="A30">
        <v>2</v>
      </c>
      <c r="B30">
        <v>0</v>
      </c>
      <c r="C30" t="s">
        <v>1</v>
      </c>
      <c r="D30" t="s">
        <v>0</v>
      </c>
      <c r="E30">
        <v>71</v>
      </c>
      <c r="F30" t="s">
        <v>25</v>
      </c>
      <c r="G30" t="s">
        <v>24</v>
      </c>
      <c r="H30">
        <v>0</v>
      </c>
      <c r="I30">
        <v>0</v>
      </c>
    </row>
    <row r="31" spans="1:9" x14ac:dyDescent="0.3">
      <c r="A31">
        <v>2</v>
      </c>
      <c r="B31">
        <v>0</v>
      </c>
      <c r="C31" t="s">
        <v>1</v>
      </c>
      <c r="D31" t="s">
        <v>0</v>
      </c>
      <c r="E31">
        <v>70</v>
      </c>
      <c r="F31" t="s">
        <v>25</v>
      </c>
      <c r="G31" t="s">
        <v>24</v>
      </c>
      <c r="H31">
        <v>12</v>
      </c>
      <c r="I31">
        <v>0</v>
      </c>
    </row>
    <row r="32" spans="1:9" x14ac:dyDescent="0.3">
      <c r="A32">
        <v>2</v>
      </c>
      <c r="B32">
        <v>0</v>
      </c>
      <c r="C32" t="s">
        <v>1</v>
      </c>
      <c r="D32" t="s">
        <v>0</v>
      </c>
      <c r="E32">
        <v>52</v>
      </c>
      <c r="F32" t="s">
        <v>25</v>
      </c>
      <c r="G32" t="s">
        <v>24</v>
      </c>
      <c r="H32">
        <v>39</v>
      </c>
      <c r="I32">
        <v>0</v>
      </c>
    </row>
    <row r="33" spans="1:9" x14ac:dyDescent="0.3">
      <c r="A33">
        <v>2</v>
      </c>
      <c r="B33">
        <v>0</v>
      </c>
      <c r="C33" t="s">
        <v>1</v>
      </c>
      <c r="D33" t="s">
        <v>0</v>
      </c>
      <c r="E33">
        <v>46</v>
      </c>
      <c r="F33" t="s">
        <v>25</v>
      </c>
      <c r="G33" t="s">
        <v>24</v>
      </c>
      <c r="H33">
        <v>10</v>
      </c>
      <c r="I33">
        <v>0</v>
      </c>
    </row>
    <row r="34" spans="1:9" x14ac:dyDescent="0.3">
      <c r="A34">
        <v>2</v>
      </c>
      <c r="B34">
        <v>0</v>
      </c>
      <c r="C34" t="s">
        <v>1</v>
      </c>
      <c r="D34" t="s">
        <v>0</v>
      </c>
      <c r="E34">
        <v>2</v>
      </c>
      <c r="F34" t="s">
        <v>25</v>
      </c>
      <c r="G34" t="s">
        <v>24</v>
      </c>
      <c r="H34">
        <v>26</v>
      </c>
      <c r="I34">
        <v>1</v>
      </c>
    </row>
    <row r="35" spans="1:9" x14ac:dyDescent="0.3">
      <c r="A35">
        <v>2</v>
      </c>
      <c r="B35">
        <v>0</v>
      </c>
      <c r="C35" t="s">
        <v>1</v>
      </c>
      <c r="D35" t="s">
        <v>0</v>
      </c>
      <c r="E35">
        <v>42</v>
      </c>
      <c r="F35" t="s">
        <v>25</v>
      </c>
      <c r="G35" t="s">
        <v>24</v>
      </c>
      <c r="H35">
        <v>0</v>
      </c>
      <c r="I35">
        <v>0</v>
      </c>
    </row>
    <row r="36" spans="1:9" x14ac:dyDescent="0.3">
      <c r="A36">
        <v>2</v>
      </c>
      <c r="B36">
        <v>0</v>
      </c>
      <c r="C36" t="s">
        <v>1</v>
      </c>
      <c r="D36" t="s">
        <v>0</v>
      </c>
      <c r="E36">
        <v>31</v>
      </c>
      <c r="F36" t="s">
        <v>25</v>
      </c>
      <c r="G36" t="s">
        <v>24</v>
      </c>
      <c r="H36">
        <v>2</v>
      </c>
      <c r="I36">
        <v>0</v>
      </c>
    </row>
    <row r="37" spans="1:9" x14ac:dyDescent="0.3">
      <c r="A37">
        <v>2</v>
      </c>
      <c r="B37">
        <v>0</v>
      </c>
      <c r="C37" t="s">
        <v>1</v>
      </c>
      <c r="D37" t="s">
        <v>0</v>
      </c>
      <c r="E37">
        <v>55</v>
      </c>
      <c r="F37" t="s">
        <v>25</v>
      </c>
      <c r="G37" t="s">
        <v>24</v>
      </c>
      <c r="H37">
        <v>2</v>
      </c>
      <c r="I37">
        <v>0</v>
      </c>
    </row>
    <row r="38" spans="1:9" x14ac:dyDescent="0.3">
      <c r="A38">
        <v>2</v>
      </c>
      <c r="B38">
        <v>0</v>
      </c>
      <c r="C38" t="s">
        <v>1</v>
      </c>
      <c r="D38" t="s">
        <v>0</v>
      </c>
      <c r="E38">
        <v>47</v>
      </c>
      <c r="F38" t="s">
        <v>25</v>
      </c>
      <c r="G38" t="s">
        <v>24</v>
      </c>
      <c r="H38">
        <v>0</v>
      </c>
      <c r="I38">
        <v>0</v>
      </c>
    </row>
    <row r="39" spans="1:9" x14ac:dyDescent="0.3">
      <c r="A39">
        <v>2</v>
      </c>
      <c r="B39">
        <v>0</v>
      </c>
      <c r="C39" t="s">
        <v>1</v>
      </c>
      <c r="D39" t="s">
        <v>0</v>
      </c>
      <c r="E39">
        <v>45</v>
      </c>
      <c r="F39" t="s">
        <v>25</v>
      </c>
      <c r="G39" t="s">
        <v>24</v>
      </c>
      <c r="H39">
        <v>12</v>
      </c>
      <c r="I39">
        <v>0</v>
      </c>
    </row>
    <row r="40" spans="1:9" x14ac:dyDescent="0.3">
      <c r="A40">
        <v>2</v>
      </c>
      <c r="B40">
        <v>0</v>
      </c>
      <c r="C40" t="s">
        <v>1</v>
      </c>
      <c r="D40" t="s">
        <v>0</v>
      </c>
      <c r="E40">
        <v>22</v>
      </c>
      <c r="F40" t="s">
        <v>25</v>
      </c>
      <c r="G40" t="s">
        <v>24</v>
      </c>
      <c r="H40">
        <v>17</v>
      </c>
      <c r="I40">
        <v>0</v>
      </c>
    </row>
    <row r="41" spans="1:9" x14ac:dyDescent="0.3">
      <c r="A41">
        <v>2</v>
      </c>
      <c r="B41">
        <v>0</v>
      </c>
      <c r="C41" t="s">
        <v>1</v>
      </c>
      <c r="D41" t="s">
        <v>0</v>
      </c>
      <c r="E41">
        <v>49</v>
      </c>
      <c r="F41" t="s">
        <v>25</v>
      </c>
      <c r="G41" t="s">
        <v>24</v>
      </c>
      <c r="H41">
        <v>2</v>
      </c>
      <c r="I41">
        <v>0</v>
      </c>
    </row>
    <row r="42" spans="1:9" x14ac:dyDescent="0.3">
      <c r="A42">
        <v>2</v>
      </c>
      <c r="B42">
        <v>0</v>
      </c>
      <c r="C42" t="s">
        <v>1</v>
      </c>
      <c r="D42" t="s">
        <v>0</v>
      </c>
      <c r="E42">
        <v>36</v>
      </c>
      <c r="F42" t="s">
        <v>25</v>
      </c>
      <c r="G42" t="s">
        <v>24</v>
      </c>
      <c r="H42">
        <v>3</v>
      </c>
      <c r="I42">
        <v>0</v>
      </c>
    </row>
    <row r="43" spans="1:9" x14ac:dyDescent="0.3">
      <c r="A43">
        <v>2</v>
      </c>
      <c r="B43">
        <v>0</v>
      </c>
      <c r="C43" t="s">
        <v>1</v>
      </c>
      <c r="D43" t="s">
        <v>0</v>
      </c>
      <c r="E43">
        <v>46</v>
      </c>
      <c r="F43" t="s">
        <v>25</v>
      </c>
      <c r="G43" t="s">
        <v>24</v>
      </c>
      <c r="H43">
        <v>8</v>
      </c>
      <c r="I43">
        <v>0</v>
      </c>
    </row>
    <row r="44" spans="1:9" x14ac:dyDescent="0.3">
      <c r="A44">
        <v>2</v>
      </c>
      <c r="B44">
        <v>0</v>
      </c>
      <c r="C44" t="s">
        <v>1</v>
      </c>
      <c r="D44" t="s">
        <v>0</v>
      </c>
      <c r="E44">
        <v>62</v>
      </c>
      <c r="F44" t="s">
        <v>25</v>
      </c>
      <c r="G44" t="s">
        <v>24</v>
      </c>
      <c r="H44">
        <v>0</v>
      </c>
      <c r="I44">
        <v>0</v>
      </c>
    </row>
    <row r="45" spans="1:9" x14ac:dyDescent="0.3">
      <c r="A45">
        <v>2</v>
      </c>
      <c r="B45">
        <v>0</v>
      </c>
      <c r="C45" t="s">
        <v>1</v>
      </c>
      <c r="D45" t="s">
        <v>0</v>
      </c>
      <c r="E45">
        <v>51</v>
      </c>
      <c r="F45" t="s">
        <v>25</v>
      </c>
      <c r="G45" t="s">
        <v>24</v>
      </c>
      <c r="H45">
        <v>0</v>
      </c>
      <c r="I45">
        <v>0</v>
      </c>
    </row>
    <row r="46" spans="1:9" x14ac:dyDescent="0.3">
      <c r="A46">
        <v>2</v>
      </c>
      <c r="B46">
        <v>0</v>
      </c>
      <c r="C46" t="s">
        <v>1</v>
      </c>
      <c r="D46" t="s">
        <v>0</v>
      </c>
      <c r="E46">
        <v>65</v>
      </c>
      <c r="F46" t="s">
        <v>25</v>
      </c>
      <c r="G46" t="s">
        <v>24</v>
      </c>
      <c r="H46">
        <v>0</v>
      </c>
      <c r="I46">
        <v>0</v>
      </c>
    </row>
    <row r="47" spans="1:9" x14ac:dyDescent="0.3">
      <c r="A47">
        <v>2</v>
      </c>
      <c r="B47">
        <v>0</v>
      </c>
      <c r="C47" t="s">
        <v>1</v>
      </c>
      <c r="D47" t="s">
        <v>0</v>
      </c>
      <c r="E47">
        <v>60</v>
      </c>
      <c r="F47" t="s">
        <v>25</v>
      </c>
      <c r="G47" t="s">
        <v>24</v>
      </c>
      <c r="H47">
        <v>17</v>
      </c>
      <c r="I47">
        <v>0</v>
      </c>
    </row>
    <row r="48" spans="1:9" x14ac:dyDescent="0.3">
      <c r="A48">
        <v>2</v>
      </c>
      <c r="B48">
        <v>0</v>
      </c>
      <c r="C48" t="s">
        <v>1</v>
      </c>
      <c r="D48" t="s">
        <v>0</v>
      </c>
      <c r="E48">
        <v>43</v>
      </c>
      <c r="F48" t="s">
        <v>25</v>
      </c>
      <c r="G48" t="s">
        <v>24</v>
      </c>
      <c r="H48">
        <v>11</v>
      </c>
      <c r="I48">
        <v>0</v>
      </c>
    </row>
    <row r="49" spans="1:9" x14ac:dyDescent="0.3">
      <c r="A49">
        <v>2</v>
      </c>
      <c r="B49">
        <v>0</v>
      </c>
      <c r="C49" t="s">
        <v>1</v>
      </c>
      <c r="D49" t="s">
        <v>0</v>
      </c>
      <c r="E49">
        <v>68</v>
      </c>
      <c r="F49" t="s">
        <v>25</v>
      </c>
      <c r="G49" t="s">
        <v>24</v>
      </c>
      <c r="H49">
        <v>3</v>
      </c>
      <c r="I49">
        <v>0</v>
      </c>
    </row>
    <row r="50" spans="1:9" x14ac:dyDescent="0.3">
      <c r="A50">
        <v>2</v>
      </c>
      <c r="B50">
        <v>0</v>
      </c>
      <c r="C50" t="s">
        <v>1</v>
      </c>
      <c r="D50" t="s">
        <v>0</v>
      </c>
      <c r="E50">
        <v>61</v>
      </c>
      <c r="F50" t="s">
        <v>25</v>
      </c>
      <c r="G50" t="s">
        <v>24</v>
      </c>
      <c r="H50">
        <v>34</v>
      </c>
      <c r="I50">
        <v>0</v>
      </c>
    </row>
    <row r="51" spans="1:9" x14ac:dyDescent="0.3">
      <c r="A51">
        <v>2</v>
      </c>
      <c r="B51">
        <v>1</v>
      </c>
      <c r="C51" t="s">
        <v>1</v>
      </c>
      <c r="D51" t="s">
        <v>0</v>
      </c>
      <c r="E51">
        <v>61</v>
      </c>
      <c r="F51" t="s">
        <v>25</v>
      </c>
      <c r="G51" t="s">
        <v>24</v>
      </c>
      <c r="H51">
        <v>0</v>
      </c>
      <c r="I51">
        <v>0</v>
      </c>
    </row>
    <row r="52" spans="1:9" x14ac:dyDescent="0.3">
      <c r="A52">
        <v>2</v>
      </c>
      <c r="B52">
        <v>1</v>
      </c>
      <c r="C52" t="s">
        <v>1</v>
      </c>
      <c r="D52" t="s">
        <v>0</v>
      </c>
      <c r="E52">
        <v>75</v>
      </c>
      <c r="F52" t="s">
        <v>25</v>
      </c>
      <c r="G52" t="s">
        <v>24</v>
      </c>
      <c r="H52">
        <v>29</v>
      </c>
      <c r="I52">
        <v>0</v>
      </c>
    </row>
    <row r="53" spans="1:9" x14ac:dyDescent="0.3">
      <c r="A53">
        <v>2</v>
      </c>
      <c r="B53">
        <v>1</v>
      </c>
      <c r="C53" t="s">
        <v>1</v>
      </c>
      <c r="D53" t="s">
        <v>0</v>
      </c>
      <c r="E53">
        <v>52</v>
      </c>
      <c r="F53" t="s">
        <v>25</v>
      </c>
      <c r="G53" t="s">
        <v>24</v>
      </c>
      <c r="H53">
        <v>4</v>
      </c>
      <c r="I53">
        <v>0</v>
      </c>
    </row>
    <row r="54" spans="1:9" x14ac:dyDescent="0.3">
      <c r="A54">
        <v>2</v>
      </c>
      <c r="B54">
        <v>1</v>
      </c>
      <c r="C54" t="s">
        <v>1</v>
      </c>
      <c r="D54" t="s">
        <v>0</v>
      </c>
      <c r="E54">
        <v>53</v>
      </c>
      <c r="F54" t="s">
        <v>25</v>
      </c>
      <c r="G54" t="s">
        <v>24</v>
      </c>
      <c r="H54">
        <v>13</v>
      </c>
      <c r="I54">
        <v>0</v>
      </c>
    </row>
    <row r="55" spans="1:9" x14ac:dyDescent="0.3">
      <c r="A55">
        <v>2</v>
      </c>
      <c r="B55">
        <v>1</v>
      </c>
      <c r="C55" t="s">
        <v>1</v>
      </c>
      <c r="D55" t="s">
        <v>0</v>
      </c>
      <c r="E55">
        <v>69</v>
      </c>
      <c r="F55" t="s">
        <v>25</v>
      </c>
      <c r="G55" t="s">
        <v>24</v>
      </c>
      <c r="H55">
        <v>19</v>
      </c>
      <c r="I55">
        <v>0</v>
      </c>
    </row>
    <row r="56" spans="1:9" x14ac:dyDescent="0.3">
      <c r="A56">
        <v>2</v>
      </c>
      <c r="B56">
        <v>1</v>
      </c>
      <c r="C56" t="s">
        <v>1</v>
      </c>
      <c r="D56" t="s">
        <v>0</v>
      </c>
      <c r="E56">
        <v>28</v>
      </c>
      <c r="F56" t="s">
        <v>25</v>
      </c>
      <c r="G56" t="s">
        <v>24</v>
      </c>
      <c r="H56">
        <v>22</v>
      </c>
      <c r="I56">
        <v>0</v>
      </c>
    </row>
    <row r="57" spans="1:9" x14ac:dyDescent="0.3">
      <c r="A57">
        <v>2</v>
      </c>
      <c r="B57">
        <v>1</v>
      </c>
      <c r="C57" t="s">
        <v>1</v>
      </c>
      <c r="D57" t="s">
        <v>0</v>
      </c>
      <c r="E57">
        <v>45</v>
      </c>
      <c r="F57" t="s">
        <v>25</v>
      </c>
      <c r="G57" t="s">
        <v>24</v>
      </c>
      <c r="H57">
        <v>0</v>
      </c>
      <c r="I57">
        <v>0</v>
      </c>
    </row>
    <row r="58" spans="1:9" x14ac:dyDescent="0.3">
      <c r="A58">
        <v>2</v>
      </c>
      <c r="B58">
        <v>1</v>
      </c>
      <c r="C58" t="s">
        <v>1</v>
      </c>
      <c r="D58" t="s">
        <v>0</v>
      </c>
      <c r="E58">
        <v>39</v>
      </c>
      <c r="F58" t="s">
        <v>25</v>
      </c>
      <c r="G58" t="s">
        <v>24</v>
      </c>
      <c r="H58">
        <v>18</v>
      </c>
      <c r="I58">
        <v>0</v>
      </c>
    </row>
    <row r="59" spans="1:9" x14ac:dyDescent="0.3">
      <c r="A59">
        <v>2</v>
      </c>
      <c r="B59">
        <v>1</v>
      </c>
      <c r="C59" t="s">
        <v>1</v>
      </c>
      <c r="D59" t="s">
        <v>0</v>
      </c>
      <c r="E59">
        <v>42</v>
      </c>
      <c r="F59" t="s">
        <v>25</v>
      </c>
      <c r="G59" t="s">
        <v>24</v>
      </c>
      <c r="H59">
        <v>4</v>
      </c>
      <c r="I59">
        <v>0</v>
      </c>
    </row>
    <row r="60" spans="1:9" x14ac:dyDescent="0.3">
      <c r="A60">
        <v>2</v>
      </c>
      <c r="B60">
        <v>1</v>
      </c>
      <c r="C60" t="s">
        <v>1</v>
      </c>
      <c r="D60" t="s">
        <v>0</v>
      </c>
      <c r="E60">
        <v>56</v>
      </c>
      <c r="F60" t="s">
        <v>25</v>
      </c>
      <c r="G60" t="s">
        <v>24</v>
      </c>
      <c r="H60">
        <v>8</v>
      </c>
      <c r="I60">
        <v>0</v>
      </c>
    </row>
    <row r="61" spans="1:9" x14ac:dyDescent="0.3">
      <c r="A61">
        <v>2</v>
      </c>
      <c r="B61">
        <v>1</v>
      </c>
      <c r="C61" t="s">
        <v>1</v>
      </c>
      <c r="D61" t="s">
        <v>0</v>
      </c>
      <c r="E61">
        <v>42</v>
      </c>
      <c r="F61" t="s">
        <v>25</v>
      </c>
      <c r="G61" t="s">
        <v>24</v>
      </c>
      <c r="H61">
        <v>15</v>
      </c>
      <c r="I61">
        <v>0</v>
      </c>
    </row>
    <row r="62" spans="1:9" x14ac:dyDescent="0.3">
      <c r="A62">
        <v>2</v>
      </c>
      <c r="B62">
        <v>1</v>
      </c>
      <c r="C62" t="s">
        <v>1</v>
      </c>
      <c r="D62" t="s">
        <v>0</v>
      </c>
      <c r="E62">
        <v>54</v>
      </c>
      <c r="F62" t="s">
        <v>25</v>
      </c>
      <c r="G62" t="s">
        <v>24</v>
      </c>
      <c r="H62">
        <v>21</v>
      </c>
      <c r="I62">
        <v>0</v>
      </c>
    </row>
    <row r="63" spans="1:9" x14ac:dyDescent="0.3">
      <c r="A63">
        <v>2</v>
      </c>
      <c r="B63">
        <v>1</v>
      </c>
      <c r="C63" t="s">
        <v>1</v>
      </c>
      <c r="D63" t="s">
        <v>0</v>
      </c>
      <c r="E63">
        <v>39</v>
      </c>
      <c r="F63" t="s">
        <v>25</v>
      </c>
      <c r="G63" t="s">
        <v>24</v>
      </c>
      <c r="H63">
        <v>5</v>
      </c>
      <c r="I63">
        <v>0</v>
      </c>
    </row>
    <row r="64" spans="1:9" x14ac:dyDescent="0.3">
      <c r="A64">
        <v>2</v>
      </c>
      <c r="B64">
        <v>1</v>
      </c>
      <c r="C64" t="s">
        <v>1</v>
      </c>
      <c r="D64" t="s">
        <v>0</v>
      </c>
      <c r="E64">
        <v>2</v>
      </c>
      <c r="F64" t="s">
        <v>25</v>
      </c>
      <c r="G64" t="s">
        <v>24</v>
      </c>
      <c r="H64">
        <v>26</v>
      </c>
      <c r="I64">
        <v>1</v>
      </c>
    </row>
    <row r="65" spans="1:9" x14ac:dyDescent="0.3">
      <c r="A65">
        <v>2</v>
      </c>
      <c r="B65">
        <v>1</v>
      </c>
      <c r="C65" t="s">
        <v>1</v>
      </c>
      <c r="D65" t="s">
        <v>0</v>
      </c>
      <c r="E65">
        <v>42</v>
      </c>
      <c r="F65" t="s">
        <v>25</v>
      </c>
      <c r="G65" t="s">
        <v>24</v>
      </c>
      <c r="H65">
        <v>7</v>
      </c>
      <c r="I65">
        <v>0</v>
      </c>
    </row>
    <row r="66" spans="1:9" x14ac:dyDescent="0.3">
      <c r="A66">
        <v>2</v>
      </c>
      <c r="B66">
        <v>1</v>
      </c>
      <c r="C66" t="s">
        <v>1</v>
      </c>
      <c r="D66" t="s">
        <v>0</v>
      </c>
      <c r="E66">
        <v>78</v>
      </c>
      <c r="F66" t="s">
        <v>25</v>
      </c>
      <c r="G66" t="s">
        <v>24</v>
      </c>
      <c r="H66">
        <v>10</v>
      </c>
      <c r="I66">
        <v>0</v>
      </c>
    </row>
    <row r="67" spans="1:9" x14ac:dyDescent="0.3">
      <c r="A67">
        <v>2</v>
      </c>
      <c r="B67">
        <v>1</v>
      </c>
      <c r="C67" t="s">
        <v>1</v>
      </c>
      <c r="D67" t="s">
        <v>0</v>
      </c>
      <c r="E67">
        <v>47</v>
      </c>
      <c r="F67" t="s">
        <v>25</v>
      </c>
      <c r="G67" t="s">
        <v>24</v>
      </c>
      <c r="H67">
        <v>7</v>
      </c>
      <c r="I67">
        <v>0</v>
      </c>
    </row>
    <row r="68" spans="1:9" x14ac:dyDescent="0.3">
      <c r="A68">
        <v>2</v>
      </c>
      <c r="B68">
        <v>1</v>
      </c>
      <c r="C68" t="s">
        <v>1</v>
      </c>
      <c r="D68" t="s">
        <v>0</v>
      </c>
      <c r="E68">
        <v>57</v>
      </c>
      <c r="F68" t="s">
        <v>25</v>
      </c>
      <c r="G68" t="s">
        <v>24</v>
      </c>
      <c r="H68">
        <v>3</v>
      </c>
      <c r="I68">
        <v>0</v>
      </c>
    </row>
    <row r="69" spans="1:9" x14ac:dyDescent="0.3">
      <c r="A69">
        <v>2</v>
      </c>
      <c r="B69">
        <v>1</v>
      </c>
      <c r="C69" t="s">
        <v>1</v>
      </c>
      <c r="D69" t="s">
        <v>0</v>
      </c>
      <c r="E69">
        <v>51</v>
      </c>
      <c r="F69" t="s">
        <v>25</v>
      </c>
      <c r="G69" t="s">
        <v>24</v>
      </c>
      <c r="H69">
        <v>6</v>
      </c>
      <c r="I69">
        <v>0</v>
      </c>
    </row>
    <row r="70" spans="1:9" x14ac:dyDescent="0.3">
      <c r="A70">
        <v>2</v>
      </c>
      <c r="B70">
        <v>1</v>
      </c>
      <c r="C70" t="s">
        <v>1</v>
      </c>
      <c r="D70" t="s">
        <v>0</v>
      </c>
      <c r="E70">
        <v>87</v>
      </c>
      <c r="F70" t="s">
        <v>25</v>
      </c>
      <c r="G70" t="s">
        <v>24</v>
      </c>
      <c r="H70">
        <v>0</v>
      </c>
      <c r="I70">
        <v>0</v>
      </c>
    </row>
    <row r="71" spans="1:9" x14ac:dyDescent="0.3">
      <c r="A71">
        <v>2</v>
      </c>
      <c r="B71">
        <v>1</v>
      </c>
      <c r="C71" t="s">
        <v>1</v>
      </c>
      <c r="D71" t="s">
        <v>0</v>
      </c>
      <c r="E71">
        <v>45</v>
      </c>
      <c r="F71" t="s">
        <v>25</v>
      </c>
      <c r="G71" t="s">
        <v>24</v>
      </c>
      <c r="H71">
        <v>13</v>
      </c>
      <c r="I71">
        <v>0</v>
      </c>
    </row>
    <row r="72" spans="1:9" x14ac:dyDescent="0.3">
      <c r="A72">
        <v>2</v>
      </c>
      <c r="B72">
        <v>1</v>
      </c>
      <c r="C72" t="s">
        <v>1</v>
      </c>
      <c r="D72" t="s">
        <v>0</v>
      </c>
      <c r="E72">
        <v>45</v>
      </c>
      <c r="F72" t="s">
        <v>25</v>
      </c>
      <c r="G72" t="s">
        <v>24</v>
      </c>
      <c r="H72">
        <v>3</v>
      </c>
      <c r="I72">
        <v>0</v>
      </c>
    </row>
    <row r="73" spans="1:9" x14ac:dyDescent="0.3">
      <c r="A73">
        <v>2</v>
      </c>
      <c r="B73">
        <v>1</v>
      </c>
      <c r="C73" t="s">
        <v>1</v>
      </c>
      <c r="D73" t="s">
        <v>0</v>
      </c>
      <c r="E73">
        <v>38</v>
      </c>
      <c r="F73" t="s">
        <v>25</v>
      </c>
      <c r="G73" t="s">
        <v>24</v>
      </c>
      <c r="H73">
        <v>11</v>
      </c>
      <c r="I73">
        <v>0</v>
      </c>
    </row>
    <row r="74" spans="1:9" x14ac:dyDescent="0.3">
      <c r="A74">
        <v>2</v>
      </c>
      <c r="B74">
        <v>1</v>
      </c>
      <c r="C74" t="s">
        <v>1</v>
      </c>
      <c r="D74" t="s">
        <v>0</v>
      </c>
      <c r="E74">
        <v>42</v>
      </c>
      <c r="F74" t="s">
        <v>25</v>
      </c>
      <c r="G74" t="s">
        <v>24</v>
      </c>
      <c r="H74">
        <v>1</v>
      </c>
      <c r="I74">
        <v>0</v>
      </c>
    </row>
    <row r="75" spans="1:9" x14ac:dyDescent="0.3">
      <c r="A75">
        <v>2</v>
      </c>
      <c r="B75">
        <v>1</v>
      </c>
      <c r="C75" t="s">
        <v>1</v>
      </c>
      <c r="D75" t="s">
        <v>0</v>
      </c>
      <c r="E75">
        <v>38</v>
      </c>
      <c r="F75" t="s">
        <v>25</v>
      </c>
      <c r="G75" t="s">
        <v>24</v>
      </c>
      <c r="H75">
        <v>8</v>
      </c>
      <c r="I75">
        <v>0</v>
      </c>
    </row>
    <row r="76" spans="1:9" x14ac:dyDescent="0.3">
      <c r="A76">
        <v>2</v>
      </c>
      <c r="B76">
        <v>1</v>
      </c>
      <c r="C76" t="s">
        <v>1</v>
      </c>
      <c r="D76" t="s">
        <v>0</v>
      </c>
      <c r="E76">
        <v>54</v>
      </c>
      <c r="F76" t="s">
        <v>25</v>
      </c>
      <c r="G76" t="s">
        <v>24</v>
      </c>
      <c r="H76">
        <v>6</v>
      </c>
      <c r="I76">
        <v>0</v>
      </c>
    </row>
    <row r="77" spans="1:9" x14ac:dyDescent="0.3">
      <c r="A77">
        <v>2</v>
      </c>
      <c r="B77">
        <v>1</v>
      </c>
      <c r="C77" t="s">
        <v>1</v>
      </c>
      <c r="D77" t="s">
        <v>0</v>
      </c>
      <c r="E77">
        <v>51</v>
      </c>
      <c r="F77" t="s">
        <v>25</v>
      </c>
      <c r="G77" t="s">
        <v>24</v>
      </c>
      <c r="H77">
        <v>9</v>
      </c>
      <c r="I77">
        <v>0</v>
      </c>
    </row>
    <row r="78" spans="1:9" x14ac:dyDescent="0.3">
      <c r="A78">
        <v>2</v>
      </c>
      <c r="B78">
        <v>1</v>
      </c>
      <c r="C78" t="s">
        <v>1</v>
      </c>
      <c r="D78" t="s">
        <v>0</v>
      </c>
      <c r="E78">
        <v>5</v>
      </c>
      <c r="F78" t="s">
        <v>25</v>
      </c>
      <c r="G78" t="s">
        <v>24</v>
      </c>
      <c r="H78">
        <v>0</v>
      </c>
      <c r="I78">
        <v>0</v>
      </c>
    </row>
    <row r="79" spans="1:9" x14ac:dyDescent="0.3">
      <c r="A79">
        <v>2</v>
      </c>
      <c r="B79">
        <v>1</v>
      </c>
      <c r="C79" t="s">
        <v>1</v>
      </c>
      <c r="D79" t="s">
        <v>0</v>
      </c>
      <c r="E79">
        <v>29</v>
      </c>
      <c r="F79" t="s">
        <v>25</v>
      </c>
      <c r="G79" t="s">
        <v>24</v>
      </c>
      <c r="H79">
        <v>16</v>
      </c>
      <c r="I79">
        <v>0</v>
      </c>
    </row>
    <row r="80" spans="1:9" x14ac:dyDescent="0.3">
      <c r="A80">
        <v>2</v>
      </c>
      <c r="B80">
        <v>1</v>
      </c>
      <c r="C80" t="s">
        <v>1</v>
      </c>
      <c r="D80" t="s">
        <v>0</v>
      </c>
      <c r="E80">
        <v>42</v>
      </c>
      <c r="F80" t="s">
        <v>25</v>
      </c>
      <c r="G80" t="s">
        <v>24</v>
      </c>
      <c r="H80">
        <v>2</v>
      </c>
      <c r="I80">
        <v>0</v>
      </c>
    </row>
    <row r="81" spans="1:9" x14ac:dyDescent="0.3">
      <c r="A81">
        <v>2</v>
      </c>
      <c r="B81">
        <v>1</v>
      </c>
      <c r="C81" t="s">
        <v>1</v>
      </c>
      <c r="D81" t="s">
        <v>0</v>
      </c>
      <c r="E81">
        <v>50</v>
      </c>
      <c r="F81" t="s">
        <v>25</v>
      </c>
      <c r="G81" t="s">
        <v>24</v>
      </c>
      <c r="H81">
        <v>5</v>
      </c>
      <c r="I81">
        <v>0</v>
      </c>
    </row>
    <row r="82" spans="1:9" x14ac:dyDescent="0.3">
      <c r="A82">
        <v>2</v>
      </c>
      <c r="B82">
        <v>1</v>
      </c>
      <c r="C82" t="s">
        <v>1</v>
      </c>
      <c r="D82" t="s">
        <v>0</v>
      </c>
      <c r="E82">
        <v>25</v>
      </c>
      <c r="F82" t="s">
        <v>25</v>
      </c>
      <c r="G82" t="s">
        <v>24</v>
      </c>
      <c r="H82">
        <v>0</v>
      </c>
      <c r="I82">
        <v>0</v>
      </c>
    </row>
    <row r="83" spans="1:9" x14ac:dyDescent="0.3">
      <c r="A83">
        <v>2</v>
      </c>
      <c r="B83">
        <v>1</v>
      </c>
      <c r="C83" t="s">
        <v>1</v>
      </c>
      <c r="D83" t="s">
        <v>0</v>
      </c>
      <c r="E83">
        <v>66</v>
      </c>
      <c r="F83" t="s">
        <v>25</v>
      </c>
      <c r="G83" t="s">
        <v>24</v>
      </c>
      <c r="H83">
        <v>5</v>
      </c>
      <c r="I83">
        <v>0</v>
      </c>
    </row>
    <row r="84" spans="1:9" x14ac:dyDescent="0.3">
      <c r="A84">
        <v>2</v>
      </c>
      <c r="B84">
        <v>1</v>
      </c>
      <c r="C84" t="s">
        <v>1</v>
      </c>
      <c r="D84" t="s">
        <v>0</v>
      </c>
      <c r="E84">
        <v>43</v>
      </c>
      <c r="F84" t="s">
        <v>25</v>
      </c>
      <c r="G84" t="s">
        <v>24</v>
      </c>
      <c r="H84">
        <v>2</v>
      </c>
      <c r="I84">
        <v>0</v>
      </c>
    </row>
    <row r="85" spans="1:9" x14ac:dyDescent="0.3">
      <c r="A85">
        <v>2</v>
      </c>
      <c r="B85">
        <v>1</v>
      </c>
      <c r="C85" t="s">
        <v>1</v>
      </c>
      <c r="D85" t="s">
        <v>0</v>
      </c>
      <c r="E85">
        <v>43</v>
      </c>
      <c r="F85" t="s">
        <v>25</v>
      </c>
      <c r="G85" t="s">
        <v>24</v>
      </c>
      <c r="H85">
        <v>0</v>
      </c>
      <c r="I85">
        <v>0</v>
      </c>
    </row>
    <row r="86" spans="1:9" x14ac:dyDescent="0.3">
      <c r="A86">
        <v>2</v>
      </c>
      <c r="B86">
        <v>1</v>
      </c>
      <c r="C86" t="s">
        <v>1</v>
      </c>
      <c r="D86" t="s">
        <v>0</v>
      </c>
      <c r="E86">
        <v>54</v>
      </c>
      <c r="F86" t="s">
        <v>25</v>
      </c>
      <c r="G86" t="s">
        <v>24</v>
      </c>
      <c r="H86">
        <v>2</v>
      </c>
      <c r="I86">
        <v>0</v>
      </c>
    </row>
    <row r="87" spans="1:9" x14ac:dyDescent="0.3">
      <c r="A87">
        <v>2</v>
      </c>
      <c r="B87">
        <v>1</v>
      </c>
      <c r="C87" t="s">
        <v>1</v>
      </c>
      <c r="D87" t="s">
        <v>0</v>
      </c>
      <c r="E87">
        <v>65</v>
      </c>
      <c r="F87" t="s">
        <v>25</v>
      </c>
      <c r="G87" t="s">
        <v>24</v>
      </c>
      <c r="H87">
        <v>16</v>
      </c>
      <c r="I87">
        <v>0</v>
      </c>
    </row>
    <row r="88" spans="1:9" x14ac:dyDescent="0.3">
      <c r="A88">
        <v>2</v>
      </c>
      <c r="B88">
        <v>1</v>
      </c>
      <c r="C88" t="s">
        <v>1</v>
      </c>
      <c r="D88" t="s">
        <v>0</v>
      </c>
      <c r="E88">
        <v>86</v>
      </c>
      <c r="F88" t="s">
        <v>25</v>
      </c>
      <c r="G88" t="s">
        <v>24</v>
      </c>
      <c r="H88">
        <v>0</v>
      </c>
      <c r="I88">
        <v>0</v>
      </c>
    </row>
    <row r="89" spans="1:9" x14ac:dyDescent="0.3">
      <c r="A89">
        <v>2</v>
      </c>
      <c r="B89">
        <v>1</v>
      </c>
      <c r="C89" t="s">
        <v>1</v>
      </c>
      <c r="D89" t="s">
        <v>0</v>
      </c>
      <c r="E89">
        <v>15</v>
      </c>
      <c r="F89" t="s">
        <v>25</v>
      </c>
      <c r="G89" t="s">
        <v>24</v>
      </c>
      <c r="H89">
        <v>17</v>
      </c>
      <c r="I89">
        <v>1</v>
      </c>
    </row>
    <row r="90" spans="1:9" x14ac:dyDescent="0.3">
      <c r="A90">
        <v>2</v>
      </c>
      <c r="B90">
        <v>1</v>
      </c>
      <c r="C90" t="s">
        <v>1</v>
      </c>
      <c r="D90" t="s">
        <v>0</v>
      </c>
      <c r="E90">
        <v>46</v>
      </c>
      <c r="F90" t="s">
        <v>25</v>
      </c>
      <c r="G90" t="s">
        <v>24</v>
      </c>
      <c r="H90">
        <v>8</v>
      </c>
      <c r="I90">
        <v>0</v>
      </c>
    </row>
    <row r="91" spans="1:9" x14ac:dyDescent="0.3">
      <c r="A91">
        <v>2</v>
      </c>
      <c r="B91">
        <v>1</v>
      </c>
      <c r="C91" t="s">
        <v>1</v>
      </c>
      <c r="D91" t="s">
        <v>0</v>
      </c>
      <c r="E91">
        <v>47</v>
      </c>
      <c r="F91" t="s">
        <v>25</v>
      </c>
      <c r="G91" t="s">
        <v>24</v>
      </c>
      <c r="H91">
        <v>2</v>
      </c>
      <c r="I91">
        <v>0</v>
      </c>
    </row>
    <row r="92" spans="1:9" x14ac:dyDescent="0.3">
      <c r="A92">
        <v>2</v>
      </c>
      <c r="B92">
        <v>1</v>
      </c>
      <c r="C92" t="s">
        <v>1</v>
      </c>
      <c r="D92" t="s">
        <v>0</v>
      </c>
      <c r="E92">
        <v>60</v>
      </c>
      <c r="F92" t="s">
        <v>25</v>
      </c>
      <c r="G92" t="s">
        <v>24</v>
      </c>
      <c r="H92">
        <v>8</v>
      </c>
      <c r="I92">
        <v>0</v>
      </c>
    </row>
    <row r="93" spans="1:9" x14ac:dyDescent="0.3">
      <c r="A93">
        <v>2</v>
      </c>
      <c r="B93">
        <v>1</v>
      </c>
      <c r="C93" t="s">
        <v>1</v>
      </c>
      <c r="D93" t="s">
        <v>0</v>
      </c>
      <c r="E93">
        <v>42</v>
      </c>
      <c r="F93" t="s">
        <v>25</v>
      </c>
      <c r="G93" t="s">
        <v>24</v>
      </c>
      <c r="H93">
        <v>0</v>
      </c>
      <c r="I93">
        <v>0</v>
      </c>
    </row>
    <row r="94" spans="1:9" x14ac:dyDescent="0.3">
      <c r="A94">
        <v>2</v>
      </c>
      <c r="B94">
        <v>1</v>
      </c>
      <c r="C94" t="s">
        <v>1</v>
      </c>
      <c r="D94" t="s">
        <v>0</v>
      </c>
      <c r="E94">
        <v>65</v>
      </c>
      <c r="F94" t="s">
        <v>25</v>
      </c>
      <c r="G94" t="s">
        <v>24</v>
      </c>
      <c r="H94">
        <v>0</v>
      </c>
      <c r="I94">
        <v>0</v>
      </c>
    </row>
    <row r="95" spans="1:9" x14ac:dyDescent="0.3">
      <c r="A95">
        <v>2</v>
      </c>
      <c r="B95">
        <v>1</v>
      </c>
      <c r="C95" t="s">
        <v>1</v>
      </c>
      <c r="D95" t="s">
        <v>0</v>
      </c>
      <c r="E95">
        <v>45</v>
      </c>
      <c r="F95" t="s">
        <v>25</v>
      </c>
      <c r="G95" t="s">
        <v>24</v>
      </c>
      <c r="H95">
        <v>21</v>
      </c>
      <c r="I95">
        <v>0</v>
      </c>
    </row>
    <row r="96" spans="1:9" x14ac:dyDescent="0.3">
      <c r="A96">
        <v>2</v>
      </c>
      <c r="B96">
        <v>1</v>
      </c>
      <c r="C96" t="s">
        <v>1</v>
      </c>
      <c r="D96" t="s">
        <v>0</v>
      </c>
      <c r="E96">
        <v>19</v>
      </c>
      <c r="F96" t="s">
        <v>25</v>
      </c>
      <c r="G96" t="s">
        <v>24</v>
      </c>
      <c r="H96">
        <v>18</v>
      </c>
      <c r="I96">
        <v>0</v>
      </c>
    </row>
    <row r="97" spans="1:9" x14ac:dyDescent="0.3">
      <c r="A97">
        <v>2</v>
      </c>
      <c r="B97">
        <v>1</v>
      </c>
      <c r="C97" t="s">
        <v>1</v>
      </c>
      <c r="D97" t="s">
        <v>0</v>
      </c>
      <c r="E97">
        <v>88</v>
      </c>
      <c r="F97" t="s">
        <v>25</v>
      </c>
      <c r="G97" t="s">
        <v>24</v>
      </c>
      <c r="H97">
        <v>16</v>
      </c>
      <c r="I97">
        <v>0</v>
      </c>
    </row>
    <row r="98" spans="1:9" x14ac:dyDescent="0.3">
      <c r="A98">
        <v>2</v>
      </c>
      <c r="B98">
        <v>1</v>
      </c>
      <c r="C98" t="s">
        <v>1</v>
      </c>
      <c r="D98" t="s">
        <v>0</v>
      </c>
      <c r="E98">
        <v>34</v>
      </c>
      <c r="F98" t="s">
        <v>25</v>
      </c>
      <c r="G98" t="s">
        <v>24</v>
      </c>
      <c r="H98">
        <v>14</v>
      </c>
      <c r="I98">
        <v>0</v>
      </c>
    </row>
    <row r="99" spans="1:9" x14ac:dyDescent="0.3">
      <c r="A99">
        <v>2</v>
      </c>
      <c r="B99">
        <v>1</v>
      </c>
      <c r="C99" t="s">
        <v>1</v>
      </c>
      <c r="D99" t="s">
        <v>0</v>
      </c>
      <c r="E99">
        <v>45</v>
      </c>
      <c r="F99" t="s">
        <v>25</v>
      </c>
      <c r="G99" t="s">
        <v>24</v>
      </c>
      <c r="H99">
        <v>6</v>
      </c>
      <c r="I99">
        <v>0</v>
      </c>
    </row>
    <row r="100" spans="1:9" x14ac:dyDescent="0.3">
      <c r="A100">
        <v>2</v>
      </c>
      <c r="B100">
        <v>1</v>
      </c>
      <c r="C100" t="s">
        <v>1</v>
      </c>
      <c r="D100" t="s">
        <v>0</v>
      </c>
      <c r="E100">
        <v>48</v>
      </c>
      <c r="F100" t="s">
        <v>25</v>
      </c>
      <c r="G100" t="s">
        <v>24</v>
      </c>
      <c r="H100">
        <v>0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494B6-1394-4313-8094-E3395E22026D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</v>
      </c>
      <c r="D1" t="s">
        <v>0</v>
      </c>
      <c r="E1">
        <v>25</v>
      </c>
      <c r="F1" t="s">
        <v>27</v>
      </c>
      <c r="G1" t="s">
        <v>26</v>
      </c>
      <c r="H1">
        <v>10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</v>
      </c>
      <c r="D2" t="s">
        <v>0</v>
      </c>
      <c r="E2">
        <v>58</v>
      </c>
      <c r="F2" t="s">
        <v>27</v>
      </c>
      <c r="G2" t="s">
        <v>26</v>
      </c>
      <c r="H2">
        <v>26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</v>
      </c>
      <c r="D3" t="s">
        <v>0</v>
      </c>
      <c r="E3">
        <v>49</v>
      </c>
      <c r="F3" t="s">
        <v>27</v>
      </c>
      <c r="G3" t="s">
        <v>26</v>
      </c>
      <c r="H3">
        <v>8</v>
      </c>
      <c r="I3">
        <v>0</v>
      </c>
      <c r="K3" s="8" t="s">
        <v>11</v>
      </c>
      <c r="L3" s="8"/>
      <c r="M3" s="10">
        <f>COUNTIF($I$1:$I$100, 0)</f>
        <v>86</v>
      </c>
      <c r="N3" s="10"/>
      <c r="O3" s="10">
        <f>COUNTIFS($I$1:$I$100, 0, $B$1:$B$100, 0)</f>
        <v>45</v>
      </c>
      <c r="P3" s="10"/>
      <c r="Q3" s="11">
        <f>COUNTIFS($I$1:$I$100, 0, $B$1:$B$100, 1)</f>
        <v>41</v>
      </c>
      <c r="R3" s="12"/>
      <c r="T3" cm="1">
        <f t="array" ref="T3">SUMPRODUCT(--($E$1:$E$100=$H$1:$H$100))</f>
        <v>1</v>
      </c>
    </row>
    <row r="4" spans="1:20" x14ac:dyDescent="0.3">
      <c r="A4">
        <v>2</v>
      </c>
      <c r="B4">
        <v>0</v>
      </c>
      <c r="C4" t="s">
        <v>1</v>
      </c>
      <c r="D4" t="s">
        <v>0</v>
      </c>
      <c r="E4">
        <v>51</v>
      </c>
      <c r="F4" t="s">
        <v>27</v>
      </c>
      <c r="G4" t="s">
        <v>26</v>
      </c>
      <c r="H4">
        <v>34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</v>
      </c>
      <c r="D5" t="s">
        <v>0</v>
      </c>
      <c r="E5">
        <v>83</v>
      </c>
      <c r="F5" t="s">
        <v>27</v>
      </c>
      <c r="G5" t="s">
        <v>26</v>
      </c>
      <c r="H5">
        <v>35</v>
      </c>
      <c r="I5">
        <v>0</v>
      </c>
      <c r="K5" s="8" t="s">
        <v>10</v>
      </c>
      <c r="L5" s="8"/>
      <c r="M5" s="14">
        <f>COUNTIF($I$1:$I$100, 1)</f>
        <v>14</v>
      </c>
      <c r="N5" s="10"/>
      <c r="O5" s="10">
        <f>COUNTIFS($I$1:$I$100, 1, $B$1:$B$100, 0)</f>
        <v>5</v>
      </c>
      <c r="P5" s="10"/>
      <c r="Q5" s="10">
        <f>COUNTIFS($I$1:$I$100, 1, $B$1:$B$100, 1)</f>
        <v>9</v>
      </c>
      <c r="R5" s="13"/>
    </row>
    <row r="6" spans="1:20" x14ac:dyDescent="0.3">
      <c r="A6">
        <v>2</v>
      </c>
      <c r="B6">
        <v>0</v>
      </c>
      <c r="C6" t="s">
        <v>1</v>
      </c>
      <c r="D6" t="s">
        <v>0</v>
      </c>
      <c r="E6">
        <v>45</v>
      </c>
      <c r="F6" t="s">
        <v>27</v>
      </c>
      <c r="G6" t="s">
        <v>26</v>
      </c>
      <c r="H6">
        <v>13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</v>
      </c>
      <c r="D7" t="s">
        <v>0</v>
      </c>
      <c r="E7">
        <v>28</v>
      </c>
      <c r="F7" t="s">
        <v>27</v>
      </c>
      <c r="G7" t="s">
        <v>26</v>
      </c>
      <c r="H7">
        <v>0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</v>
      </c>
      <c r="D8" t="s">
        <v>0</v>
      </c>
      <c r="E8">
        <v>60</v>
      </c>
      <c r="F8" t="s">
        <v>27</v>
      </c>
      <c r="G8" t="s">
        <v>26</v>
      </c>
      <c r="H8">
        <v>29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</v>
      </c>
      <c r="D9" t="s">
        <v>0</v>
      </c>
      <c r="E9">
        <v>42</v>
      </c>
      <c r="F9" t="s">
        <v>27</v>
      </c>
      <c r="G9" t="s">
        <v>26</v>
      </c>
      <c r="H9">
        <v>16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</v>
      </c>
      <c r="D10" t="s">
        <v>0</v>
      </c>
      <c r="E10">
        <v>43</v>
      </c>
      <c r="F10" t="s">
        <v>27</v>
      </c>
      <c r="G10" t="s">
        <v>26</v>
      </c>
      <c r="H10">
        <v>14</v>
      </c>
      <c r="I10">
        <v>0</v>
      </c>
      <c r="K10" s="8" t="s">
        <v>6</v>
      </c>
      <c r="L10" s="8"/>
      <c r="M10" s="10">
        <f>AVERAGE($E$1:$E$100,)</f>
        <v>42.584158415841586</v>
      </c>
      <c r="N10" s="10"/>
      <c r="O10" s="10" cm="1">
        <f t="array" ref="O10">AVERAGE(_xlfn._xlws.FILTER($E$1:$E$100,$I$1:$I$100 = 0))</f>
        <v>46.662790697674417</v>
      </c>
      <c r="P10" s="10"/>
      <c r="Q10" s="11" cm="1">
        <f t="array" ref="Q10">AVERAGE(_xlfn._xlws.FILTER($E$1:$E$100,$I$1:$I$100 = 1))</f>
        <v>20.571428571428573</v>
      </c>
      <c r="R10" s="12"/>
    </row>
    <row r="11" spans="1:20" x14ac:dyDescent="0.3">
      <c r="A11">
        <v>2</v>
      </c>
      <c r="B11">
        <v>0</v>
      </c>
      <c r="C11" t="s">
        <v>1</v>
      </c>
      <c r="D11" t="s">
        <v>0</v>
      </c>
      <c r="E11">
        <v>49</v>
      </c>
      <c r="F11" t="s">
        <v>27</v>
      </c>
      <c r="G11" t="s">
        <v>26</v>
      </c>
      <c r="H11">
        <v>0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</v>
      </c>
      <c r="D12" t="s">
        <v>0</v>
      </c>
      <c r="E12">
        <v>40</v>
      </c>
      <c r="F12" t="s">
        <v>27</v>
      </c>
      <c r="G12" t="s">
        <v>26</v>
      </c>
      <c r="H12">
        <v>20</v>
      </c>
      <c r="I12">
        <v>0</v>
      </c>
      <c r="K12" s="8" t="s">
        <v>5</v>
      </c>
      <c r="L12" s="8"/>
      <c r="M12" s="10">
        <f>AVERAGE($H$1:$H$100,)</f>
        <v>20.019801980198018</v>
      </c>
      <c r="N12" s="10"/>
      <c r="O12" s="10" cm="1">
        <f t="array" ref="O12">AVERAGE(_xlfn._xlws.FILTER($H$1:$H$100,$I$1:$I$100 = 0))</f>
        <v>17.406976744186046</v>
      </c>
      <c r="P12" s="10"/>
      <c r="Q12" s="10" cm="1">
        <f t="array" ref="Q12">AVERAGE(_xlfn._xlws.FILTER($H$1:$H$100,$I$1:$I$100 = 1))</f>
        <v>37.5</v>
      </c>
      <c r="R12" s="13"/>
    </row>
    <row r="13" spans="1:20" x14ac:dyDescent="0.3">
      <c r="A13">
        <v>2</v>
      </c>
      <c r="B13">
        <v>0</v>
      </c>
      <c r="C13" t="s">
        <v>1</v>
      </c>
      <c r="D13" t="s">
        <v>0</v>
      </c>
      <c r="E13">
        <v>39</v>
      </c>
      <c r="F13" t="s">
        <v>27</v>
      </c>
      <c r="G13" t="s">
        <v>26</v>
      </c>
      <c r="H13">
        <v>15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</v>
      </c>
      <c r="D14" t="s">
        <v>0</v>
      </c>
      <c r="E14">
        <v>0</v>
      </c>
      <c r="F14" t="s">
        <v>27</v>
      </c>
      <c r="G14" t="s">
        <v>26</v>
      </c>
      <c r="H14">
        <v>45</v>
      </c>
      <c r="I14">
        <v>1</v>
      </c>
      <c r="K14" s="19" t="s">
        <v>4</v>
      </c>
      <c r="L14" s="12"/>
      <c r="M14" s="20" cm="1">
        <f t="array" ref="M14">AVERAGE($E$1:$E$100 - $H$1:$H$100)</f>
        <v>22.79</v>
      </c>
      <c r="N14" s="20"/>
      <c r="O14" s="20" cm="1">
        <f t="array" ref="O14">AVERAGE(_xlfn._xlws.FILTER($E$1:$E$100 - $H$1:$H$100, I$1:I$100 = 0))</f>
        <v>29.255813953488371</v>
      </c>
      <c r="P14" s="20"/>
      <c r="Q14" s="20" cm="1">
        <f t="array" ref="Q14">AVERAGE(_xlfn._xlws.FILTER($E$1:$E$100 - $H$1:$H$100, I$1:I$100 = 1))</f>
        <v>-16.928571428571427</v>
      </c>
      <c r="R14" s="22"/>
    </row>
    <row r="15" spans="1:20" x14ac:dyDescent="0.3">
      <c r="A15">
        <v>2</v>
      </c>
      <c r="B15">
        <v>0</v>
      </c>
      <c r="C15" t="s">
        <v>1</v>
      </c>
      <c r="D15" t="s">
        <v>0</v>
      </c>
      <c r="E15">
        <v>50</v>
      </c>
      <c r="F15" t="s">
        <v>27</v>
      </c>
      <c r="G15" t="s">
        <v>26</v>
      </c>
      <c r="H15">
        <v>9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</v>
      </c>
      <c r="D16" t="s">
        <v>0</v>
      </c>
      <c r="E16">
        <v>60</v>
      </c>
      <c r="F16" t="s">
        <v>27</v>
      </c>
      <c r="G16" t="s">
        <v>26</v>
      </c>
      <c r="H16">
        <v>46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</v>
      </c>
      <c r="D17" t="s">
        <v>0</v>
      </c>
      <c r="E17">
        <v>53</v>
      </c>
      <c r="F17" t="s">
        <v>27</v>
      </c>
      <c r="G17" t="s">
        <v>26</v>
      </c>
      <c r="H17">
        <v>27</v>
      </c>
      <c r="I17">
        <v>0</v>
      </c>
    </row>
    <row r="18" spans="1:9" x14ac:dyDescent="0.3">
      <c r="A18">
        <v>2</v>
      </c>
      <c r="B18">
        <v>0</v>
      </c>
      <c r="C18" t="s">
        <v>1</v>
      </c>
      <c r="D18" t="s">
        <v>0</v>
      </c>
      <c r="E18">
        <v>63</v>
      </c>
      <c r="F18" t="s">
        <v>27</v>
      </c>
      <c r="G18" t="s">
        <v>26</v>
      </c>
      <c r="H18">
        <v>17</v>
      </c>
      <c r="I18">
        <v>0</v>
      </c>
    </row>
    <row r="19" spans="1:9" x14ac:dyDescent="0.3">
      <c r="A19">
        <v>2</v>
      </c>
      <c r="B19">
        <v>0</v>
      </c>
      <c r="C19" t="s">
        <v>1</v>
      </c>
      <c r="D19" t="s">
        <v>0</v>
      </c>
      <c r="E19">
        <v>61</v>
      </c>
      <c r="F19" t="s">
        <v>27</v>
      </c>
      <c r="G19" t="s">
        <v>26</v>
      </c>
      <c r="H19">
        <v>0</v>
      </c>
      <c r="I19">
        <v>0</v>
      </c>
    </row>
    <row r="20" spans="1:9" x14ac:dyDescent="0.3">
      <c r="A20">
        <v>2</v>
      </c>
      <c r="B20">
        <v>0</v>
      </c>
      <c r="C20" t="s">
        <v>1</v>
      </c>
      <c r="D20" t="s">
        <v>0</v>
      </c>
      <c r="E20">
        <v>38</v>
      </c>
      <c r="F20" t="s">
        <v>27</v>
      </c>
      <c r="G20" t="s">
        <v>26</v>
      </c>
      <c r="H20">
        <v>9</v>
      </c>
      <c r="I20">
        <v>0</v>
      </c>
    </row>
    <row r="21" spans="1:9" x14ac:dyDescent="0.3">
      <c r="A21">
        <v>2</v>
      </c>
      <c r="B21">
        <v>0</v>
      </c>
      <c r="C21" t="s">
        <v>1</v>
      </c>
      <c r="D21" t="s">
        <v>0</v>
      </c>
      <c r="E21">
        <v>38</v>
      </c>
      <c r="F21" t="s">
        <v>27</v>
      </c>
      <c r="G21" t="s">
        <v>26</v>
      </c>
      <c r="H21">
        <v>11</v>
      </c>
      <c r="I21">
        <v>0</v>
      </c>
    </row>
    <row r="22" spans="1:9" x14ac:dyDescent="0.3">
      <c r="A22">
        <v>2</v>
      </c>
      <c r="B22">
        <v>0</v>
      </c>
      <c r="C22" t="s">
        <v>1</v>
      </c>
      <c r="D22" t="s">
        <v>0</v>
      </c>
      <c r="E22">
        <v>28</v>
      </c>
      <c r="F22" t="s">
        <v>27</v>
      </c>
      <c r="G22" t="s">
        <v>26</v>
      </c>
      <c r="H22">
        <v>5</v>
      </c>
      <c r="I22">
        <v>0</v>
      </c>
    </row>
    <row r="23" spans="1:9" x14ac:dyDescent="0.3">
      <c r="A23">
        <v>2</v>
      </c>
      <c r="B23">
        <v>0</v>
      </c>
      <c r="C23" t="s">
        <v>1</v>
      </c>
      <c r="D23" t="s">
        <v>0</v>
      </c>
      <c r="E23">
        <v>35</v>
      </c>
      <c r="F23" t="s">
        <v>27</v>
      </c>
      <c r="G23" t="s">
        <v>26</v>
      </c>
      <c r="H23">
        <v>21</v>
      </c>
      <c r="I23">
        <v>0</v>
      </c>
    </row>
    <row r="24" spans="1:9" x14ac:dyDescent="0.3">
      <c r="A24">
        <v>2</v>
      </c>
      <c r="B24">
        <v>0</v>
      </c>
      <c r="C24" t="s">
        <v>1</v>
      </c>
      <c r="D24" t="s">
        <v>0</v>
      </c>
      <c r="E24">
        <v>47</v>
      </c>
      <c r="F24" t="s">
        <v>27</v>
      </c>
      <c r="G24" t="s">
        <v>26</v>
      </c>
      <c r="H24">
        <v>13</v>
      </c>
      <c r="I24">
        <v>0</v>
      </c>
    </row>
    <row r="25" spans="1:9" x14ac:dyDescent="0.3">
      <c r="A25">
        <v>2</v>
      </c>
      <c r="B25">
        <v>0</v>
      </c>
      <c r="C25" t="s">
        <v>1</v>
      </c>
      <c r="D25" t="s">
        <v>0</v>
      </c>
      <c r="E25">
        <v>52</v>
      </c>
      <c r="F25" t="s">
        <v>27</v>
      </c>
      <c r="G25" t="s">
        <v>26</v>
      </c>
      <c r="H25">
        <v>23</v>
      </c>
      <c r="I25">
        <v>0</v>
      </c>
    </row>
    <row r="26" spans="1:9" x14ac:dyDescent="0.3">
      <c r="A26">
        <v>2</v>
      </c>
      <c r="B26">
        <v>0</v>
      </c>
      <c r="C26" t="s">
        <v>1</v>
      </c>
      <c r="D26" t="s">
        <v>0</v>
      </c>
      <c r="E26">
        <v>40</v>
      </c>
      <c r="F26" t="s">
        <v>27</v>
      </c>
      <c r="G26" t="s">
        <v>26</v>
      </c>
      <c r="H26">
        <v>9</v>
      </c>
      <c r="I26">
        <v>0</v>
      </c>
    </row>
    <row r="27" spans="1:9" x14ac:dyDescent="0.3">
      <c r="A27">
        <v>2</v>
      </c>
      <c r="B27">
        <v>0</v>
      </c>
      <c r="C27" t="s">
        <v>1</v>
      </c>
      <c r="D27" t="s">
        <v>0</v>
      </c>
      <c r="E27">
        <v>47</v>
      </c>
      <c r="F27" t="s">
        <v>27</v>
      </c>
      <c r="G27" t="s">
        <v>26</v>
      </c>
      <c r="H27">
        <v>28</v>
      </c>
      <c r="I27">
        <v>0</v>
      </c>
    </row>
    <row r="28" spans="1:9" x14ac:dyDescent="0.3">
      <c r="A28">
        <v>2</v>
      </c>
      <c r="B28">
        <v>0</v>
      </c>
      <c r="C28" t="s">
        <v>1</v>
      </c>
      <c r="D28" t="s">
        <v>0</v>
      </c>
      <c r="E28">
        <v>46</v>
      </c>
      <c r="F28" t="s">
        <v>27</v>
      </c>
      <c r="G28" t="s">
        <v>26</v>
      </c>
      <c r="H28">
        <v>21</v>
      </c>
      <c r="I28">
        <v>0</v>
      </c>
    </row>
    <row r="29" spans="1:9" x14ac:dyDescent="0.3">
      <c r="A29">
        <v>2</v>
      </c>
      <c r="B29">
        <v>0</v>
      </c>
      <c r="C29" t="s">
        <v>1</v>
      </c>
      <c r="D29" t="s">
        <v>0</v>
      </c>
      <c r="E29">
        <v>29</v>
      </c>
      <c r="F29" t="s">
        <v>27</v>
      </c>
      <c r="G29" t="s">
        <v>26</v>
      </c>
      <c r="H29">
        <v>29</v>
      </c>
      <c r="I29">
        <v>0</v>
      </c>
    </row>
    <row r="30" spans="1:9" x14ac:dyDescent="0.3">
      <c r="A30">
        <v>2</v>
      </c>
      <c r="B30">
        <v>0</v>
      </c>
      <c r="C30" t="s">
        <v>1</v>
      </c>
      <c r="D30" t="s">
        <v>0</v>
      </c>
      <c r="E30">
        <v>31</v>
      </c>
      <c r="F30" t="s">
        <v>27</v>
      </c>
      <c r="G30" t="s">
        <v>26</v>
      </c>
      <c r="H30">
        <v>53</v>
      </c>
      <c r="I30">
        <v>1</v>
      </c>
    </row>
    <row r="31" spans="1:9" x14ac:dyDescent="0.3">
      <c r="A31">
        <v>2</v>
      </c>
      <c r="B31">
        <v>0</v>
      </c>
      <c r="C31" t="s">
        <v>1</v>
      </c>
      <c r="D31" t="s">
        <v>0</v>
      </c>
      <c r="E31">
        <v>40</v>
      </c>
      <c r="F31" t="s">
        <v>27</v>
      </c>
      <c r="G31" t="s">
        <v>26</v>
      </c>
      <c r="H31">
        <v>34</v>
      </c>
      <c r="I31">
        <v>0</v>
      </c>
    </row>
    <row r="32" spans="1:9" x14ac:dyDescent="0.3">
      <c r="A32">
        <v>2</v>
      </c>
      <c r="B32">
        <v>0</v>
      </c>
      <c r="C32" t="s">
        <v>1</v>
      </c>
      <c r="D32" t="s">
        <v>0</v>
      </c>
      <c r="E32">
        <v>47</v>
      </c>
      <c r="F32" t="s">
        <v>27</v>
      </c>
      <c r="G32" t="s">
        <v>26</v>
      </c>
      <c r="H32">
        <v>20</v>
      </c>
      <c r="I32">
        <v>0</v>
      </c>
    </row>
    <row r="33" spans="1:9" x14ac:dyDescent="0.3">
      <c r="A33">
        <v>2</v>
      </c>
      <c r="B33">
        <v>0</v>
      </c>
      <c r="C33" t="s">
        <v>1</v>
      </c>
      <c r="D33" t="s">
        <v>0</v>
      </c>
      <c r="E33">
        <v>47</v>
      </c>
      <c r="F33" t="s">
        <v>27</v>
      </c>
      <c r="G33" t="s">
        <v>26</v>
      </c>
      <c r="H33">
        <v>1</v>
      </c>
      <c r="I33">
        <v>0</v>
      </c>
    </row>
    <row r="34" spans="1:9" x14ac:dyDescent="0.3">
      <c r="A34">
        <v>2</v>
      </c>
      <c r="B34">
        <v>0</v>
      </c>
      <c r="C34" t="s">
        <v>1</v>
      </c>
      <c r="D34" t="s">
        <v>0</v>
      </c>
      <c r="E34">
        <v>18</v>
      </c>
      <c r="F34" t="s">
        <v>27</v>
      </c>
      <c r="G34" t="s">
        <v>26</v>
      </c>
      <c r="H34">
        <v>12</v>
      </c>
      <c r="I34">
        <v>0</v>
      </c>
    </row>
    <row r="35" spans="1:9" x14ac:dyDescent="0.3">
      <c r="A35">
        <v>2</v>
      </c>
      <c r="B35">
        <v>0</v>
      </c>
      <c r="C35" t="s">
        <v>1</v>
      </c>
      <c r="D35" t="s">
        <v>0</v>
      </c>
      <c r="E35">
        <v>29</v>
      </c>
      <c r="F35" t="s">
        <v>27</v>
      </c>
      <c r="G35" t="s">
        <v>26</v>
      </c>
      <c r="H35">
        <v>25</v>
      </c>
      <c r="I35">
        <v>0</v>
      </c>
    </row>
    <row r="36" spans="1:9" x14ac:dyDescent="0.3">
      <c r="A36">
        <v>2</v>
      </c>
      <c r="B36">
        <v>0</v>
      </c>
      <c r="C36" t="s">
        <v>1</v>
      </c>
      <c r="D36" t="s">
        <v>0</v>
      </c>
      <c r="E36">
        <v>2</v>
      </c>
      <c r="F36" t="s">
        <v>27</v>
      </c>
      <c r="G36" t="s">
        <v>26</v>
      </c>
      <c r="H36">
        <v>0</v>
      </c>
      <c r="I36">
        <v>0</v>
      </c>
    </row>
    <row r="37" spans="1:9" x14ac:dyDescent="0.3">
      <c r="A37">
        <v>2</v>
      </c>
      <c r="B37">
        <v>0</v>
      </c>
      <c r="C37" t="s">
        <v>1</v>
      </c>
      <c r="D37" t="s">
        <v>0</v>
      </c>
      <c r="E37">
        <v>39</v>
      </c>
      <c r="F37" t="s">
        <v>27</v>
      </c>
      <c r="G37" t="s">
        <v>26</v>
      </c>
      <c r="H37">
        <v>15</v>
      </c>
      <c r="I37">
        <v>0</v>
      </c>
    </row>
    <row r="38" spans="1:9" x14ac:dyDescent="0.3">
      <c r="A38">
        <v>2</v>
      </c>
      <c r="B38">
        <v>0</v>
      </c>
      <c r="C38" t="s">
        <v>1</v>
      </c>
      <c r="D38" t="s">
        <v>0</v>
      </c>
      <c r="E38">
        <v>46</v>
      </c>
      <c r="F38" t="s">
        <v>27</v>
      </c>
      <c r="G38" t="s">
        <v>26</v>
      </c>
      <c r="H38">
        <v>17</v>
      </c>
      <c r="I38">
        <v>0</v>
      </c>
    </row>
    <row r="39" spans="1:9" x14ac:dyDescent="0.3">
      <c r="A39">
        <v>2</v>
      </c>
      <c r="B39">
        <v>0</v>
      </c>
      <c r="C39" t="s">
        <v>1</v>
      </c>
      <c r="D39" t="s">
        <v>0</v>
      </c>
      <c r="E39">
        <v>21</v>
      </c>
      <c r="F39" t="s">
        <v>27</v>
      </c>
      <c r="G39" t="s">
        <v>26</v>
      </c>
      <c r="H39">
        <v>43</v>
      </c>
      <c r="I39">
        <v>1</v>
      </c>
    </row>
    <row r="40" spans="1:9" x14ac:dyDescent="0.3">
      <c r="A40">
        <v>2</v>
      </c>
      <c r="B40">
        <v>0</v>
      </c>
      <c r="C40" t="s">
        <v>1</v>
      </c>
      <c r="D40" t="s">
        <v>0</v>
      </c>
      <c r="E40">
        <v>59</v>
      </c>
      <c r="F40" t="s">
        <v>27</v>
      </c>
      <c r="G40" t="s">
        <v>26</v>
      </c>
      <c r="H40">
        <v>15</v>
      </c>
      <c r="I40">
        <v>0</v>
      </c>
    </row>
    <row r="41" spans="1:9" x14ac:dyDescent="0.3">
      <c r="A41">
        <v>2</v>
      </c>
      <c r="B41">
        <v>0</v>
      </c>
      <c r="C41" t="s">
        <v>1</v>
      </c>
      <c r="D41" t="s">
        <v>0</v>
      </c>
      <c r="E41">
        <v>53</v>
      </c>
      <c r="F41" t="s">
        <v>27</v>
      </c>
      <c r="G41" t="s">
        <v>26</v>
      </c>
      <c r="H41">
        <v>23</v>
      </c>
      <c r="I41">
        <v>0</v>
      </c>
    </row>
    <row r="42" spans="1:9" x14ac:dyDescent="0.3">
      <c r="A42">
        <v>2</v>
      </c>
      <c r="B42">
        <v>0</v>
      </c>
      <c r="C42" t="s">
        <v>1</v>
      </c>
      <c r="D42" t="s">
        <v>0</v>
      </c>
      <c r="E42">
        <v>42</v>
      </c>
      <c r="F42" t="s">
        <v>27</v>
      </c>
      <c r="G42" t="s">
        <v>26</v>
      </c>
      <c r="H42">
        <v>14</v>
      </c>
      <c r="I42">
        <v>0</v>
      </c>
    </row>
    <row r="43" spans="1:9" x14ac:dyDescent="0.3">
      <c r="A43">
        <v>2</v>
      </c>
      <c r="B43">
        <v>0</v>
      </c>
      <c r="C43" t="s">
        <v>1</v>
      </c>
      <c r="D43" t="s">
        <v>0</v>
      </c>
      <c r="E43">
        <v>52</v>
      </c>
      <c r="F43" t="s">
        <v>27</v>
      </c>
      <c r="G43" t="s">
        <v>26</v>
      </c>
      <c r="H43">
        <v>7</v>
      </c>
      <c r="I43">
        <v>0</v>
      </c>
    </row>
    <row r="44" spans="1:9" x14ac:dyDescent="0.3">
      <c r="A44">
        <v>2</v>
      </c>
      <c r="B44">
        <v>0</v>
      </c>
      <c r="C44" t="s">
        <v>1</v>
      </c>
      <c r="D44" t="s">
        <v>0</v>
      </c>
      <c r="E44">
        <v>26</v>
      </c>
      <c r="F44" t="s">
        <v>27</v>
      </c>
      <c r="G44" t="s">
        <v>26</v>
      </c>
      <c r="H44">
        <v>5</v>
      </c>
      <c r="I44">
        <v>0</v>
      </c>
    </row>
    <row r="45" spans="1:9" x14ac:dyDescent="0.3">
      <c r="A45">
        <v>2</v>
      </c>
      <c r="B45">
        <v>0</v>
      </c>
      <c r="C45" t="s">
        <v>1</v>
      </c>
      <c r="D45" t="s">
        <v>0</v>
      </c>
      <c r="E45">
        <v>48</v>
      </c>
      <c r="F45" t="s">
        <v>27</v>
      </c>
      <c r="G45" t="s">
        <v>26</v>
      </c>
      <c r="H45">
        <v>28</v>
      </c>
      <c r="I45">
        <v>0</v>
      </c>
    </row>
    <row r="46" spans="1:9" x14ac:dyDescent="0.3">
      <c r="A46">
        <v>2</v>
      </c>
      <c r="B46">
        <v>0</v>
      </c>
      <c r="C46" t="s">
        <v>1</v>
      </c>
      <c r="D46" t="s">
        <v>0</v>
      </c>
      <c r="E46">
        <v>27</v>
      </c>
      <c r="F46" t="s">
        <v>27</v>
      </c>
      <c r="G46" t="s">
        <v>26</v>
      </c>
      <c r="H46">
        <v>43</v>
      </c>
      <c r="I46">
        <v>1</v>
      </c>
    </row>
    <row r="47" spans="1:9" x14ac:dyDescent="0.3">
      <c r="A47">
        <v>2</v>
      </c>
      <c r="B47">
        <v>0</v>
      </c>
      <c r="C47" t="s">
        <v>1</v>
      </c>
      <c r="D47" t="s">
        <v>0</v>
      </c>
      <c r="E47">
        <v>32</v>
      </c>
      <c r="F47" t="s">
        <v>27</v>
      </c>
      <c r="G47" t="s">
        <v>26</v>
      </c>
      <c r="H47">
        <v>1</v>
      </c>
      <c r="I47">
        <v>0</v>
      </c>
    </row>
    <row r="48" spans="1:9" x14ac:dyDescent="0.3">
      <c r="A48">
        <v>2</v>
      </c>
      <c r="B48">
        <v>0</v>
      </c>
      <c r="C48" t="s">
        <v>1</v>
      </c>
      <c r="D48" t="s">
        <v>0</v>
      </c>
      <c r="E48">
        <v>71</v>
      </c>
      <c r="F48" t="s">
        <v>27</v>
      </c>
      <c r="G48" t="s">
        <v>26</v>
      </c>
      <c r="H48">
        <v>19</v>
      </c>
      <c r="I48">
        <v>0</v>
      </c>
    </row>
    <row r="49" spans="1:9" x14ac:dyDescent="0.3">
      <c r="A49">
        <v>2</v>
      </c>
      <c r="B49">
        <v>0</v>
      </c>
      <c r="C49" t="s">
        <v>1</v>
      </c>
      <c r="D49" t="s">
        <v>0</v>
      </c>
      <c r="E49">
        <v>2</v>
      </c>
      <c r="F49" t="s">
        <v>27</v>
      </c>
      <c r="G49" t="s">
        <v>26</v>
      </c>
      <c r="H49">
        <v>36</v>
      </c>
      <c r="I49">
        <v>1</v>
      </c>
    </row>
    <row r="50" spans="1:9" x14ac:dyDescent="0.3">
      <c r="A50">
        <v>2</v>
      </c>
      <c r="B50">
        <v>0</v>
      </c>
      <c r="C50" t="s">
        <v>1</v>
      </c>
      <c r="D50" t="s">
        <v>0</v>
      </c>
      <c r="E50">
        <v>59</v>
      </c>
      <c r="F50" t="s">
        <v>27</v>
      </c>
      <c r="G50" t="s">
        <v>26</v>
      </c>
      <c r="H50">
        <v>26</v>
      </c>
      <c r="I50">
        <v>0</v>
      </c>
    </row>
    <row r="51" spans="1:9" x14ac:dyDescent="0.3">
      <c r="A51">
        <v>2</v>
      </c>
      <c r="B51">
        <v>1</v>
      </c>
      <c r="C51" t="s">
        <v>1</v>
      </c>
      <c r="D51" t="s">
        <v>0</v>
      </c>
      <c r="E51">
        <v>21</v>
      </c>
      <c r="F51" t="s">
        <v>27</v>
      </c>
      <c r="G51" t="s">
        <v>26</v>
      </c>
      <c r="H51">
        <v>27</v>
      </c>
      <c r="I51">
        <v>1</v>
      </c>
    </row>
    <row r="52" spans="1:9" x14ac:dyDescent="0.3">
      <c r="A52">
        <v>2</v>
      </c>
      <c r="B52">
        <v>1</v>
      </c>
      <c r="C52" t="s">
        <v>1</v>
      </c>
      <c r="D52" t="s">
        <v>0</v>
      </c>
      <c r="E52">
        <v>36</v>
      </c>
      <c r="F52" t="s">
        <v>27</v>
      </c>
      <c r="G52" t="s">
        <v>26</v>
      </c>
      <c r="H52">
        <v>0</v>
      </c>
      <c r="I52">
        <v>0</v>
      </c>
    </row>
    <row r="53" spans="1:9" x14ac:dyDescent="0.3">
      <c r="A53">
        <v>2</v>
      </c>
      <c r="B53">
        <v>1</v>
      </c>
      <c r="C53" t="s">
        <v>1</v>
      </c>
      <c r="D53" t="s">
        <v>0</v>
      </c>
      <c r="E53">
        <v>67</v>
      </c>
      <c r="F53" t="s">
        <v>27</v>
      </c>
      <c r="G53" t="s">
        <v>26</v>
      </c>
      <c r="H53">
        <v>13</v>
      </c>
      <c r="I53">
        <v>0</v>
      </c>
    </row>
    <row r="54" spans="1:9" x14ac:dyDescent="0.3">
      <c r="A54">
        <v>2</v>
      </c>
      <c r="B54">
        <v>1</v>
      </c>
      <c r="C54" t="s">
        <v>1</v>
      </c>
      <c r="D54" t="s">
        <v>0</v>
      </c>
      <c r="E54">
        <v>51</v>
      </c>
      <c r="F54" t="s">
        <v>27</v>
      </c>
      <c r="G54" t="s">
        <v>26</v>
      </c>
      <c r="H54">
        <v>28</v>
      </c>
      <c r="I54">
        <v>0</v>
      </c>
    </row>
    <row r="55" spans="1:9" x14ac:dyDescent="0.3">
      <c r="A55">
        <v>2</v>
      </c>
      <c r="B55">
        <v>1</v>
      </c>
      <c r="C55" t="s">
        <v>1</v>
      </c>
      <c r="D55" t="s">
        <v>0</v>
      </c>
      <c r="E55">
        <v>38</v>
      </c>
      <c r="F55" t="s">
        <v>27</v>
      </c>
      <c r="G55" t="s">
        <v>26</v>
      </c>
      <c r="H55">
        <v>44</v>
      </c>
      <c r="I55">
        <v>1</v>
      </c>
    </row>
    <row r="56" spans="1:9" x14ac:dyDescent="0.3">
      <c r="A56">
        <v>2</v>
      </c>
      <c r="B56">
        <v>1</v>
      </c>
      <c r="C56" t="s">
        <v>1</v>
      </c>
      <c r="D56" t="s">
        <v>0</v>
      </c>
      <c r="E56">
        <v>17</v>
      </c>
      <c r="F56" t="s">
        <v>27</v>
      </c>
      <c r="G56" t="s">
        <v>26</v>
      </c>
      <c r="H56">
        <v>26</v>
      </c>
      <c r="I56">
        <v>1</v>
      </c>
    </row>
    <row r="57" spans="1:9" x14ac:dyDescent="0.3">
      <c r="A57">
        <v>2</v>
      </c>
      <c r="B57">
        <v>1</v>
      </c>
      <c r="C57" t="s">
        <v>1</v>
      </c>
      <c r="D57" t="s">
        <v>0</v>
      </c>
      <c r="E57">
        <v>32</v>
      </c>
      <c r="F57" t="s">
        <v>27</v>
      </c>
      <c r="G57" t="s">
        <v>26</v>
      </c>
      <c r="H57">
        <v>13</v>
      </c>
      <c r="I57">
        <v>0</v>
      </c>
    </row>
    <row r="58" spans="1:9" x14ac:dyDescent="0.3">
      <c r="A58">
        <v>2</v>
      </c>
      <c r="B58">
        <v>1</v>
      </c>
      <c r="C58" t="s">
        <v>1</v>
      </c>
      <c r="D58" t="s">
        <v>0</v>
      </c>
      <c r="E58">
        <v>28</v>
      </c>
      <c r="F58" t="s">
        <v>27</v>
      </c>
      <c r="G58" t="s">
        <v>26</v>
      </c>
      <c r="H58">
        <v>44</v>
      </c>
      <c r="I58">
        <v>1</v>
      </c>
    </row>
    <row r="59" spans="1:9" x14ac:dyDescent="0.3">
      <c r="A59">
        <v>2</v>
      </c>
      <c r="B59">
        <v>1</v>
      </c>
      <c r="C59" t="s">
        <v>1</v>
      </c>
      <c r="D59" t="s">
        <v>0</v>
      </c>
      <c r="E59">
        <v>43</v>
      </c>
      <c r="F59" t="s">
        <v>27</v>
      </c>
      <c r="G59" t="s">
        <v>26</v>
      </c>
      <c r="H59">
        <v>44</v>
      </c>
      <c r="I59">
        <v>1</v>
      </c>
    </row>
    <row r="60" spans="1:9" x14ac:dyDescent="0.3">
      <c r="A60">
        <v>2</v>
      </c>
      <c r="B60">
        <v>1</v>
      </c>
      <c r="C60" t="s">
        <v>1</v>
      </c>
      <c r="D60" t="s">
        <v>0</v>
      </c>
      <c r="E60">
        <v>43</v>
      </c>
      <c r="F60" t="s">
        <v>27</v>
      </c>
      <c r="G60" t="s">
        <v>26</v>
      </c>
      <c r="H60">
        <v>22</v>
      </c>
      <c r="I60">
        <v>0</v>
      </c>
    </row>
    <row r="61" spans="1:9" x14ac:dyDescent="0.3">
      <c r="A61">
        <v>2</v>
      </c>
      <c r="B61">
        <v>1</v>
      </c>
      <c r="C61" t="s">
        <v>1</v>
      </c>
      <c r="D61" t="s">
        <v>0</v>
      </c>
      <c r="E61">
        <v>59</v>
      </c>
      <c r="F61" t="s">
        <v>27</v>
      </c>
      <c r="G61" t="s">
        <v>26</v>
      </c>
      <c r="H61">
        <v>32</v>
      </c>
      <c r="I61">
        <v>0</v>
      </c>
    </row>
    <row r="62" spans="1:9" x14ac:dyDescent="0.3">
      <c r="A62">
        <v>2</v>
      </c>
      <c r="B62">
        <v>1</v>
      </c>
      <c r="C62" t="s">
        <v>1</v>
      </c>
      <c r="D62" t="s">
        <v>0</v>
      </c>
      <c r="E62">
        <v>67</v>
      </c>
      <c r="F62" t="s">
        <v>27</v>
      </c>
      <c r="G62" t="s">
        <v>26</v>
      </c>
      <c r="H62">
        <v>41</v>
      </c>
      <c r="I62">
        <v>0</v>
      </c>
    </row>
    <row r="63" spans="1:9" x14ac:dyDescent="0.3">
      <c r="A63">
        <v>2</v>
      </c>
      <c r="B63">
        <v>1</v>
      </c>
      <c r="C63" t="s">
        <v>1</v>
      </c>
      <c r="D63" t="s">
        <v>0</v>
      </c>
      <c r="E63">
        <v>45</v>
      </c>
      <c r="F63" t="s">
        <v>27</v>
      </c>
      <c r="G63" t="s">
        <v>26</v>
      </c>
      <c r="H63">
        <v>8</v>
      </c>
      <c r="I63">
        <v>0</v>
      </c>
    </row>
    <row r="64" spans="1:9" x14ac:dyDescent="0.3">
      <c r="A64">
        <v>2</v>
      </c>
      <c r="B64">
        <v>1</v>
      </c>
      <c r="C64" t="s">
        <v>1</v>
      </c>
      <c r="D64" t="s">
        <v>0</v>
      </c>
      <c r="E64">
        <v>39</v>
      </c>
      <c r="F64" t="s">
        <v>27</v>
      </c>
      <c r="G64" t="s">
        <v>26</v>
      </c>
      <c r="H64">
        <v>25</v>
      </c>
      <c r="I64">
        <v>0</v>
      </c>
    </row>
    <row r="65" spans="1:9" x14ac:dyDescent="0.3">
      <c r="A65">
        <v>2</v>
      </c>
      <c r="B65">
        <v>1</v>
      </c>
      <c r="C65" t="s">
        <v>1</v>
      </c>
      <c r="D65" t="s">
        <v>0</v>
      </c>
      <c r="E65">
        <v>53</v>
      </c>
      <c r="F65" t="s">
        <v>27</v>
      </c>
      <c r="G65" t="s">
        <v>26</v>
      </c>
      <c r="H65">
        <v>20</v>
      </c>
      <c r="I65">
        <v>0</v>
      </c>
    </row>
    <row r="66" spans="1:9" x14ac:dyDescent="0.3">
      <c r="A66">
        <v>2</v>
      </c>
      <c r="B66">
        <v>1</v>
      </c>
      <c r="C66" t="s">
        <v>1</v>
      </c>
      <c r="D66" t="s">
        <v>0</v>
      </c>
      <c r="E66">
        <v>40</v>
      </c>
      <c r="F66" t="s">
        <v>27</v>
      </c>
      <c r="G66" t="s">
        <v>26</v>
      </c>
      <c r="H66">
        <v>19</v>
      </c>
      <c r="I66">
        <v>0</v>
      </c>
    </row>
    <row r="67" spans="1:9" x14ac:dyDescent="0.3">
      <c r="A67">
        <v>2</v>
      </c>
      <c r="B67">
        <v>1</v>
      </c>
      <c r="C67" t="s">
        <v>1</v>
      </c>
      <c r="D67" t="s">
        <v>0</v>
      </c>
      <c r="E67">
        <v>48</v>
      </c>
      <c r="F67" t="s">
        <v>27</v>
      </c>
      <c r="G67" t="s">
        <v>26</v>
      </c>
      <c r="H67">
        <v>1</v>
      </c>
      <c r="I67">
        <v>0</v>
      </c>
    </row>
    <row r="68" spans="1:9" x14ac:dyDescent="0.3">
      <c r="A68">
        <v>2</v>
      </c>
      <c r="B68">
        <v>1</v>
      </c>
      <c r="C68" t="s">
        <v>1</v>
      </c>
      <c r="D68" t="s">
        <v>0</v>
      </c>
      <c r="E68">
        <v>27</v>
      </c>
      <c r="F68" t="s">
        <v>27</v>
      </c>
      <c r="G68" t="s">
        <v>26</v>
      </c>
      <c r="H68">
        <v>9</v>
      </c>
      <c r="I68">
        <v>0</v>
      </c>
    </row>
    <row r="69" spans="1:9" x14ac:dyDescent="0.3">
      <c r="A69">
        <v>2</v>
      </c>
      <c r="B69">
        <v>1</v>
      </c>
      <c r="C69" t="s">
        <v>1</v>
      </c>
      <c r="D69" t="s">
        <v>0</v>
      </c>
      <c r="E69">
        <v>63</v>
      </c>
      <c r="F69" t="s">
        <v>27</v>
      </c>
      <c r="G69" t="s">
        <v>26</v>
      </c>
      <c r="H69">
        <v>14</v>
      </c>
      <c r="I69">
        <v>0</v>
      </c>
    </row>
    <row r="70" spans="1:9" x14ac:dyDescent="0.3">
      <c r="A70">
        <v>2</v>
      </c>
      <c r="B70">
        <v>1</v>
      </c>
      <c r="C70" t="s">
        <v>1</v>
      </c>
      <c r="D70" t="s">
        <v>0</v>
      </c>
      <c r="E70">
        <v>57</v>
      </c>
      <c r="F70" t="s">
        <v>27</v>
      </c>
      <c r="G70" t="s">
        <v>26</v>
      </c>
      <c r="H70">
        <v>32</v>
      </c>
      <c r="I70">
        <v>0</v>
      </c>
    </row>
    <row r="71" spans="1:9" x14ac:dyDescent="0.3">
      <c r="A71">
        <v>2</v>
      </c>
      <c r="B71">
        <v>1</v>
      </c>
      <c r="C71" t="s">
        <v>1</v>
      </c>
      <c r="D71" t="s">
        <v>0</v>
      </c>
      <c r="E71">
        <v>0</v>
      </c>
      <c r="F71" t="s">
        <v>27</v>
      </c>
      <c r="G71" t="s">
        <v>26</v>
      </c>
      <c r="H71">
        <v>36</v>
      </c>
      <c r="I71">
        <v>1</v>
      </c>
    </row>
    <row r="72" spans="1:9" x14ac:dyDescent="0.3">
      <c r="A72">
        <v>2</v>
      </c>
      <c r="B72">
        <v>1</v>
      </c>
      <c r="C72" t="s">
        <v>1</v>
      </c>
      <c r="D72" t="s">
        <v>0</v>
      </c>
      <c r="E72">
        <v>47</v>
      </c>
      <c r="F72" t="s">
        <v>27</v>
      </c>
      <c r="G72" t="s">
        <v>26</v>
      </c>
      <c r="H72">
        <v>9</v>
      </c>
      <c r="I72">
        <v>0</v>
      </c>
    </row>
    <row r="73" spans="1:9" x14ac:dyDescent="0.3">
      <c r="A73">
        <v>2</v>
      </c>
      <c r="B73">
        <v>1</v>
      </c>
      <c r="C73" t="s">
        <v>1</v>
      </c>
      <c r="D73" t="s">
        <v>0</v>
      </c>
      <c r="E73">
        <v>40</v>
      </c>
      <c r="F73" t="s">
        <v>27</v>
      </c>
      <c r="G73" t="s">
        <v>26</v>
      </c>
      <c r="H73">
        <v>36</v>
      </c>
      <c r="I73">
        <v>0</v>
      </c>
    </row>
    <row r="74" spans="1:9" x14ac:dyDescent="0.3">
      <c r="A74">
        <v>2</v>
      </c>
      <c r="B74">
        <v>1</v>
      </c>
      <c r="C74" t="s">
        <v>1</v>
      </c>
      <c r="D74" t="s">
        <v>0</v>
      </c>
      <c r="E74">
        <v>50</v>
      </c>
      <c r="F74" t="s">
        <v>27</v>
      </c>
      <c r="G74" t="s">
        <v>26</v>
      </c>
      <c r="H74">
        <v>10</v>
      </c>
      <c r="I74">
        <v>0</v>
      </c>
    </row>
    <row r="75" spans="1:9" x14ac:dyDescent="0.3">
      <c r="A75">
        <v>2</v>
      </c>
      <c r="B75">
        <v>1</v>
      </c>
      <c r="C75" t="s">
        <v>1</v>
      </c>
      <c r="D75" t="s">
        <v>0</v>
      </c>
      <c r="E75">
        <v>43</v>
      </c>
      <c r="F75" t="s">
        <v>27</v>
      </c>
      <c r="G75" t="s">
        <v>26</v>
      </c>
      <c r="H75">
        <v>15</v>
      </c>
      <c r="I75">
        <v>0</v>
      </c>
    </row>
    <row r="76" spans="1:9" x14ac:dyDescent="0.3">
      <c r="A76">
        <v>2</v>
      </c>
      <c r="B76">
        <v>1</v>
      </c>
      <c r="C76" t="s">
        <v>1</v>
      </c>
      <c r="D76" t="s">
        <v>0</v>
      </c>
      <c r="E76">
        <v>21</v>
      </c>
      <c r="F76" t="s">
        <v>27</v>
      </c>
      <c r="G76" t="s">
        <v>26</v>
      </c>
      <c r="H76">
        <v>12</v>
      </c>
      <c r="I76">
        <v>0</v>
      </c>
    </row>
    <row r="77" spans="1:9" x14ac:dyDescent="0.3">
      <c r="A77">
        <v>2</v>
      </c>
      <c r="B77">
        <v>1</v>
      </c>
      <c r="C77" t="s">
        <v>1</v>
      </c>
      <c r="D77" t="s">
        <v>0</v>
      </c>
      <c r="E77">
        <v>50</v>
      </c>
      <c r="F77" t="s">
        <v>27</v>
      </c>
      <c r="G77" t="s">
        <v>26</v>
      </c>
      <c r="H77">
        <v>44</v>
      </c>
      <c r="I77">
        <v>0</v>
      </c>
    </row>
    <row r="78" spans="1:9" x14ac:dyDescent="0.3">
      <c r="A78">
        <v>2</v>
      </c>
      <c r="B78">
        <v>1</v>
      </c>
      <c r="C78" t="s">
        <v>1</v>
      </c>
      <c r="D78" t="s">
        <v>0</v>
      </c>
      <c r="E78">
        <v>49</v>
      </c>
      <c r="F78" t="s">
        <v>27</v>
      </c>
      <c r="G78" t="s">
        <v>26</v>
      </c>
      <c r="H78">
        <v>33</v>
      </c>
      <c r="I78">
        <v>0</v>
      </c>
    </row>
    <row r="79" spans="1:9" x14ac:dyDescent="0.3">
      <c r="A79">
        <v>2</v>
      </c>
      <c r="B79">
        <v>1</v>
      </c>
      <c r="C79" t="s">
        <v>1</v>
      </c>
      <c r="D79" t="s">
        <v>0</v>
      </c>
      <c r="E79">
        <v>47</v>
      </c>
      <c r="F79" t="s">
        <v>27</v>
      </c>
      <c r="G79" t="s">
        <v>26</v>
      </c>
      <c r="H79">
        <v>18</v>
      </c>
      <c r="I79">
        <v>0</v>
      </c>
    </row>
    <row r="80" spans="1:9" x14ac:dyDescent="0.3">
      <c r="A80">
        <v>2</v>
      </c>
      <c r="B80">
        <v>1</v>
      </c>
      <c r="C80" t="s">
        <v>1</v>
      </c>
      <c r="D80" t="s">
        <v>0</v>
      </c>
      <c r="E80">
        <v>52</v>
      </c>
      <c r="F80" t="s">
        <v>27</v>
      </c>
      <c r="G80" t="s">
        <v>26</v>
      </c>
      <c r="H80">
        <v>13</v>
      </c>
      <c r="I80">
        <v>0</v>
      </c>
    </row>
    <row r="81" spans="1:9" x14ac:dyDescent="0.3">
      <c r="A81">
        <v>2</v>
      </c>
      <c r="B81">
        <v>1</v>
      </c>
      <c r="C81" t="s">
        <v>1</v>
      </c>
      <c r="D81" t="s">
        <v>0</v>
      </c>
      <c r="E81">
        <v>66</v>
      </c>
      <c r="F81" t="s">
        <v>27</v>
      </c>
      <c r="G81" t="s">
        <v>26</v>
      </c>
      <c r="H81">
        <v>2</v>
      </c>
      <c r="I81">
        <v>0</v>
      </c>
    </row>
    <row r="82" spans="1:9" x14ac:dyDescent="0.3">
      <c r="A82">
        <v>2</v>
      </c>
      <c r="B82">
        <v>1</v>
      </c>
      <c r="C82" t="s">
        <v>1</v>
      </c>
      <c r="D82" t="s">
        <v>0</v>
      </c>
      <c r="E82">
        <v>75</v>
      </c>
      <c r="F82" t="s">
        <v>27</v>
      </c>
      <c r="G82" t="s">
        <v>26</v>
      </c>
      <c r="H82">
        <v>3</v>
      </c>
      <c r="I82">
        <v>0</v>
      </c>
    </row>
    <row r="83" spans="1:9" x14ac:dyDescent="0.3">
      <c r="A83">
        <v>2</v>
      </c>
      <c r="B83">
        <v>1</v>
      </c>
      <c r="C83" t="s">
        <v>1</v>
      </c>
      <c r="D83" t="s">
        <v>0</v>
      </c>
      <c r="E83">
        <v>40</v>
      </c>
      <c r="F83" t="s">
        <v>27</v>
      </c>
      <c r="G83" t="s">
        <v>26</v>
      </c>
      <c r="H83">
        <v>37</v>
      </c>
      <c r="I83">
        <v>0</v>
      </c>
    </row>
    <row r="84" spans="1:9" x14ac:dyDescent="0.3">
      <c r="A84">
        <v>2</v>
      </c>
      <c r="B84">
        <v>1</v>
      </c>
      <c r="C84" t="s">
        <v>1</v>
      </c>
      <c r="D84" t="s">
        <v>0</v>
      </c>
      <c r="E84">
        <v>69</v>
      </c>
      <c r="F84" t="s">
        <v>27</v>
      </c>
      <c r="G84" t="s">
        <v>26</v>
      </c>
      <c r="H84">
        <v>23</v>
      </c>
      <c r="I84">
        <v>0</v>
      </c>
    </row>
    <row r="85" spans="1:9" x14ac:dyDescent="0.3">
      <c r="A85">
        <v>2</v>
      </c>
      <c r="B85">
        <v>1</v>
      </c>
      <c r="C85" t="s">
        <v>1</v>
      </c>
      <c r="D85" t="s">
        <v>0</v>
      </c>
      <c r="E85">
        <v>76</v>
      </c>
      <c r="F85" t="s">
        <v>27</v>
      </c>
      <c r="G85" t="s">
        <v>26</v>
      </c>
      <c r="H85">
        <v>12</v>
      </c>
      <c r="I85">
        <v>0</v>
      </c>
    </row>
    <row r="86" spans="1:9" x14ac:dyDescent="0.3">
      <c r="A86">
        <v>2</v>
      </c>
      <c r="B86">
        <v>1</v>
      </c>
      <c r="C86" t="s">
        <v>1</v>
      </c>
      <c r="D86" t="s">
        <v>0</v>
      </c>
      <c r="E86">
        <v>47</v>
      </c>
      <c r="F86" t="s">
        <v>27</v>
      </c>
      <c r="G86" t="s">
        <v>26</v>
      </c>
      <c r="H86">
        <v>0</v>
      </c>
      <c r="I86">
        <v>0</v>
      </c>
    </row>
    <row r="87" spans="1:9" x14ac:dyDescent="0.3">
      <c r="A87">
        <v>2</v>
      </c>
      <c r="B87">
        <v>1</v>
      </c>
      <c r="C87" t="s">
        <v>1</v>
      </c>
      <c r="D87" t="s">
        <v>0</v>
      </c>
      <c r="E87">
        <v>65</v>
      </c>
      <c r="F87" t="s">
        <v>27</v>
      </c>
      <c r="G87" t="s">
        <v>26</v>
      </c>
      <c r="H87">
        <v>3</v>
      </c>
      <c r="I87">
        <v>0</v>
      </c>
    </row>
    <row r="88" spans="1:9" x14ac:dyDescent="0.3">
      <c r="A88">
        <v>2</v>
      </c>
      <c r="B88">
        <v>1</v>
      </c>
      <c r="C88" t="s">
        <v>1</v>
      </c>
      <c r="D88" t="s">
        <v>0</v>
      </c>
      <c r="E88">
        <v>57</v>
      </c>
      <c r="F88" t="s">
        <v>27</v>
      </c>
      <c r="G88" t="s">
        <v>26</v>
      </c>
      <c r="H88">
        <v>8</v>
      </c>
      <c r="I88">
        <v>0</v>
      </c>
    </row>
    <row r="89" spans="1:9" x14ac:dyDescent="0.3">
      <c r="A89">
        <v>2</v>
      </c>
      <c r="B89">
        <v>1</v>
      </c>
      <c r="C89" t="s">
        <v>1</v>
      </c>
      <c r="D89" t="s">
        <v>0</v>
      </c>
      <c r="E89">
        <v>41</v>
      </c>
      <c r="F89" t="s">
        <v>27</v>
      </c>
      <c r="G89" t="s">
        <v>26</v>
      </c>
      <c r="H89">
        <v>29</v>
      </c>
      <c r="I89">
        <v>0</v>
      </c>
    </row>
    <row r="90" spans="1:9" x14ac:dyDescent="0.3">
      <c r="A90">
        <v>2</v>
      </c>
      <c r="B90">
        <v>1</v>
      </c>
      <c r="C90" t="s">
        <v>1</v>
      </c>
      <c r="D90" t="s">
        <v>0</v>
      </c>
      <c r="E90">
        <v>40</v>
      </c>
      <c r="F90" t="s">
        <v>27</v>
      </c>
      <c r="G90" t="s">
        <v>26</v>
      </c>
      <c r="H90">
        <v>25</v>
      </c>
      <c r="I90">
        <v>0</v>
      </c>
    </row>
    <row r="91" spans="1:9" x14ac:dyDescent="0.3">
      <c r="A91">
        <v>2</v>
      </c>
      <c r="B91">
        <v>1</v>
      </c>
      <c r="C91" t="s">
        <v>1</v>
      </c>
      <c r="D91" t="s">
        <v>0</v>
      </c>
      <c r="E91">
        <v>36</v>
      </c>
      <c r="F91" t="s">
        <v>27</v>
      </c>
      <c r="G91" t="s">
        <v>26</v>
      </c>
      <c r="H91">
        <v>41</v>
      </c>
      <c r="I91">
        <v>1</v>
      </c>
    </row>
    <row r="92" spans="1:9" x14ac:dyDescent="0.3">
      <c r="A92">
        <v>2</v>
      </c>
      <c r="B92">
        <v>1</v>
      </c>
      <c r="C92" t="s">
        <v>1</v>
      </c>
      <c r="D92" t="s">
        <v>0</v>
      </c>
      <c r="E92">
        <v>7</v>
      </c>
      <c r="F92" t="s">
        <v>27</v>
      </c>
      <c r="G92" t="s">
        <v>26</v>
      </c>
      <c r="H92">
        <v>24</v>
      </c>
      <c r="I92">
        <v>1</v>
      </c>
    </row>
    <row r="93" spans="1:9" x14ac:dyDescent="0.3">
      <c r="A93">
        <v>2</v>
      </c>
      <c r="B93">
        <v>1</v>
      </c>
      <c r="C93" t="s">
        <v>1</v>
      </c>
      <c r="D93" t="s">
        <v>0</v>
      </c>
      <c r="E93">
        <v>58</v>
      </c>
      <c r="F93" t="s">
        <v>27</v>
      </c>
      <c r="G93" t="s">
        <v>26</v>
      </c>
      <c r="H93">
        <v>26</v>
      </c>
      <c r="I93">
        <v>0</v>
      </c>
    </row>
    <row r="94" spans="1:9" x14ac:dyDescent="0.3">
      <c r="A94">
        <v>2</v>
      </c>
      <c r="B94">
        <v>1</v>
      </c>
      <c r="C94" t="s">
        <v>1</v>
      </c>
      <c r="D94" t="s">
        <v>0</v>
      </c>
      <c r="E94">
        <v>45</v>
      </c>
      <c r="F94" t="s">
        <v>27</v>
      </c>
      <c r="G94" t="s">
        <v>26</v>
      </c>
      <c r="H94">
        <v>22</v>
      </c>
      <c r="I94">
        <v>0</v>
      </c>
    </row>
    <row r="95" spans="1:9" x14ac:dyDescent="0.3">
      <c r="A95">
        <v>2</v>
      </c>
      <c r="B95">
        <v>1</v>
      </c>
      <c r="C95" t="s">
        <v>1</v>
      </c>
      <c r="D95" t="s">
        <v>0</v>
      </c>
      <c r="E95">
        <v>27</v>
      </c>
      <c r="F95" t="s">
        <v>27</v>
      </c>
      <c r="G95" t="s">
        <v>26</v>
      </c>
      <c r="H95">
        <v>24</v>
      </c>
      <c r="I95">
        <v>0</v>
      </c>
    </row>
    <row r="96" spans="1:9" x14ac:dyDescent="0.3">
      <c r="A96">
        <v>2</v>
      </c>
      <c r="B96">
        <v>1</v>
      </c>
      <c r="C96" t="s">
        <v>1</v>
      </c>
      <c r="D96" t="s">
        <v>0</v>
      </c>
      <c r="E96">
        <v>37</v>
      </c>
      <c r="F96" t="s">
        <v>27</v>
      </c>
      <c r="G96" t="s">
        <v>26</v>
      </c>
      <c r="H96">
        <v>2</v>
      </c>
      <c r="I96">
        <v>0</v>
      </c>
    </row>
    <row r="97" spans="1:9" x14ac:dyDescent="0.3">
      <c r="A97">
        <v>2</v>
      </c>
      <c r="B97">
        <v>1</v>
      </c>
      <c r="C97" t="s">
        <v>1</v>
      </c>
      <c r="D97" t="s">
        <v>0</v>
      </c>
      <c r="E97">
        <v>42</v>
      </c>
      <c r="F97" t="s">
        <v>27</v>
      </c>
      <c r="G97" t="s">
        <v>26</v>
      </c>
      <c r="H97">
        <v>33</v>
      </c>
      <c r="I97">
        <v>0</v>
      </c>
    </row>
    <row r="98" spans="1:9" x14ac:dyDescent="0.3">
      <c r="A98">
        <v>2</v>
      </c>
      <c r="B98">
        <v>1</v>
      </c>
      <c r="C98" t="s">
        <v>1</v>
      </c>
      <c r="D98" t="s">
        <v>0</v>
      </c>
      <c r="E98">
        <v>17</v>
      </c>
      <c r="F98" t="s">
        <v>27</v>
      </c>
      <c r="G98" t="s">
        <v>26</v>
      </c>
      <c r="H98">
        <v>19</v>
      </c>
      <c r="I98">
        <v>1</v>
      </c>
    </row>
    <row r="99" spans="1:9" x14ac:dyDescent="0.3">
      <c r="A99">
        <v>2</v>
      </c>
      <c r="B99">
        <v>1</v>
      </c>
      <c r="C99" t="s">
        <v>1</v>
      </c>
      <c r="D99" t="s">
        <v>0</v>
      </c>
      <c r="E99">
        <v>36</v>
      </c>
      <c r="F99" t="s">
        <v>27</v>
      </c>
      <c r="G99" t="s">
        <v>26</v>
      </c>
      <c r="H99">
        <v>7</v>
      </c>
      <c r="I99">
        <v>0</v>
      </c>
    </row>
    <row r="100" spans="1:9" x14ac:dyDescent="0.3">
      <c r="A100">
        <v>2</v>
      </c>
      <c r="B100">
        <v>1</v>
      </c>
      <c r="C100" t="s">
        <v>1</v>
      </c>
      <c r="D100" t="s">
        <v>0</v>
      </c>
      <c r="E100">
        <v>57</v>
      </c>
      <c r="F100" t="s">
        <v>27</v>
      </c>
      <c r="G100" t="s">
        <v>26</v>
      </c>
      <c r="H100">
        <v>24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08262-2A46-430F-BC5D-8759B7E55D8E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</v>
      </c>
      <c r="D1" t="s">
        <v>0</v>
      </c>
      <c r="E1">
        <v>34</v>
      </c>
      <c r="F1" t="s">
        <v>29</v>
      </c>
      <c r="G1" t="s">
        <v>28</v>
      </c>
      <c r="H1">
        <v>26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</v>
      </c>
      <c r="D2" t="s">
        <v>0</v>
      </c>
      <c r="E2">
        <v>20</v>
      </c>
      <c r="F2" t="s">
        <v>29</v>
      </c>
      <c r="G2" t="s">
        <v>28</v>
      </c>
      <c r="H2">
        <v>14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</v>
      </c>
      <c r="D3" t="s">
        <v>0</v>
      </c>
      <c r="E3">
        <v>31</v>
      </c>
      <c r="F3" t="s">
        <v>29</v>
      </c>
      <c r="G3" t="s">
        <v>28</v>
      </c>
      <c r="H3">
        <v>27</v>
      </c>
      <c r="I3">
        <v>0</v>
      </c>
      <c r="K3" s="8" t="s">
        <v>11</v>
      </c>
      <c r="L3" s="8"/>
      <c r="M3" s="10">
        <f>COUNTIF($I$1:$I$100, 0)</f>
        <v>89</v>
      </c>
      <c r="N3" s="10"/>
      <c r="O3" s="10">
        <f>COUNTIFS($I$1:$I$100, 0, $B$1:$B$100, 0)</f>
        <v>44</v>
      </c>
      <c r="P3" s="10"/>
      <c r="Q3" s="11">
        <f>COUNTIFS($I$1:$I$100, 0, $B$1:$B$100, 1)</f>
        <v>45</v>
      </c>
      <c r="R3" s="12"/>
      <c r="T3" cm="1">
        <f t="array" ref="T3">SUMPRODUCT(--($E$1:$E$100=$H$1:$H$100))</f>
        <v>1</v>
      </c>
    </row>
    <row r="4" spans="1:20" x14ac:dyDescent="0.3">
      <c r="A4">
        <v>2</v>
      </c>
      <c r="B4">
        <v>0</v>
      </c>
      <c r="C4" t="s">
        <v>1</v>
      </c>
      <c r="D4" t="s">
        <v>0</v>
      </c>
      <c r="E4">
        <v>33</v>
      </c>
      <c r="F4" t="s">
        <v>29</v>
      </c>
      <c r="G4" t="s">
        <v>28</v>
      </c>
      <c r="H4">
        <v>6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</v>
      </c>
      <c r="D5" t="s">
        <v>0</v>
      </c>
      <c r="E5">
        <v>31</v>
      </c>
      <c r="F5" t="s">
        <v>29</v>
      </c>
      <c r="G5" t="s">
        <v>28</v>
      </c>
      <c r="H5">
        <v>48</v>
      </c>
      <c r="I5">
        <v>1</v>
      </c>
      <c r="K5" s="8" t="s">
        <v>10</v>
      </c>
      <c r="L5" s="8"/>
      <c r="M5" s="14">
        <f>COUNTIF($I$1:$I$100, 1)</f>
        <v>11</v>
      </c>
      <c r="N5" s="10"/>
      <c r="O5" s="10">
        <f>COUNTIFS($I$1:$I$100, 1, $B$1:$B$100, 0)</f>
        <v>6</v>
      </c>
      <c r="P5" s="10"/>
      <c r="Q5" s="10">
        <f>COUNTIFS($I$1:$I$100, 1, $B$1:$B$100, 1)</f>
        <v>5</v>
      </c>
      <c r="R5" s="13"/>
    </row>
    <row r="6" spans="1:20" x14ac:dyDescent="0.3">
      <c r="A6">
        <v>2</v>
      </c>
      <c r="B6">
        <v>0</v>
      </c>
      <c r="C6" t="s">
        <v>1</v>
      </c>
      <c r="D6" t="s">
        <v>0</v>
      </c>
      <c r="E6">
        <v>41</v>
      </c>
      <c r="F6" t="s">
        <v>29</v>
      </c>
      <c r="G6" t="s">
        <v>28</v>
      </c>
      <c r="H6">
        <v>5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</v>
      </c>
      <c r="D7" t="s">
        <v>0</v>
      </c>
      <c r="E7">
        <v>46</v>
      </c>
      <c r="F7" t="s">
        <v>29</v>
      </c>
      <c r="G7" t="s">
        <v>28</v>
      </c>
      <c r="H7">
        <v>4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</v>
      </c>
      <c r="D8" t="s">
        <v>0</v>
      </c>
      <c r="E8">
        <v>100</v>
      </c>
      <c r="F8" t="s">
        <v>29</v>
      </c>
      <c r="G8" t="s">
        <v>28</v>
      </c>
      <c r="H8">
        <v>17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</v>
      </c>
      <c r="D9" t="s">
        <v>0</v>
      </c>
      <c r="E9">
        <v>91</v>
      </c>
      <c r="F9" t="s">
        <v>29</v>
      </c>
      <c r="G9" t="s">
        <v>28</v>
      </c>
      <c r="H9">
        <v>0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</v>
      </c>
      <c r="D10" t="s">
        <v>0</v>
      </c>
      <c r="E10">
        <v>14</v>
      </c>
      <c r="F10" t="s">
        <v>29</v>
      </c>
      <c r="G10" t="s">
        <v>28</v>
      </c>
      <c r="H10">
        <v>23</v>
      </c>
      <c r="I10">
        <v>1</v>
      </c>
      <c r="K10" s="8" t="s">
        <v>6</v>
      </c>
      <c r="L10" s="8"/>
      <c r="M10" s="10">
        <f>AVERAGE($E$1:$E$100,)</f>
        <v>44.396039603960396</v>
      </c>
      <c r="N10" s="10"/>
      <c r="O10" s="10" cm="1">
        <f t="array" ref="O10">AVERAGE(_xlfn._xlws.FILTER($E$1:$E$100,$I$1:$I$100 = 0))</f>
        <v>47.921348314606739</v>
      </c>
      <c r="P10" s="10"/>
      <c r="Q10" s="11" cm="1">
        <f t="array" ref="Q10">AVERAGE(_xlfn._xlws.FILTER($E$1:$E$100,$I$1:$I$100 = 1))</f>
        <v>19.90909090909091</v>
      </c>
      <c r="R10" s="12"/>
    </row>
    <row r="11" spans="1:20" x14ac:dyDescent="0.3">
      <c r="A11">
        <v>2</v>
      </c>
      <c r="B11">
        <v>0</v>
      </c>
      <c r="C11" t="s">
        <v>1</v>
      </c>
      <c r="D11" t="s">
        <v>0</v>
      </c>
      <c r="E11">
        <v>27</v>
      </c>
      <c r="F11" t="s">
        <v>29</v>
      </c>
      <c r="G11" t="s">
        <v>28</v>
      </c>
      <c r="H11">
        <v>22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</v>
      </c>
      <c r="D12" t="s">
        <v>0</v>
      </c>
      <c r="E12">
        <v>55</v>
      </c>
      <c r="F12" t="s">
        <v>29</v>
      </c>
      <c r="G12" t="s">
        <v>28</v>
      </c>
      <c r="H12">
        <v>6</v>
      </c>
      <c r="I12">
        <v>0</v>
      </c>
      <c r="K12" s="8" t="s">
        <v>5</v>
      </c>
      <c r="L12" s="8"/>
      <c r="M12" s="10">
        <f>AVERAGE($H$1:$H$100,)</f>
        <v>17.386138613861387</v>
      </c>
      <c r="N12" s="10"/>
      <c r="O12" s="10" cm="1">
        <f t="array" ref="O12">AVERAGE(_xlfn._xlws.FILTER($H$1:$H$100,$I$1:$I$100 = 0))</f>
        <v>15.50561797752809</v>
      </c>
      <c r="P12" s="10"/>
      <c r="Q12" s="10" cm="1">
        <f t="array" ref="Q12">AVERAGE(_xlfn._xlws.FILTER($H$1:$H$100,$I$1:$I$100 = 1))</f>
        <v>34.18181818181818</v>
      </c>
      <c r="R12" s="13"/>
    </row>
    <row r="13" spans="1:20" x14ac:dyDescent="0.3">
      <c r="A13">
        <v>2</v>
      </c>
      <c r="B13">
        <v>0</v>
      </c>
      <c r="C13" t="s">
        <v>1</v>
      </c>
      <c r="D13" t="s">
        <v>0</v>
      </c>
      <c r="E13">
        <v>61</v>
      </c>
      <c r="F13" t="s">
        <v>29</v>
      </c>
      <c r="G13" t="s">
        <v>28</v>
      </c>
      <c r="H13">
        <v>34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</v>
      </c>
      <c r="D14" t="s">
        <v>0</v>
      </c>
      <c r="E14">
        <v>50</v>
      </c>
      <c r="F14" t="s">
        <v>29</v>
      </c>
      <c r="G14" t="s">
        <v>28</v>
      </c>
      <c r="H14">
        <v>4</v>
      </c>
      <c r="I14">
        <v>0</v>
      </c>
      <c r="K14" s="19" t="s">
        <v>4</v>
      </c>
      <c r="L14" s="12"/>
      <c r="M14" s="20" cm="1">
        <f t="array" ref="M14">AVERAGE($E$1:$E$100 - $H$1:$H$100)</f>
        <v>27.28</v>
      </c>
      <c r="N14" s="20"/>
      <c r="O14" s="20" cm="1">
        <f t="array" ref="O14">AVERAGE(_xlfn._xlws.FILTER($E$1:$E$100 - $H$1:$H$100, I$1:I$100 = 0))</f>
        <v>32.415730337078649</v>
      </c>
      <c r="P14" s="20"/>
      <c r="Q14" s="20" cm="1">
        <f t="array" ref="Q14">AVERAGE(_xlfn._xlws.FILTER($E$1:$E$100 - $H$1:$H$100, I$1:I$100 = 1))</f>
        <v>-14.272727272727273</v>
      </c>
      <c r="R14" s="22"/>
    </row>
    <row r="15" spans="1:20" x14ac:dyDescent="0.3">
      <c r="A15">
        <v>2</v>
      </c>
      <c r="B15">
        <v>0</v>
      </c>
      <c r="C15" t="s">
        <v>1</v>
      </c>
      <c r="D15" t="s">
        <v>0</v>
      </c>
      <c r="E15">
        <v>69</v>
      </c>
      <c r="F15" t="s">
        <v>29</v>
      </c>
      <c r="G15" t="s">
        <v>28</v>
      </c>
      <c r="H15">
        <v>36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</v>
      </c>
      <c r="D16" t="s">
        <v>0</v>
      </c>
      <c r="E16">
        <v>46</v>
      </c>
      <c r="F16" t="s">
        <v>29</v>
      </c>
      <c r="G16" t="s">
        <v>28</v>
      </c>
      <c r="H16">
        <v>17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</v>
      </c>
      <c r="D17" t="s">
        <v>0</v>
      </c>
      <c r="E17">
        <v>19</v>
      </c>
      <c r="F17" t="s">
        <v>29</v>
      </c>
      <c r="G17" t="s">
        <v>28</v>
      </c>
      <c r="H17">
        <v>10</v>
      </c>
      <c r="I17">
        <v>0</v>
      </c>
    </row>
    <row r="18" spans="1:9" x14ac:dyDescent="0.3">
      <c r="A18">
        <v>2</v>
      </c>
      <c r="B18">
        <v>0</v>
      </c>
      <c r="C18" t="s">
        <v>1</v>
      </c>
      <c r="D18" t="s">
        <v>0</v>
      </c>
      <c r="E18">
        <v>21</v>
      </c>
      <c r="F18" t="s">
        <v>29</v>
      </c>
      <c r="G18" t="s">
        <v>28</v>
      </c>
      <c r="H18">
        <v>40</v>
      </c>
      <c r="I18">
        <v>1</v>
      </c>
    </row>
    <row r="19" spans="1:9" x14ac:dyDescent="0.3">
      <c r="A19">
        <v>2</v>
      </c>
      <c r="B19">
        <v>0</v>
      </c>
      <c r="C19" t="s">
        <v>1</v>
      </c>
      <c r="D19" t="s">
        <v>0</v>
      </c>
      <c r="E19">
        <v>74</v>
      </c>
      <c r="F19" t="s">
        <v>29</v>
      </c>
      <c r="G19" t="s">
        <v>28</v>
      </c>
      <c r="H19">
        <v>3</v>
      </c>
      <c r="I19">
        <v>0</v>
      </c>
    </row>
    <row r="20" spans="1:9" x14ac:dyDescent="0.3">
      <c r="A20">
        <v>2</v>
      </c>
      <c r="B20">
        <v>0</v>
      </c>
      <c r="C20" t="s">
        <v>1</v>
      </c>
      <c r="D20" t="s">
        <v>0</v>
      </c>
      <c r="E20">
        <v>65</v>
      </c>
      <c r="F20" t="s">
        <v>29</v>
      </c>
      <c r="G20" t="s">
        <v>28</v>
      </c>
      <c r="H20">
        <v>19</v>
      </c>
      <c r="I20">
        <v>0</v>
      </c>
    </row>
    <row r="21" spans="1:9" x14ac:dyDescent="0.3">
      <c r="A21">
        <v>2</v>
      </c>
      <c r="B21">
        <v>0</v>
      </c>
      <c r="C21" t="s">
        <v>1</v>
      </c>
      <c r="D21" t="s">
        <v>0</v>
      </c>
      <c r="E21">
        <v>30</v>
      </c>
      <c r="F21" t="s">
        <v>29</v>
      </c>
      <c r="G21" t="s">
        <v>28</v>
      </c>
      <c r="H21">
        <v>28</v>
      </c>
      <c r="I21">
        <v>0</v>
      </c>
    </row>
    <row r="22" spans="1:9" x14ac:dyDescent="0.3">
      <c r="A22">
        <v>2</v>
      </c>
      <c r="B22">
        <v>0</v>
      </c>
      <c r="C22" t="s">
        <v>1</v>
      </c>
      <c r="D22" t="s">
        <v>0</v>
      </c>
      <c r="E22">
        <v>55</v>
      </c>
      <c r="F22" t="s">
        <v>29</v>
      </c>
      <c r="G22" t="s">
        <v>28</v>
      </c>
      <c r="H22">
        <v>36</v>
      </c>
      <c r="I22">
        <v>0</v>
      </c>
    </row>
    <row r="23" spans="1:9" x14ac:dyDescent="0.3">
      <c r="A23">
        <v>2</v>
      </c>
      <c r="B23">
        <v>0</v>
      </c>
      <c r="C23" t="s">
        <v>1</v>
      </c>
      <c r="D23" t="s">
        <v>0</v>
      </c>
      <c r="E23">
        <v>27</v>
      </c>
      <c r="F23" t="s">
        <v>29</v>
      </c>
      <c r="G23" t="s">
        <v>28</v>
      </c>
      <c r="H23">
        <v>28</v>
      </c>
      <c r="I23">
        <v>1</v>
      </c>
    </row>
    <row r="24" spans="1:9" x14ac:dyDescent="0.3">
      <c r="A24">
        <v>2</v>
      </c>
      <c r="B24">
        <v>0</v>
      </c>
      <c r="C24" t="s">
        <v>1</v>
      </c>
      <c r="D24" t="s">
        <v>0</v>
      </c>
      <c r="E24">
        <v>25</v>
      </c>
      <c r="F24" t="s">
        <v>29</v>
      </c>
      <c r="G24" t="s">
        <v>28</v>
      </c>
      <c r="H24">
        <v>2</v>
      </c>
      <c r="I24">
        <v>0</v>
      </c>
    </row>
    <row r="25" spans="1:9" x14ac:dyDescent="0.3">
      <c r="A25">
        <v>2</v>
      </c>
      <c r="B25">
        <v>0</v>
      </c>
      <c r="C25" t="s">
        <v>1</v>
      </c>
      <c r="D25" t="s">
        <v>0</v>
      </c>
      <c r="E25">
        <v>40</v>
      </c>
      <c r="F25" t="s">
        <v>29</v>
      </c>
      <c r="G25" t="s">
        <v>28</v>
      </c>
      <c r="H25">
        <v>10</v>
      </c>
      <c r="I25">
        <v>0</v>
      </c>
    </row>
    <row r="26" spans="1:9" x14ac:dyDescent="0.3">
      <c r="A26">
        <v>2</v>
      </c>
      <c r="B26">
        <v>0</v>
      </c>
      <c r="C26" t="s">
        <v>1</v>
      </c>
      <c r="D26" t="s">
        <v>0</v>
      </c>
      <c r="E26">
        <v>44</v>
      </c>
      <c r="F26" t="s">
        <v>29</v>
      </c>
      <c r="G26" t="s">
        <v>28</v>
      </c>
      <c r="H26">
        <v>11</v>
      </c>
      <c r="I26">
        <v>0</v>
      </c>
    </row>
    <row r="27" spans="1:9" x14ac:dyDescent="0.3">
      <c r="A27">
        <v>2</v>
      </c>
      <c r="B27">
        <v>0</v>
      </c>
      <c r="C27" t="s">
        <v>1</v>
      </c>
      <c r="D27" t="s">
        <v>0</v>
      </c>
      <c r="E27">
        <v>23</v>
      </c>
      <c r="F27" t="s">
        <v>29</v>
      </c>
      <c r="G27" t="s">
        <v>28</v>
      </c>
      <c r="H27">
        <v>0</v>
      </c>
      <c r="I27">
        <v>0</v>
      </c>
    </row>
    <row r="28" spans="1:9" x14ac:dyDescent="0.3">
      <c r="A28">
        <v>2</v>
      </c>
      <c r="B28">
        <v>0</v>
      </c>
      <c r="C28" t="s">
        <v>1</v>
      </c>
      <c r="D28" t="s">
        <v>0</v>
      </c>
      <c r="E28">
        <v>65</v>
      </c>
      <c r="F28" t="s">
        <v>29</v>
      </c>
      <c r="G28" t="s">
        <v>28</v>
      </c>
      <c r="H28">
        <v>0</v>
      </c>
      <c r="I28">
        <v>0</v>
      </c>
    </row>
    <row r="29" spans="1:9" x14ac:dyDescent="0.3">
      <c r="A29">
        <v>2</v>
      </c>
      <c r="B29">
        <v>0</v>
      </c>
      <c r="C29" t="s">
        <v>1</v>
      </c>
      <c r="D29" t="s">
        <v>0</v>
      </c>
      <c r="E29">
        <v>43</v>
      </c>
      <c r="F29" t="s">
        <v>29</v>
      </c>
      <c r="G29" t="s">
        <v>28</v>
      </c>
      <c r="H29">
        <v>25</v>
      </c>
      <c r="I29">
        <v>0</v>
      </c>
    </row>
    <row r="30" spans="1:9" x14ac:dyDescent="0.3">
      <c r="A30">
        <v>2</v>
      </c>
      <c r="B30">
        <v>0</v>
      </c>
      <c r="C30" t="s">
        <v>1</v>
      </c>
      <c r="D30" t="s">
        <v>0</v>
      </c>
      <c r="E30">
        <v>60</v>
      </c>
      <c r="F30" t="s">
        <v>29</v>
      </c>
      <c r="G30" t="s">
        <v>28</v>
      </c>
      <c r="H30">
        <v>11</v>
      </c>
      <c r="I30">
        <v>0</v>
      </c>
    </row>
    <row r="31" spans="1:9" x14ac:dyDescent="0.3">
      <c r="A31">
        <v>2</v>
      </c>
      <c r="B31">
        <v>0</v>
      </c>
      <c r="C31" t="s">
        <v>1</v>
      </c>
      <c r="D31" t="s">
        <v>0</v>
      </c>
      <c r="E31">
        <v>6</v>
      </c>
      <c r="F31" t="s">
        <v>29</v>
      </c>
      <c r="G31" t="s">
        <v>28</v>
      </c>
      <c r="H31">
        <v>13</v>
      </c>
      <c r="I31">
        <v>1</v>
      </c>
    </row>
    <row r="32" spans="1:9" x14ac:dyDescent="0.3">
      <c r="A32">
        <v>2</v>
      </c>
      <c r="B32">
        <v>0</v>
      </c>
      <c r="C32" t="s">
        <v>1</v>
      </c>
      <c r="D32" t="s">
        <v>0</v>
      </c>
      <c r="E32">
        <v>36</v>
      </c>
      <c r="F32" t="s">
        <v>29</v>
      </c>
      <c r="G32" t="s">
        <v>28</v>
      </c>
      <c r="H32">
        <v>30</v>
      </c>
      <c r="I32">
        <v>0</v>
      </c>
    </row>
    <row r="33" spans="1:9" x14ac:dyDescent="0.3">
      <c r="A33">
        <v>2</v>
      </c>
      <c r="B33">
        <v>0</v>
      </c>
      <c r="C33" t="s">
        <v>1</v>
      </c>
      <c r="D33" t="s">
        <v>0</v>
      </c>
      <c r="E33">
        <v>43</v>
      </c>
      <c r="F33" t="s">
        <v>29</v>
      </c>
      <c r="G33" t="s">
        <v>28</v>
      </c>
      <c r="H33">
        <v>5</v>
      </c>
      <c r="I33">
        <v>0</v>
      </c>
    </row>
    <row r="34" spans="1:9" x14ac:dyDescent="0.3">
      <c r="A34">
        <v>2</v>
      </c>
      <c r="B34">
        <v>0</v>
      </c>
      <c r="C34" t="s">
        <v>1</v>
      </c>
      <c r="D34" t="s">
        <v>0</v>
      </c>
      <c r="E34">
        <v>55</v>
      </c>
      <c r="F34" t="s">
        <v>29</v>
      </c>
      <c r="G34" t="s">
        <v>28</v>
      </c>
      <c r="H34">
        <v>15</v>
      </c>
      <c r="I34">
        <v>0</v>
      </c>
    </row>
    <row r="35" spans="1:9" x14ac:dyDescent="0.3">
      <c r="A35">
        <v>2</v>
      </c>
      <c r="B35">
        <v>0</v>
      </c>
      <c r="C35" t="s">
        <v>1</v>
      </c>
      <c r="D35" t="s">
        <v>0</v>
      </c>
      <c r="E35">
        <v>68</v>
      </c>
      <c r="F35" t="s">
        <v>29</v>
      </c>
      <c r="G35" t="s">
        <v>28</v>
      </c>
      <c r="H35">
        <v>50</v>
      </c>
      <c r="I35">
        <v>0</v>
      </c>
    </row>
    <row r="36" spans="1:9" x14ac:dyDescent="0.3">
      <c r="A36">
        <v>2</v>
      </c>
      <c r="B36">
        <v>0</v>
      </c>
      <c r="C36" t="s">
        <v>1</v>
      </c>
      <c r="D36" t="s">
        <v>0</v>
      </c>
      <c r="E36">
        <v>22</v>
      </c>
      <c r="F36" t="s">
        <v>29</v>
      </c>
      <c r="G36" t="s">
        <v>28</v>
      </c>
      <c r="H36">
        <v>59</v>
      </c>
      <c r="I36">
        <v>1</v>
      </c>
    </row>
    <row r="37" spans="1:9" x14ac:dyDescent="0.3">
      <c r="A37">
        <v>2</v>
      </c>
      <c r="B37">
        <v>0</v>
      </c>
      <c r="C37" t="s">
        <v>1</v>
      </c>
      <c r="D37" t="s">
        <v>0</v>
      </c>
      <c r="E37">
        <v>71</v>
      </c>
      <c r="F37" t="s">
        <v>29</v>
      </c>
      <c r="G37" t="s">
        <v>28</v>
      </c>
      <c r="H37">
        <v>31</v>
      </c>
      <c r="I37">
        <v>0</v>
      </c>
    </row>
    <row r="38" spans="1:9" x14ac:dyDescent="0.3">
      <c r="A38">
        <v>2</v>
      </c>
      <c r="B38">
        <v>0</v>
      </c>
      <c r="C38" t="s">
        <v>1</v>
      </c>
      <c r="D38" t="s">
        <v>0</v>
      </c>
      <c r="E38">
        <v>64</v>
      </c>
      <c r="F38" t="s">
        <v>29</v>
      </c>
      <c r="G38" t="s">
        <v>28</v>
      </c>
      <c r="H38">
        <v>18</v>
      </c>
      <c r="I38">
        <v>0</v>
      </c>
    </row>
    <row r="39" spans="1:9" x14ac:dyDescent="0.3">
      <c r="A39">
        <v>2</v>
      </c>
      <c r="B39">
        <v>0</v>
      </c>
      <c r="C39" t="s">
        <v>1</v>
      </c>
      <c r="D39" t="s">
        <v>0</v>
      </c>
      <c r="E39">
        <v>50</v>
      </c>
      <c r="F39" t="s">
        <v>29</v>
      </c>
      <c r="G39" t="s">
        <v>28</v>
      </c>
      <c r="H39">
        <v>5</v>
      </c>
      <c r="I39">
        <v>0</v>
      </c>
    </row>
    <row r="40" spans="1:9" x14ac:dyDescent="0.3">
      <c r="A40">
        <v>2</v>
      </c>
      <c r="B40">
        <v>0</v>
      </c>
      <c r="C40" t="s">
        <v>1</v>
      </c>
      <c r="D40" t="s">
        <v>0</v>
      </c>
      <c r="E40">
        <v>75</v>
      </c>
      <c r="F40" t="s">
        <v>29</v>
      </c>
      <c r="G40" t="s">
        <v>28</v>
      </c>
      <c r="H40">
        <v>10</v>
      </c>
      <c r="I40">
        <v>0</v>
      </c>
    </row>
    <row r="41" spans="1:9" x14ac:dyDescent="0.3">
      <c r="A41">
        <v>2</v>
      </c>
      <c r="B41">
        <v>0</v>
      </c>
      <c r="C41" t="s">
        <v>1</v>
      </c>
      <c r="D41" t="s">
        <v>0</v>
      </c>
      <c r="E41">
        <v>36</v>
      </c>
      <c r="F41" t="s">
        <v>29</v>
      </c>
      <c r="G41" t="s">
        <v>28</v>
      </c>
      <c r="H41">
        <v>35</v>
      </c>
      <c r="I41">
        <v>0</v>
      </c>
    </row>
    <row r="42" spans="1:9" x14ac:dyDescent="0.3">
      <c r="A42">
        <v>2</v>
      </c>
      <c r="B42">
        <v>0</v>
      </c>
      <c r="C42" t="s">
        <v>1</v>
      </c>
      <c r="D42" t="s">
        <v>0</v>
      </c>
      <c r="E42">
        <v>50</v>
      </c>
      <c r="F42" t="s">
        <v>29</v>
      </c>
      <c r="G42" t="s">
        <v>28</v>
      </c>
      <c r="H42">
        <v>35</v>
      </c>
      <c r="I42">
        <v>0</v>
      </c>
    </row>
    <row r="43" spans="1:9" x14ac:dyDescent="0.3">
      <c r="A43">
        <v>2</v>
      </c>
      <c r="B43">
        <v>0</v>
      </c>
      <c r="C43" t="s">
        <v>1</v>
      </c>
      <c r="D43" t="s">
        <v>0</v>
      </c>
      <c r="E43">
        <v>44</v>
      </c>
      <c r="F43" t="s">
        <v>29</v>
      </c>
      <c r="G43" t="s">
        <v>28</v>
      </c>
      <c r="H43">
        <v>8</v>
      </c>
      <c r="I43">
        <v>0</v>
      </c>
    </row>
    <row r="44" spans="1:9" x14ac:dyDescent="0.3">
      <c r="A44">
        <v>2</v>
      </c>
      <c r="B44">
        <v>0</v>
      </c>
      <c r="C44" t="s">
        <v>1</v>
      </c>
      <c r="D44" t="s">
        <v>0</v>
      </c>
      <c r="E44">
        <v>54</v>
      </c>
      <c r="F44" t="s">
        <v>29</v>
      </c>
      <c r="G44" t="s">
        <v>28</v>
      </c>
      <c r="H44">
        <v>8</v>
      </c>
      <c r="I44">
        <v>0</v>
      </c>
    </row>
    <row r="45" spans="1:9" x14ac:dyDescent="0.3">
      <c r="A45">
        <v>2</v>
      </c>
      <c r="B45">
        <v>0</v>
      </c>
      <c r="C45" t="s">
        <v>1</v>
      </c>
      <c r="D45" t="s">
        <v>0</v>
      </c>
      <c r="E45">
        <v>60</v>
      </c>
      <c r="F45" t="s">
        <v>29</v>
      </c>
      <c r="G45" t="s">
        <v>28</v>
      </c>
      <c r="H45">
        <v>33</v>
      </c>
      <c r="I45">
        <v>0</v>
      </c>
    </row>
    <row r="46" spans="1:9" x14ac:dyDescent="0.3">
      <c r="A46">
        <v>2</v>
      </c>
      <c r="B46">
        <v>0</v>
      </c>
      <c r="C46" t="s">
        <v>1</v>
      </c>
      <c r="D46" t="s">
        <v>0</v>
      </c>
      <c r="E46">
        <v>59</v>
      </c>
      <c r="F46" t="s">
        <v>29</v>
      </c>
      <c r="G46" t="s">
        <v>28</v>
      </c>
      <c r="H46">
        <v>6</v>
      </c>
      <c r="I46">
        <v>0</v>
      </c>
    </row>
    <row r="47" spans="1:9" x14ac:dyDescent="0.3">
      <c r="A47">
        <v>2</v>
      </c>
      <c r="B47">
        <v>0</v>
      </c>
      <c r="C47" t="s">
        <v>1</v>
      </c>
      <c r="D47" t="s">
        <v>0</v>
      </c>
      <c r="E47">
        <v>46</v>
      </c>
      <c r="F47" t="s">
        <v>29</v>
      </c>
      <c r="G47" t="s">
        <v>28</v>
      </c>
      <c r="H47">
        <v>0</v>
      </c>
      <c r="I47">
        <v>0</v>
      </c>
    </row>
    <row r="48" spans="1:9" x14ac:dyDescent="0.3">
      <c r="A48">
        <v>2</v>
      </c>
      <c r="B48">
        <v>0</v>
      </c>
      <c r="C48" t="s">
        <v>1</v>
      </c>
      <c r="D48" t="s">
        <v>0</v>
      </c>
      <c r="E48">
        <v>37</v>
      </c>
      <c r="F48" t="s">
        <v>29</v>
      </c>
      <c r="G48" t="s">
        <v>28</v>
      </c>
      <c r="H48">
        <v>0</v>
      </c>
      <c r="I48">
        <v>0</v>
      </c>
    </row>
    <row r="49" spans="1:9" x14ac:dyDescent="0.3">
      <c r="A49">
        <v>2</v>
      </c>
      <c r="B49">
        <v>0</v>
      </c>
      <c r="C49" t="s">
        <v>1</v>
      </c>
      <c r="D49" t="s">
        <v>0</v>
      </c>
      <c r="E49">
        <v>68</v>
      </c>
      <c r="F49" t="s">
        <v>29</v>
      </c>
      <c r="G49" t="s">
        <v>28</v>
      </c>
      <c r="H49">
        <v>11</v>
      </c>
      <c r="I49">
        <v>0</v>
      </c>
    </row>
    <row r="50" spans="1:9" x14ac:dyDescent="0.3">
      <c r="A50">
        <v>2</v>
      </c>
      <c r="B50">
        <v>0</v>
      </c>
      <c r="C50" t="s">
        <v>1</v>
      </c>
      <c r="D50" t="s">
        <v>0</v>
      </c>
      <c r="E50">
        <v>29</v>
      </c>
      <c r="F50" t="s">
        <v>29</v>
      </c>
      <c r="G50" t="s">
        <v>28</v>
      </c>
      <c r="H50">
        <v>4</v>
      </c>
      <c r="I50">
        <v>0</v>
      </c>
    </row>
    <row r="51" spans="1:9" x14ac:dyDescent="0.3">
      <c r="A51">
        <v>2</v>
      </c>
      <c r="B51">
        <v>1</v>
      </c>
      <c r="C51" t="s">
        <v>1</v>
      </c>
      <c r="D51" t="s">
        <v>0</v>
      </c>
      <c r="E51">
        <v>60</v>
      </c>
      <c r="F51" t="s">
        <v>29</v>
      </c>
      <c r="G51" t="s">
        <v>28</v>
      </c>
      <c r="H51">
        <v>14</v>
      </c>
      <c r="I51">
        <v>0</v>
      </c>
    </row>
    <row r="52" spans="1:9" x14ac:dyDescent="0.3">
      <c r="A52">
        <v>2</v>
      </c>
      <c r="B52">
        <v>1</v>
      </c>
      <c r="C52" t="s">
        <v>1</v>
      </c>
      <c r="D52" t="s">
        <v>0</v>
      </c>
      <c r="E52">
        <v>48</v>
      </c>
      <c r="F52" t="s">
        <v>29</v>
      </c>
      <c r="G52" t="s">
        <v>28</v>
      </c>
      <c r="H52">
        <v>7</v>
      </c>
      <c r="I52">
        <v>0</v>
      </c>
    </row>
    <row r="53" spans="1:9" x14ac:dyDescent="0.3">
      <c r="A53">
        <v>2</v>
      </c>
      <c r="B53">
        <v>1</v>
      </c>
      <c r="C53" t="s">
        <v>1</v>
      </c>
      <c r="D53" t="s">
        <v>0</v>
      </c>
      <c r="E53">
        <v>40</v>
      </c>
      <c r="F53" t="s">
        <v>29</v>
      </c>
      <c r="G53" t="s">
        <v>28</v>
      </c>
      <c r="H53">
        <v>15</v>
      </c>
      <c r="I53">
        <v>0</v>
      </c>
    </row>
    <row r="54" spans="1:9" x14ac:dyDescent="0.3">
      <c r="A54">
        <v>2</v>
      </c>
      <c r="B54">
        <v>1</v>
      </c>
      <c r="C54" t="s">
        <v>1</v>
      </c>
      <c r="D54" t="s">
        <v>0</v>
      </c>
      <c r="E54">
        <v>40</v>
      </c>
      <c r="F54" t="s">
        <v>29</v>
      </c>
      <c r="G54" t="s">
        <v>28</v>
      </c>
      <c r="H54">
        <v>11</v>
      </c>
      <c r="I54">
        <v>0</v>
      </c>
    </row>
    <row r="55" spans="1:9" x14ac:dyDescent="0.3">
      <c r="A55">
        <v>2</v>
      </c>
      <c r="B55">
        <v>1</v>
      </c>
      <c r="C55" t="s">
        <v>1</v>
      </c>
      <c r="D55" t="s">
        <v>0</v>
      </c>
      <c r="E55">
        <v>55</v>
      </c>
      <c r="F55" t="s">
        <v>29</v>
      </c>
      <c r="G55" t="s">
        <v>28</v>
      </c>
      <c r="H55">
        <v>13</v>
      </c>
      <c r="I55">
        <v>0</v>
      </c>
    </row>
    <row r="56" spans="1:9" x14ac:dyDescent="0.3">
      <c r="A56">
        <v>2</v>
      </c>
      <c r="B56">
        <v>1</v>
      </c>
      <c r="C56" t="s">
        <v>1</v>
      </c>
      <c r="D56" t="s">
        <v>0</v>
      </c>
      <c r="E56">
        <v>12</v>
      </c>
      <c r="F56" t="s">
        <v>29</v>
      </c>
      <c r="G56" t="s">
        <v>28</v>
      </c>
      <c r="H56">
        <v>21</v>
      </c>
      <c r="I56">
        <v>1</v>
      </c>
    </row>
    <row r="57" spans="1:9" x14ac:dyDescent="0.3">
      <c r="A57">
        <v>2</v>
      </c>
      <c r="B57">
        <v>1</v>
      </c>
      <c r="C57" t="s">
        <v>1</v>
      </c>
      <c r="D57" t="s">
        <v>0</v>
      </c>
      <c r="E57">
        <v>64</v>
      </c>
      <c r="F57" t="s">
        <v>29</v>
      </c>
      <c r="G57" t="s">
        <v>28</v>
      </c>
      <c r="H57">
        <v>37</v>
      </c>
      <c r="I57">
        <v>0</v>
      </c>
    </row>
    <row r="58" spans="1:9" x14ac:dyDescent="0.3">
      <c r="A58">
        <v>2</v>
      </c>
      <c r="B58">
        <v>1</v>
      </c>
      <c r="C58" t="s">
        <v>1</v>
      </c>
      <c r="D58" t="s">
        <v>0</v>
      </c>
      <c r="E58">
        <v>27</v>
      </c>
      <c r="F58" t="s">
        <v>29</v>
      </c>
      <c r="G58" t="s">
        <v>28</v>
      </c>
      <c r="H58">
        <v>40</v>
      </c>
      <c r="I58">
        <v>1</v>
      </c>
    </row>
    <row r="59" spans="1:9" x14ac:dyDescent="0.3">
      <c r="A59">
        <v>2</v>
      </c>
      <c r="B59">
        <v>1</v>
      </c>
      <c r="C59" t="s">
        <v>1</v>
      </c>
      <c r="D59" t="s">
        <v>0</v>
      </c>
      <c r="E59">
        <v>45</v>
      </c>
      <c r="F59" t="s">
        <v>29</v>
      </c>
      <c r="G59" t="s">
        <v>28</v>
      </c>
      <c r="H59">
        <v>18</v>
      </c>
      <c r="I59">
        <v>0</v>
      </c>
    </row>
    <row r="60" spans="1:9" x14ac:dyDescent="0.3">
      <c r="A60">
        <v>2</v>
      </c>
      <c r="B60">
        <v>1</v>
      </c>
      <c r="C60" t="s">
        <v>1</v>
      </c>
      <c r="D60" t="s">
        <v>0</v>
      </c>
      <c r="E60">
        <v>40</v>
      </c>
      <c r="F60" t="s">
        <v>29</v>
      </c>
      <c r="G60" t="s">
        <v>28</v>
      </c>
      <c r="H60">
        <v>35</v>
      </c>
      <c r="I60">
        <v>0</v>
      </c>
    </row>
    <row r="61" spans="1:9" x14ac:dyDescent="0.3">
      <c r="A61">
        <v>2</v>
      </c>
      <c r="B61">
        <v>1</v>
      </c>
      <c r="C61" t="s">
        <v>1</v>
      </c>
      <c r="D61" t="s">
        <v>0</v>
      </c>
      <c r="E61">
        <v>48</v>
      </c>
      <c r="F61" t="s">
        <v>29</v>
      </c>
      <c r="G61" t="s">
        <v>28</v>
      </c>
      <c r="H61">
        <v>6</v>
      </c>
      <c r="I61">
        <v>0</v>
      </c>
    </row>
    <row r="62" spans="1:9" x14ac:dyDescent="0.3">
      <c r="A62">
        <v>2</v>
      </c>
      <c r="B62">
        <v>1</v>
      </c>
      <c r="C62" t="s">
        <v>1</v>
      </c>
      <c r="D62" t="s">
        <v>0</v>
      </c>
      <c r="E62">
        <v>23</v>
      </c>
      <c r="F62" t="s">
        <v>29</v>
      </c>
      <c r="G62" t="s">
        <v>28</v>
      </c>
      <c r="H62">
        <v>40</v>
      </c>
      <c r="I62">
        <v>1</v>
      </c>
    </row>
    <row r="63" spans="1:9" x14ac:dyDescent="0.3">
      <c r="A63">
        <v>2</v>
      </c>
      <c r="B63">
        <v>1</v>
      </c>
      <c r="C63" t="s">
        <v>1</v>
      </c>
      <c r="D63" t="s">
        <v>0</v>
      </c>
      <c r="E63">
        <v>78</v>
      </c>
      <c r="F63" t="s">
        <v>29</v>
      </c>
      <c r="G63" t="s">
        <v>28</v>
      </c>
      <c r="H63">
        <v>21</v>
      </c>
      <c r="I63">
        <v>0</v>
      </c>
    </row>
    <row r="64" spans="1:9" x14ac:dyDescent="0.3">
      <c r="A64">
        <v>2</v>
      </c>
      <c r="B64">
        <v>1</v>
      </c>
      <c r="C64" t="s">
        <v>1</v>
      </c>
      <c r="D64" t="s">
        <v>0</v>
      </c>
      <c r="E64">
        <v>15</v>
      </c>
      <c r="F64" t="s">
        <v>29</v>
      </c>
      <c r="G64" t="s">
        <v>28</v>
      </c>
      <c r="H64">
        <v>34</v>
      </c>
      <c r="I64">
        <v>1</v>
      </c>
    </row>
    <row r="65" spans="1:9" x14ac:dyDescent="0.3">
      <c r="A65">
        <v>2</v>
      </c>
      <c r="B65">
        <v>1</v>
      </c>
      <c r="C65" t="s">
        <v>1</v>
      </c>
      <c r="D65" t="s">
        <v>0</v>
      </c>
      <c r="E65">
        <v>32</v>
      </c>
      <c r="F65" t="s">
        <v>29</v>
      </c>
      <c r="G65" t="s">
        <v>28</v>
      </c>
      <c r="H65">
        <v>20</v>
      </c>
      <c r="I65">
        <v>0</v>
      </c>
    </row>
    <row r="66" spans="1:9" x14ac:dyDescent="0.3">
      <c r="A66">
        <v>2</v>
      </c>
      <c r="B66">
        <v>1</v>
      </c>
      <c r="C66" t="s">
        <v>1</v>
      </c>
      <c r="D66" t="s">
        <v>0</v>
      </c>
      <c r="E66">
        <v>43</v>
      </c>
      <c r="F66" t="s">
        <v>29</v>
      </c>
      <c r="G66" t="s">
        <v>28</v>
      </c>
      <c r="H66">
        <v>32</v>
      </c>
      <c r="I66">
        <v>0</v>
      </c>
    </row>
    <row r="67" spans="1:9" x14ac:dyDescent="0.3">
      <c r="A67">
        <v>2</v>
      </c>
      <c r="B67">
        <v>1</v>
      </c>
      <c r="C67" t="s">
        <v>1</v>
      </c>
      <c r="D67" t="s">
        <v>0</v>
      </c>
      <c r="E67">
        <v>56</v>
      </c>
      <c r="F67" t="s">
        <v>29</v>
      </c>
      <c r="G67" t="s">
        <v>28</v>
      </c>
      <c r="H67">
        <v>0</v>
      </c>
      <c r="I67">
        <v>0</v>
      </c>
    </row>
    <row r="68" spans="1:9" x14ac:dyDescent="0.3">
      <c r="A68">
        <v>2</v>
      </c>
      <c r="B68">
        <v>1</v>
      </c>
      <c r="C68" t="s">
        <v>1</v>
      </c>
      <c r="D68" t="s">
        <v>0</v>
      </c>
      <c r="E68">
        <v>92</v>
      </c>
      <c r="F68" t="s">
        <v>29</v>
      </c>
      <c r="G68" t="s">
        <v>28</v>
      </c>
      <c r="H68">
        <v>50</v>
      </c>
      <c r="I68">
        <v>0</v>
      </c>
    </row>
    <row r="69" spans="1:9" x14ac:dyDescent="0.3">
      <c r="A69">
        <v>2</v>
      </c>
      <c r="B69">
        <v>1</v>
      </c>
      <c r="C69" t="s">
        <v>1</v>
      </c>
      <c r="D69" t="s">
        <v>0</v>
      </c>
      <c r="E69">
        <v>40</v>
      </c>
      <c r="F69" t="s">
        <v>29</v>
      </c>
      <c r="G69" t="s">
        <v>28</v>
      </c>
      <c r="H69">
        <v>4</v>
      </c>
      <c r="I69">
        <v>0</v>
      </c>
    </row>
    <row r="70" spans="1:9" x14ac:dyDescent="0.3">
      <c r="A70">
        <v>2</v>
      </c>
      <c r="B70">
        <v>1</v>
      </c>
      <c r="C70" t="s">
        <v>1</v>
      </c>
      <c r="D70" t="s">
        <v>0</v>
      </c>
      <c r="E70">
        <v>47</v>
      </c>
      <c r="F70" t="s">
        <v>29</v>
      </c>
      <c r="G70" t="s">
        <v>28</v>
      </c>
      <c r="H70">
        <v>12</v>
      </c>
      <c r="I70">
        <v>0</v>
      </c>
    </row>
    <row r="71" spans="1:9" x14ac:dyDescent="0.3">
      <c r="A71">
        <v>2</v>
      </c>
      <c r="B71">
        <v>1</v>
      </c>
      <c r="C71" t="s">
        <v>1</v>
      </c>
      <c r="D71" t="s">
        <v>0</v>
      </c>
      <c r="E71">
        <v>37</v>
      </c>
      <c r="F71" t="s">
        <v>29</v>
      </c>
      <c r="G71" t="s">
        <v>28</v>
      </c>
      <c r="H71">
        <v>3</v>
      </c>
      <c r="I71">
        <v>0</v>
      </c>
    </row>
    <row r="72" spans="1:9" x14ac:dyDescent="0.3">
      <c r="A72">
        <v>2</v>
      </c>
      <c r="B72">
        <v>1</v>
      </c>
      <c r="C72" t="s">
        <v>1</v>
      </c>
      <c r="D72" t="s">
        <v>0</v>
      </c>
      <c r="E72">
        <v>56</v>
      </c>
      <c r="F72" t="s">
        <v>29</v>
      </c>
      <c r="G72" t="s">
        <v>28</v>
      </c>
      <c r="H72">
        <v>9</v>
      </c>
      <c r="I72">
        <v>0</v>
      </c>
    </row>
    <row r="73" spans="1:9" x14ac:dyDescent="0.3">
      <c r="A73">
        <v>2</v>
      </c>
      <c r="B73">
        <v>1</v>
      </c>
      <c r="C73" t="s">
        <v>1</v>
      </c>
      <c r="D73" t="s">
        <v>0</v>
      </c>
      <c r="E73">
        <v>44</v>
      </c>
      <c r="F73" t="s">
        <v>29</v>
      </c>
      <c r="G73" t="s">
        <v>28</v>
      </c>
      <c r="H73">
        <v>15</v>
      </c>
      <c r="I73">
        <v>0</v>
      </c>
    </row>
    <row r="74" spans="1:9" x14ac:dyDescent="0.3">
      <c r="A74">
        <v>2</v>
      </c>
      <c r="B74">
        <v>1</v>
      </c>
      <c r="C74" t="s">
        <v>1</v>
      </c>
      <c r="D74" t="s">
        <v>0</v>
      </c>
      <c r="E74">
        <v>60</v>
      </c>
      <c r="F74" t="s">
        <v>29</v>
      </c>
      <c r="G74" t="s">
        <v>28</v>
      </c>
      <c r="H74">
        <v>14</v>
      </c>
      <c r="I74">
        <v>0</v>
      </c>
    </row>
    <row r="75" spans="1:9" x14ac:dyDescent="0.3">
      <c r="A75">
        <v>2</v>
      </c>
      <c r="B75">
        <v>1</v>
      </c>
      <c r="C75" t="s">
        <v>1</v>
      </c>
      <c r="D75" t="s">
        <v>0</v>
      </c>
      <c r="E75">
        <v>25</v>
      </c>
      <c r="F75" t="s">
        <v>29</v>
      </c>
      <c r="G75" t="s">
        <v>28</v>
      </c>
      <c r="H75">
        <v>18</v>
      </c>
      <c r="I75">
        <v>0</v>
      </c>
    </row>
    <row r="76" spans="1:9" x14ac:dyDescent="0.3">
      <c r="A76">
        <v>2</v>
      </c>
      <c r="B76">
        <v>1</v>
      </c>
      <c r="C76" t="s">
        <v>1</v>
      </c>
      <c r="D76" t="s">
        <v>0</v>
      </c>
      <c r="E76">
        <v>23</v>
      </c>
      <c r="F76" t="s">
        <v>29</v>
      </c>
      <c r="G76" t="s">
        <v>28</v>
      </c>
      <c r="H76">
        <v>12</v>
      </c>
      <c r="I76">
        <v>0</v>
      </c>
    </row>
    <row r="77" spans="1:9" x14ac:dyDescent="0.3">
      <c r="A77">
        <v>2</v>
      </c>
      <c r="B77">
        <v>1</v>
      </c>
      <c r="C77" t="s">
        <v>1</v>
      </c>
      <c r="D77" t="s">
        <v>0</v>
      </c>
      <c r="E77">
        <v>49</v>
      </c>
      <c r="F77" t="s">
        <v>29</v>
      </c>
      <c r="G77" t="s">
        <v>28</v>
      </c>
      <c r="H77">
        <v>14</v>
      </c>
      <c r="I77">
        <v>0</v>
      </c>
    </row>
    <row r="78" spans="1:9" x14ac:dyDescent="0.3">
      <c r="A78">
        <v>2</v>
      </c>
      <c r="B78">
        <v>1</v>
      </c>
      <c r="C78" t="s">
        <v>1</v>
      </c>
      <c r="D78" t="s">
        <v>0</v>
      </c>
      <c r="E78">
        <v>25</v>
      </c>
      <c r="F78" t="s">
        <v>29</v>
      </c>
      <c r="G78" t="s">
        <v>28</v>
      </c>
      <c r="H78">
        <v>11</v>
      </c>
      <c r="I78">
        <v>0</v>
      </c>
    </row>
    <row r="79" spans="1:9" x14ac:dyDescent="0.3">
      <c r="A79">
        <v>2</v>
      </c>
      <c r="B79">
        <v>1</v>
      </c>
      <c r="C79" t="s">
        <v>1</v>
      </c>
      <c r="D79" t="s">
        <v>0</v>
      </c>
      <c r="E79">
        <v>47</v>
      </c>
      <c r="F79" t="s">
        <v>29</v>
      </c>
      <c r="G79" t="s">
        <v>28</v>
      </c>
      <c r="H79">
        <v>37</v>
      </c>
      <c r="I79">
        <v>0</v>
      </c>
    </row>
    <row r="80" spans="1:9" x14ac:dyDescent="0.3">
      <c r="A80">
        <v>2</v>
      </c>
      <c r="B80">
        <v>1</v>
      </c>
      <c r="C80" t="s">
        <v>1</v>
      </c>
      <c r="D80" t="s">
        <v>0</v>
      </c>
      <c r="E80">
        <v>40</v>
      </c>
      <c r="F80" t="s">
        <v>29</v>
      </c>
      <c r="G80" t="s">
        <v>28</v>
      </c>
      <c r="H80">
        <v>31</v>
      </c>
      <c r="I80">
        <v>0</v>
      </c>
    </row>
    <row r="81" spans="1:9" x14ac:dyDescent="0.3">
      <c r="A81">
        <v>2</v>
      </c>
      <c r="B81">
        <v>1</v>
      </c>
      <c r="C81" t="s">
        <v>1</v>
      </c>
      <c r="D81" t="s">
        <v>0</v>
      </c>
      <c r="E81">
        <v>59</v>
      </c>
      <c r="F81" t="s">
        <v>29</v>
      </c>
      <c r="G81" t="s">
        <v>28</v>
      </c>
      <c r="H81">
        <v>11</v>
      </c>
      <c r="I81">
        <v>0</v>
      </c>
    </row>
    <row r="82" spans="1:9" x14ac:dyDescent="0.3">
      <c r="A82">
        <v>2</v>
      </c>
      <c r="B82">
        <v>1</v>
      </c>
      <c r="C82" t="s">
        <v>1</v>
      </c>
      <c r="D82" t="s">
        <v>0</v>
      </c>
      <c r="E82">
        <v>21</v>
      </c>
      <c r="F82" t="s">
        <v>29</v>
      </c>
      <c r="G82" t="s">
        <v>28</v>
      </c>
      <c r="H82">
        <v>30</v>
      </c>
      <c r="I82">
        <v>1</v>
      </c>
    </row>
    <row r="83" spans="1:9" x14ac:dyDescent="0.3">
      <c r="A83">
        <v>2</v>
      </c>
      <c r="B83">
        <v>1</v>
      </c>
      <c r="C83" t="s">
        <v>1</v>
      </c>
      <c r="D83" t="s">
        <v>0</v>
      </c>
      <c r="E83">
        <v>11</v>
      </c>
      <c r="F83" t="s">
        <v>29</v>
      </c>
      <c r="G83" t="s">
        <v>28</v>
      </c>
      <c r="H83">
        <v>11</v>
      </c>
      <c r="I83">
        <v>0</v>
      </c>
    </row>
    <row r="84" spans="1:9" x14ac:dyDescent="0.3">
      <c r="A84">
        <v>2</v>
      </c>
      <c r="B84">
        <v>1</v>
      </c>
      <c r="C84" t="s">
        <v>1</v>
      </c>
      <c r="D84" t="s">
        <v>0</v>
      </c>
      <c r="E84">
        <v>43</v>
      </c>
      <c r="F84" t="s">
        <v>29</v>
      </c>
      <c r="G84" t="s">
        <v>28</v>
      </c>
      <c r="H84">
        <v>22</v>
      </c>
      <c r="I84">
        <v>0</v>
      </c>
    </row>
    <row r="85" spans="1:9" x14ac:dyDescent="0.3">
      <c r="A85">
        <v>2</v>
      </c>
      <c r="B85">
        <v>1</v>
      </c>
      <c r="C85" t="s">
        <v>1</v>
      </c>
      <c r="D85" t="s">
        <v>0</v>
      </c>
      <c r="E85">
        <v>65</v>
      </c>
      <c r="F85" t="s">
        <v>29</v>
      </c>
      <c r="G85" t="s">
        <v>28</v>
      </c>
      <c r="H85">
        <v>2</v>
      </c>
      <c r="I85">
        <v>0</v>
      </c>
    </row>
    <row r="86" spans="1:9" x14ac:dyDescent="0.3">
      <c r="A86">
        <v>2</v>
      </c>
      <c r="B86">
        <v>1</v>
      </c>
      <c r="C86" t="s">
        <v>1</v>
      </c>
      <c r="D86" t="s">
        <v>0</v>
      </c>
      <c r="E86">
        <v>36</v>
      </c>
      <c r="F86" t="s">
        <v>29</v>
      </c>
      <c r="G86" t="s">
        <v>28</v>
      </c>
      <c r="H86">
        <v>14</v>
      </c>
      <c r="I86">
        <v>0</v>
      </c>
    </row>
    <row r="87" spans="1:9" x14ac:dyDescent="0.3">
      <c r="A87">
        <v>2</v>
      </c>
      <c r="B87">
        <v>1</v>
      </c>
      <c r="C87" t="s">
        <v>1</v>
      </c>
      <c r="D87" t="s">
        <v>0</v>
      </c>
      <c r="E87">
        <v>23</v>
      </c>
      <c r="F87" t="s">
        <v>29</v>
      </c>
      <c r="G87" t="s">
        <v>28</v>
      </c>
      <c r="H87">
        <v>0</v>
      </c>
      <c r="I87">
        <v>0</v>
      </c>
    </row>
    <row r="88" spans="1:9" x14ac:dyDescent="0.3">
      <c r="A88">
        <v>2</v>
      </c>
      <c r="B88">
        <v>1</v>
      </c>
      <c r="C88" t="s">
        <v>1</v>
      </c>
      <c r="D88" t="s">
        <v>0</v>
      </c>
      <c r="E88">
        <v>16</v>
      </c>
      <c r="F88" t="s">
        <v>29</v>
      </c>
      <c r="G88" t="s">
        <v>28</v>
      </c>
      <c r="H88">
        <v>7</v>
      </c>
      <c r="I88">
        <v>0</v>
      </c>
    </row>
    <row r="89" spans="1:9" x14ac:dyDescent="0.3">
      <c r="A89">
        <v>2</v>
      </c>
      <c r="B89">
        <v>1</v>
      </c>
      <c r="C89" t="s">
        <v>1</v>
      </c>
      <c r="D89" t="s">
        <v>0</v>
      </c>
      <c r="E89">
        <v>35</v>
      </c>
      <c r="F89" t="s">
        <v>29</v>
      </c>
      <c r="G89" t="s">
        <v>28</v>
      </c>
      <c r="H89">
        <v>13</v>
      </c>
      <c r="I89">
        <v>0</v>
      </c>
    </row>
    <row r="90" spans="1:9" x14ac:dyDescent="0.3">
      <c r="A90">
        <v>2</v>
      </c>
      <c r="B90">
        <v>1</v>
      </c>
      <c r="C90" t="s">
        <v>1</v>
      </c>
      <c r="D90" t="s">
        <v>0</v>
      </c>
      <c r="E90">
        <v>44</v>
      </c>
      <c r="F90" t="s">
        <v>29</v>
      </c>
      <c r="G90" t="s">
        <v>28</v>
      </c>
      <c r="H90">
        <v>0</v>
      </c>
      <c r="I90">
        <v>0</v>
      </c>
    </row>
    <row r="91" spans="1:9" x14ac:dyDescent="0.3">
      <c r="A91">
        <v>2</v>
      </c>
      <c r="B91">
        <v>1</v>
      </c>
      <c r="C91" t="s">
        <v>1</v>
      </c>
      <c r="D91" t="s">
        <v>0</v>
      </c>
      <c r="E91">
        <v>24</v>
      </c>
      <c r="F91" t="s">
        <v>29</v>
      </c>
      <c r="G91" t="s">
        <v>28</v>
      </c>
      <c r="H91">
        <v>17</v>
      </c>
      <c r="I91">
        <v>0</v>
      </c>
    </row>
    <row r="92" spans="1:9" x14ac:dyDescent="0.3">
      <c r="A92">
        <v>2</v>
      </c>
      <c r="B92">
        <v>1</v>
      </c>
      <c r="C92" t="s">
        <v>1</v>
      </c>
      <c r="D92" t="s">
        <v>0</v>
      </c>
      <c r="E92">
        <v>32</v>
      </c>
      <c r="F92" t="s">
        <v>29</v>
      </c>
      <c r="G92" t="s">
        <v>28</v>
      </c>
      <c r="H92">
        <v>14</v>
      </c>
      <c r="I92">
        <v>0</v>
      </c>
    </row>
    <row r="93" spans="1:9" x14ac:dyDescent="0.3">
      <c r="A93">
        <v>2</v>
      </c>
      <c r="B93">
        <v>1</v>
      </c>
      <c r="C93" t="s">
        <v>1</v>
      </c>
      <c r="D93" t="s">
        <v>0</v>
      </c>
      <c r="E93">
        <v>64</v>
      </c>
      <c r="F93" t="s">
        <v>29</v>
      </c>
      <c r="G93" t="s">
        <v>28</v>
      </c>
      <c r="H93">
        <v>21</v>
      </c>
      <c r="I93">
        <v>0</v>
      </c>
    </row>
    <row r="94" spans="1:9" x14ac:dyDescent="0.3">
      <c r="A94">
        <v>2</v>
      </c>
      <c r="B94">
        <v>1</v>
      </c>
      <c r="C94" t="s">
        <v>1</v>
      </c>
      <c r="D94" t="s">
        <v>0</v>
      </c>
      <c r="E94">
        <v>60</v>
      </c>
      <c r="F94" t="s">
        <v>29</v>
      </c>
      <c r="G94" t="s">
        <v>28</v>
      </c>
      <c r="H94">
        <v>31</v>
      </c>
      <c r="I94">
        <v>0</v>
      </c>
    </row>
    <row r="95" spans="1:9" x14ac:dyDescent="0.3">
      <c r="A95">
        <v>2</v>
      </c>
      <c r="B95">
        <v>1</v>
      </c>
      <c r="C95" t="s">
        <v>1</v>
      </c>
      <c r="D95" t="s">
        <v>0</v>
      </c>
      <c r="E95">
        <v>49</v>
      </c>
      <c r="F95" t="s">
        <v>29</v>
      </c>
      <c r="G95" t="s">
        <v>28</v>
      </c>
      <c r="H95">
        <v>0</v>
      </c>
      <c r="I95">
        <v>0</v>
      </c>
    </row>
    <row r="96" spans="1:9" x14ac:dyDescent="0.3">
      <c r="A96">
        <v>2</v>
      </c>
      <c r="B96">
        <v>1</v>
      </c>
      <c r="C96" t="s">
        <v>1</v>
      </c>
      <c r="D96" t="s">
        <v>0</v>
      </c>
      <c r="E96">
        <v>80</v>
      </c>
      <c r="F96" t="s">
        <v>29</v>
      </c>
      <c r="G96" t="s">
        <v>28</v>
      </c>
      <c r="H96">
        <v>28</v>
      </c>
      <c r="I96">
        <v>0</v>
      </c>
    </row>
    <row r="97" spans="1:9" x14ac:dyDescent="0.3">
      <c r="A97">
        <v>2</v>
      </c>
      <c r="B97">
        <v>1</v>
      </c>
      <c r="C97" t="s">
        <v>1</v>
      </c>
      <c r="D97" t="s">
        <v>0</v>
      </c>
      <c r="E97">
        <v>58</v>
      </c>
      <c r="F97" t="s">
        <v>29</v>
      </c>
      <c r="G97" t="s">
        <v>28</v>
      </c>
      <c r="H97">
        <v>28</v>
      </c>
      <c r="I97">
        <v>0</v>
      </c>
    </row>
    <row r="98" spans="1:9" x14ac:dyDescent="0.3">
      <c r="A98">
        <v>2</v>
      </c>
      <c r="B98">
        <v>1</v>
      </c>
      <c r="C98" t="s">
        <v>1</v>
      </c>
      <c r="D98" t="s">
        <v>0</v>
      </c>
      <c r="E98">
        <v>32</v>
      </c>
      <c r="F98" t="s">
        <v>29</v>
      </c>
      <c r="G98" t="s">
        <v>28</v>
      </c>
      <c r="H98">
        <v>7</v>
      </c>
      <c r="I98">
        <v>0</v>
      </c>
    </row>
    <row r="99" spans="1:9" x14ac:dyDescent="0.3">
      <c r="A99">
        <v>2</v>
      </c>
      <c r="B99">
        <v>1</v>
      </c>
      <c r="C99" t="s">
        <v>1</v>
      </c>
      <c r="D99" t="s">
        <v>0</v>
      </c>
      <c r="E99">
        <v>83</v>
      </c>
      <c r="F99" t="s">
        <v>29</v>
      </c>
      <c r="G99" t="s">
        <v>28</v>
      </c>
      <c r="H99">
        <v>11</v>
      </c>
      <c r="I99">
        <v>0</v>
      </c>
    </row>
    <row r="100" spans="1:9" x14ac:dyDescent="0.3">
      <c r="A100">
        <v>2</v>
      </c>
      <c r="B100">
        <v>1</v>
      </c>
      <c r="C100" t="s">
        <v>1</v>
      </c>
      <c r="D100" t="s">
        <v>0</v>
      </c>
      <c r="E100">
        <v>25</v>
      </c>
      <c r="F100" t="s">
        <v>29</v>
      </c>
      <c r="G100" t="s">
        <v>28</v>
      </c>
      <c r="H100">
        <v>7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7C74F-591D-464F-9829-8C444346E70A}">
  <dimension ref="A1:T100"/>
  <sheetViews>
    <sheetView topLeftCell="J1" workbookViewId="0">
      <selection activeCell="Q21" sqref="Q21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16</v>
      </c>
      <c r="D1" t="s">
        <v>17</v>
      </c>
      <c r="E1">
        <v>14</v>
      </c>
      <c r="F1" t="s">
        <v>19</v>
      </c>
      <c r="G1" t="s">
        <v>18</v>
      </c>
      <c r="H1">
        <v>35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16</v>
      </c>
      <c r="D2" t="s">
        <v>17</v>
      </c>
      <c r="E2">
        <v>37</v>
      </c>
      <c r="F2" t="s">
        <v>19</v>
      </c>
      <c r="G2" t="s">
        <v>18</v>
      </c>
      <c r="H2">
        <v>61</v>
      </c>
      <c r="I2">
        <v>1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16</v>
      </c>
      <c r="D3" t="s">
        <v>17</v>
      </c>
      <c r="E3">
        <v>3</v>
      </c>
      <c r="F3" t="s">
        <v>19</v>
      </c>
      <c r="G3" t="s">
        <v>18</v>
      </c>
      <c r="H3">
        <v>44</v>
      </c>
      <c r="I3">
        <v>1</v>
      </c>
      <c r="K3" s="8" t="s">
        <v>11</v>
      </c>
      <c r="L3" s="8"/>
      <c r="M3" s="10">
        <f>COUNTIF($I$1:$I$100, 0)</f>
        <v>5</v>
      </c>
      <c r="N3" s="10"/>
      <c r="O3" s="10">
        <f>COUNTIFS($I$1:$I$100, 0, $B$1:$B$100, 0)</f>
        <v>2</v>
      </c>
      <c r="P3" s="10"/>
      <c r="Q3" s="11">
        <f>COUNTIFS($I$1:$I$100, 0, $B$1:$B$100, 1)</f>
        <v>3</v>
      </c>
      <c r="R3" s="12"/>
      <c r="T3" cm="1">
        <f t="array" ref="T3">SUMPRODUCT(--($E$1:$E$100=$H$1:$H$100))</f>
        <v>1</v>
      </c>
    </row>
    <row r="4" spans="1:20" x14ac:dyDescent="0.3">
      <c r="A4">
        <v>2</v>
      </c>
      <c r="B4">
        <v>0</v>
      </c>
      <c r="C4" t="s">
        <v>16</v>
      </c>
      <c r="D4" t="s">
        <v>17</v>
      </c>
      <c r="E4">
        <v>16</v>
      </c>
      <c r="F4" t="s">
        <v>19</v>
      </c>
      <c r="G4" t="s">
        <v>18</v>
      </c>
      <c r="H4">
        <v>39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16</v>
      </c>
      <c r="D5" t="s">
        <v>17</v>
      </c>
      <c r="E5">
        <v>49</v>
      </c>
      <c r="F5" t="s">
        <v>19</v>
      </c>
      <c r="G5" t="s">
        <v>18</v>
      </c>
      <c r="H5">
        <v>62</v>
      </c>
      <c r="I5">
        <v>1</v>
      </c>
      <c r="K5" s="8" t="s">
        <v>10</v>
      </c>
      <c r="L5" s="8"/>
      <c r="M5" s="14">
        <f>COUNTIF($I$1:$I$100, 1)</f>
        <v>95</v>
      </c>
      <c r="N5" s="10"/>
      <c r="O5" s="10">
        <f>COUNTIFS($I$1:$I$100, 1, $B$1:$B$100, 0)</f>
        <v>48</v>
      </c>
      <c r="P5" s="10"/>
      <c r="Q5" s="10">
        <f>COUNTIFS($I$1:$I$100, 1, $B$1:$B$100, 1)</f>
        <v>47</v>
      </c>
      <c r="R5" s="13"/>
    </row>
    <row r="6" spans="1:20" x14ac:dyDescent="0.3">
      <c r="A6">
        <v>2</v>
      </c>
      <c r="B6">
        <v>0</v>
      </c>
      <c r="C6" t="s">
        <v>16</v>
      </c>
      <c r="D6" t="s">
        <v>17</v>
      </c>
      <c r="E6">
        <v>2</v>
      </c>
      <c r="F6" t="s">
        <v>19</v>
      </c>
      <c r="G6" t="s">
        <v>18</v>
      </c>
      <c r="H6">
        <v>62</v>
      </c>
      <c r="I6">
        <v>1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16</v>
      </c>
      <c r="D7" t="s">
        <v>17</v>
      </c>
      <c r="E7">
        <v>8</v>
      </c>
      <c r="F7" t="s">
        <v>19</v>
      </c>
      <c r="G7" t="s">
        <v>18</v>
      </c>
      <c r="H7">
        <v>64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16</v>
      </c>
      <c r="D8" t="s">
        <v>17</v>
      </c>
      <c r="E8">
        <v>16</v>
      </c>
      <c r="F8" t="s">
        <v>19</v>
      </c>
      <c r="G8" t="s">
        <v>18</v>
      </c>
      <c r="H8">
        <v>57</v>
      </c>
      <c r="I8">
        <v>1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16</v>
      </c>
      <c r="D9" t="s">
        <v>17</v>
      </c>
      <c r="E9">
        <v>6</v>
      </c>
      <c r="F9" t="s">
        <v>19</v>
      </c>
      <c r="G9" t="s">
        <v>18</v>
      </c>
      <c r="H9">
        <v>54</v>
      </c>
      <c r="I9">
        <v>1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16</v>
      </c>
      <c r="D10" t="s">
        <v>17</v>
      </c>
      <c r="E10">
        <v>19</v>
      </c>
      <c r="F10" t="s">
        <v>19</v>
      </c>
      <c r="G10" t="s">
        <v>18</v>
      </c>
      <c r="H10">
        <v>41</v>
      </c>
      <c r="I10">
        <v>1</v>
      </c>
      <c r="K10" s="8" t="s">
        <v>6</v>
      </c>
      <c r="L10" s="8"/>
      <c r="M10" s="10">
        <f>AVERAGE($E$1:$E$100,)</f>
        <v>16.841584158415841</v>
      </c>
      <c r="N10" s="10"/>
      <c r="O10" s="10" cm="1">
        <f t="array" ref="O10">AVERAGE(_xlfn._xlws.FILTER($E$1:$E$100,$I$1:$I$100 = 0))</f>
        <v>37.4</v>
      </c>
      <c r="P10" s="10"/>
      <c r="Q10" s="11" cm="1">
        <f t="array" ref="Q10">AVERAGE(_xlfn._xlws.FILTER($E$1:$E$100,$I$1:$I$100 = 1))</f>
        <v>15.936842105263159</v>
      </c>
      <c r="R10" s="12"/>
    </row>
    <row r="11" spans="1:20" x14ac:dyDescent="0.3">
      <c r="A11">
        <v>2</v>
      </c>
      <c r="B11">
        <v>0</v>
      </c>
      <c r="C11" t="s">
        <v>16</v>
      </c>
      <c r="D11" t="s">
        <v>17</v>
      </c>
      <c r="E11">
        <v>21</v>
      </c>
      <c r="F11" t="s">
        <v>19</v>
      </c>
      <c r="G11" t="s">
        <v>18</v>
      </c>
      <c r="H11">
        <v>55</v>
      </c>
      <c r="I11">
        <v>1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16</v>
      </c>
      <c r="D12" t="s">
        <v>17</v>
      </c>
      <c r="E12">
        <v>8</v>
      </c>
      <c r="F12" t="s">
        <v>19</v>
      </c>
      <c r="G12" t="s">
        <v>18</v>
      </c>
      <c r="H12">
        <v>52</v>
      </c>
      <c r="I12">
        <v>1</v>
      </c>
      <c r="K12" s="8" t="s">
        <v>5</v>
      </c>
      <c r="L12" s="8"/>
      <c r="M12" s="10">
        <f>AVERAGE($H$1:$H$100,)</f>
        <v>53.762376237623762</v>
      </c>
      <c r="N12" s="10"/>
      <c r="O12" s="10" cm="1">
        <f t="array" ref="O12">AVERAGE(_xlfn._xlws.FILTER($H$1:$H$100,$I$1:$I$100 = 0))</f>
        <v>28.6</v>
      </c>
      <c r="P12" s="10"/>
      <c r="Q12" s="10" cm="1">
        <f t="array" ref="Q12">AVERAGE(_xlfn._xlws.FILTER($H$1:$H$100,$I$1:$I$100 = 1))</f>
        <v>55.652631578947371</v>
      </c>
      <c r="R12" s="13"/>
    </row>
    <row r="13" spans="1:20" x14ac:dyDescent="0.3">
      <c r="A13">
        <v>2</v>
      </c>
      <c r="B13">
        <v>0</v>
      </c>
      <c r="C13" t="s">
        <v>16</v>
      </c>
      <c r="D13" t="s">
        <v>17</v>
      </c>
      <c r="E13">
        <v>20</v>
      </c>
      <c r="F13" t="s">
        <v>19</v>
      </c>
      <c r="G13" t="s">
        <v>18</v>
      </c>
      <c r="H13">
        <v>24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16</v>
      </c>
      <c r="D14" t="s">
        <v>17</v>
      </c>
      <c r="E14">
        <v>12</v>
      </c>
      <c r="F14" t="s">
        <v>19</v>
      </c>
      <c r="G14" t="s">
        <v>18</v>
      </c>
      <c r="H14">
        <v>57</v>
      </c>
      <c r="I14">
        <v>1</v>
      </c>
      <c r="K14" s="19" t="s">
        <v>4</v>
      </c>
      <c r="L14" s="12"/>
      <c r="M14" s="20" cm="1">
        <f t="array" ref="M14">AVERAGE($E$1:$E$100 - $H$1:$H$100)</f>
        <v>-37.29</v>
      </c>
      <c r="N14" s="20"/>
      <c r="O14" s="20" cm="1">
        <f t="array" ref="O14">AVERAGE(_xlfn._xlws.FILTER($E$1:$E$100 - $H$1:$H$100, I$1:I$100 = 0))</f>
        <v>8.8000000000000007</v>
      </c>
      <c r="P14" s="20"/>
      <c r="Q14" s="20" cm="1">
        <f t="array" ref="Q14">AVERAGE(_xlfn._xlws.FILTER($E$1:$E$100 - $H$1:$H$100, I$1:I$100 = 1))</f>
        <v>-39.715789473684211</v>
      </c>
      <c r="R14" s="22"/>
    </row>
    <row r="15" spans="1:20" x14ac:dyDescent="0.3">
      <c r="A15">
        <v>2</v>
      </c>
      <c r="B15">
        <v>0</v>
      </c>
      <c r="C15" t="s">
        <v>16</v>
      </c>
      <c r="D15" t="s">
        <v>17</v>
      </c>
      <c r="E15">
        <v>2</v>
      </c>
      <c r="F15" t="s">
        <v>19</v>
      </c>
      <c r="G15" t="s">
        <v>18</v>
      </c>
      <c r="H15">
        <v>71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16</v>
      </c>
      <c r="D16" t="s">
        <v>17</v>
      </c>
      <c r="E16">
        <v>6</v>
      </c>
      <c r="F16" t="s">
        <v>19</v>
      </c>
      <c r="G16" t="s">
        <v>18</v>
      </c>
      <c r="H16">
        <v>48</v>
      </c>
      <c r="I16">
        <v>1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16</v>
      </c>
      <c r="D17" t="s">
        <v>17</v>
      </c>
      <c r="E17">
        <v>18</v>
      </c>
      <c r="F17" t="s">
        <v>19</v>
      </c>
      <c r="G17" t="s">
        <v>18</v>
      </c>
      <c r="H17">
        <v>79</v>
      </c>
      <c r="I17">
        <v>1</v>
      </c>
    </row>
    <row r="18" spans="1:9" x14ac:dyDescent="0.3">
      <c r="A18">
        <v>2</v>
      </c>
      <c r="B18">
        <v>0</v>
      </c>
      <c r="C18" t="s">
        <v>16</v>
      </c>
      <c r="D18" t="s">
        <v>17</v>
      </c>
      <c r="E18">
        <v>29</v>
      </c>
      <c r="F18" t="s">
        <v>19</v>
      </c>
      <c r="G18" t="s">
        <v>18</v>
      </c>
      <c r="H18">
        <v>56</v>
      </c>
      <c r="I18">
        <v>1</v>
      </c>
    </row>
    <row r="19" spans="1:9" x14ac:dyDescent="0.3">
      <c r="A19">
        <v>2</v>
      </c>
      <c r="B19">
        <v>0</v>
      </c>
      <c r="C19" t="s">
        <v>16</v>
      </c>
      <c r="D19" t="s">
        <v>17</v>
      </c>
      <c r="E19">
        <v>14</v>
      </c>
      <c r="F19" t="s">
        <v>19</v>
      </c>
      <c r="G19" t="s">
        <v>18</v>
      </c>
      <c r="H19">
        <v>43</v>
      </c>
      <c r="I19">
        <v>1</v>
      </c>
    </row>
    <row r="20" spans="1:9" x14ac:dyDescent="0.3">
      <c r="A20">
        <v>2</v>
      </c>
      <c r="B20">
        <v>0</v>
      </c>
      <c r="C20" t="s">
        <v>16</v>
      </c>
      <c r="D20" t="s">
        <v>17</v>
      </c>
      <c r="E20">
        <v>2</v>
      </c>
      <c r="F20" t="s">
        <v>19</v>
      </c>
      <c r="G20" t="s">
        <v>18</v>
      </c>
      <c r="H20">
        <v>46</v>
      </c>
      <c r="I20">
        <v>1</v>
      </c>
    </row>
    <row r="21" spans="1:9" x14ac:dyDescent="0.3">
      <c r="A21">
        <v>2</v>
      </c>
      <c r="B21">
        <v>0</v>
      </c>
      <c r="C21" t="s">
        <v>16</v>
      </c>
      <c r="D21" t="s">
        <v>17</v>
      </c>
      <c r="E21">
        <v>0</v>
      </c>
      <c r="F21" t="s">
        <v>19</v>
      </c>
      <c r="G21" t="s">
        <v>18</v>
      </c>
      <c r="H21">
        <v>35</v>
      </c>
      <c r="I21">
        <v>1</v>
      </c>
    </row>
    <row r="22" spans="1:9" x14ac:dyDescent="0.3">
      <c r="A22">
        <v>2</v>
      </c>
      <c r="B22">
        <v>0</v>
      </c>
      <c r="C22" t="s">
        <v>16</v>
      </c>
      <c r="D22" t="s">
        <v>17</v>
      </c>
      <c r="E22">
        <v>6</v>
      </c>
      <c r="F22" t="s">
        <v>19</v>
      </c>
      <c r="G22" t="s">
        <v>18</v>
      </c>
      <c r="H22">
        <v>60</v>
      </c>
      <c r="I22">
        <v>1</v>
      </c>
    </row>
    <row r="23" spans="1:9" x14ac:dyDescent="0.3">
      <c r="A23">
        <v>2</v>
      </c>
      <c r="B23">
        <v>0</v>
      </c>
      <c r="C23" t="s">
        <v>16</v>
      </c>
      <c r="D23" t="s">
        <v>17</v>
      </c>
      <c r="E23">
        <v>0</v>
      </c>
      <c r="F23" t="s">
        <v>19</v>
      </c>
      <c r="G23" t="s">
        <v>18</v>
      </c>
      <c r="H23">
        <v>38</v>
      </c>
      <c r="I23">
        <v>1</v>
      </c>
    </row>
    <row r="24" spans="1:9" x14ac:dyDescent="0.3">
      <c r="A24">
        <v>2</v>
      </c>
      <c r="B24">
        <v>0</v>
      </c>
      <c r="C24" t="s">
        <v>16</v>
      </c>
      <c r="D24" t="s">
        <v>17</v>
      </c>
      <c r="E24">
        <v>13</v>
      </c>
      <c r="F24" t="s">
        <v>19</v>
      </c>
      <c r="G24" t="s">
        <v>18</v>
      </c>
      <c r="H24">
        <v>47</v>
      </c>
      <c r="I24">
        <v>1</v>
      </c>
    </row>
    <row r="25" spans="1:9" x14ac:dyDescent="0.3">
      <c r="A25">
        <v>2</v>
      </c>
      <c r="B25">
        <v>0</v>
      </c>
      <c r="C25" t="s">
        <v>16</v>
      </c>
      <c r="D25" t="s">
        <v>17</v>
      </c>
      <c r="E25">
        <v>20</v>
      </c>
      <c r="F25" t="s">
        <v>19</v>
      </c>
      <c r="G25" t="s">
        <v>18</v>
      </c>
      <c r="H25">
        <v>20</v>
      </c>
      <c r="I25">
        <v>0</v>
      </c>
    </row>
    <row r="26" spans="1:9" x14ac:dyDescent="0.3">
      <c r="A26">
        <v>2</v>
      </c>
      <c r="B26">
        <v>0</v>
      </c>
      <c r="C26" t="s">
        <v>16</v>
      </c>
      <c r="D26" t="s">
        <v>17</v>
      </c>
      <c r="E26">
        <v>0</v>
      </c>
      <c r="F26" t="s">
        <v>19</v>
      </c>
      <c r="G26" t="s">
        <v>18</v>
      </c>
      <c r="H26">
        <v>34</v>
      </c>
      <c r="I26">
        <v>1</v>
      </c>
    </row>
    <row r="27" spans="1:9" x14ac:dyDescent="0.3">
      <c r="A27">
        <v>2</v>
      </c>
      <c r="B27">
        <v>0</v>
      </c>
      <c r="C27" t="s">
        <v>16</v>
      </c>
      <c r="D27" t="s">
        <v>17</v>
      </c>
      <c r="E27">
        <v>28</v>
      </c>
      <c r="F27" t="s">
        <v>19</v>
      </c>
      <c r="G27" t="s">
        <v>18</v>
      </c>
      <c r="H27">
        <v>91</v>
      </c>
      <c r="I27">
        <v>1</v>
      </c>
    </row>
    <row r="28" spans="1:9" x14ac:dyDescent="0.3">
      <c r="A28">
        <v>2</v>
      </c>
      <c r="B28">
        <v>0</v>
      </c>
      <c r="C28" t="s">
        <v>16</v>
      </c>
      <c r="D28" t="s">
        <v>17</v>
      </c>
      <c r="E28">
        <v>21</v>
      </c>
      <c r="F28" t="s">
        <v>19</v>
      </c>
      <c r="G28" t="s">
        <v>18</v>
      </c>
      <c r="H28">
        <v>49</v>
      </c>
      <c r="I28">
        <v>1</v>
      </c>
    </row>
    <row r="29" spans="1:9" x14ac:dyDescent="0.3">
      <c r="A29">
        <v>2</v>
      </c>
      <c r="B29">
        <v>0</v>
      </c>
      <c r="C29" t="s">
        <v>16</v>
      </c>
      <c r="D29" t="s">
        <v>17</v>
      </c>
      <c r="E29">
        <v>29</v>
      </c>
      <c r="F29" t="s">
        <v>19</v>
      </c>
      <c r="G29" t="s">
        <v>18</v>
      </c>
      <c r="H29">
        <v>31</v>
      </c>
      <c r="I29">
        <v>1</v>
      </c>
    </row>
    <row r="30" spans="1:9" x14ac:dyDescent="0.3">
      <c r="A30">
        <v>2</v>
      </c>
      <c r="B30">
        <v>0</v>
      </c>
      <c r="C30" t="s">
        <v>16</v>
      </c>
      <c r="D30" t="s">
        <v>17</v>
      </c>
      <c r="E30">
        <v>2</v>
      </c>
      <c r="F30" t="s">
        <v>19</v>
      </c>
      <c r="G30" t="s">
        <v>18</v>
      </c>
      <c r="H30">
        <v>37</v>
      </c>
      <c r="I30">
        <v>1</v>
      </c>
    </row>
    <row r="31" spans="1:9" x14ac:dyDescent="0.3">
      <c r="A31">
        <v>2</v>
      </c>
      <c r="B31">
        <v>0</v>
      </c>
      <c r="C31" t="s">
        <v>16</v>
      </c>
      <c r="D31" t="s">
        <v>17</v>
      </c>
      <c r="E31">
        <v>36</v>
      </c>
      <c r="F31" t="s">
        <v>19</v>
      </c>
      <c r="G31" t="s">
        <v>18</v>
      </c>
      <c r="H31">
        <v>34</v>
      </c>
      <c r="I31">
        <v>0</v>
      </c>
    </row>
    <row r="32" spans="1:9" x14ac:dyDescent="0.3">
      <c r="A32">
        <v>2</v>
      </c>
      <c r="B32">
        <v>0</v>
      </c>
      <c r="C32" t="s">
        <v>16</v>
      </c>
      <c r="D32" t="s">
        <v>17</v>
      </c>
      <c r="E32">
        <v>44</v>
      </c>
      <c r="F32" t="s">
        <v>19</v>
      </c>
      <c r="G32" t="s">
        <v>18</v>
      </c>
      <c r="H32">
        <v>69</v>
      </c>
      <c r="I32">
        <v>1</v>
      </c>
    </row>
    <row r="33" spans="1:9" x14ac:dyDescent="0.3">
      <c r="A33">
        <v>2</v>
      </c>
      <c r="B33">
        <v>0</v>
      </c>
      <c r="C33" t="s">
        <v>16</v>
      </c>
      <c r="D33" t="s">
        <v>17</v>
      </c>
      <c r="E33">
        <v>23</v>
      </c>
      <c r="F33" t="s">
        <v>19</v>
      </c>
      <c r="G33" t="s">
        <v>18</v>
      </c>
      <c r="H33">
        <v>91</v>
      </c>
      <c r="I33">
        <v>1</v>
      </c>
    </row>
    <row r="34" spans="1:9" x14ac:dyDescent="0.3">
      <c r="A34">
        <v>2</v>
      </c>
      <c r="B34">
        <v>0</v>
      </c>
      <c r="C34" t="s">
        <v>16</v>
      </c>
      <c r="D34" t="s">
        <v>17</v>
      </c>
      <c r="E34">
        <v>4</v>
      </c>
      <c r="F34" t="s">
        <v>19</v>
      </c>
      <c r="G34" t="s">
        <v>18</v>
      </c>
      <c r="H34">
        <v>64</v>
      </c>
      <c r="I34">
        <v>1</v>
      </c>
    </row>
    <row r="35" spans="1:9" x14ac:dyDescent="0.3">
      <c r="A35">
        <v>2</v>
      </c>
      <c r="B35">
        <v>0</v>
      </c>
      <c r="C35" t="s">
        <v>16</v>
      </c>
      <c r="D35" t="s">
        <v>17</v>
      </c>
      <c r="E35">
        <v>47</v>
      </c>
      <c r="F35" t="s">
        <v>19</v>
      </c>
      <c r="G35" t="s">
        <v>18</v>
      </c>
      <c r="H35">
        <v>59</v>
      </c>
      <c r="I35">
        <v>1</v>
      </c>
    </row>
    <row r="36" spans="1:9" x14ac:dyDescent="0.3">
      <c r="A36">
        <v>2</v>
      </c>
      <c r="B36">
        <v>0</v>
      </c>
      <c r="C36" t="s">
        <v>16</v>
      </c>
      <c r="D36" t="s">
        <v>17</v>
      </c>
      <c r="E36">
        <v>19</v>
      </c>
      <c r="F36" t="s">
        <v>19</v>
      </c>
      <c r="G36" t="s">
        <v>18</v>
      </c>
      <c r="H36">
        <v>58</v>
      </c>
      <c r="I36">
        <v>1</v>
      </c>
    </row>
    <row r="37" spans="1:9" x14ac:dyDescent="0.3">
      <c r="A37">
        <v>2</v>
      </c>
      <c r="B37">
        <v>0</v>
      </c>
      <c r="C37" t="s">
        <v>16</v>
      </c>
      <c r="D37" t="s">
        <v>17</v>
      </c>
      <c r="E37">
        <v>9</v>
      </c>
      <c r="F37" t="s">
        <v>19</v>
      </c>
      <c r="G37" t="s">
        <v>18</v>
      </c>
      <c r="H37">
        <v>52</v>
      </c>
      <c r="I37">
        <v>1</v>
      </c>
    </row>
    <row r="38" spans="1:9" x14ac:dyDescent="0.3">
      <c r="A38">
        <v>2</v>
      </c>
      <c r="B38">
        <v>0</v>
      </c>
      <c r="C38" t="s">
        <v>16</v>
      </c>
      <c r="D38" t="s">
        <v>17</v>
      </c>
      <c r="E38">
        <v>22</v>
      </c>
      <c r="F38" t="s">
        <v>19</v>
      </c>
      <c r="G38" t="s">
        <v>18</v>
      </c>
      <c r="H38">
        <v>65</v>
      </c>
      <c r="I38">
        <v>1</v>
      </c>
    </row>
    <row r="39" spans="1:9" x14ac:dyDescent="0.3">
      <c r="A39">
        <v>2</v>
      </c>
      <c r="B39">
        <v>0</v>
      </c>
      <c r="C39" t="s">
        <v>16</v>
      </c>
      <c r="D39" t="s">
        <v>17</v>
      </c>
      <c r="E39">
        <v>0</v>
      </c>
      <c r="F39" t="s">
        <v>19</v>
      </c>
      <c r="G39" t="s">
        <v>18</v>
      </c>
      <c r="H39">
        <v>50</v>
      </c>
      <c r="I39">
        <v>1</v>
      </c>
    </row>
    <row r="40" spans="1:9" x14ac:dyDescent="0.3">
      <c r="A40">
        <v>2</v>
      </c>
      <c r="B40">
        <v>0</v>
      </c>
      <c r="C40" t="s">
        <v>16</v>
      </c>
      <c r="D40" t="s">
        <v>17</v>
      </c>
      <c r="E40">
        <v>14</v>
      </c>
      <c r="F40" t="s">
        <v>19</v>
      </c>
      <c r="G40" t="s">
        <v>18</v>
      </c>
      <c r="H40">
        <v>55</v>
      </c>
      <c r="I40">
        <v>1</v>
      </c>
    </row>
    <row r="41" spans="1:9" x14ac:dyDescent="0.3">
      <c r="A41">
        <v>2</v>
      </c>
      <c r="B41">
        <v>0</v>
      </c>
      <c r="C41" t="s">
        <v>16</v>
      </c>
      <c r="D41" t="s">
        <v>17</v>
      </c>
      <c r="E41">
        <v>0</v>
      </c>
      <c r="F41" t="s">
        <v>19</v>
      </c>
      <c r="G41" t="s">
        <v>18</v>
      </c>
      <c r="H41">
        <v>47</v>
      </c>
      <c r="I41">
        <v>1</v>
      </c>
    </row>
    <row r="42" spans="1:9" x14ac:dyDescent="0.3">
      <c r="A42">
        <v>2</v>
      </c>
      <c r="B42">
        <v>0</v>
      </c>
      <c r="C42" t="s">
        <v>16</v>
      </c>
      <c r="D42" t="s">
        <v>17</v>
      </c>
      <c r="E42">
        <v>31</v>
      </c>
      <c r="F42" t="s">
        <v>19</v>
      </c>
      <c r="G42" t="s">
        <v>18</v>
      </c>
      <c r="H42">
        <v>85</v>
      </c>
      <c r="I42">
        <v>1</v>
      </c>
    </row>
    <row r="43" spans="1:9" x14ac:dyDescent="0.3">
      <c r="A43">
        <v>2</v>
      </c>
      <c r="B43">
        <v>0</v>
      </c>
      <c r="C43" t="s">
        <v>16</v>
      </c>
      <c r="D43" t="s">
        <v>17</v>
      </c>
      <c r="E43">
        <v>16</v>
      </c>
      <c r="F43" t="s">
        <v>19</v>
      </c>
      <c r="G43" t="s">
        <v>18</v>
      </c>
      <c r="H43">
        <v>77</v>
      </c>
      <c r="I43">
        <v>1</v>
      </c>
    </row>
    <row r="44" spans="1:9" x14ac:dyDescent="0.3">
      <c r="A44">
        <v>2</v>
      </c>
      <c r="B44">
        <v>0</v>
      </c>
      <c r="C44" t="s">
        <v>16</v>
      </c>
      <c r="D44" t="s">
        <v>17</v>
      </c>
      <c r="E44">
        <v>0</v>
      </c>
      <c r="F44" t="s">
        <v>19</v>
      </c>
      <c r="G44" t="s">
        <v>18</v>
      </c>
      <c r="H44">
        <v>59</v>
      </c>
      <c r="I44">
        <v>1</v>
      </c>
    </row>
    <row r="45" spans="1:9" x14ac:dyDescent="0.3">
      <c r="A45">
        <v>2</v>
      </c>
      <c r="B45">
        <v>0</v>
      </c>
      <c r="C45" t="s">
        <v>16</v>
      </c>
      <c r="D45" t="s">
        <v>17</v>
      </c>
      <c r="E45">
        <v>13</v>
      </c>
      <c r="F45" t="s">
        <v>19</v>
      </c>
      <c r="G45" t="s">
        <v>18</v>
      </c>
      <c r="H45">
        <v>35</v>
      </c>
      <c r="I45">
        <v>1</v>
      </c>
    </row>
    <row r="46" spans="1:9" x14ac:dyDescent="0.3">
      <c r="A46">
        <v>2</v>
      </c>
      <c r="B46">
        <v>0</v>
      </c>
      <c r="C46" t="s">
        <v>16</v>
      </c>
      <c r="D46" t="s">
        <v>17</v>
      </c>
      <c r="E46">
        <v>0</v>
      </c>
      <c r="F46" t="s">
        <v>19</v>
      </c>
      <c r="G46" t="s">
        <v>18</v>
      </c>
      <c r="H46">
        <v>42</v>
      </c>
      <c r="I46">
        <v>1</v>
      </c>
    </row>
    <row r="47" spans="1:9" x14ac:dyDescent="0.3">
      <c r="A47">
        <v>2</v>
      </c>
      <c r="B47">
        <v>0</v>
      </c>
      <c r="C47" t="s">
        <v>16</v>
      </c>
      <c r="D47" t="s">
        <v>17</v>
      </c>
      <c r="E47">
        <v>0</v>
      </c>
      <c r="F47" t="s">
        <v>19</v>
      </c>
      <c r="G47" t="s">
        <v>18</v>
      </c>
      <c r="H47">
        <v>27</v>
      </c>
      <c r="I47">
        <v>1</v>
      </c>
    </row>
    <row r="48" spans="1:9" x14ac:dyDescent="0.3">
      <c r="A48">
        <v>2</v>
      </c>
      <c r="B48">
        <v>0</v>
      </c>
      <c r="C48" t="s">
        <v>16</v>
      </c>
      <c r="D48" t="s">
        <v>17</v>
      </c>
      <c r="E48">
        <v>28</v>
      </c>
      <c r="F48" t="s">
        <v>19</v>
      </c>
      <c r="G48" t="s">
        <v>18</v>
      </c>
      <c r="H48">
        <v>90</v>
      </c>
      <c r="I48">
        <v>1</v>
      </c>
    </row>
    <row r="49" spans="1:9" x14ac:dyDescent="0.3">
      <c r="A49">
        <v>2</v>
      </c>
      <c r="B49">
        <v>0</v>
      </c>
      <c r="C49" t="s">
        <v>16</v>
      </c>
      <c r="D49" t="s">
        <v>17</v>
      </c>
      <c r="E49">
        <v>16</v>
      </c>
      <c r="F49" t="s">
        <v>19</v>
      </c>
      <c r="G49" t="s">
        <v>18</v>
      </c>
      <c r="H49">
        <v>53</v>
      </c>
      <c r="I49">
        <v>1</v>
      </c>
    </row>
    <row r="50" spans="1:9" x14ac:dyDescent="0.3">
      <c r="A50">
        <v>2</v>
      </c>
      <c r="B50">
        <v>0</v>
      </c>
      <c r="C50" t="s">
        <v>16</v>
      </c>
      <c r="D50" t="s">
        <v>17</v>
      </c>
      <c r="E50">
        <v>19</v>
      </c>
      <c r="F50" t="s">
        <v>19</v>
      </c>
      <c r="G50" t="s">
        <v>18</v>
      </c>
      <c r="H50">
        <v>33</v>
      </c>
      <c r="I50">
        <v>1</v>
      </c>
    </row>
    <row r="51" spans="1:9" x14ac:dyDescent="0.3">
      <c r="A51">
        <v>2</v>
      </c>
      <c r="B51">
        <v>1</v>
      </c>
      <c r="C51" t="s">
        <v>16</v>
      </c>
      <c r="D51" t="s">
        <v>17</v>
      </c>
      <c r="E51">
        <v>17</v>
      </c>
      <c r="F51" t="s">
        <v>19</v>
      </c>
      <c r="G51" t="s">
        <v>18</v>
      </c>
      <c r="H51">
        <v>49</v>
      </c>
      <c r="I51">
        <v>1</v>
      </c>
    </row>
    <row r="52" spans="1:9" x14ac:dyDescent="0.3">
      <c r="A52">
        <v>2</v>
      </c>
      <c r="B52">
        <v>1</v>
      </c>
      <c r="C52" t="s">
        <v>16</v>
      </c>
      <c r="D52" t="s">
        <v>17</v>
      </c>
      <c r="E52">
        <v>23</v>
      </c>
      <c r="F52" t="s">
        <v>19</v>
      </c>
      <c r="G52" t="s">
        <v>18</v>
      </c>
      <c r="H52">
        <v>35</v>
      </c>
      <c r="I52">
        <v>1</v>
      </c>
    </row>
    <row r="53" spans="1:9" x14ac:dyDescent="0.3">
      <c r="A53">
        <v>2</v>
      </c>
      <c r="B53">
        <v>1</v>
      </c>
      <c r="C53" t="s">
        <v>16</v>
      </c>
      <c r="D53" t="s">
        <v>17</v>
      </c>
      <c r="E53">
        <v>24</v>
      </c>
      <c r="F53" t="s">
        <v>19</v>
      </c>
      <c r="G53" t="s">
        <v>18</v>
      </c>
      <c r="H53">
        <v>73</v>
      </c>
      <c r="I53">
        <v>1</v>
      </c>
    </row>
    <row r="54" spans="1:9" x14ac:dyDescent="0.3">
      <c r="A54">
        <v>2</v>
      </c>
      <c r="B54">
        <v>1</v>
      </c>
      <c r="C54" t="s">
        <v>16</v>
      </c>
      <c r="D54" t="s">
        <v>17</v>
      </c>
      <c r="E54">
        <v>20</v>
      </c>
      <c r="F54" t="s">
        <v>19</v>
      </c>
      <c r="G54" t="s">
        <v>18</v>
      </c>
      <c r="H54">
        <v>52</v>
      </c>
      <c r="I54">
        <v>1</v>
      </c>
    </row>
    <row r="55" spans="1:9" x14ac:dyDescent="0.3">
      <c r="A55">
        <v>2</v>
      </c>
      <c r="B55">
        <v>1</v>
      </c>
      <c r="C55" t="s">
        <v>16</v>
      </c>
      <c r="D55" t="s">
        <v>17</v>
      </c>
      <c r="E55">
        <v>0</v>
      </c>
      <c r="F55" t="s">
        <v>19</v>
      </c>
      <c r="G55" t="s">
        <v>18</v>
      </c>
      <c r="H55">
        <v>79</v>
      </c>
      <c r="I55">
        <v>1</v>
      </c>
    </row>
    <row r="56" spans="1:9" x14ac:dyDescent="0.3">
      <c r="A56">
        <v>2</v>
      </c>
      <c r="B56">
        <v>1</v>
      </c>
      <c r="C56" t="s">
        <v>16</v>
      </c>
      <c r="D56" t="s">
        <v>17</v>
      </c>
      <c r="E56">
        <v>4</v>
      </c>
      <c r="F56" t="s">
        <v>19</v>
      </c>
      <c r="G56" t="s">
        <v>18</v>
      </c>
      <c r="H56">
        <v>88</v>
      </c>
      <c r="I56">
        <v>1</v>
      </c>
    </row>
    <row r="57" spans="1:9" x14ac:dyDescent="0.3">
      <c r="A57">
        <v>2</v>
      </c>
      <c r="B57">
        <v>1</v>
      </c>
      <c r="C57" t="s">
        <v>16</v>
      </c>
      <c r="D57" t="s">
        <v>17</v>
      </c>
      <c r="E57">
        <v>5</v>
      </c>
      <c r="F57" t="s">
        <v>19</v>
      </c>
      <c r="G57" t="s">
        <v>18</v>
      </c>
      <c r="H57">
        <v>54</v>
      </c>
      <c r="I57">
        <v>1</v>
      </c>
    </row>
    <row r="58" spans="1:9" x14ac:dyDescent="0.3">
      <c r="A58">
        <v>2</v>
      </c>
      <c r="B58">
        <v>1</v>
      </c>
      <c r="C58" t="s">
        <v>16</v>
      </c>
      <c r="D58" t="s">
        <v>17</v>
      </c>
      <c r="E58">
        <v>16</v>
      </c>
      <c r="F58" t="s">
        <v>19</v>
      </c>
      <c r="G58" t="s">
        <v>18</v>
      </c>
      <c r="H58">
        <v>59</v>
      </c>
      <c r="I58">
        <v>1</v>
      </c>
    </row>
    <row r="59" spans="1:9" x14ac:dyDescent="0.3">
      <c r="A59">
        <v>2</v>
      </c>
      <c r="B59">
        <v>1</v>
      </c>
      <c r="C59" t="s">
        <v>16</v>
      </c>
      <c r="D59" t="s">
        <v>17</v>
      </c>
      <c r="E59">
        <v>35</v>
      </c>
      <c r="F59" t="s">
        <v>19</v>
      </c>
      <c r="G59" t="s">
        <v>18</v>
      </c>
      <c r="H59">
        <v>46</v>
      </c>
      <c r="I59">
        <v>1</v>
      </c>
    </row>
    <row r="60" spans="1:9" x14ac:dyDescent="0.3">
      <c r="A60">
        <v>2</v>
      </c>
      <c r="B60">
        <v>1</v>
      </c>
      <c r="C60" t="s">
        <v>16</v>
      </c>
      <c r="D60" t="s">
        <v>17</v>
      </c>
      <c r="E60">
        <v>40</v>
      </c>
      <c r="F60" t="s">
        <v>19</v>
      </c>
      <c r="G60" t="s">
        <v>18</v>
      </c>
      <c r="H60">
        <v>83</v>
      </c>
      <c r="I60">
        <v>1</v>
      </c>
    </row>
    <row r="61" spans="1:9" x14ac:dyDescent="0.3">
      <c r="A61">
        <v>2</v>
      </c>
      <c r="B61">
        <v>1</v>
      </c>
      <c r="C61" t="s">
        <v>16</v>
      </c>
      <c r="D61" t="s">
        <v>17</v>
      </c>
      <c r="E61">
        <v>16</v>
      </c>
      <c r="F61" t="s">
        <v>19</v>
      </c>
      <c r="G61" t="s">
        <v>18</v>
      </c>
      <c r="H61">
        <v>75</v>
      </c>
      <c r="I61">
        <v>1</v>
      </c>
    </row>
    <row r="62" spans="1:9" x14ac:dyDescent="0.3">
      <c r="A62">
        <v>2</v>
      </c>
      <c r="B62">
        <v>1</v>
      </c>
      <c r="C62" t="s">
        <v>16</v>
      </c>
      <c r="D62" t="s">
        <v>17</v>
      </c>
      <c r="E62">
        <v>0</v>
      </c>
      <c r="F62" t="s">
        <v>19</v>
      </c>
      <c r="G62" t="s">
        <v>18</v>
      </c>
      <c r="H62">
        <v>53</v>
      </c>
      <c r="I62">
        <v>1</v>
      </c>
    </row>
    <row r="63" spans="1:9" x14ac:dyDescent="0.3">
      <c r="A63">
        <v>2</v>
      </c>
      <c r="B63">
        <v>1</v>
      </c>
      <c r="C63" t="s">
        <v>16</v>
      </c>
      <c r="D63" t="s">
        <v>17</v>
      </c>
      <c r="E63">
        <v>21</v>
      </c>
      <c r="F63" t="s">
        <v>19</v>
      </c>
      <c r="G63" t="s">
        <v>18</v>
      </c>
      <c r="H63">
        <v>26</v>
      </c>
      <c r="I63">
        <v>1</v>
      </c>
    </row>
    <row r="64" spans="1:9" x14ac:dyDescent="0.3">
      <c r="A64">
        <v>2</v>
      </c>
      <c r="B64">
        <v>1</v>
      </c>
      <c r="C64" t="s">
        <v>16</v>
      </c>
      <c r="D64" t="s">
        <v>17</v>
      </c>
      <c r="E64">
        <v>33</v>
      </c>
      <c r="F64" t="s">
        <v>19</v>
      </c>
      <c r="G64" t="s">
        <v>18</v>
      </c>
      <c r="H64">
        <v>53</v>
      </c>
      <c r="I64">
        <v>1</v>
      </c>
    </row>
    <row r="65" spans="1:9" x14ac:dyDescent="0.3">
      <c r="A65">
        <v>2</v>
      </c>
      <c r="B65">
        <v>1</v>
      </c>
      <c r="C65" t="s">
        <v>16</v>
      </c>
      <c r="D65" t="s">
        <v>17</v>
      </c>
      <c r="E65">
        <v>19</v>
      </c>
      <c r="F65" t="s">
        <v>19</v>
      </c>
      <c r="G65" t="s">
        <v>18</v>
      </c>
      <c r="H65">
        <v>71</v>
      </c>
      <c r="I65">
        <v>1</v>
      </c>
    </row>
    <row r="66" spans="1:9" x14ac:dyDescent="0.3">
      <c r="A66">
        <v>2</v>
      </c>
      <c r="B66">
        <v>1</v>
      </c>
      <c r="C66" t="s">
        <v>16</v>
      </c>
      <c r="D66" t="s">
        <v>17</v>
      </c>
      <c r="E66">
        <v>20</v>
      </c>
      <c r="F66" t="s">
        <v>19</v>
      </c>
      <c r="G66" t="s">
        <v>18</v>
      </c>
      <c r="H66">
        <v>65</v>
      </c>
      <c r="I66">
        <v>1</v>
      </c>
    </row>
    <row r="67" spans="1:9" x14ac:dyDescent="0.3">
      <c r="A67">
        <v>2</v>
      </c>
      <c r="B67">
        <v>1</v>
      </c>
      <c r="C67" t="s">
        <v>16</v>
      </c>
      <c r="D67" t="s">
        <v>17</v>
      </c>
      <c r="E67">
        <v>24</v>
      </c>
      <c r="F67" t="s">
        <v>19</v>
      </c>
      <c r="G67" t="s">
        <v>18</v>
      </c>
      <c r="H67">
        <v>43</v>
      </c>
      <c r="I67">
        <v>1</v>
      </c>
    </row>
    <row r="68" spans="1:9" x14ac:dyDescent="0.3">
      <c r="A68">
        <v>2</v>
      </c>
      <c r="B68">
        <v>1</v>
      </c>
      <c r="C68" t="s">
        <v>16</v>
      </c>
      <c r="D68" t="s">
        <v>17</v>
      </c>
      <c r="E68">
        <v>0</v>
      </c>
      <c r="F68" t="s">
        <v>19</v>
      </c>
      <c r="G68" t="s">
        <v>18</v>
      </c>
      <c r="H68">
        <v>55</v>
      </c>
      <c r="I68">
        <v>1</v>
      </c>
    </row>
    <row r="69" spans="1:9" x14ac:dyDescent="0.3">
      <c r="A69">
        <v>2</v>
      </c>
      <c r="B69">
        <v>1</v>
      </c>
      <c r="C69" t="s">
        <v>16</v>
      </c>
      <c r="D69" t="s">
        <v>17</v>
      </c>
      <c r="E69">
        <v>25</v>
      </c>
      <c r="F69" t="s">
        <v>19</v>
      </c>
      <c r="G69" t="s">
        <v>18</v>
      </c>
      <c r="H69">
        <v>42</v>
      </c>
      <c r="I69">
        <v>1</v>
      </c>
    </row>
    <row r="70" spans="1:9" x14ac:dyDescent="0.3">
      <c r="A70">
        <v>2</v>
      </c>
      <c r="B70">
        <v>1</v>
      </c>
      <c r="C70" t="s">
        <v>16</v>
      </c>
      <c r="D70" t="s">
        <v>17</v>
      </c>
      <c r="E70">
        <v>43</v>
      </c>
      <c r="F70" t="s">
        <v>19</v>
      </c>
      <c r="G70" t="s">
        <v>18</v>
      </c>
      <c r="H70">
        <v>34</v>
      </c>
      <c r="I70">
        <v>0</v>
      </c>
    </row>
    <row r="71" spans="1:9" x14ac:dyDescent="0.3">
      <c r="A71">
        <v>2</v>
      </c>
      <c r="B71">
        <v>1</v>
      </c>
      <c r="C71" t="s">
        <v>16</v>
      </c>
      <c r="D71" t="s">
        <v>17</v>
      </c>
      <c r="E71">
        <v>12</v>
      </c>
      <c r="F71" t="s">
        <v>19</v>
      </c>
      <c r="G71" t="s">
        <v>18</v>
      </c>
      <c r="H71">
        <v>76</v>
      </c>
      <c r="I71">
        <v>1</v>
      </c>
    </row>
    <row r="72" spans="1:9" x14ac:dyDescent="0.3">
      <c r="A72">
        <v>2</v>
      </c>
      <c r="B72">
        <v>1</v>
      </c>
      <c r="C72" t="s">
        <v>16</v>
      </c>
      <c r="D72" t="s">
        <v>17</v>
      </c>
      <c r="E72">
        <v>20</v>
      </c>
      <c r="F72" t="s">
        <v>19</v>
      </c>
      <c r="G72" t="s">
        <v>18</v>
      </c>
      <c r="H72">
        <v>51</v>
      </c>
      <c r="I72">
        <v>1</v>
      </c>
    </row>
    <row r="73" spans="1:9" x14ac:dyDescent="0.3">
      <c r="A73">
        <v>2</v>
      </c>
      <c r="B73">
        <v>1</v>
      </c>
      <c r="C73" t="s">
        <v>16</v>
      </c>
      <c r="D73" t="s">
        <v>17</v>
      </c>
      <c r="E73">
        <v>15</v>
      </c>
      <c r="F73" t="s">
        <v>19</v>
      </c>
      <c r="G73" t="s">
        <v>18</v>
      </c>
      <c r="H73">
        <v>53</v>
      </c>
      <c r="I73">
        <v>1</v>
      </c>
    </row>
    <row r="74" spans="1:9" x14ac:dyDescent="0.3">
      <c r="A74">
        <v>2</v>
      </c>
      <c r="B74">
        <v>1</v>
      </c>
      <c r="C74" t="s">
        <v>16</v>
      </c>
      <c r="D74" t="s">
        <v>17</v>
      </c>
      <c r="E74">
        <v>31</v>
      </c>
      <c r="F74" t="s">
        <v>19</v>
      </c>
      <c r="G74" t="s">
        <v>18</v>
      </c>
      <c r="H74">
        <v>78</v>
      </c>
      <c r="I74">
        <v>1</v>
      </c>
    </row>
    <row r="75" spans="1:9" x14ac:dyDescent="0.3">
      <c r="A75">
        <v>2</v>
      </c>
      <c r="B75">
        <v>1</v>
      </c>
      <c r="C75" t="s">
        <v>16</v>
      </c>
      <c r="D75" t="s">
        <v>17</v>
      </c>
      <c r="E75">
        <v>23</v>
      </c>
      <c r="F75" t="s">
        <v>19</v>
      </c>
      <c r="G75" t="s">
        <v>18</v>
      </c>
      <c r="H75">
        <v>59</v>
      </c>
      <c r="I75">
        <v>1</v>
      </c>
    </row>
    <row r="76" spans="1:9" x14ac:dyDescent="0.3">
      <c r="A76">
        <v>2</v>
      </c>
      <c r="B76">
        <v>1</v>
      </c>
      <c r="C76" t="s">
        <v>16</v>
      </c>
      <c r="D76" t="s">
        <v>17</v>
      </c>
      <c r="E76">
        <v>10</v>
      </c>
      <c r="F76" t="s">
        <v>19</v>
      </c>
      <c r="G76" t="s">
        <v>18</v>
      </c>
      <c r="H76">
        <v>35</v>
      </c>
      <c r="I76">
        <v>1</v>
      </c>
    </row>
    <row r="77" spans="1:9" x14ac:dyDescent="0.3">
      <c r="A77">
        <v>2</v>
      </c>
      <c r="B77">
        <v>1</v>
      </c>
      <c r="C77" t="s">
        <v>16</v>
      </c>
      <c r="D77" t="s">
        <v>17</v>
      </c>
      <c r="E77">
        <v>30</v>
      </c>
      <c r="F77" t="s">
        <v>19</v>
      </c>
      <c r="G77" t="s">
        <v>18</v>
      </c>
      <c r="H77">
        <v>75</v>
      </c>
      <c r="I77">
        <v>1</v>
      </c>
    </row>
    <row r="78" spans="1:9" x14ac:dyDescent="0.3">
      <c r="A78">
        <v>2</v>
      </c>
      <c r="B78">
        <v>1</v>
      </c>
      <c r="C78" t="s">
        <v>16</v>
      </c>
      <c r="D78" t="s">
        <v>17</v>
      </c>
      <c r="E78">
        <v>12</v>
      </c>
      <c r="F78" t="s">
        <v>19</v>
      </c>
      <c r="G78" t="s">
        <v>18</v>
      </c>
      <c r="H78">
        <v>69</v>
      </c>
      <c r="I78">
        <v>1</v>
      </c>
    </row>
    <row r="79" spans="1:9" x14ac:dyDescent="0.3">
      <c r="A79">
        <v>2</v>
      </c>
      <c r="B79">
        <v>1</v>
      </c>
      <c r="C79" t="s">
        <v>16</v>
      </c>
      <c r="D79" t="s">
        <v>17</v>
      </c>
      <c r="E79">
        <v>5</v>
      </c>
      <c r="F79" t="s">
        <v>19</v>
      </c>
      <c r="G79" t="s">
        <v>18</v>
      </c>
      <c r="H79">
        <v>34</v>
      </c>
      <c r="I79">
        <v>1</v>
      </c>
    </row>
    <row r="80" spans="1:9" x14ac:dyDescent="0.3">
      <c r="A80">
        <v>2</v>
      </c>
      <c r="B80">
        <v>1</v>
      </c>
      <c r="C80" t="s">
        <v>16</v>
      </c>
      <c r="D80" t="s">
        <v>17</v>
      </c>
      <c r="E80">
        <v>0</v>
      </c>
      <c r="F80" t="s">
        <v>19</v>
      </c>
      <c r="G80" t="s">
        <v>18</v>
      </c>
      <c r="H80">
        <v>54</v>
      </c>
      <c r="I80">
        <v>1</v>
      </c>
    </row>
    <row r="81" spans="1:9" x14ac:dyDescent="0.3">
      <c r="A81">
        <v>2</v>
      </c>
      <c r="B81">
        <v>1</v>
      </c>
      <c r="C81" t="s">
        <v>16</v>
      </c>
      <c r="D81" t="s">
        <v>17</v>
      </c>
      <c r="E81">
        <v>14</v>
      </c>
      <c r="F81" t="s">
        <v>19</v>
      </c>
      <c r="G81" t="s">
        <v>18</v>
      </c>
      <c r="H81">
        <v>31</v>
      </c>
      <c r="I81">
        <v>1</v>
      </c>
    </row>
    <row r="82" spans="1:9" x14ac:dyDescent="0.3">
      <c r="A82">
        <v>2</v>
      </c>
      <c r="B82">
        <v>1</v>
      </c>
      <c r="C82" t="s">
        <v>16</v>
      </c>
      <c r="D82" t="s">
        <v>17</v>
      </c>
      <c r="E82">
        <v>6</v>
      </c>
      <c r="F82" t="s">
        <v>19</v>
      </c>
      <c r="G82" t="s">
        <v>18</v>
      </c>
      <c r="H82">
        <v>50</v>
      </c>
      <c r="I82">
        <v>1</v>
      </c>
    </row>
    <row r="83" spans="1:9" x14ac:dyDescent="0.3">
      <c r="A83">
        <v>2</v>
      </c>
      <c r="B83">
        <v>1</v>
      </c>
      <c r="C83" t="s">
        <v>16</v>
      </c>
      <c r="D83" t="s">
        <v>17</v>
      </c>
      <c r="E83">
        <v>27</v>
      </c>
      <c r="F83" t="s">
        <v>19</v>
      </c>
      <c r="G83" t="s">
        <v>18</v>
      </c>
      <c r="H83">
        <v>57</v>
      </c>
      <c r="I83">
        <v>1</v>
      </c>
    </row>
    <row r="84" spans="1:9" x14ac:dyDescent="0.3">
      <c r="A84">
        <v>2</v>
      </c>
      <c r="B84">
        <v>1</v>
      </c>
      <c r="C84" t="s">
        <v>16</v>
      </c>
      <c r="D84" t="s">
        <v>17</v>
      </c>
      <c r="E84">
        <v>43</v>
      </c>
      <c r="F84" t="s">
        <v>19</v>
      </c>
      <c r="G84" t="s">
        <v>18</v>
      </c>
      <c r="H84">
        <v>41</v>
      </c>
      <c r="I84">
        <v>0</v>
      </c>
    </row>
    <row r="85" spans="1:9" x14ac:dyDescent="0.3">
      <c r="A85">
        <v>2</v>
      </c>
      <c r="B85">
        <v>1</v>
      </c>
      <c r="C85" t="s">
        <v>16</v>
      </c>
      <c r="D85" t="s">
        <v>17</v>
      </c>
      <c r="E85">
        <v>14</v>
      </c>
      <c r="F85" t="s">
        <v>19</v>
      </c>
      <c r="G85" t="s">
        <v>18</v>
      </c>
      <c r="H85">
        <v>31</v>
      </c>
      <c r="I85">
        <v>1</v>
      </c>
    </row>
    <row r="86" spans="1:9" x14ac:dyDescent="0.3">
      <c r="A86">
        <v>2</v>
      </c>
      <c r="B86">
        <v>1</v>
      </c>
      <c r="C86" t="s">
        <v>16</v>
      </c>
      <c r="D86" t="s">
        <v>17</v>
      </c>
      <c r="E86">
        <v>16</v>
      </c>
      <c r="F86" t="s">
        <v>19</v>
      </c>
      <c r="G86" t="s">
        <v>18</v>
      </c>
      <c r="H86">
        <v>66</v>
      </c>
      <c r="I86">
        <v>1</v>
      </c>
    </row>
    <row r="87" spans="1:9" x14ac:dyDescent="0.3">
      <c r="A87">
        <v>2</v>
      </c>
      <c r="B87">
        <v>1</v>
      </c>
      <c r="C87" t="s">
        <v>16</v>
      </c>
      <c r="D87" t="s">
        <v>17</v>
      </c>
      <c r="E87">
        <v>6</v>
      </c>
      <c r="F87" t="s">
        <v>19</v>
      </c>
      <c r="G87" t="s">
        <v>18</v>
      </c>
      <c r="H87">
        <v>54</v>
      </c>
      <c r="I87">
        <v>1</v>
      </c>
    </row>
    <row r="88" spans="1:9" x14ac:dyDescent="0.3">
      <c r="A88">
        <v>2</v>
      </c>
      <c r="B88">
        <v>1</v>
      </c>
      <c r="C88" t="s">
        <v>16</v>
      </c>
      <c r="D88" t="s">
        <v>17</v>
      </c>
      <c r="E88">
        <v>27</v>
      </c>
      <c r="F88" t="s">
        <v>19</v>
      </c>
      <c r="G88" t="s">
        <v>18</v>
      </c>
      <c r="H88">
        <v>52</v>
      </c>
      <c r="I88">
        <v>1</v>
      </c>
    </row>
    <row r="89" spans="1:9" x14ac:dyDescent="0.3">
      <c r="A89">
        <v>2</v>
      </c>
      <c r="B89">
        <v>1</v>
      </c>
      <c r="C89" t="s">
        <v>16</v>
      </c>
      <c r="D89" t="s">
        <v>17</v>
      </c>
      <c r="E89">
        <v>41</v>
      </c>
      <c r="F89" t="s">
        <v>19</v>
      </c>
      <c r="G89" t="s">
        <v>18</v>
      </c>
      <c r="H89">
        <v>51</v>
      </c>
      <c r="I89">
        <v>1</v>
      </c>
    </row>
    <row r="90" spans="1:9" x14ac:dyDescent="0.3">
      <c r="A90">
        <v>2</v>
      </c>
      <c r="B90">
        <v>1</v>
      </c>
      <c r="C90" t="s">
        <v>16</v>
      </c>
      <c r="D90" t="s">
        <v>17</v>
      </c>
      <c r="E90">
        <v>45</v>
      </c>
      <c r="F90" t="s">
        <v>19</v>
      </c>
      <c r="G90" t="s">
        <v>18</v>
      </c>
      <c r="H90">
        <v>14</v>
      </c>
      <c r="I90">
        <v>0</v>
      </c>
    </row>
    <row r="91" spans="1:9" x14ac:dyDescent="0.3">
      <c r="A91">
        <v>2</v>
      </c>
      <c r="B91">
        <v>1</v>
      </c>
      <c r="C91" t="s">
        <v>16</v>
      </c>
      <c r="D91" t="s">
        <v>17</v>
      </c>
      <c r="E91">
        <v>10</v>
      </c>
      <c r="F91" t="s">
        <v>19</v>
      </c>
      <c r="G91" t="s">
        <v>18</v>
      </c>
      <c r="H91">
        <v>53</v>
      </c>
      <c r="I91">
        <v>1</v>
      </c>
    </row>
    <row r="92" spans="1:9" x14ac:dyDescent="0.3">
      <c r="A92">
        <v>2</v>
      </c>
      <c r="B92">
        <v>1</v>
      </c>
      <c r="C92" t="s">
        <v>16</v>
      </c>
      <c r="D92" t="s">
        <v>17</v>
      </c>
      <c r="E92">
        <v>0</v>
      </c>
      <c r="F92" t="s">
        <v>19</v>
      </c>
      <c r="G92" t="s">
        <v>18</v>
      </c>
      <c r="H92">
        <v>86</v>
      </c>
      <c r="I92">
        <v>1</v>
      </c>
    </row>
    <row r="93" spans="1:9" x14ac:dyDescent="0.3">
      <c r="A93">
        <v>2</v>
      </c>
      <c r="B93">
        <v>1</v>
      </c>
      <c r="C93" t="s">
        <v>16</v>
      </c>
      <c r="D93" t="s">
        <v>17</v>
      </c>
      <c r="E93">
        <v>13</v>
      </c>
      <c r="F93" t="s">
        <v>19</v>
      </c>
      <c r="G93" t="s">
        <v>18</v>
      </c>
      <c r="H93">
        <v>61</v>
      </c>
      <c r="I93">
        <v>1</v>
      </c>
    </row>
    <row r="94" spans="1:9" x14ac:dyDescent="0.3">
      <c r="A94">
        <v>2</v>
      </c>
      <c r="B94">
        <v>1</v>
      </c>
      <c r="C94" t="s">
        <v>16</v>
      </c>
      <c r="D94" t="s">
        <v>17</v>
      </c>
      <c r="E94">
        <v>38</v>
      </c>
      <c r="F94" t="s">
        <v>19</v>
      </c>
      <c r="G94" t="s">
        <v>18</v>
      </c>
      <c r="H94">
        <v>81</v>
      </c>
      <c r="I94">
        <v>1</v>
      </c>
    </row>
    <row r="95" spans="1:9" x14ac:dyDescent="0.3">
      <c r="A95">
        <v>2</v>
      </c>
      <c r="B95">
        <v>1</v>
      </c>
      <c r="C95" t="s">
        <v>16</v>
      </c>
      <c r="D95" t="s">
        <v>17</v>
      </c>
      <c r="E95">
        <v>4</v>
      </c>
      <c r="F95" t="s">
        <v>19</v>
      </c>
      <c r="G95" t="s">
        <v>18</v>
      </c>
      <c r="H95">
        <v>59</v>
      </c>
      <c r="I95">
        <v>1</v>
      </c>
    </row>
    <row r="96" spans="1:9" x14ac:dyDescent="0.3">
      <c r="A96">
        <v>2</v>
      </c>
      <c r="B96">
        <v>1</v>
      </c>
      <c r="C96" t="s">
        <v>16</v>
      </c>
      <c r="D96" t="s">
        <v>17</v>
      </c>
      <c r="E96">
        <v>9</v>
      </c>
      <c r="F96" t="s">
        <v>19</v>
      </c>
      <c r="G96" t="s">
        <v>18</v>
      </c>
      <c r="H96">
        <v>51</v>
      </c>
      <c r="I96">
        <v>1</v>
      </c>
    </row>
    <row r="97" spans="1:9" x14ac:dyDescent="0.3">
      <c r="A97">
        <v>2</v>
      </c>
      <c r="B97">
        <v>1</v>
      </c>
      <c r="C97" t="s">
        <v>16</v>
      </c>
      <c r="D97" t="s">
        <v>17</v>
      </c>
      <c r="E97">
        <v>27</v>
      </c>
      <c r="F97" t="s">
        <v>19</v>
      </c>
      <c r="G97" t="s">
        <v>18</v>
      </c>
      <c r="H97">
        <v>46</v>
      </c>
      <c r="I97">
        <v>1</v>
      </c>
    </row>
    <row r="98" spans="1:9" x14ac:dyDescent="0.3">
      <c r="A98">
        <v>2</v>
      </c>
      <c r="B98">
        <v>1</v>
      </c>
      <c r="C98" t="s">
        <v>16</v>
      </c>
      <c r="D98" t="s">
        <v>17</v>
      </c>
      <c r="E98">
        <v>13</v>
      </c>
      <c r="F98" t="s">
        <v>19</v>
      </c>
      <c r="G98" t="s">
        <v>18</v>
      </c>
      <c r="H98">
        <v>41</v>
      </c>
      <c r="I98">
        <v>1</v>
      </c>
    </row>
    <row r="99" spans="1:9" x14ac:dyDescent="0.3">
      <c r="A99">
        <v>2</v>
      </c>
      <c r="B99">
        <v>1</v>
      </c>
      <c r="C99" t="s">
        <v>16</v>
      </c>
      <c r="D99" t="s">
        <v>17</v>
      </c>
      <c r="E99">
        <v>8</v>
      </c>
      <c r="F99" t="s">
        <v>19</v>
      </c>
      <c r="G99" t="s">
        <v>18</v>
      </c>
      <c r="H99">
        <v>45</v>
      </c>
      <c r="I99">
        <v>1</v>
      </c>
    </row>
    <row r="100" spans="1:9" x14ac:dyDescent="0.3">
      <c r="A100">
        <v>2</v>
      </c>
      <c r="B100">
        <v>1</v>
      </c>
      <c r="C100" t="s">
        <v>16</v>
      </c>
      <c r="D100" t="s">
        <v>17</v>
      </c>
      <c r="E100">
        <v>35</v>
      </c>
      <c r="F100" t="s">
        <v>19</v>
      </c>
      <c r="G100" t="s">
        <v>18</v>
      </c>
      <c r="H100">
        <v>104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139F7-97D1-4F4A-AC58-202251E88DFC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16</v>
      </c>
      <c r="D1" t="s">
        <v>17</v>
      </c>
      <c r="E1">
        <v>1</v>
      </c>
      <c r="F1" t="s">
        <v>21</v>
      </c>
      <c r="G1" t="s">
        <v>20</v>
      </c>
      <c r="H1">
        <v>43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16</v>
      </c>
      <c r="D2" t="s">
        <v>17</v>
      </c>
      <c r="E2">
        <v>12</v>
      </c>
      <c r="F2" t="s">
        <v>21</v>
      </c>
      <c r="G2" t="s">
        <v>20</v>
      </c>
      <c r="H2">
        <v>19</v>
      </c>
      <c r="I2">
        <v>1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16</v>
      </c>
      <c r="D3" t="s">
        <v>17</v>
      </c>
      <c r="E3">
        <v>36</v>
      </c>
      <c r="F3" t="s">
        <v>21</v>
      </c>
      <c r="G3" t="s">
        <v>20</v>
      </c>
      <c r="H3">
        <v>9</v>
      </c>
      <c r="I3">
        <v>0</v>
      </c>
      <c r="K3" s="8" t="s">
        <v>11</v>
      </c>
      <c r="L3" s="8"/>
      <c r="M3" s="10">
        <f>COUNTIF($I$1:$I$100, 0)</f>
        <v>12</v>
      </c>
      <c r="N3" s="10"/>
      <c r="O3" s="10">
        <f>COUNTIFS($I$1:$I$100, 0, $B$1:$B$100, 0)</f>
        <v>8</v>
      </c>
      <c r="P3" s="10"/>
      <c r="Q3" s="11">
        <f>COUNTIFS($I$1:$I$100, 0, $B$1:$B$100, 1)</f>
        <v>4</v>
      </c>
      <c r="R3" s="12"/>
      <c r="T3" cm="1">
        <f t="array" ref="T3">SUMPRODUCT(--($E$1:$E$100=$H$1:$H$100))</f>
        <v>1</v>
      </c>
    </row>
    <row r="4" spans="1:20" x14ac:dyDescent="0.3">
      <c r="A4">
        <v>2</v>
      </c>
      <c r="B4">
        <v>0</v>
      </c>
      <c r="C4" t="s">
        <v>16</v>
      </c>
      <c r="D4" t="s">
        <v>17</v>
      </c>
      <c r="E4">
        <v>48</v>
      </c>
      <c r="F4" t="s">
        <v>21</v>
      </c>
      <c r="G4" t="s">
        <v>20</v>
      </c>
      <c r="H4">
        <v>0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16</v>
      </c>
      <c r="D5" t="s">
        <v>17</v>
      </c>
      <c r="E5">
        <v>12</v>
      </c>
      <c r="F5" t="s">
        <v>21</v>
      </c>
      <c r="G5" t="s">
        <v>20</v>
      </c>
      <c r="H5">
        <v>20</v>
      </c>
      <c r="I5">
        <v>1</v>
      </c>
      <c r="K5" s="8" t="s">
        <v>10</v>
      </c>
      <c r="L5" s="8"/>
      <c r="M5" s="14">
        <f>COUNTIF($I$1:$I$100, 1)</f>
        <v>88</v>
      </c>
      <c r="N5" s="10"/>
      <c r="O5" s="10">
        <f>COUNTIFS($I$1:$I$100, 1, $B$1:$B$100, 0)</f>
        <v>42</v>
      </c>
      <c r="P5" s="10"/>
      <c r="Q5" s="10">
        <f>COUNTIFS($I$1:$I$100, 1, $B$1:$B$100, 1)</f>
        <v>46</v>
      </c>
      <c r="R5" s="13"/>
    </row>
    <row r="6" spans="1:20" x14ac:dyDescent="0.3">
      <c r="A6">
        <v>2</v>
      </c>
      <c r="B6">
        <v>0</v>
      </c>
      <c r="C6" t="s">
        <v>16</v>
      </c>
      <c r="D6" t="s">
        <v>17</v>
      </c>
      <c r="E6">
        <v>0</v>
      </c>
      <c r="F6" t="s">
        <v>21</v>
      </c>
      <c r="G6" t="s">
        <v>20</v>
      </c>
      <c r="H6">
        <v>16</v>
      </c>
      <c r="I6">
        <v>1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16</v>
      </c>
      <c r="D7" t="s">
        <v>17</v>
      </c>
      <c r="E7">
        <v>0</v>
      </c>
      <c r="F7" t="s">
        <v>21</v>
      </c>
      <c r="G7" t="s">
        <v>20</v>
      </c>
      <c r="H7">
        <v>55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16</v>
      </c>
      <c r="D8" t="s">
        <v>17</v>
      </c>
      <c r="E8">
        <v>28</v>
      </c>
      <c r="F8" t="s">
        <v>21</v>
      </c>
      <c r="G8" t="s">
        <v>20</v>
      </c>
      <c r="H8">
        <v>34</v>
      </c>
      <c r="I8">
        <v>1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16</v>
      </c>
      <c r="D9" t="s">
        <v>17</v>
      </c>
      <c r="E9">
        <v>16</v>
      </c>
      <c r="F9" t="s">
        <v>21</v>
      </c>
      <c r="G9" t="s">
        <v>20</v>
      </c>
      <c r="H9">
        <v>41</v>
      </c>
      <c r="I9">
        <v>1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16</v>
      </c>
      <c r="D10" t="s">
        <v>17</v>
      </c>
      <c r="E10">
        <v>14</v>
      </c>
      <c r="F10" t="s">
        <v>21</v>
      </c>
      <c r="G10" t="s">
        <v>20</v>
      </c>
      <c r="H10">
        <v>27</v>
      </c>
      <c r="I10">
        <v>1</v>
      </c>
      <c r="K10" s="8" t="s">
        <v>6</v>
      </c>
      <c r="L10" s="8"/>
      <c r="M10" s="10">
        <f>AVERAGE($E$1:$E$100,)</f>
        <v>10.485148514851485</v>
      </c>
      <c r="N10" s="10"/>
      <c r="O10" s="10" cm="1">
        <f t="array" ref="O10">AVERAGE(_xlfn._xlws.FILTER($E$1:$E$100,$I$1:$I$100 = 0))</f>
        <v>28.083333333333332</v>
      </c>
      <c r="P10" s="10"/>
      <c r="Q10" s="11" cm="1">
        <f t="array" ref="Q10">AVERAGE(_xlfn._xlws.FILTER($E$1:$E$100,$I$1:$I$100 = 1))</f>
        <v>8.204545454545455</v>
      </c>
      <c r="R10" s="12"/>
    </row>
    <row r="11" spans="1:20" x14ac:dyDescent="0.3">
      <c r="A11">
        <v>2</v>
      </c>
      <c r="B11">
        <v>0</v>
      </c>
      <c r="C11" t="s">
        <v>16</v>
      </c>
      <c r="D11" t="s">
        <v>17</v>
      </c>
      <c r="E11">
        <v>23</v>
      </c>
      <c r="F11" t="s">
        <v>21</v>
      </c>
      <c r="G11" t="s">
        <v>20</v>
      </c>
      <c r="H11">
        <v>30</v>
      </c>
      <c r="I11">
        <v>1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16</v>
      </c>
      <c r="D12" t="s">
        <v>17</v>
      </c>
      <c r="E12">
        <v>0</v>
      </c>
      <c r="F12" t="s">
        <v>21</v>
      </c>
      <c r="G12" t="s">
        <v>20</v>
      </c>
      <c r="H12">
        <v>66</v>
      </c>
      <c r="I12">
        <v>1</v>
      </c>
      <c r="K12" s="8" t="s">
        <v>5</v>
      </c>
      <c r="L12" s="8"/>
      <c r="M12" s="10">
        <f>AVERAGE($H$1:$H$100,)</f>
        <v>35.653465346534652</v>
      </c>
      <c r="N12" s="10"/>
      <c r="O12" s="10" cm="1">
        <f t="array" ref="O12">AVERAGE(_xlfn._xlws.FILTER($H$1:$H$100,$I$1:$I$100 = 0))</f>
        <v>14.666666666666666</v>
      </c>
      <c r="P12" s="10"/>
      <c r="Q12" s="10" cm="1">
        <f t="array" ref="Q12">AVERAGE(_xlfn._xlws.FILTER($H$1:$H$100,$I$1:$I$100 = 1))</f>
        <v>38.920454545454547</v>
      </c>
      <c r="R12" s="13"/>
    </row>
    <row r="13" spans="1:20" x14ac:dyDescent="0.3">
      <c r="A13">
        <v>2</v>
      </c>
      <c r="B13">
        <v>0</v>
      </c>
      <c r="C13" t="s">
        <v>16</v>
      </c>
      <c r="D13" t="s">
        <v>17</v>
      </c>
      <c r="E13">
        <v>31</v>
      </c>
      <c r="F13" t="s">
        <v>21</v>
      </c>
      <c r="G13" t="s">
        <v>20</v>
      </c>
      <c r="H13">
        <v>46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16</v>
      </c>
      <c r="D14" t="s">
        <v>17</v>
      </c>
      <c r="E14">
        <v>13</v>
      </c>
      <c r="F14" t="s">
        <v>21</v>
      </c>
      <c r="G14" t="s">
        <v>20</v>
      </c>
      <c r="H14">
        <v>23</v>
      </c>
      <c r="I14">
        <v>1</v>
      </c>
      <c r="K14" s="19" t="s">
        <v>4</v>
      </c>
      <c r="L14" s="12"/>
      <c r="M14" s="20" cm="1">
        <f t="array" ref="M14">AVERAGE($E$1:$E$100 - $H$1:$H$100)</f>
        <v>-25.42</v>
      </c>
      <c r="N14" s="20"/>
      <c r="O14" s="20" cm="1">
        <f t="array" ref="O14">AVERAGE(_xlfn._xlws.FILTER($E$1:$E$100 - $H$1:$H$100, I$1:I$100 = 0))</f>
        <v>13.416666666666666</v>
      </c>
      <c r="P14" s="20"/>
      <c r="Q14" s="20" cm="1">
        <f t="array" ref="Q14">AVERAGE(_xlfn._xlws.FILTER($E$1:$E$100 - $H$1:$H$100, I$1:I$100 = 1))</f>
        <v>-30.71590909090909</v>
      </c>
      <c r="R14" s="22"/>
    </row>
    <row r="15" spans="1:20" x14ac:dyDescent="0.3">
      <c r="A15">
        <v>2</v>
      </c>
      <c r="B15">
        <v>0</v>
      </c>
      <c r="C15" t="s">
        <v>16</v>
      </c>
      <c r="D15" t="s">
        <v>17</v>
      </c>
      <c r="E15">
        <v>7</v>
      </c>
      <c r="F15" t="s">
        <v>21</v>
      </c>
      <c r="G15" t="s">
        <v>20</v>
      </c>
      <c r="H15">
        <v>47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16</v>
      </c>
      <c r="D16" t="s">
        <v>17</v>
      </c>
      <c r="E16">
        <v>12</v>
      </c>
      <c r="F16" t="s">
        <v>21</v>
      </c>
      <c r="G16" t="s">
        <v>20</v>
      </c>
      <c r="H16">
        <v>24</v>
      </c>
      <c r="I16">
        <v>1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16</v>
      </c>
      <c r="D17" t="s">
        <v>17</v>
      </c>
      <c r="E17">
        <v>2</v>
      </c>
      <c r="F17" t="s">
        <v>21</v>
      </c>
      <c r="G17" t="s">
        <v>20</v>
      </c>
      <c r="H17">
        <v>20</v>
      </c>
      <c r="I17">
        <v>1</v>
      </c>
    </row>
    <row r="18" spans="1:9" x14ac:dyDescent="0.3">
      <c r="A18">
        <v>2</v>
      </c>
      <c r="B18">
        <v>0</v>
      </c>
      <c r="C18" t="s">
        <v>16</v>
      </c>
      <c r="D18" t="s">
        <v>17</v>
      </c>
      <c r="E18">
        <v>40</v>
      </c>
      <c r="F18" t="s">
        <v>21</v>
      </c>
      <c r="G18" t="s">
        <v>20</v>
      </c>
      <c r="H18">
        <v>64</v>
      </c>
      <c r="I18">
        <v>1</v>
      </c>
    </row>
    <row r="19" spans="1:9" x14ac:dyDescent="0.3">
      <c r="A19">
        <v>2</v>
      </c>
      <c r="B19">
        <v>0</v>
      </c>
      <c r="C19" t="s">
        <v>16</v>
      </c>
      <c r="D19" t="s">
        <v>17</v>
      </c>
      <c r="E19">
        <v>24</v>
      </c>
      <c r="F19" t="s">
        <v>21</v>
      </c>
      <c r="G19" t="s">
        <v>20</v>
      </c>
      <c r="H19">
        <v>22</v>
      </c>
      <c r="I19">
        <v>0</v>
      </c>
    </row>
    <row r="20" spans="1:9" x14ac:dyDescent="0.3">
      <c r="A20">
        <v>2</v>
      </c>
      <c r="B20">
        <v>0</v>
      </c>
      <c r="C20" t="s">
        <v>16</v>
      </c>
      <c r="D20" t="s">
        <v>17</v>
      </c>
      <c r="E20">
        <v>12</v>
      </c>
      <c r="F20" t="s">
        <v>21</v>
      </c>
      <c r="G20" t="s">
        <v>20</v>
      </c>
      <c r="H20">
        <v>36</v>
      </c>
      <c r="I20">
        <v>1</v>
      </c>
    </row>
    <row r="21" spans="1:9" x14ac:dyDescent="0.3">
      <c r="A21">
        <v>2</v>
      </c>
      <c r="B21">
        <v>0</v>
      </c>
      <c r="C21" t="s">
        <v>16</v>
      </c>
      <c r="D21" t="s">
        <v>17</v>
      </c>
      <c r="E21">
        <v>14</v>
      </c>
      <c r="F21" t="s">
        <v>21</v>
      </c>
      <c r="G21" t="s">
        <v>20</v>
      </c>
      <c r="H21">
        <v>36</v>
      </c>
      <c r="I21">
        <v>1</v>
      </c>
    </row>
    <row r="22" spans="1:9" x14ac:dyDescent="0.3">
      <c r="A22">
        <v>2</v>
      </c>
      <c r="B22">
        <v>0</v>
      </c>
      <c r="C22" t="s">
        <v>16</v>
      </c>
      <c r="D22" t="s">
        <v>17</v>
      </c>
      <c r="E22">
        <v>1</v>
      </c>
      <c r="F22" t="s">
        <v>21</v>
      </c>
      <c r="G22" t="s">
        <v>20</v>
      </c>
      <c r="H22">
        <v>47</v>
      </c>
      <c r="I22">
        <v>1</v>
      </c>
    </row>
    <row r="23" spans="1:9" x14ac:dyDescent="0.3">
      <c r="A23">
        <v>2</v>
      </c>
      <c r="B23">
        <v>0</v>
      </c>
      <c r="C23" t="s">
        <v>16</v>
      </c>
      <c r="D23" t="s">
        <v>17</v>
      </c>
      <c r="E23">
        <v>3</v>
      </c>
      <c r="F23" t="s">
        <v>21</v>
      </c>
      <c r="G23" t="s">
        <v>20</v>
      </c>
      <c r="H23">
        <v>49</v>
      </c>
      <c r="I23">
        <v>1</v>
      </c>
    </row>
    <row r="24" spans="1:9" x14ac:dyDescent="0.3">
      <c r="A24">
        <v>2</v>
      </c>
      <c r="B24">
        <v>0</v>
      </c>
      <c r="C24" t="s">
        <v>16</v>
      </c>
      <c r="D24" t="s">
        <v>17</v>
      </c>
      <c r="E24">
        <v>11</v>
      </c>
      <c r="F24" t="s">
        <v>21</v>
      </c>
      <c r="G24" t="s">
        <v>20</v>
      </c>
      <c r="H24">
        <v>30</v>
      </c>
      <c r="I24">
        <v>1</v>
      </c>
    </row>
    <row r="25" spans="1:9" x14ac:dyDescent="0.3">
      <c r="A25">
        <v>2</v>
      </c>
      <c r="B25">
        <v>0</v>
      </c>
      <c r="C25" t="s">
        <v>16</v>
      </c>
      <c r="D25" t="s">
        <v>17</v>
      </c>
      <c r="E25">
        <v>34</v>
      </c>
      <c r="F25" t="s">
        <v>21</v>
      </c>
      <c r="G25" t="s">
        <v>20</v>
      </c>
      <c r="H25">
        <v>7</v>
      </c>
      <c r="I25">
        <v>0</v>
      </c>
    </row>
    <row r="26" spans="1:9" x14ac:dyDescent="0.3">
      <c r="A26">
        <v>2</v>
      </c>
      <c r="B26">
        <v>0</v>
      </c>
      <c r="C26" t="s">
        <v>16</v>
      </c>
      <c r="D26" t="s">
        <v>17</v>
      </c>
      <c r="E26">
        <v>5</v>
      </c>
      <c r="F26" t="s">
        <v>21</v>
      </c>
      <c r="G26" t="s">
        <v>20</v>
      </c>
      <c r="H26">
        <v>21</v>
      </c>
      <c r="I26">
        <v>1</v>
      </c>
    </row>
    <row r="27" spans="1:9" x14ac:dyDescent="0.3">
      <c r="A27">
        <v>2</v>
      </c>
      <c r="B27">
        <v>0</v>
      </c>
      <c r="C27" t="s">
        <v>16</v>
      </c>
      <c r="D27" t="s">
        <v>17</v>
      </c>
      <c r="E27">
        <v>25</v>
      </c>
      <c r="F27" t="s">
        <v>21</v>
      </c>
      <c r="G27" t="s">
        <v>20</v>
      </c>
      <c r="H27">
        <v>27</v>
      </c>
      <c r="I27">
        <v>1</v>
      </c>
    </row>
    <row r="28" spans="1:9" x14ac:dyDescent="0.3">
      <c r="A28">
        <v>2</v>
      </c>
      <c r="B28">
        <v>0</v>
      </c>
      <c r="C28" t="s">
        <v>16</v>
      </c>
      <c r="D28" t="s">
        <v>17</v>
      </c>
      <c r="E28">
        <v>20</v>
      </c>
      <c r="F28" t="s">
        <v>21</v>
      </c>
      <c r="G28" t="s">
        <v>20</v>
      </c>
      <c r="H28">
        <v>11</v>
      </c>
      <c r="I28">
        <v>0</v>
      </c>
    </row>
    <row r="29" spans="1:9" x14ac:dyDescent="0.3">
      <c r="A29">
        <v>2</v>
      </c>
      <c r="B29">
        <v>0</v>
      </c>
      <c r="C29" t="s">
        <v>16</v>
      </c>
      <c r="D29" t="s">
        <v>17</v>
      </c>
      <c r="E29">
        <v>23</v>
      </c>
      <c r="F29" t="s">
        <v>21</v>
      </c>
      <c r="G29" t="s">
        <v>20</v>
      </c>
      <c r="H29">
        <v>35</v>
      </c>
      <c r="I29">
        <v>1</v>
      </c>
    </row>
    <row r="30" spans="1:9" x14ac:dyDescent="0.3">
      <c r="A30">
        <v>2</v>
      </c>
      <c r="B30">
        <v>0</v>
      </c>
      <c r="C30" t="s">
        <v>16</v>
      </c>
      <c r="D30" t="s">
        <v>17</v>
      </c>
      <c r="E30">
        <v>0</v>
      </c>
      <c r="F30" t="s">
        <v>21</v>
      </c>
      <c r="G30" t="s">
        <v>20</v>
      </c>
      <c r="H30">
        <v>13</v>
      </c>
      <c r="I30">
        <v>1</v>
      </c>
    </row>
    <row r="31" spans="1:9" x14ac:dyDescent="0.3">
      <c r="A31">
        <v>2</v>
      </c>
      <c r="B31">
        <v>0</v>
      </c>
      <c r="C31" t="s">
        <v>16</v>
      </c>
      <c r="D31" t="s">
        <v>17</v>
      </c>
      <c r="E31">
        <v>6</v>
      </c>
      <c r="F31" t="s">
        <v>21</v>
      </c>
      <c r="G31" t="s">
        <v>20</v>
      </c>
      <c r="H31">
        <v>18</v>
      </c>
      <c r="I31">
        <v>1</v>
      </c>
    </row>
    <row r="32" spans="1:9" x14ac:dyDescent="0.3">
      <c r="A32">
        <v>2</v>
      </c>
      <c r="B32">
        <v>0</v>
      </c>
      <c r="C32" t="s">
        <v>16</v>
      </c>
      <c r="D32" t="s">
        <v>17</v>
      </c>
      <c r="E32">
        <v>3</v>
      </c>
      <c r="F32" t="s">
        <v>21</v>
      </c>
      <c r="G32" t="s">
        <v>20</v>
      </c>
      <c r="H32">
        <v>44</v>
      </c>
      <c r="I32">
        <v>1</v>
      </c>
    </row>
    <row r="33" spans="1:9" x14ac:dyDescent="0.3">
      <c r="A33">
        <v>2</v>
      </c>
      <c r="B33">
        <v>0</v>
      </c>
      <c r="C33" t="s">
        <v>16</v>
      </c>
      <c r="D33" t="s">
        <v>17</v>
      </c>
      <c r="E33">
        <v>11</v>
      </c>
      <c r="F33" t="s">
        <v>21</v>
      </c>
      <c r="G33" t="s">
        <v>20</v>
      </c>
      <c r="H33">
        <v>19</v>
      </c>
      <c r="I33">
        <v>1</v>
      </c>
    </row>
    <row r="34" spans="1:9" x14ac:dyDescent="0.3">
      <c r="A34">
        <v>2</v>
      </c>
      <c r="B34">
        <v>0</v>
      </c>
      <c r="C34" t="s">
        <v>16</v>
      </c>
      <c r="D34" t="s">
        <v>17</v>
      </c>
      <c r="E34">
        <v>2</v>
      </c>
      <c r="F34" t="s">
        <v>21</v>
      </c>
      <c r="G34" t="s">
        <v>20</v>
      </c>
      <c r="H34">
        <v>49</v>
      </c>
      <c r="I34">
        <v>1</v>
      </c>
    </row>
    <row r="35" spans="1:9" x14ac:dyDescent="0.3">
      <c r="A35">
        <v>2</v>
      </c>
      <c r="B35">
        <v>0</v>
      </c>
      <c r="C35" t="s">
        <v>16</v>
      </c>
      <c r="D35" t="s">
        <v>17</v>
      </c>
      <c r="E35">
        <v>1</v>
      </c>
      <c r="F35" t="s">
        <v>21</v>
      </c>
      <c r="G35" t="s">
        <v>20</v>
      </c>
      <c r="H35">
        <v>11</v>
      </c>
      <c r="I35">
        <v>1</v>
      </c>
    </row>
    <row r="36" spans="1:9" x14ac:dyDescent="0.3">
      <c r="A36">
        <v>2</v>
      </c>
      <c r="B36">
        <v>0</v>
      </c>
      <c r="C36" t="s">
        <v>16</v>
      </c>
      <c r="D36" t="s">
        <v>17</v>
      </c>
      <c r="E36">
        <v>4</v>
      </c>
      <c r="F36" t="s">
        <v>21</v>
      </c>
      <c r="G36" t="s">
        <v>20</v>
      </c>
      <c r="H36">
        <v>45</v>
      </c>
      <c r="I36">
        <v>1</v>
      </c>
    </row>
    <row r="37" spans="1:9" x14ac:dyDescent="0.3">
      <c r="A37">
        <v>2</v>
      </c>
      <c r="B37">
        <v>0</v>
      </c>
      <c r="C37" t="s">
        <v>16</v>
      </c>
      <c r="D37" t="s">
        <v>17</v>
      </c>
      <c r="E37">
        <v>0</v>
      </c>
      <c r="F37" t="s">
        <v>21</v>
      </c>
      <c r="G37" t="s">
        <v>20</v>
      </c>
      <c r="H37">
        <v>17</v>
      </c>
      <c r="I37">
        <v>1</v>
      </c>
    </row>
    <row r="38" spans="1:9" x14ac:dyDescent="0.3">
      <c r="A38">
        <v>2</v>
      </c>
      <c r="B38">
        <v>0</v>
      </c>
      <c r="C38" t="s">
        <v>16</v>
      </c>
      <c r="D38" t="s">
        <v>17</v>
      </c>
      <c r="E38">
        <v>2</v>
      </c>
      <c r="F38" t="s">
        <v>21</v>
      </c>
      <c r="G38" t="s">
        <v>20</v>
      </c>
      <c r="H38">
        <v>60</v>
      </c>
      <c r="I38">
        <v>1</v>
      </c>
    </row>
    <row r="39" spans="1:9" x14ac:dyDescent="0.3">
      <c r="A39">
        <v>2</v>
      </c>
      <c r="B39">
        <v>0</v>
      </c>
      <c r="C39" t="s">
        <v>16</v>
      </c>
      <c r="D39" t="s">
        <v>17</v>
      </c>
      <c r="E39">
        <v>20</v>
      </c>
      <c r="F39" t="s">
        <v>21</v>
      </c>
      <c r="G39" t="s">
        <v>20</v>
      </c>
      <c r="H39">
        <v>30</v>
      </c>
      <c r="I39">
        <v>1</v>
      </c>
    </row>
    <row r="40" spans="1:9" x14ac:dyDescent="0.3">
      <c r="A40">
        <v>2</v>
      </c>
      <c r="B40">
        <v>0</v>
      </c>
      <c r="C40" t="s">
        <v>16</v>
      </c>
      <c r="D40" t="s">
        <v>17</v>
      </c>
      <c r="E40">
        <v>8</v>
      </c>
      <c r="F40" t="s">
        <v>21</v>
      </c>
      <c r="G40" t="s">
        <v>20</v>
      </c>
      <c r="H40">
        <v>73</v>
      </c>
      <c r="I40">
        <v>1</v>
      </c>
    </row>
    <row r="41" spans="1:9" x14ac:dyDescent="0.3">
      <c r="A41">
        <v>2</v>
      </c>
      <c r="B41">
        <v>0</v>
      </c>
      <c r="C41" t="s">
        <v>16</v>
      </c>
      <c r="D41" t="s">
        <v>17</v>
      </c>
      <c r="E41">
        <v>22</v>
      </c>
      <c r="F41" t="s">
        <v>21</v>
      </c>
      <c r="G41" t="s">
        <v>20</v>
      </c>
      <c r="H41">
        <v>62</v>
      </c>
      <c r="I41">
        <v>1</v>
      </c>
    </row>
    <row r="42" spans="1:9" x14ac:dyDescent="0.3">
      <c r="A42">
        <v>2</v>
      </c>
      <c r="B42">
        <v>0</v>
      </c>
      <c r="C42" t="s">
        <v>16</v>
      </c>
      <c r="D42" t="s">
        <v>17</v>
      </c>
      <c r="E42">
        <v>0</v>
      </c>
      <c r="F42" t="s">
        <v>21</v>
      </c>
      <c r="G42" t="s">
        <v>20</v>
      </c>
      <c r="H42">
        <v>70</v>
      </c>
      <c r="I42">
        <v>1</v>
      </c>
    </row>
    <row r="43" spans="1:9" x14ac:dyDescent="0.3">
      <c r="A43">
        <v>2</v>
      </c>
      <c r="B43">
        <v>0</v>
      </c>
      <c r="C43" t="s">
        <v>16</v>
      </c>
      <c r="D43" t="s">
        <v>17</v>
      </c>
      <c r="E43">
        <v>35</v>
      </c>
      <c r="F43" t="s">
        <v>21</v>
      </c>
      <c r="G43" t="s">
        <v>20</v>
      </c>
      <c r="H43">
        <v>23</v>
      </c>
      <c r="I43">
        <v>0</v>
      </c>
    </row>
    <row r="44" spans="1:9" x14ac:dyDescent="0.3">
      <c r="A44">
        <v>2</v>
      </c>
      <c r="B44">
        <v>0</v>
      </c>
      <c r="C44" t="s">
        <v>16</v>
      </c>
      <c r="D44" t="s">
        <v>17</v>
      </c>
      <c r="E44">
        <v>29</v>
      </c>
      <c r="F44" t="s">
        <v>21</v>
      </c>
      <c r="G44" t="s">
        <v>20</v>
      </c>
      <c r="H44">
        <v>24</v>
      </c>
      <c r="I44">
        <v>0</v>
      </c>
    </row>
    <row r="45" spans="1:9" x14ac:dyDescent="0.3">
      <c r="A45">
        <v>2</v>
      </c>
      <c r="B45">
        <v>0</v>
      </c>
      <c r="C45" t="s">
        <v>16</v>
      </c>
      <c r="D45" t="s">
        <v>17</v>
      </c>
      <c r="E45">
        <v>2</v>
      </c>
      <c r="F45" t="s">
        <v>21</v>
      </c>
      <c r="G45" t="s">
        <v>20</v>
      </c>
      <c r="H45">
        <v>54</v>
      </c>
      <c r="I45">
        <v>1</v>
      </c>
    </row>
    <row r="46" spans="1:9" x14ac:dyDescent="0.3">
      <c r="A46">
        <v>2</v>
      </c>
      <c r="B46">
        <v>0</v>
      </c>
      <c r="C46" t="s">
        <v>16</v>
      </c>
      <c r="D46" t="s">
        <v>17</v>
      </c>
      <c r="E46">
        <v>20</v>
      </c>
      <c r="F46" t="s">
        <v>21</v>
      </c>
      <c r="G46" t="s">
        <v>20</v>
      </c>
      <c r="H46">
        <v>27</v>
      </c>
      <c r="I46">
        <v>1</v>
      </c>
    </row>
    <row r="47" spans="1:9" x14ac:dyDescent="0.3">
      <c r="A47">
        <v>2</v>
      </c>
      <c r="B47">
        <v>0</v>
      </c>
      <c r="C47" t="s">
        <v>16</v>
      </c>
      <c r="D47" t="s">
        <v>17</v>
      </c>
      <c r="E47">
        <v>2</v>
      </c>
      <c r="F47" t="s">
        <v>21</v>
      </c>
      <c r="G47" t="s">
        <v>20</v>
      </c>
      <c r="H47">
        <v>16</v>
      </c>
      <c r="I47">
        <v>1</v>
      </c>
    </row>
    <row r="48" spans="1:9" x14ac:dyDescent="0.3">
      <c r="A48">
        <v>2</v>
      </c>
      <c r="B48">
        <v>0</v>
      </c>
      <c r="C48" t="s">
        <v>16</v>
      </c>
      <c r="D48" t="s">
        <v>17</v>
      </c>
      <c r="E48">
        <v>29</v>
      </c>
      <c r="F48" t="s">
        <v>21</v>
      </c>
      <c r="G48" t="s">
        <v>20</v>
      </c>
      <c r="H48">
        <v>13</v>
      </c>
      <c r="I48">
        <v>0</v>
      </c>
    </row>
    <row r="49" spans="1:9" x14ac:dyDescent="0.3">
      <c r="A49">
        <v>2</v>
      </c>
      <c r="B49">
        <v>0</v>
      </c>
      <c r="C49" t="s">
        <v>16</v>
      </c>
      <c r="D49" t="s">
        <v>17</v>
      </c>
      <c r="E49">
        <v>4</v>
      </c>
      <c r="F49" t="s">
        <v>21</v>
      </c>
      <c r="G49" t="s">
        <v>20</v>
      </c>
      <c r="H49">
        <v>64</v>
      </c>
      <c r="I49">
        <v>1</v>
      </c>
    </row>
    <row r="50" spans="1:9" x14ac:dyDescent="0.3">
      <c r="A50">
        <v>2</v>
      </c>
      <c r="B50">
        <v>0</v>
      </c>
      <c r="C50" t="s">
        <v>16</v>
      </c>
      <c r="D50" t="s">
        <v>17</v>
      </c>
      <c r="E50">
        <v>3</v>
      </c>
      <c r="F50" t="s">
        <v>21</v>
      </c>
      <c r="G50" t="s">
        <v>20</v>
      </c>
      <c r="H50">
        <v>51</v>
      </c>
      <c r="I50">
        <v>1</v>
      </c>
    </row>
    <row r="51" spans="1:9" x14ac:dyDescent="0.3">
      <c r="A51">
        <v>2</v>
      </c>
      <c r="B51">
        <v>1</v>
      </c>
      <c r="C51" t="s">
        <v>16</v>
      </c>
      <c r="D51" t="s">
        <v>17</v>
      </c>
      <c r="E51">
        <v>11</v>
      </c>
      <c r="F51" t="s">
        <v>21</v>
      </c>
      <c r="G51" t="s">
        <v>20</v>
      </c>
      <c r="H51">
        <v>48</v>
      </c>
      <c r="I51">
        <v>1</v>
      </c>
    </row>
    <row r="52" spans="1:9" x14ac:dyDescent="0.3">
      <c r="A52">
        <v>2</v>
      </c>
      <c r="B52">
        <v>1</v>
      </c>
      <c r="C52" t="s">
        <v>16</v>
      </c>
      <c r="D52" t="s">
        <v>17</v>
      </c>
      <c r="E52">
        <v>12</v>
      </c>
      <c r="F52" t="s">
        <v>21</v>
      </c>
      <c r="G52" t="s">
        <v>20</v>
      </c>
      <c r="H52">
        <v>26</v>
      </c>
      <c r="I52">
        <v>1</v>
      </c>
    </row>
    <row r="53" spans="1:9" x14ac:dyDescent="0.3">
      <c r="A53">
        <v>2</v>
      </c>
      <c r="B53">
        <v>1</v>
      </c>
      <c r="C53" t="s">
        <v>16</v>
      </c>
      <c r="D53" t="s">
        <v>17</v>
      </c>
      <c r="E53">
        <v>19</v>
      </c>
      <c r="F53" t="s">
        <v>21</v>
      </c>
      <c r="G53" t="s">
        <v>20</v>
      </c>
      <c r="H53">
        <v>18</v>
      </c>
      <c r="I53">
        <v>0</v>
      </c>
    </row>
    <row r="54" spans="1:9" x14ac:dyDescent="0.3">
      <c r="A54">
        <v>2</v>
      </c>
      <c r="B54">
        <v>1</v>
      </c>
      <c r="C54" t="s">
        <v>16</v>
      </c>
      <c r="D54" t="s">
        <v>17</v>
      </c>
      <c r="E54">
        <v>8</v>
      </c>
      <c r="F54" t="s">
        <v>21</v>
      </c>
      <c r="G54" t="s">
        <v>20</v>
      </c>
      <c r="H54">
        <v>54</v>
      </c>
      <c r="I54">
        <v>1</v>
      </c>
    </row>
    <row r="55" spans="1:9" x14ac:dyDescent="0.3">
      <c r="A55">
        <v>2</v>
      </c>
      <c r="B55">
        <v>1</v>
      </c>
      <c r="C55" t="s">
        <v>16</v>
      </c>
      <c r="D55" t="s">
        <v>17</v>
      </c>
      <c r="E55">
        <v>17</v>
      </c>
      <c r="F55" t="s">
        <v>21</v>
      </c>
      <c r="G55" t="s">
        <v>20</v>
      </c>
      <c r="H55">
        <v>16</v>
      </c>
      <c r="I55">
        <v>0</v>
      </c>
    </row>
    <row r="56" spans="1:9" x14ac:dyDescent="0.3">
      <c r="A56">
        <v>2</v>
      </c>
      <c r="B56">
        <v>1</v>
      </c>
      <c r="C56" t="s">
        <v>16</v>
      </c>
      <c r="D56" t="s">
        <v>17</v>
      </c>
      <c r="E56">
        <v>11</v>
      </c>
      <c r="F56" t="s">
        <v>21</v>
      </c>
      <c r="G56" t="s">
        <v>20</v>
      </c>
      <c r="H56">
        <v>28</v>
      </c>
      <c r="I56">
        <v>1</v>
      </c>
    </row>
    <row r="57" spans="1:9" x14ac:dyDescent="0.3">
      <c r="A57">
        <v>2</v>
      </c>
      <c r="B57">
        <v>1</v>
      </c>
      <c r="C57" t="s">
        <v>16</v>
      </c>
      <c r="D57" t="s">
        <v>17</v>
      </c>
      <c r="E57">
        <v>2</v>
      </c>
      <c r="F57" t="s">
        <v>21</v>
      </c>
      <c r="G57" t="s">
        <v>20</v>
      </c>
      <c r="H57">
        <v>34</v>
      </c>
      <c r="I57">
        <v>1</v>
      </c>
    </row>
    <row r="58" spans="1:9" x14ac:dyDescent="0.3">
      <c r="A58">
        <v>2</v>
      </c>
      <c r="B58">
        <v>1</v>
      </c>
      <c r="C58" t="s">
        <v>16</v>
      </c>
      <c r="D58" t="s">
        <v>17</v>
      </c>
      <c r="E58">
        <v>5</v>
      </c>
      <c r="F58" t="s">
        <v>21</v>
      </c>
      <c r="G58" t="s">
        <v>20</v>
      </c>
      <c r="H58">
        <v>40</v>
      </c>
      <c r="I58">
        <v>1</v>
      </c>
    </row>
    <row r="59" spans="1:9" x14ac:dyDescent="0.3">
      <c r="A59">
        <v>2</v>
      </c>
      <c r="B59">
        <v>1</v>
      </c>
      <c r="C59" t="s">
        <v>16</v>
      </c>
      <c r="D59" t="s">
        <v>17</v>
      </c>
      <c r="E59">
        <v>8</v>
      </c>
      <c r="F59" t="s">
        <v>21</v>
      </c>
      <c r="G59" t="s">
        <v>20</v>
      </c>
      <c r="H59">
        <v>46</v>
      </c>
      <c r="I59">
        <v>1</v>
      </c>
    </row>
    <row r="60" spans="1:9" x14ac:dyDescent="0.3">
      <c r="A60">
        <v>2</v>
      </c>
      <c r="B60">
        <v>1</v>
      </c>
      <c r="C60" t="s">
        <v>16</v>
      </c>
      <c r="D60" t="s">
        <v>17</v>
      </c>
      <c r="E60">
        <v>2</v>
      </c>
      <c r="F60" t="s">
        <v>21</v>
      </c>
      <c r="G60" t="s">
        <v>20</v>
      </c>
      <c r="H60">
        <v>53</v>
      </c>
      <c r="I60">
        <v>1</v>
      </c>
    </row>
    <row r="61" spans="1:9" x14ac:dyDescent="0.3">
      <c r="A61">
        <v>2</v>
      </c>
      <c r="B61">
        <v>1</v>
      </c>
      <c r="C61" t="s">
        <v>16</v>
      </c>
      <c r="D61" t="s">
        <v>17</v>
      </c>
      <c r="E61">
        <v>2</v>
      </c>
      <c r="F61" t="s">
        <v>21</v>
      </c>
      <c r="G61" t="s">
        <v>20</v>
      </c>
      <c r="H61">
        <v>37</v>
      </c>
      <c r="I61">
        <v>1</v>
      </c>
    </row>
    <row r="62" spans="1:9" x14ac:dyDescent="0.3">
      <c r="A62">
        <v>2</v>
      </c>
      <c r="B62">
        <v>1</v>
      </c>
      <c r="C62" t="s">
        <v>16</v>
      </c>
      <c r="D62" t="s">
        <v>17</v>
      </c>
      <c r="E62">
        <v>30</v>
      </c>
      <c r="F62" t="s">
        <v>21</v>
      </c>
      <c r="G62" t="s">
        <v>20</v>
      </c>
      <c r="H62">
        <v>17</v>
      </c>
      <c r="I62">
        <v>0</v>
      </c>
    </row>
    <row r="63" spans="1:9" x14ac:dyDescent="0.3">
      <c r="A63">
        <v>2</v>
      </c>
      <c r="B63">
        <v>1</v>
      </c>
      <c r="C63" t="s">
        <v>16</v>
      </c>
      <c r="D63" t="s">
        <v>17</v>
      </c>
      <c r="E63">
        <v>6</v>
      </c>
      <c r="F63" t="s">
        <v>21</v>
      </c>
      <c r="G63" t="s">
        <v>20</v>
      </c>
      <c r="H63">
        <v>29</v>
      </c>
      <c r="I63">
        <v>1</v>
      </c>
    </row>
    <row r="64" spans="1:9" x14ac:dyDescent="0.3">
      <c r="A64">
        <v>2</v>
      </c>
      <c r="B64">
        <v>1</v>
      </c>
      <c r="C64" t="s">
        <v>16</v>
      </c>
      <c r="D64" t="s">
        <v>17</v>
      </c>
      <c r="E64">
        <v>2</v>
      </c>
      <c r="F64" t="s">
        <v>21</v>
      </c>
      <c r="G64" t="s">
        <v>20</v>
      </c>
      <c r="H64">
        <v>8</v>
      </c>
      <c r="I64">
        <v>1</v>
      </c>
    </row>
    <row r="65" spans="1:9" x14ac:dyDescent="0.3">
      <c r="A65">
        <v>2</v>
      </c>
      <c r="B65">
        <v>1</v>
      </c>
      <c r="C65" t="s">
        <v>16</v>
      </c>
      <c r="D65" t="s">
        <v>17</v>
      </c>
      <c r="E65">
        <v>9</v>
      </c>
      <c r="F65" t="s">
        <v>21</v>
      </c>
      <c r="G65" t="s">
        <v>20</v>
      </c>
      <c r="H65">
        <v>30</v>
      </c>
      <c r="I65">
        <v>1</v>
      </c>
    </row>
    <row r="66" spans="1:9" x14ac:dyDescent="0.3">
      <c r="A66">
        <v>2</v>
      </c>
      <c r="B66">
        <v>1</v>
      </c>
      <c r="C66" t="s">
        <v>16</v>
      </c>
      <c r="D66" t="s">
        <v>17</v>
      </c>
      <c r="E66">
        <v>16</v>
      </c>
      <c r="F66" t="s">
        <v>21</v>
      </c>
      <c r="G66" t="s">
        <v>20</v>
      </c>
      <c r="H66">
        <v>16</v>
      </c>
      <c r="I66">
        <v>0</v>
      </c>
    </row>
    <row r="67" spans="1:9" x14ac:dyDescent="0.3">
      <c r="A67">
        <v>2</v>
      </c>
      <c r="B67">
        <v>1</v>
      </c>
      <c r="C67" t="s">
        <v>16</v>
      </c>
      <c r="D67" t="s">
        <v>17</v>
      </c>
      <c r="E67">
        <v>5</v>
      </c>
      <c r="F67" t="s">
        <v>21</v>
      </c>
      <c r="G67" t="s">
        <v>20</v>
      </c>
      <c r="H67">
        <v>32</v>
      </c>
      <c r="I67">
        <v>1</v>
      </c>
    </row>
    <row r="68" spans="1:9" x14ac:dyDescent="0.3">
      <c r="A68">
        <v>2</v>
      </c>
      <c r="B68">
        <v>1</v>
      </c>
      <c r="C68" t="s">
        <v>16</v>
      </c>
      <c r="D68" t="s">
        <v>17</v>
      </c>
      <c r="E68">
        <v>0</v>
      </c>
      <c r="F68" t="s">
        <v>21</v>
      </c>
      <c r="G68" t="s">
        <v>20</v>
      </c>
      <c r="H68">
        <v>38</v>
      </c>
      <c r="I68">
        <v>1</v>
      </c>
    </row>
    <row r="69" spans="1:9" x14ac:dyDescent="0.3">
      <c r="A69">
        <v>2</v>
      </c>
      <c r="B69">
        <v>1</v>
      </c>
      <c r="C69" t="s">
        <v>16</v>
      </c>
      <c r="D69" t="s">
        <v>17</v>
      </c>
      <c r="E69">
        <v>15</v>
      </c>
      <c r="F69" t="s">
        <v>21</v>
      </c>
      <c r="G69" t="s">
        <v>20</v>
      </c>
      <c r="H69">
        <v>35</v>
      </c>
      <c r="I69">
        <v>1</v>
      </c>
    </row>
    <row r="70" spans="1:9" x14ac:dyDescent="0.3">
      <c r="A70">
        <v>2</v>
      </c>
      <c r="B70">
        <v>1</v>
      </c>
      <c r="C70" t="s">
        <v>16</v>
      </c>
      <c r="D70" t="s">
        <v>17</v>
      </c>
      <c r="E70">
        <v>2</v>
      </c>
      <c r="F70" t="s">
        <v>21</v>
      </c>
      <c r="G70" t="s">
        <v>20</v>
      </c>
      <c r="H70">
        <v>43</v>
      </c>
      <c r="I70">
        <v>1</v>
      </c>
    </row>
    <row r="71" spans="1:9" x14ac:dyDescent="0.3">
      <c r="A71">
        <v>2</v>
      </c>
      <c r="B71">
        <v>1</v>
      </c>
      <c r="C71" t="s">
        <v>16</v>
      </c>
      <c r="D71" t="s">
        <v>17</v>
      </c>
      <c r="E71">
        <v>2</v>
      </c>
      <c r="F71" t="s">
        <v>21</v>
      </c>
      <c r="G71" t="s">
        <v>20</v>
      </c>
      <c r="H71">
        <v>17</v>
      </c>
      <c r="I71">
        <v>1</v>
      </c>
    </row>
    <row r="72" spans="1:9" x14ac:dyDescent="0.3">
      <c r="A72">
        <v>2</v>
      </c>
      <c r="B72">
        <v>1</v>
      </c>
      <c r="C72" t="s">
        <v>16</v>
      </c>
      <c r="D72" t="s">
        <v>17</v>
      </c>
      <c r="E72">
        <v>2</v>
      </c>
      <c r="F72" t="s">
        <v>21</v>
      </c>
      <c r="G72" t="s">
        <v>20</v>
      </c>
      <c r="H72">
        <v>56</v>
      </c>
      <c r="I72">
        <v>1</v>
      </c>
    </row>
    <row r="73" spans="1:9" x14ac:dyDescent="0.3">
      <c r="A73">
        <v>2</v>
      </c>
      <c r="B73">
        <v>1</v>
      </c>
      <c r="C73" t="s">
        <v>16</v>
      </c>
      <c r="D73" t="s">
        <v>17</v>
      </c>
      <c r="E73">
        <v>0</v>
      </c>
      <c r="F73" t="s">
        <v>21</v>
      </c>
      <c r="G73" t="s">
        <v>20</v>
      </c>
      <c r="H73">
        <v>48</v>
      </c>
      <c r="I73">
        <v>1</v>
      </c>
    </row>
    <row r="74" spans="1:9" x14ac:dyDescent="0.3">
      <c r="A74">
        <v>2</v>
      </c>
      <c r="B74">
        <v>1</v>
      </c>
      <c r="C74" t="s">
        <v>16</v>
      </c>
      <c r="D74" t="s">
        <v>17</v>
      </c>
      <c r="E74">
        <v>12</v>
      </c>
      <c r="F74" t="s">
        <v>21</v>
      </c>
      <c r="G74" t="s">
        <v>20</v>
      </c>
      <c r="H74">
        <v>28</v>
      </c>
      <c r="I74">
        <v>1</v>
      </c>
    </row>
    <row r="75" spans="1:9" x14ac:dyDescent="0.3">
      <c r="A75">
        <v>2</v>
      </c>
      <c r="B75">
        <v>1</v>
      </c>
      <c r="C75" t="s">
        <v>16</v>
      </c>
      <c r="D75" t="s">
        <v>17</v>
      </c>
      <c r="E75">
        <v>0</v>
      </c>
      <c r="F75" t="s">
        <v>21</v>
      </c>
      <c r="G75" t="s">
        <v>20</v>
      </c>
      <c r="H75">
        <v>59</v>
      </c>
      <c r="I75">
        <v>1</v>
      </c>
    </row>
    <row r="76" spans="1:9" x14ac:dyDescent="0.3">
      <c r="A76">
        <v>2</v>
      </c>
      <c r="B76">
        <v>1</v>
      </c>
      <c r="C76" t="s">
        <v>16</v>
      </c>
      <c r="D76" t="s">
        <v>17</v>
      </c>
      <c r="E76">
        <v>3</v>
      </c>
      <c r="F76" t="s">
        <v>21</v>
      </c>
      <c r="G76" t="s">
        <v>20</v>
      </c>
      <c r="H76">
        <v>55</v>
      </c>
      <c r="I76">
        <v>1</v>
      </c>
    </row>
    <row r="77" spans="1:9" x14ac:dyDescent="0.3">
      <c r="A77">
        <v>2</v>
      </c>
      <c r="B77">
        <v>1</v>
      </c>
      <c r="C77" t="s">
        <v>16</v>
      </c>
      <c r="D77" t="s">
        <v>17</v>
      </c>
      <c r="E77">
        <v>19</v>
      </c>
      <c r="F77" t="s">
        <v>21</v>
      </c>
      <c r="G77" t="s">
        <v>20</v>
      </c>
      <c r="H77">
        <v>56</v>
      </c>
      <c r="I77">
        <v>1</v>
      </c>
    </row>
    <row r="78" spans="1:9" x14ac:dyDescent="0.3">
      <c r="A78">
        <v>2</v>
      </c>
      <c r="B78">
        <v>1</v>
      </c>
      <c r="C78" t="s">
        <v>16</v>
      </c>
      <c r="D78" t="s">
        <v>17</v>
      </c>
      <c r="E78">
        <v>2</v>
      </c>
      <c r="F78" t="s">
        <v>21</v>
      </c>
      <c r="G78" t="s">
        <v>20</v>
      </c>
      <c r="H78">
        <v>38</v>
      </c>
      <c r="I78">
        <v>1</v>
      </c>
    </row>
    <row r="79" spans="1:9" x14ac:dyDescent="0.3">
      <c r="A79">
        <v>2</v>
      </c>
      <c r="B79">
        <v>1</v>
      </c>
      <c r="C79" t="s">
        <v>16</v>
      </c>
      <c r="D79" t="s">
        <v>17</v>
      </c>
      <c r="E79">
        <v>2</v>
      </c>
      <c r="F79" t="s">
        <v>21</v>
      </c>
      <c r="G79" t="s">
        <v>20</v>
      </c>
      <c r="H79">
        <v>64</v>
      </c>
      <c r="I79">
        <v>1</v>
      </c>
    </row>
    <row r="80" spans="1:9" x14ac:dyDescent="0.3">
      <c r="A80">
        <v>2</v>
      </c>
      <c r="B80">
        <v>1</v>
      </c>
      <c r="C80" t="s">
        <v>16</v>
      </c>
      <c r="D80" t="s">
        <v>17</v>
      </c>
      <c r="E80">
        <v>19</v>
      </c>
      <c r="F80" t="s">
        <v>21</v>
      </c>
      <c r="G80" t="s">
        <v>20</v>
      </c>
      <c r="H80">
        <v>56</v>
      </c>
      <c r="I80">
        <v>1</v>
      </c>
    </row>
    <row r="81" spans="1:9" x14ac:dyDescent="0.3">
      <c r="A81">
        <v>2</v>
      </c>
      <c r="B81">
        <v>1</v>
      </c>
      <c r="C81" t="s">
        <v>16</v>
      </c>
      <c r="D81" t="s">
        <v>17</v>
      </c>
      <c r="E81">
        <v>6</v>
      </c>
      <c r="F81" t="s">
        <v>21</v>
      </c>
      <c r="G81" t="s">
        <v>20</v>
      </c>
      <c r="H81">
        <v>76</v>
      </c>
      <c r="I81">
        <v>1</v>
      </c>
    </row>
    <row r="82" spans="1:9" x14ac:dyDescent="0.3">
      <c r="A82">
        <v>2</v>
      </c>
      <c r="B82">
        <v>1</v>
      </c>
      <c r="C82" t="s">
        <v>16</v>
      </c>
      <c r="D82" t="s">
        <v>17</v>
      </c>
      <c r="E82">
        <v>15</v>
      </c>
      <c r="F82" t="s">
        <v>21</v>
      </c>
      <c r="G82" t="s">
        <v>20</v>
      </c>
      <c r="H82">
        <v>29</v>
      </c>
      <c r="I82">
        <v>1</v>
      </c>
    </row>
    <row r="83" spans="1:9" x14ac:dyDescent="0.3">
      <c r="A83">
        <v>2</v>
      </c>
      <c r="B83">
        <v>1</v>
      </c>
      <c r="C83" t="s">
        <v>16</v>
      </c>
      <c r="D83" t="s">
        <v>17</v>
      </c>
      <c r="E83">
        <v>2</v>
      </c>
      <c r="F83" t="s">
        <v>21</v>
      </c>
      <c r="G83" t="s">
        <v>20</v>
      </c>
      <c r="H83">
        <v>30</v>
      </c>
      <c r="I83">
        <v>1</v>
      </c>
    </row>
    <row r="84" spans="1:9" x14ac:dyDescent="0.3">
      <c r="A84">
        <v>2</v>
      </c>
      <c r="B84">
        <v>1</v>
      </c>
      <c r="C84" t="s">
        <v>16</v>
      </c>
      <c r="D84" t="s">
        <v>17</v>
      </c>
      <c r="E84">
        <v>2</v>
      </c>
      <c r="F84" t="s">
        <v>21</v>
      </c>
      <c r="G84" t="s">
        <v>20</v>
      </c>
      <c r="H84">
        <v>53</v>
      </c>
      <c r="I84">
        <v>1</v>
      </c>
    </row>
    <row r="85" spans="1:9" x14ac:dyDescent="0.3">
      <c r="A85">
        <v>2</v>
      </c>
      <c r="B85">
        <v>1</v>
      </c>
      <c r="C85" t="s">
        <v>16</v>
      </c>
      <c r="D85" t="s">
        <v>17</v>
      </c>
      <c r="E85">
        <v>5</v>
      </c>
      <c r="F85" t="s">
        <v>21</v>
      </c>
      <c r="G85" t="s">
        <v>20</v>
      </c>
      <c r="H85">
        <v>25</v>
      </c>
      <c r="I85">
        <v>1</v>
      </c>
    </row>
    <row r="86" spans="1:9" x14ac:dyDescent="0.3">
      <c r="A86">
        <v>2</v>
      </c>
      <c r="B86">
        <v>1</v>
      </c>
      <c r="C86" t="s">
        <v>16</v>
      </c>
      <c r="D86" t="s">
        <v>17</v>
      </c>
      <c r="E86">
        <v>2</v>
      </c>
      <c r="F86" t="s">
        <v>21</v>
      </c>
      <c r="G86" t="s">
        <v>20</v>
      </c>
      <c r="H86">
        <v>32</v>
      </c>
      <c r="I86">
        <v>1</v>
      </c>
    </row>
    <row r="87" spans="1:9" x14ac:dyDescent="0.3">
      <c r="A87">
        <v>2</v>
      </c>
      <c r="B87">
        <v>1</v>
      </c>
      <c r="C87" t="s">
        <v>16</v>
      </c>
      <c r="D87" t="s">
        <v>17</v>
      </c>
      <c r="E87">
        <v>14</v>
      </c>
      <c r="F87" t="s">
        <v>21</v>
      </c>
      <c r="G87" t="s">
        <v>20</v>
      </c>
      <c r="H87">
        <v>22</v>
      </c>
      <c r="I87">
        <v>1</v>
      </c>
    </row>
    <row r="88" spans="1:9" x14ac:dyDescent="0.3">
      <c r="A88">
        <v>2</v>
      </c>
      <c r="B88">
        <v>1</v>
      </c>
      <c r="C88" t="s">
        <v>16</v>
      </c>
      <c r="D88" t="s">
        <v>17</v>
      </c>
      <c r="E88">
        <v>2</v>
      </c>
      <c r="F88" t="s">
        <v>21</v>
      </c>
      <c r="G88" t="s">
        <v>20</v>
      </c>
      <c r="H88">
        <v>23</v>
      </c>
      <c r="I88">
        <v>1</v>
      </c>
    </row>
    <row r="89" spans="1:9" x14ac:dyDescent="0.3">
      <c r="A89">
        <v>2</v>
      </c>
      <c r="B89">
        <v>1</v>
      </c>
      <c r="C89" t="s">
        <v>16</v>
      </c>
      <c r="D89" t="s">
        <v>17</v>
      </c>
      <c r="E89">
        <v>0</v>
      </c>
      <c r="F89" t="s">
        <v>21</v>
      </c>
      <c r="G89" t="s">
        <v>20</v>
      </c>
      <c r="H89">
        <v>33</v>
      </c>
      <c r="I89">
        <v>1</v>
      </c>
    </row>
    <row r="90" spans="1:9" x14ac:dyDescent="0.3">
      <c r="A90">
        <v>2</v>
      </c>
      <c r="B90">
        <v>1</v>
      </c>
      <c r="C90" t="s">
        <v>16</v>
      </c>
      <c r="D90" t="s">
        <v>17</v>
      </c>
      <c r="E90">
        <v>17</v>
      </c>
      <c r="F90" t="s">
        <v>21</v>
      </c>
      <c r="G90" t="s">
        <v>20</v>
      </c>
      <c r="H90">
        <v>38</v>
      </c>
      <c r="I90">
        <v>1</v>
      </c>
    </row>
    <row r="91" spans="1:9" x14ac:dyDescent="0.3">
      <c r="A91">
        <v>2</v>
      </c>
      <c r="B91">
        <v>1</v>
      </c>
      <c r="C91" t="s">
        <v>16</v>
      </c>
      <c r="D91" t="s">
        <v>17</v>
      </c>
      <c r="E91">
        <v>21</v>
      </c>
      <c r="F91" t="s">
        <v>21</v>
      </c>
      <c r="G91" t="s">
        <v>20</v>
      </c>
      <c r="H91">
        <v>48</v>
      </c>
      <c r="I91">
        <v>1</v>
      </c>
    </row>
    <row r="92" spans="1:9" x14ac:dyDescent="0.3">
      <c r="A92">
        <v>2</v>
      </c>
      <c r="B92">
        <v>1</v>
      </c>
      <c r="C92" t="s">
        <v>16</v>
      </c>
      <c r="D92" t="s">
        <v>17</v>
      </c>
      <c r="E92">
        <v>9</v>
      </c>
      <c r="F92" t="s">
        <v>21</v>
      </c>
      <c r="G92" t="s">
        <v>20</v>
      </c>
      <c r="H92">
        <v>13</v>
      </c>
      <c r="I92">
        <v>1</v>
      </c>
    </row>
    <row r="93" spans="1:9" x14ac:dyDescent="0.3">
      <c r="A93">
        <v>2</v>
      </c>
      <c r="B93">
        <v>1</v>
      </c>
      <c r="C93" t="s">
        <v>16</v>
      </c>
      <c r="D93" t="s">
        <v>17</v>
      </c>
      <c r="E93">
        <v>7</v>
      </c>
      <c r="F93" t="s">
        <v>21</v>
      </c>
      <c r="G93" t="s">
        <v>20</v>
      </c>
      <c r="H93">
        <v>34</v>
      </c>
      <c r="I93">
        <v>1</v>
      </c>
    </row>
    <row r="94" spans="1:9" x14ac:dyDescent="0.3">
      <c r="A94">
        <v>2</v>
      </c>
      <c r="B94">
        <v>1</v>
      </c>
      <c r="C94" t="s">
        <v>16</v>
      </c>
      <c r="D94" t="s">
        <v>17</v>
      </c>
      <c r="E94">
        <v>0</v>
      </c>
      <c r="F94" t="s">
        <v>21</v>
      </c>
      <c r="G94" t="s">
        <v>20</v>
      </c>
      <c r="H94">
        <v>22</v>
      </c>
      <c r="I94">
        <v>1</v>
      </c>
    </row>
    <row r="95" spans="1:9" x14ac:dyDescent="0.3">
      <c r="A95">
        <v>2</v>
      </c>
      <c r="B95">
        <v>1</v>
      </c>
      <c r="C95" t="s">
        <v>16</v>
      </c>
      <c r="D95" t="s">
        <v>17</v>
      </c>
      <c r="E95">
        <v>2</v>
      </c>
      <c r="F95" t="s">
        <v>21</v>
      </c>
      <c r="G95" t="s">
        <v>20</v>
      </c>
      <c r="H95">
        <v>63</v>
      </c>
      <c r="I95">
        <v>1</v>
      </c>
    </row>
    <row r="96" spans="1:9" x14ac:dyDescent="0.3">
      <c r="A96">
        <v>2</v>
      </c>
      <c r="B96">
        <v>1</v>
      </c>
      <c r="C96" t="s">
        <v>16</v>
      </c>
      <c r="D96" t="s">
        <v>17</v>
      </c>
      <c r="E96">
        <v>15</v>
      </c>
      <c r="F96" t="s">
        <v>21</v>
      </c>
      <c r="G96" t="s">
        <v>20</v>
      </c>
      <c r="H96">
        <v>68</v>
      </c>
      <c r="I96">
        <v>1</v>
      </c>
    </row>
    <row r="97" spans="1:9" x14ac:dyDescent="0.3">
      <c r="A97">
        <v>2</v>
      </c>
      <c r="B97">
        <v>1</v>
      </c>
      <c r="C97" t="s">
        <v>16</v>
      </c>
      <c r="D97" t="s">
        <v>17</v>
      </c>
      <c r="E97">
        <v>0</v>
      </c>
      <c r="F97" t="s">
        <v>21</v>
      </c>
      <c r="G97" t="s">
        <v>20</v>
      </c>
      <c r="H97">
        <v>37</v>
      </c>
      <c r="I97">
        <v>1</v>
      </c>
    </row>
    <row r="98" spans="1:9" x14ac:dyDescent="0.3">
      <c r="A98">
        <v>2</v>
      </c>
      <c r="B98">
        <v>1</v>
      </c>
      <c r="C98" t="s">
        <v>16</v>
      </c>
      <c r="D98" t="s">
        <v>17</v>
      </c>
      <c r="E98">
        <v>25</v>
      </c>
      <c r="F98" t="s">
        <v>21</v>
      </c>
      <c r="G98" t="s">
        <v>20</v>
      </c>
      <c r="H98">
        <v>46</v>
      </c>
      <c r="I98">
        <v>1</v>
      </c>
    </row>
    <row r="99" spans="1:9" x14ac:dyDescent="0.3">
      <c r="A99">
        <v>2</v>
      </c>
      <c r="B99">
        <v>1</v>
      </c>
      <c r="C99" t="s">
        <v>16</v>
      </c>
      <c r="D99" t="s">
        <v>17</v>
      </c>
      <c r="E99">
        <v>0</v>
      </c>
      <c r="F99" t="s">
        <v>21</v>
      </c>
      <c r="G99" t="s">
        <v>20</v>
      </c>
      <c r="H99">
        <v>48</v>
      </c>
      <c r="I99">
        <v>1</v>
      </c>
    </row>
    <row r="100" spans="1:9" x14ac:dyDescent="0.3">
      <c r="A100">
        <v>2</v>
      </c>
      <c r="B100">
        <v>1</v>
      </c>
      <c r="C100" t="s">
        <v>16</v>
      </c>
      <c r="D100" t="s">
        <v>17</v>
      </c>
      <c r="E100">
        <v>2</v>
      </c>
      <c r="F100" t="s">
        <v>21</v>
      </c>
      <c r="G100" t="s">
        <v>20</v>
      </c>
      <c r="H100">
        <v>48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BE6FC-A504-470B-B864-E21A6635FA86}">
  <dimension ref="A1:T100"/>
  <sheetViews>
    <sheetView topLeftCell="J1" workbookViewId="0">
      <selection activeCell="Q23" sqref="Q2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16</v>
      </c>
      <c r="D1" t="s">
        <v>17</v>
      </c>
      <c r="E1">
        <v>2</v>
      </c>
      <c r="F1" t="s">
        <v>23</v>
      </c>
      <c r="G1" t="s">
        <v>22</v>
      </c>
      <c r="H1">
        <v>40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16</v>
      </c>
      <c r="D2" t="s">
        <v>17</v>
      </c>
      <c r="E2">
        <v>24</v>
      </c>
      <c r="F2" t="s">
        <v>23</v>
      </c>
      <c r="G2" t="s">
        <v>22</v>
      </c>
      <c r="H2">
        <v>95</v>
      </c>
      <c r="I2">
        <v>1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16</v>
      </c>
      <c r="D3" t="s">
        <v>17</v>
      </c>
      <c r="E3">
        <v>31</v>
      </c>
      <c r="F3" t="s">
        <v>23</v>
      </c>
      <c r="G3" t="s">
        <v>22</v>
      </c>
      <c r="H3">
        <v>35</v>
      </c>
      <c r="I3">
        <v>1</v>
      </c>
      <c r="K3" s="8" t="s">
        <v>11</v>
      </c>
      <c r="L3" s="8"/>
      <c r="M3" s="10">
        <f>COUNTIF($I$1:$I$100, 0)</f>
        <v>17</v>
      </c>
      <c r="N3" s="10"/>
      <c r="O3" s="10">
        <f>COUNTIFS($I$1:$I$100, 0, $B$1:$B$100, 0)</f>
        <v>8</v>
      </c>
      <c r="P3" s="10"/>
      <c r="Q3" s="11">
        <f>COUNTIFS($I$1:$I$100, 0, $B$1:$B$100, 1)</f>
        <v>9</v>
      </c>
      <c r="R3" s="12"/>
      <c r="T3" cm="1">
        <f t="array" ref="T3">SUMPRODUCT(--($E$1:$E$100=$H$1:$H$100))</f>
        <v>2</v>
      </c>
    </row>
    <row r="4" spans="1:20" x14ac:dyDescent="0.3">
      <c r="A4">
        <v>2</v>
      </c>
      <c r="B4">
        <v>0</v>
      </c>
      <c r="C4" t="s">
        <v>16</v>
      </c>
      <c r="D4" t="s">
        <v>17</v>
      </c>
      <c r="E4">
        <v>1</v>
      </c>
      <c r="F4" t="s">
        <v>23</v>
      </c>
      <c r="G4" t="s">
        <v>22</v>
      </c>
      <c r="H4">
        <v>57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16</v>
      </c>
      <c r="D5" t="s">
        <v>17</v>
      </c>
      <c r="E5">
        <v>31</v>
      </c>
      <c r="F5" t="s">
        <v>23</v>
      </c>
      <c r="G5" t="s">
        <v>22</v>
      </c>
      <c r="H5">
        <v>40</v>
      </c>
      <c r="I5">
        <v>1</v>
      </c>
      <c r="K5" s="8" t="s">
        <v>10</v>
      </c>
      <c r="L5" s="8"/>
      <c r="M5" s="14">
        <f>COUNTIF($I$1:$I$100, 1)</f>
        <v>83</v>
      </c>
      <c r="N5" s="10"/>
      <c r="O5" s="10">
        <f>COUNTIFS($I$1:$I$100, 1, $B$1:$B$100, 0)</f>
        <v>42</v>
      </c>
      <c r="P5" s="10"/>
      <c r="Q5" s="10">
        <f>COUNTIFS($I$1:$I$100, 1, $B$1:$B$100, 1)</f>
        <v>41</v>
      </c>
      <c r="R5" s="13"/>
    </row>
    <row r="6" spans="1:20" x14ac:dyDescent="0.3">
      <c r="A6">
        <v>2</v>
      </c>
      <c r="B6">
        <v>0</v>
      </c>
      <c r="C6" t="s">
        <v>16</v>
      </c>
      <c r="D6" t="s">
        <v>17</v>
      </c>
      <c r="E6">
        <v>25</v>
      </c>
      <c r="F6" t="s">
        <v>23</v>
      </c>
      <c r="G6" t="s">
        <v>22</v>
      </c>
      <c r="H6">
        <v>70</v>
      </c>
      <c r="I6">
        <v>1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16</v>
      </c>
      <c r="D7" t="s">
        <v>17</v>
      </c>
      <c r="E7">
        <v>29</v>
      </c>
      <c r="F7" t="s">
        <v>23</v>
      </c>
      <c r="G7" t="s">
        <v>22</v>
      </c>
      <c r="H7">
        <v>32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16</v>
      </c>
      <c r="D8" t="s">
        <v>17</v>
      </c>
      <c r="E8">
        <v>30</v>
      </c>
      <c r="F8" t="s">
        <v>23</v>
      </c>
      <c r="G8" t="s">
        <v>22</v>
      </c>
      <c r="H8">
        <v>51</v>
      </c>
      <c r="I8">
        <v>1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16</v>
      </c>
      <c r="D9" t="s">
        <v>17</v>
      </c>
      <c r="E9">
        <v>31</v>
      </c>
      <c r="F9" t="s">
        <v>23</v>
      </c>
      <c r="G9" t="s">
        <v>22</v>
      </c>
      <c r="H9">
        <v>24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16</v>
      </c>
      <c r="D10" t="s">
        <v>17</v>
      </c>
      <c r="E10">
        <v>0</v>
      </c>
      <c r="F10" t="s">
        <v>23</v>
      </c>
      <c r="G10" t="s">
        <v>22</v>
      </c>
      <c r="H10">
        <v>45</v>
      </c>
      <c r="I10">
        <v>1</v>
      </c>
      <c r="K10" s="8" t="s">
        <v>6</v>
      </c>
      <c r="L10" s="8"/>
      <c r="M10" s="10">
        <f>AVERAGE($E$1:$E$100,)</f>
        <v>24.099009900990097</v>
      </c>
      <c r="N10" s="10"/>
      <c r="O10" s="10" cm="1">
        <f t="array" ref="O10">AVERAGE(_xlfn._xlws.FILTER($E$1:$E$100,$I$1:$I$100 = 0))</f>
        <v>50.823529411764703</v>
      </c>
      <c r="P10" s="10"/>
      <c r="Q10" s="11" cm="1">
        <f t="array" ref="Q10">AVERAGE(_xlfn._xlws.FILTER($E$1:$E$100,$I$1:$I$100 = 1))</f>
        <v>18.91566265060241</v>
      </c>
      <c r="R10" s="12"/>
    </row>
    <row r="11" spans="1:20" x14ac:dyDescent="0.3">
      <c r="A11">
        <v>2</v>
      </c>
      <c r="B11">
        <v>0</v>
      </c>
      <c r="C11" t="s">
        <v>16</v>
      </c>
      <c r="D11" t="s">
        <v>17</v>
      </c>
      <c r="E11">
        <v>12</v>
      </c>
      <c r="F11" t="s">
        <v>23</v>
      </c>
      <c r="G11" t="s">
        <v>22</v>
      </c>
      <c r="H11">
        <v>60</v>
      </c>
      <c r="I11">
        <v>1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16</v>
      </c>
      <c r="D12" t="s">
        <v>17</v>
      </c>
      <c r="E12">
        <v>80</v>
      </c>
      <c r="F12" t="s">
        <v>23</v>
      </c>
      <c r="G12" t="s">
        <v>22</v>
      </c>
      <c r="H12">
        <v>48</v>
      </c>
      <c r="I12">
        <v>0</v>
      </c>
      <c r="K12" s="8" t="s">
        <v>5</v>
      </c>
      <c r="L12" s="8"/>
      <c r="M12" s="10">
        <f>AVERAGE($H$1:$H$100,)</f>
        <v>49.277227722772274</v>
      </c>
      <c r="N12" s="10"/>
      <c r="O12" s="10" cm="1">
        <f t="array" ref="O12">AVERAGE(_xlfn._xlws.FILTER($H$1:$H$100,$I$1:$I$100 = 0))</f>
        <v>35.941176470588232</v>
      </c>
      <c r="P12" s="10"/>
      <c r="Q12" s="10" cm="1">
        <f t="array" ref="Q12">AVERAGE(_xlfn._xlws.FILTER($H$1:$H$100,$I$1:$I$100 = 1))</f>
        <v>52.602409638554214</v>
      </c>
      <c r="R12" s="13"/>
    </row>
    <row r="13" spans="1:20" x14ac:dyDescent="0.3">
      <c r="A13">
        <v>2</v>
      </c>
      <c r="B13">
        <v>0</v>
      </c>
      <c r="C13" t="s">
        <v>16</v>
      </c>
      <c r="D13" t="s">
        <v>17</v>
      </c>
      <c r="E13">
        <v>15</v>
      </c>
      <c r="F13" t="s">
        <v>23</v>
      </c>
      <c r="G13" t="s">
        <v>22</v>
      </c>
      <c r="H13">
        <v>42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16</v>
      </c>
      <c r="D14" t="s">
        <v>17</v>
      </c>
      <c r="E14">
        <v>49</v>
      </c>
      <c r="F14" t="s">
        <v>23</v>
      </c>
      <c r="G14" t="s">
        <v>22</v>
      </c>
      <c r="H14">
        <v>67</v>
      </c>
      <c r="I14">
        <v>1</v>
      </c>
      <c r="K14" s="19" t="s">
        <v>4</v>
      </c>
      <c r="L14" s="12"/>
      <c r="M14" s="20" cm="1">
        <f t="array" ref="M14">AVERAGE($E$1:$E$100 - $H$1:$H$100)</f>
        <v>-25.43</v>
      </c>
      <c r="N14" s="20"/>
      <c r="O14" s="20" cm="1">
        <f t="array" ref="O14">AVERAGE(_xlfn._xlws.FILTER($E$1:$E$100 - $H$1:$H$100, I$1:I$100 = 0))</f>
        <v>14.882352941176471</v>
      </c>
      <c r="P14" s="20"/>
      <c r="Q14" s="20" cm="1">
        <f t="array" ref="Q14">AVERAGE(_xlfn._xlws.FILTER($E$1:$E$100 - $H$1:$H$100, I$1:I$100 = 1))</f>
        <v>-33.686746987951807</v>
      </c>
      <c r="R14" s="22"/>
    </row>
    <row r="15" spans="1:20" x14ac:dyDescent="0.3">
      <c r="A15">
        <v>2</v>
      </c>
      <c r="B15">
        <v>0</v>
      </c>
      <c r="C15" t="s">
        <v>16</v>
      </c>
      <c r="D15" t="s">
        <v>17</v>
      </c>
      <c r="E15">
        <v>23</v>
      </c>
      <c r="F15" t="s">
        <v>23</v>
      </c>
      <c r="G15" t="s">
        <v>22</v>
      </c>
      <c r="H15">
        <v>43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16</v>
      </c>
      <c r="D16" t="s">
        <v>17</v>
      </c>
      <c r="E16">
        <v>25</v>
      </c>
      <c r="F16" t="s">
        <v>23</v>
      </c>
      <c r="G16" t="s">
        <v>22</v>
      </c>
      <c r="H16">
        <v>33</v>
      </c>
      <c r="I16">
        <v>1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16</v>
      </c>
      <c r="D17" t="s">
        <v>17</v>
      </c>
      <c r="E17">
        <v>24</v>
      </c>
      <c r="F17" t="s">
        <v>23</v>
      </c>
      <c r="G17" t="s">
        <v>22</v>
      </c>
      <c r="H17">
        <v>52</v>
      </c>
      <c r="I17">
        <v>1</v>
      </c>
    </row>
    <row r="18" spans="1:9" x14ac:dyDescent="0.3">
      <c r="A18">
        <v>2</v>
      </c>
      <c r="B18">
        <v>0</v>
      </c>
      <c r="C18" t="s">
        <v>16</v>
      </c>
      <c r="D18" t="s">
        <v>17</v>
      </c>
      <c r="E18">
        <v>5</v>
      </c>
      <c r="F18" t="s">
        <v>23</v>
      </c>
      <c r="G18" t="s">
        <v>22</v>
      </c>
      <c r="H18">
        <v>77</v>
      </c>
      <c r="I18">
        <v>1</v>
      </c>
    </row>
    <row r="19" spans="1:9" x14ac:dyDescent="0.3">
      <c r="A19">
        <v>2</v>
      </c>
      <c r="B19">
        <v>0</v>
      </c>
      <c r="C19" t="s">
        <v>16</v>
      </c>
      <c r="D19" t="s">
        <v>17</v>
      </c>
      <c r="E19">
        <v>28</v>
      </c>
      <c r="F19" t="s">
        <v>23</v>
      </c>
      <c r="G19" t="s">
        <v>22</v>
      </c>
      <c r="H19">
        <v>56</v>
      </c>
      <c r="I19">
        <v>1</v>
      </c>
    </row>
    <row r="20" spans="1:9" x14ac:dyDescent="0.3">
      <c r="A20">
        <v>2</v>
      </c>
      <c r="B20">
        <v>0</v>
      </c>
      <c r="C20" t="s">
        <v>16</v>
      </c>
      <c r="D20" t="s">
        <v>17</v>
      </c>
      <c r="E20">
        <v>36</v>
      </c>
      <c r="F20" t="s">
        <v>23</v>
      </c>
      <c r="G20" t="s">
        <v>22</v>
      </c>
      <c r="H20">
        <v>31</v>
      </c>
      <c r="I20">
        <v>0</v>
      </c>
    </row>
    <row r="21" spans="1:9" x14ac:dyDescent="0.3">
      <c r="A21">
        <v>2</v>
      </c>
      <c r="B21">
        <v>0</v>
      </c>
      <c r="C21" t="s">
        <v>16</v>
      </c>
      <c r="D21" t="s">
        <v>17</v>
      </c>
      <c r="E21">
        <v>28</v>
      </c>
      <c r="F21" t="s">
        <v>23</v>
      </c>
      <c r="G21" t="s">
        <v>22</v>
      </c>
      <c r="H21">
        <v>34</v>
      </c>
      <c r="I21">
        <v>1</v>
      </c>
    </row>
    <row r="22" spans="1:9" x14ac:dyDescent="0.3">
      <c r="A22">
        <v>2</v>
      </c>
      <c r="B22">
        <v>0</v>
      </c>
      <c r="C22" t="s">
        <v>16</v>
      </c>
      <c r="D22" t="s">
        <v>17</v>
      </c>
      <c r="E22">
        <v>18</v>
      </c>
      <c r="F22" t="s">
        <v>23</v>
      </c>
      <c r="G22" t="s">
        <v>22</v>
      </c>
      <c r="H22">
        <v>69</v>
      </c>
      <c r="I22">
        <v>1</v>
      </c>
    </row>
    <row r="23" spans="1:9" x14ac:dyDescent="0.3">
      <c r="A23">
        <v>2</v>
      </c>
      <c r="B23">
        <v>0</v>
      </c>
      <c r="C23" t="s">
        <v>16</v>
      </c>
      <c r="D23" t="s">
        <v>17</v>
      </c>
      <c r="E23">
        <v>15</v>
      </c>
      <c r="F23" t="s">
        <v>23</v>
      </c>
      <c r="G23" t="s">
        <v>22</v>
      </c>
      <c r="H23">
        <v>57</v>
      </c>
      <c r="I23">
        <v>1</v>
      </c>
    </row>
    <row r="24" spans="1:9" x14ac:dyDescent="0.3">
      <c r="A24">
        <v>2</v>
      </c>
      <c r="B24">
        <v>0</v>
      </c>
      <c r="C24" t="s">
        <v>16</v>
      </c>
      <c r="D24" t="s">
        <v>17</v>
      </c>
      <c r="E24">
        <v>27</v>
      </c>
      <c r="F24" t="s">
        <v>23</v>
      </c>
      <c r="G24" t="s">
        <v>22</v>
      </c>
      <c r="H24">
        <v>44</v>
      </c>
      <c r="I24">
        <v>1</v>
      </c>
    </row>
    <row r="25" spans="1:9" x14ac:dyDescent="0.3">
      <c r="A25">
        <v>2</v>
      </c>
      <c r="B25">
        <v>0</v>
      </c>
      <c r="C25" t="s">
        <v>16</v>
      </c>
      <c r="D25" t="s">
        <v>17</v>
      </c>
      <c r="E25">
        <v>45</v>
      </c>
      <c r="F25" t="s">
        <v>23</v>
      </c>
      <c r="G25" t="s">
        <v>22</v>
      </c>
      <c r="H25">
        <v>59</v>
      </c>
      <c r="I25">
        <v>1</v>
      </c>
    </row>
    <row r="26" spans="1:9" x14ac:dyDescent="0.3">
      <c r="A26">
        <v>2</v>
      </c>
      <c r="B26">
        <v>0</v>
      </c>
      <c r="C26" t="s">
        <v>16</v>
      </c>
      <c r="D26" t="s">
        <v>17</v>
      </c>
      <c r="E26">
        <v>18</v>
      </c>
      <c r="F26" t="s">
        <v>23</v>
      </c>
      <c r="G26" t="s">
        <v>22</v>
      </c>
      <c r="H26">
        <v>39</v>
      </c>
      <c r="I26">
        <v>1</v>
      </c>
    </row>
    <row r="27" spans="1:9" x14ac:dyDescent="0.3">
      <c r="A27">
        <v>2</v>
      </c>
      <c r="B27">
        <v>0</v>
      </c>
      <c r="C27" t="s">
        <v>16</v>
      </c>
      <c r="D27" t="s">
        <v>17</v>
      </c>
      <c r="E27">
        <v>37</v>
      </c>
      <c r="F27" t="s">
        <v>23</v>
      </c>
      <c r="G27" t="s">
        <v>22</v>
      </c>
      <c r="H27">
        <v>59</v>
      </c>
      <c r="I27">
        <v>1</v>
      </c>
    </row>
    <row r="28" spans="1:9" x14ac:dyDescent="0.3">
      <c r="A28">
        <v>2</v>
      </c>
      <c r="B28">
        <v>0</v>
      </c>
      <c r="C28" t="s">
        <v>16</v>
      </c>
      <c r="D28" t="s">
        <v>17</v>
      </c>
      <c r="E28">
        <v>14</v>
      </c>
      <c r="F28" t="s">
        <v>23</v>
      </c>
      <c r="G28" t="s">
        <v>22</v>
      </c>
      <c r="H28">
        <v>62</v>
      </c>
      <c r="I28">
        <v>1</v>
      </c>
    </row>
    <row r="29" spans="1:9" x14ac:dyDescent="0.3">
      <c r="A29">
        <v>2</v>
      </c>
      <c r="B29">
        <v>0</v>
      </c>
      <c r="C29" t="s">
        <v>16</v>
      </c>
      <c r="D29" t="s">
        <v>17</v>
      </c>
      <c r="E29">
        <v>6</v>
      </c>
      <c r="F29" t="s">
        <v>23</v>
      </c>
      <c r="G29" t="s">
        <v>22</v>
      </c>
      <c r="H29">
        <v>59</v>
      </c>
      <c r="I29">
        <v>1</v>
      </c>
    </row>
    <row r="30" spans="1:9" x14ac:dyDescent="0.3">
      <c r="A30">
        <v>2</v>
      </c>
      <c r="B30">
        <v>0</v>
      </c>
      <c r="C30" t="s">
        <v>16</v>
      </c>
      <c r="D30" t="s">
        <v>17</v>
      </c>
      <c r="E30">
        <v>31</v>
      </c>
      <c r="F30" t="s">
        <v>23</v>
      </c>
      <c r="G30" t="s">
        <v>22</v>
      </c>
      <c r="H30">
        <v>52</v>
      </c>
      <c r="I30">
        <v>1</v>
      </c>
    </row>
    <row r="31" spans="1:9" x14ac:dyDescent="0.3">
      <c r="A31">
        <v>2</v>
      </c>
      <c r="B31">
        <v>0</v>
      </c>
      <c r="C31" t="s">
        <v>16</v>
      </c>
      <c r="D31" t="s">
        <v>17</v>
      </c>
      <c r="E31">
        <v>38</v>
      </c>
      <c r="F31" t="s">
        <v>23</v>
      </c>
      <c r="G31" t="s">
        <v>22</v>
      </c>
      <c r="H31">
        <v>46</v>
      </c>
      <c r="I31">
        <v>1</v>
      </c>
    </row>
    <row r="32" spans="1:9" x14ac:dyDescent="0.3">
      <c r="A32">
        <v>2</v>
      </c>
      <c r="B32">
        <v>0</v>
      </c>
      <c r="C32" t="s">
        <v>16</v>
      </c>
      <c r="D32" t="s">
        <v>17</v>
      </c>
      <c r="E32">
        <v>27</v>
      </c>
      <c r="F32" t="s">
        <v>23</v>
      </c>
      <c r="G32" t="s">
        <v>22</v>
      </c>
      <c r="H32">
        <v>33</v>
      </c>
      <c r="I32">
        <v>1</v>
      </c>
    </row>
    <row r="33" spans="1:9" x14ac:dyDescent="0.3">
      <c r="A33">
        <v>2</v>
      </c>
      <c r="B33">
        <v>0</v>
      </c>
      <c r="C33" t="s">
        <v>16</v>
      </c>
      <c r="D33" t="s">
        <v>17</v>
      </c>
      <c r="E33">
        <v>22</v>
      </c>
      <c r="F33" t="s">
        <v>23</v>
      </c>
      <c r="G33" t="s">
        <v>22</v>
      </c>
      <c r="H33">
        <v>52</v>
      </c>
      <c r="I33">
        <v>1</v>
      </c>
    </row>
    <row r="34" spans="1:9" x14ac:dyDescent="0.3">
      <c r="A34">
        <v>2</v>
      </c>
      <c r="B34">
        <v>0</v>
      </c>
      <c r="C34" t="s">
        <v>16</v>
      </c>
      <c r="D34" t="s">
        <v>17</v>
      </c>
      <c r="E34">
        <v>52</v>
      </c>
      <c r="F34" t="s">
        <v>23</v>
      </c>
      <c r="G34" t="s">
        <v>22</v>
      </c>
      <c r="H34">
        <v>52</v>
      </c>
      <c r="I34">
        <v>0</v>
      </c>
    </row>
    <row r="35" spans="1:9" x14ac:dyDescent="0.3">
      <c r="A35">
        <v>2</v>
      </c>
      <c r="B35">
        <v>0</v>
      </c>
      <c r="C35" t="s">
        <v>16</v>
      </c>
      <c r="D35" t="s">
        <v>17</v>
      </c>
      <c r="E35">
        <v>6</v>
      </c>
      <c r="F35" t="s">
        <v>23</v>
      </c>
      <c r="G35" t="s">
        <v>22</v>
      </c>
      <c r="H35">
        <v>63</v>
      </c>
      <c r="I35">
        <v>1</v>
      </c>
    </row>
    <row r="36" spans="1:9" x14ac:dyDescent="0.3">
      <c r="A36">
        <v>2</v>
      </c>
      <c r="B36">
        <v>0</v>
      </c>
      <c r="C36" t="s">
        <v>16</v>
      </c>
      <c r="D36" t="s">
        <v>17</v>
      </c>
      <c r="E36">
        <v>29</v>
      </c>
      <c r="F36" t="s">
        <v>23</v>
      </c>
      <c r="G36" t="s">
        <v>22</v>
      </c>
      <c r="H36">
        <v>64</v>
      </c>
      <c r="I36">
        <v>1</v>
      </c>
    </row>
    <row r="37" spans="1:9" x14ac:dyDescent="0.3">
      <c r="A37">
        <v>2</v>
      </c>
      <c r="B37">
        <v>0</v>
      </c>
      <c r="C37" t="s">
        <v>16</v>
      </c>
      <c r="D37" t="s">
        <v>17</v>
      </c>
      <c r="E37">
        <v>34</v>
      </c>
      <c r="F37" t="s">
        <v>23</v>
      </c>
      <c r="G37" t="s">
        <v>22</v>
      </c>
      <c r="H37">
        <v>21</v>
      </c>
      <c r="I37">
        <v>0</v>
      </c>
    </row>
    <row r="38" spans="1:9" x14ac:dyDescent="0.3">
      <c r="A38">
        <v>2</v>
      </c>
      <c r="B38">
        <v>0</v>
      </c>
      <c r="C38" t="s">
        <v>16</v>
      </c>
      <c r="D38" t="s">
        <v>17</v>
      </c>
      <c r="E38">
        <v>24</v>
      </c>
      <c r="F38" t="s">
        <v>23</v>
      </c>
      <c r="G38" t="s">
        <v>22</v>
      </c>
      <c r="H38">
        <v>43</v>
      </c>
      <c r="I38">
        <v>1</v>
      </c>
    </row>
    <row r="39" spans="1:9" x14ac:dyDescent="0.3">
      <c r="A39">
        <v>2</v>
      </c>
      <c r="B39">
        <v>0</v>
      </c>
      <c r="C39" t="s">
        <v>16</v>
      </c>
      <c r="D39" t="s">
        <v>17</v>
      </c>
      <c r="E39">
        <v>48</v>
      </c>
      <c r="F39" t="s">
        <v>23</v>
      </c>
      <c r="G39" t="s">
        <v>22</v>
      </c>
      <c r="H39">
        <v>31</v>
      </c>
      <c r="I39">
        <v>0</v>
      </c>
    </row>
    <row r="40" spans="1:9" x14ac:dyDescent="0.3">
      <c r="A40">
        <v>2</v>
      </c>
      <c r="B40">
        <v>0</v>
      </c>
      <c r="C40" t="s">
        <v>16</v>
      </c>
      <c r="D40" t="s">
        <v>17</v>
      </c>
      <c r="E40">
        <v>32</v>
      </c>
      <c r="F40" t="s">
        <v>23</v>
      </c>
      <c r="G40" t="s">
        <v>22</v>
      </c>
      <c r="H40">
        <v>56</v>
      </c>
      <c r="I40">
        <v>1</v>
      </c>
    </row>
    <row r="41" spans="1:9" x14ac:dyDescent="0.3">
      <c r="A41">
        <v>2</v>
      </c>
      <c r="B41">
        <v>0</v>
      </c>
      <c r="C41" t="s">
        <v>16</v>
      </c>
      <c r="D41" t="s">
        <v>17</v>
      </c>
      <c r="E41">
        <v>17</v>
      </c>
      <c r="F41" t="s">
        <v>23</v>
      </c>
      <c r="G41" t="s">
        <v>22</v>
      </c>
      <c r="H41">
        <v>59</v>
      </c>
      <c r="I41">
        <v>1</v>
      </c>
    </row>
    <row r="42" spans="1:9" x14ac:dyDescent="0.3">
      <c r="A42">
        <v>2</v>
      </c>
      <c r="B42">
        <v>0</v>
      </c>
      <c r="C42" t="s">
        <v>16</v>
      </c>
      <c r="D42" t="s">
        <v>17</v>
      </c>
      <c r="E42">
        <v>16</v>
      </c>
      <c r="F42" t="s">
        <v>23</v>
      </c>
      <c r="G42" t="s">
        <v>22</v>
      </c>
      <c r="H42">
        <v>36</v>
      </c>
      <c r="I42">
        <v>1</v>
      </c>
    </row>
    <row r="43" spans="1:9" x14ac:dyDescent="0.3">
      <c r="A43">
        <v>2</v>
      </c>
      <c r="B43">
        <v>0</v>
      </c>
      <c r="C43" t="s">
        <v>16</v>
      </c>
      <c r="D43" t="s">
        <v>17</v>
      </c>
      <c r="E43">
        <v>18</v>
      </c>
      <c r="F43" t="s">
        <v>23</v>
      </c>
      <c r="G43" t="s">
        <v>22</v>
      </c>
      <c r="H43">
        <v>101</v>
      </c>
      <c r="I43">
        <v>1</v>
      </c>
    </row>
    <row r="44" spans="1:9" x14ac:dyDescent="0.3">
      <c r="A44">
        <v>2</v>
      </c>
      <c r="B44">
        <v>0</v>
      </c>
      <c r="C44" t="s">
        <v>16</v>
      </c>
      <c r="D44" t="s">
        <v>17</v>
      </c>
      <c r="E44">
        <v>13</v>
      </c>
      <c r="F44" t="s">
        <v>23</v>
      </c>
      <c r="G44" t="s">
        <v>22</v>
      </c>
      <c r="H44">
        <v>30</v>
      </c>
      <c r="I44">
        <v>1</v>
      </c>
    </row>
    <row r="45" spans="1:9" x14ac:dyDescent="0.3">
      <c r="A45">
        <v>2</v>
      </c>
      <c r="B45">
        <v>0</v>
      </c>
      <c r="C45" t="s">
        <v>16</v>
      </c>
      <c r="D45" t="s">
        <v>17</v>
      </c>
      <c r="E45">
        <v>10</v>
      </c>
      <c r="F45" t="s">
        <v>23</v>
      </c>
      <c r="G45" t="s">
        <v>22</v>
      </c>
      <c r="H45">
        <v>63</v>
      </c>
      <c r="I45">
        <v>1</v>
      </c>
    </row>
    <row r="46" spans="1:9" x14ac:dyDescent="0.3">
      <c r="A46">
        <v>2</v>
      </c>
      <c r="B46">
        <v>0</v>
      </c>
      <c r="C46" t="s">
        <v>16</v>
      </c>
      <c r="D46" t="s">
        <v>17</v>
      </c>
      <c r="E46">
        <v>16</v>
      </c>
      <c r="F46" t="s">
        <v>23</v>
      </c>
      <c r="G46" t="s">
        <v>22</v>
      </c>
      <c r="H46">
        <v>38</v>
      </c>
      <c r="I46">
        <v>1</v>
      </c>
    </row>
    <row r="47" spans="1:9" x14ac:dyDescent="0.3">
      <c r="A47">
        <v>2</v>
      </c>
      <c r="B47">
        <v>0</v>
      </c>
      <c r="C47" t="s">
        <v>16</v>
      </c>
      <c r="D47" t="s">
        <v>17</v>
      </c>
      <c r="E47">
        <v>27</v>
      </c>
      <c r="F47" t="s">
        <v>23</v>
      </c>
      <c r="G47" t="s">
        <v>22</v>
      </c>
      <c r="H47">
        <v>46</v>
      </c>
      <c r="I47">
        <v>1</v>
      </c>
    </row>
    <row r="48" spans="1:9" x14ac:dyDescent="0.3">
      <c r="A48">
        <v>2</v>
      </c>
      <c r="B48">
        <v>0</v>
      </c>
      <c r="C48" t="s">
        <v>16</v>
      </c>
      <c r="D48" t="s">
        <v>17</v>
      </c>
      <c r="E48">
        <v>43</v>
      </c>
      <c r="F48" t="s">
        <v>23</v>
      </c>
      <c r="G48" t="s">
        <v>22</v>
      </c>
      <c r="H48">
        <v>37</v>
      </c>
      <c r="I48">
        <v>0</v>
      </c>
    </row>
    <row r="49" spans="1:9" x14ac:dyDescent="0.3">
      <c r="A49">
        <v>2</v>
      </c>
      <c r="B49">
        <v>0</v>
      </c>
      <c r="C49" t="s">
        <v>16</v>
      </c>
      <c r="D49" t="s">
        <v>17</v>
      </c>
      <c r="E49">
        <v>53</v>
      </c>
      <c r="F49" t="s">
        <v>23</v>
      </c>
      <c r="G49" t="s">
        <v>22</v>
      </c>
      <c r="H49">
        <v>41</v>
      </c>
      <c r="I49">
        <v>0</v>
      </c>
    </row>
    <row r="50" spans="1:9" x14ac:dyDescent="0.3">
      <c r="A50">
        <v>2</v>
      </c>
      <c r="B50">
        <v>0</v>
      </c>
      <c r="C50" t="s">
        <v>16</v>
      </c>
      <c r="D50" t="s">
        <v>17</v>
      </c>
      <c r="E50">
        <v>20</v>
      </c>
      <c r="F50" t="s">
        <v>23</v>
      </c>
      <c r="G50" t="s">
        <v>22</v>
      </c>
      <c r="H50">
        <v>45</v>
      </c>
      <c r="I50">
        <v>1</v>
      </c>
    </row>
    <row r="51" spans="1:9" x14ac:dyDescent="0.3">
      <c r="A51">
        <v>2</v>
      </c>
      <c r="B51">
        <v>1</v>
      </c>
      <c r="C51" t="s">
        <v>16</v>
      </c>
      <c r="D51" t="s">
        <v>17</v>
      </c>
      <c r="E51">
        <v>10</v>
      </c>
      <c r="F51" t="s">
        <v>23</v>
      </c>
      <c r="G51" t="s">
        <v>22</v>
      </c>
      <c r="H51">
        <v>42</v>
      </c>
      <c r="I51">
        <v>1</v>
      </c>
    </row>
    <row r="52" spans="1:9" x14ac:dyDescent="0.3">
      <c r="A52">
        <v>2</v>
      </c>
      <c r="B52">
        <v>1</v>
      </c>
      <c r="C52" t="s">
        <v>16</v>
      </c>
      <c r="D52" t="s">
        <v>17</v>
      </c>
      <c r="E52">
        <v>0</v>
      </c>
      <c r="F52" t="s">
        <v>23</v>
      </c>
      <c r="G52" t="s">
        <v>22</v>
      </c>
      <c r="H52">
        <v>47</v>
      </c>
      <c r="I52">
        <v>1</v>
      </c>
    </row>
    <row r="53" spans="1:9" x14ac:dyDescent="0.3">
      <c r="A53">
        <v>2</v>
      </c>
      <c r="B53">
        <v>1</v>
      </c>
      <c r="C53" t="s">
        <v>16</v>
      </c>
      <c r="D53" t="s">
        <v>17</v>
      </c>
      <c r="E53">
        <v>8</v>
      </c>
      <c r="F53" t="s">
        <v>23</v>
      </c>
      <c r="G53" t="s">
        <v>22</v>
      </c>
      <c r="H53">
        <v>65</v>
      </c>
      <c r="I53">
        <v>1</v>
      </c>
    </row>
    <row r="54" spans="1:9" x14ac:dyDescent="0.3">
      <c r="A54">
        <v>2</v>
      </c>
      <c r="B54">
        <v>1</v>
      </c>
      <c r="C54" t="s">
        <v>16</v>
      </c>
      <c r="D54" t="s">
        <v>17</v>
      </c>
      <c r="E54">
        <v>20</v>
      </c>
      <c r="F54" t="s">
        <v>23</v>
      </c>
      <c r="G54" t="s">
        <v>22</v>
      </c>
      <c r="H54">
        <v>52</v>
      </c>
      <c r="I54">
        <v>1</v>
      </c>
    </row>
    <row r="55" spans="1:9" x14ac:dyDescent="0.3">
      <c r="A55">
        <v>2</v>
      </c>
      <c r="B55">
        <v>1</v>
      </c>
      <c r="C55" t="s">
        <v>16</v>
      </c>
      <c r="D55" t="s">
        <v>17</v>
      </c>
      <c r="E55">
        <v>17</v>
      </c>
      <c r="F55" t="s">
        <v>23</v>
      </c>
      <c r="G55" t="s">
        <v>22</v>
      </c>
      <c r="H55">
        <v>46</v>
      </c>
      <c r="I55">
        <v>1</v>
      </c>
    </row>
    <row r="56" spans="1:9" x14ac:dyDescent="0.3">
      <c r="A56">
        <v>2</v>
      </c>
      <c r="B56">
        <v>1</v>
      </c>
      <c r="C56" t="s">
        <v>16</v>
      </c>
      <c r="D56" t="s">
        <v>17</v>
      </c>
      <c r="E56">
        <v>67</v>
      </c>
      <c r="F56" t="s">
        <v>23</v>
      </c>
      <c r="G56" t="s">
        <v>22</v>
      </c>
      <c r="H56">
        <v>47</v>
      </c>
      <c r="I56">
        <v>0</v>
      </c>
    </row>
    <row r="57" spans="1:9" x14ac:dyDescent="0.3">
      <c r="A57">
        <v>2</v>
      </c>
      <c r="B57">
        <v>1</v>
      </c>
      <c r="C57" t="s">
        <v>16</v>
      </c>
      <c r="D57" t="s">
        <v>17</v>
      </c>
      <c r="E57">
        <v>53</v>
      </c>
      <c r="F57" t="s">
        <v>23</v>
      </c>
      <c r="G57" t="s">
        <v>22</v>
      </c>
      <c r="H57">
        <v>27</v>
      </c>
      <c r="I57">
        <v>0</v>
      </c>
    </row>
    <row r="58" spans="1:9" x14ac:dyDescent="0.3">
      <c r="A58">
        <v>2</v>
      </c>
      <c r="B58">
        <v>1</v>
      </c>
      <c r="C58" t="s">
        <v>16</v>
      </c>
      <c r="D58" t="s">
        <v>17</v>
      </c>
      <c r="E58">
        <v>19</v>
      </c>
      <c r="F58" t="s">
        <v>23</v>
      </c>
      <c r="G58" t="s">
        <v>22</v>
      </c>
      <c r="H58">
        <v>68</v>
      </c>
      <c r="I58">
        <v>1</v>
      </c>
    </row>
    <row r="59" spans="1:9" x14ac:dyDescent="0.3">
      <c r="A59">
        <v>2</v>
      </c>
      <c r="B59">
        <v>1</v>
      </c>
      <c r="C59" t="s">
        <v>16</v>
      </c>
      <c r="D59" t="s">
        <v>17</v>
      </c>
      <c r="E59">
        <v>17</v>
      </c>
      <c r="F59" t="s">
        <v>23</v>
      </c>
      <c r="G59" t="s">
        <v>22</v>
      </c>
      <c r="H59">
        <v>62</v>
      </c>
      <c r="I59">
        <v>1</v>
      </c>
    </row>
    <row r="60" spans="1:9" x14ac:dyDescent="0.3">
      <c r="A60">
        <v>2</v>
      </c>
      <c r="B60">
        <v>1</v>
      </c>
      <c r="C60" t="s">
        <v>16</v>
      </c>
      <c r="D60" t="s">
        <v>17</v>
      </c>
      <c r="E60">
        <v>22</v>
      </c>
      <c r="F60" t="s">
        <v>23</v>
      </c>
      <c r="G60" t="s">
        <v>22</v>
      </c>
      <c r="H60">
        <v>55</v>
      </c>
      <c r="I60">
        <v>1</v>
      </c>
    </row>
    <row r="61" spans="1:9" x14ac:dyDescent="0.3">
      <c r="A61">
        <v>2</v>
      </c>
      <c r="B61">
        <v>1</v>
      </c>
      <c r="C61" t="s">
        <v>16</v>
      </c>
      <c r="D61" t="s">
        <v>17</v>
      </c>
      <c r="E61">
        <v>15</v>
      </c>
      <c r="F61" t="s">
        <v>23</v>
      </c>
      <c r="G61" t="s">
        <v>22</v>
      </c>
      <c r="H61">
        <v>61</v>
      </c>
      <c r="I61">
        <v>1</v>
      </c>
    </row>
    <row r="62" spans="1:9" x14ac:dyDescent="0.3">
      <c r="A62">
        <v>2</v>
      </c>
      <c r="B62">
        <v>1</v>
      </c>
      <c r="C62" t="s">
        <v>16</v>
      </c>
      <c r="D62" t="s">
        <v>17</v>
      </c>
      <c r="E62">
        <v>42</v>
      </c>
      <c r="F62" t="s">
        <v>23</v>
      </c>
      <c r="G62" t="s">
        <v>22</v>
      </c>
      <c r="H62">
        <v>54</v>
      </c>
      <c r="I62">
        <v>1</v>
      </c>
    </row>
    <row r="63" spans="1:9" x14ac:dyDescent="0.3">
      <c r="A63">
        <v>2</v>
      </c>
      <c r="B63">
        <v>1</v>
      </c>
      <c r="C63" t="s">
        <v>16</v>
      </c>
      <c r="D63" t="s">
        <v>17</v>
      </c>
      <c r="E63">
        <v>50</v>
      </c>
      <c r="F63" t="s">
        <v>23</v>
      </c>
      <c r="G63" t="s">
        <v>22</v>
      </c>
      <c r="H63">
        <v>50</v>
      </c>
      <c r="I63">
        <v>0</v>
      </c>
    </row>
    <row r="64" spans="1:9" x14ac:dyDescent="0.3">
      <c r="A64">
        <v>2</v>
      </c>
      <c r="B64">
        <v>1</v>
      </c>
      <c r="C64" t="s">
        <v>16</v>
      </c>
      <c r="D64" t="s">
        <v>17</v>
      </c>
      <c r="E64">
        <v>28</v>
      </c>
      <c r="F64" t="s">
        <v>23</v>
      </c>
      <c r="G64" t="s">
        <v>22</v>
      </c>
      <c r="H64">
        <v>57</v>
      </c>
      <c r="I64">
        <v>1</v>
      </c>
    </row>
    <row r="65" spans="1:9" x14ac:dyDescent="0.3">
      <c r="A65">
        <v>2</v>
      </c>
      <c r="B65">
        <v>1</v>
      </c>
      <c r="C65" t="s">
        <v>16</v>
      </c>
      <c r="D65" t="s">
        <v>17</v>
      </c>
      <c r="E65">
        <v>20</v>
      </c>
      <c r="F65" t="s">
        <v>23</v>
      </c>
      <c r="G65" t="s">
        <v>22</v>
      </c>
      <c r="H65">
        <v>44</v>
      </c>
      <c r="I65">
        <v>1</v>
      </c>
    </row>
    <row r="66" spans="1:9" x14ac:dyDescent="0.3">
      <c r="A66">
        <v>2</v>
      </c>
      <c r="B66">
        <v>1</v>
      </c>
      <c r="C66" t="s">
        <v>16</v>
      </c>
      <c r="D66" t="s">
        <v>17</v>
      </c>
      <c r="E66">
        <v>31</v>
      </c>
      <c r="F66" t="s">
        <v>23</v>
      </c>
      <c r="G66" t="s">
        <v>22</v>
      </c>
      <c r="H66">
        <v>46</v>
      </c>
      <c r="I66">
        <v>1</v>
      </c>
    </row>
    <row r="67" spans="1:9" x14ac:dyDescent="0.3">
      <c r="A67">
        <v>2</v>
      </c>
      <c r="B67">
        <v>1</v>
      </c>
      <c r="C67" t="s">
        <v>16</v>
      </c>
      <c r="D67" t="s">
        <v>17</v>
      </c>
      <c r="E67">
        <v>2</v>
      </c>
      <c r="F67" t="s">
        <v>23</v>
      </c>
      <c r="G67" t="s">
        <v>22</v>
      </c>
      <c r="H67">
        <v>87</v>
      </c>
      <c r="I67">
        <v>1</v>
      </c>
    </row>
    <row r="68" spans="1:9" x14ac:dyDescent="0.3">
      <c r="A68">
        <v>2</v>
      </c>
      <c r="B68">
        <v>1</v>
      </c>
      <c r="C68" t="s">
        <v>16</v>
      </c>
      <c r="D68" t="s">
        <v>17</v>
      </c>
      <c r="E68">
        <v>20</v>
      </c>
      <c r="F68" t="s">
        <v>23</v>
      </c>
      <c r="G68" t="s">
        <v>22</v>
      </c>
      <c r="H68">
        <v>81</v>
      </c>
      <c r="I68">
        <v>1</v>
      </c>
    </row>
    <row r="69" spans="1:9" x14ac:dyDescent="0.3">
      <c r="A69">
        <v>2</v>
      </c>
      <c r="B69">
        <v>1</v>
      </c>
      <c r="C69" t="s">
        <v>16</v>
      </c>
      <c r="D69" t="s">
        <v>17</v>
      </c>
      <c r="E69">
        <v>16</v>
      </c>
      <c r="F69" t="s">
        <v>23</v>
      </c>
      <c r="G69" t="s">
        <v>22</v>
      </c>
      <c r="H69">
        <v>50</v>
      </c>
      <c r="I69">
        <v>1</v>
      </c>
    </row>
    <row r="70" spans="1:9" x14ac:dyDescent="0.3">
      <c r="A70">
        <v>2</v>
      </c>
      <c r="B70">
        <v>1</v>
      </c>
      <c r="C70" t="s">
        <v>16</v>
      </c>
      <c r="D70" t="s">
        <v>17</v>
      </c>
      <c r="E70">
        <v>8</v>
      </c>
      <c r="F70" t="s">
        <v>23</v>
      </c>
      <c r="G70" t="s">
        <v>22</v>
      </c>
      <c r="H70">
        <v>49</v>
      </c>
      <c r="I70">
        <v>1</v>
      </c>
    </row>
    <row r="71" spans="1:9" x14ac:dyDescent="0.3">
      <c r="A71">
        <v>2</v>
      </c>
      <c r="B71">
        <v>1</v>
      </c>
      <c r="C71" t="s">
        <v>16</v>
      </c>
      <c r="D71" t="s">
        <v>17</v>
      </c>
      <c r="E71">
        <v>15</v>
      </c>
      <c r="F71" t="s">
        <v>23</v>
      </c>
      <c r="G71" t="s">
        <v>22</v>
      </c>
      <c r="H71">
        <v>49</v>
      </c>
      <c r="I71">
        <v>1</v>
      </c>
    </row>
    <row r="72" spans="1:9" x14ac:dyDescent="0.3">
      <c r="A72">
        <v>2</v>
      </c>
      <c r="B72">
        <v>1</v>
      </c>
      <c r="C72" t="s">
        <v>16</v>
      </c>
      <c r="D72" t="s">
        <v>17</v>
      </c>
      <c r="E72">
        <v>3</v>
      </c>
      <c r="F72" t="s">
        <v>23</v>
      </c>
      <c r="G72" t="s">
        <v>22</v>
      </c>
      <c r="H72">
        <v>41</v>
      </c>
      <c r="I72">
        <v>1</v>
      </c>
    </row>
    <row r="73" spans="1:9" x14ac:dyDescent="0.3">
      <c r="A73">
        <v>2</v>
      </c>
      <c r="B73">
        <v>1</v>
      </c>
      <c r="C73" t="s">
        <v>16</v>
      </c>
      <c r="D73" t="s">
        <v>17</v>
      </c>
      <c r="E73">
        <v>13</v>
      </c>
      <c r="F73" t="s">
        <v>23</v>
      </c>
      <c r="G73" t="s">
        <v>22</v>
      </c>
      <c r="H73">
        <v>34</v>
      </c>
      <c r="I73">
        <v>1</v>
      </c>
    </row>
    <row r="74" spans="1:9" x14ac:dyDescent="0.3">
      <c r="A74">
        <v>2</v>
      </c>
      <c r="B74">
        <v>1</v>
      </c>
      <c r="C74" t="s">
        <v>16</v>
      </c>
      <c r="D74" t="s">
        <v>17</v>
      </c>
      <c r="E74">
        <v>20</v>
      </c>
      <c r="F74" t="s">
        <v>23</v>
      </c>
      <c r="G74" t="s">
        <v>22</v>
      </c>
      <c r="H74">
        <v>30</v>
      </c>
      <c r="I74">
        <v>1</v>
      </c>
    </row>
    <row r="75" spans="1:9" x14ac:dyDescent="0.3">
      <c r="A75">
        <v>2</v>
      </c>
      <c r="B75">
        <v>1</v>
      </c>
      <c r="C75" t="s">
        <v>16</v>
      </c>
      <c r="D75" t="s">
        <v>17</v>
      </c>
      <c r="E75">
        <v>23</v>
      </c>
      <c r="F75" t="s">
        <v>23</v>
      </c>
      <c r="G75" t="s">
        <v>22</v>
      </c>
      <c r="H75">
        <v>31</v>
      </c>
      <c r="I75">
        <v>1</v>
      </c>
    </row>
    <row r="76" spans="1:9" x14ac:dyDescent="0.3">
      <c r="A76">
        <v>2</v>
      </c>
      <c r="B76">
        <v>1</v>
      </c>
      <c r="C76" t="s">
        <v>16</v>
      </c>
      <c r="D76" t="s">
        <v>17</v>
      </c>
      <c r="E76">
        <v>46</v>
      </c>
      <c r="F76" t="s">
        <v>23</v>
      </c>
      <c r="G76" t="s">
        <v>22</v>
      </c>
      <c r="H76">
        <v>21</v>
      </c>
      <c r="I76">
        <v>0</v>
      </c>
    </row>
    <row r="77" spans="1:9" x14ac:dyDescent="0.3">
      <c r="A77">
        <v>2</v>
      </c>
      <c r="B77">
        <v>1</v>
      </c>
      <c r="C77" t="s">
        <v>16</v>
      </c>
      <c r="D77" t="s">
        <v>17</v>
      </c>
      <c r="E77">
        <v>71</v>
      </c>
      <c r="F77" t="s">
        <v>23</v>
      </c>
      <c r="G77" t="s">
        <v>22</v>
      </c>
      <c r="H77">
        <v>30</v>
      </c>
      <c r="I77">
        <v>0</v>
      </c>
    </row>
    <row r="78" spans="1:9" x14ac:dyDescent="0.3">
      <c r="A78">
        <v>2</v>
      </c>
      <c r="B78">
        <v>1</v>
      </c>
      <c r="C78" t="s">
        <v>16</v>
      </c>
      <c r="D78" t="s">
        <v>17</v>
      </c>
      <c r="E78">
        <v>44</v>
      </c>
      <c r="F78" t="s">
        <v>23</v>
      </c>
      <c r="G78" t="s">
        <v>22</v>
      </c>
      <c r="H78">
        <v>52</v>
      </c>
      <c r="I78">
        <v>1</v>
      </c>
    </row>
    <row r="79" spans="1:9" x14ac:dyDescent="0.3">
      <c r="A79">
        <v>2</v>
      </c>
      <c r="B79">
        <v>1</v>
      </c>
      <c r="C79" t="s">
        <v>16</v>
      </c>
      <c r="D79" t="s">
        <v>17</v>
      </c>
      <c r="E79">
        <v>19</v>
      </c>
      <c r="F79" t="s">
        <v>23</v>
      </c>
      <c r="G79" t="s">
        <v>22</v>
      </c>
      <c r="H79">
        <v>60</v>
      </c>
      <c r="I79">
        <v>1</v>
      </c>
    </row>
    <row r="80" spans="1:9" x14ac:dyDescent="0.3">
      <c r="A80">
        <v>2</v>
      </c>
      <c r="B80">
        <v>1</v>
      </c>
      <c r="C80" t="s">
        <v>16</v>
      </c>
      <c r="D80" t="s">
        <v>17</v>
      </c>
      <c r="E80">
        <v>0</v>
      </c>
      <c r="F80" t="s">
        <v>23</v>
      </c>
      <c r="G80" t="s">
        <v>22</v>
      </c>
      <c r="H80">
        <v>97</v>
      </c>
      <c r="I80">
        <v>1</v>
      </c>
    </row>
    <row r="81" spans="1:9" x14ac:dyDescent="0.3">
      <c r="A81">
        <v>2</v>
      </c>
      <c r="B81">
        <v>1</v>
      </c>
      <c r="C81" t="s">
        <v>16</v>
      </c>
      <c r="D81" t="s">
        <v>17</v>
      </c>
      <c r="E81">
        <v>55</v>
      </c>
      <c r="F81" t="s">
        <v>23</v>
      </c>
      <c r="G81" t="s">
        <v>22</v>
      </c>
      <c r="H81">
        <v>48</v>
      </c>
      <c r="I81">
        <v>0</v>
      </c>
    </row>
    <row r="82" spans="1:9" x14ac:dyDescent="0.3">
      <c r="A82">
        <v>2</v>
      </c>
      <c r="B82">
        <v>1</v>
      </c>
      <c r="C82" t="s">
        <v>16</v>
      </c>
      <c r="D82" t="s">
        <v>17</v>
      </c>
      <c r="E82">
        <v>13</v>
      </c>
      <c r="F82" t="s">
        <v>23</v>
      </c>
      <c r="G82" t="s">
        <v>22</v>
      </c>
      <c r="H82">
        <v>38</v>
      </c>
      <c r="I82">
        <v>1</v>
      </c>
    </row>
    <row r="83" spans="1:9" x14ac:dyDescent="0.3">
      <c r="A83">
        <v>2</v>
      </c>
      <c r="B83">
        <v>1</v>
      </c>
      <c r="C83" t="s">
        <v>16</v>
      </c>
      <c r="D83" t="s">
        <v>17</v>
      </c>
      <c r="E83">
        <v>22</v>
      </c>
      <c r="F83" t="s">
        <v>23</v>
      </c>
      <c r="G83" t="s">
        <v>22</v>
      </c>
      <c r="H83">
        <v>75</v>
      </c>
      <c r="I83">
        <v>1</v>
      </c>
    </row>
    <row r="84" spans="1:9" x14ac:dyDescent="0.3">
      <c r="A84">
        <v>2</v>
      </c>
      <c r="B84">
        <v>1</v>
      </c>
      <c r="C84" t="s">
        <v>16</v>
      </c>
      <c r="D84" t="s">
        <v>17</v>
      </c>
      <c r="E84">
        <v>0</v>
      </c>
      <c r="F84" t="s">
        <v>23</v>
      </c>
      <c r="G84" t="s">
        <v>22</v>
      </c>
      <c r="H84">
        <v>59</v>
      </c>
      <c r="I84">
        <v>1</v>
      </c>
    </row>
    <row r="85" spans="1:9" x14ac:dyDescent="0.3">
      <c r="A85">
        <v>2</v>
      </c>
      <c r="B85">
        <v>1</v>
      </c>
      <c r="C85" t="s">
        <v>16</v>
      </c>
      <c r="D85" t="s">
        <v>17</v>
      </c>
      <c r="E85">
        <v>34</v>
      </c>
      <c r="F85" t="s">
        <v>23</v>
      </c>
      <c r="G85" t="s">
        <v>22</v>
      </c>
      <c r="H85">
        <v>63</v>
      </c>
      <c r="I85">
        <v>1</v>
      </c>
    </row>
    <row r="86" spans="1:9" x14ac:dyDescent="0.3">
      <c r="A86">
        <v>2</v>
      </c>
      <c r="B86">
        <v>1</v>
      </c>
      <c r="C86" t="s">
        <v>16</v>
      </c>
      <c r="D86" t="s">
        <v>17</v>
      </c>
      <c r="E86">
        <v>9</v>
      </c>
      <c r="F86" t="s">
        <v>23</v>
      </c>
      <c r="G86" t="s">
        <v>22</v>
      </c>
      <c r="H86">
        <v>54</v>
      </c>
      <c r="I86">
        <v>1</v>
      </c>
    </row>
    <row r="87" spans="1:9" x14ac:dyDescent="0.3">
      <c r="A87">
        <v>2</v>
      </c>
      <c r="B87">
        <v>1</v>
      </c>
      <c r="C87" t="s">
        <v>16</v>
      </c>
      <c r="D87" t="s">
        <v>17</v>
      </c>
      <c r="E87">
        <v>58</v>
      </c>
      <c r="F87" t="s">
        <v>23</v>
      </c>
      <c r="G87" t="s">
        <v>22</v>
      </c>
      <c r="H87">
        <v>45</v>
      </c>
      <c r="I87">
        <v>0</v>
      </c>
    </row>
    <row r="88" spans="1:9" x14ac:dyDescent="0.3">
      <c r="A88">
        <v>2</v>
      </c>
      <c r="B88">
        <v>1</v>
      </c>
      <c r="C88" t="s">
        <v>16</v>
      </c>
      <c r="D88" t="s">
        <v>17</v>
      </c>
      <c r="E88">
        <v>2</v>
      </c>
      <c r="F88" t="s">
        <v>23</v>
      </c>
      <c r="G88" t="s">
        <v>22</v>
      </c>
      <c r="H88">
        <v>39</v>
      </c>
      <c r="I88">
        <v>1</v>
      </c>
    </row>
    <row r="89" spans="1:9" x14ac:dyDescent="0.3">
      <c r="A89">
        <v>2</v>
      </c>
      <c r="B89">
        <v>1</v>
      </c>
      <c r="C89" t="s">
        <v>16</v>
      </c>
      <c r="D89" t="s">
        <v>17</v>
      </c>
      <c r="E89">
        <v>0</v>
      </c>
      <c r="F89" t="s">
        <v>23</v>
      </c>
      <c r="G89" t="s">
        <v>22</v>
      </c>
      <c r="H89">
        <v>52</v>
      </c>
      <c r="I89">
        <v>1</v>
      </c>
    </row>
    <row r="90" spans="1:9" x14ac:dyDescent="0.3">
      <c r="A90">
        <v>2</v>
      </c>
      <c r="B90">
        <v>1</v>
      </c>
      <c r="C90" t="s">
        <v>16</v>
      </c>
      <c r="D90" t="s">
        <v>17</v>
      </c>
      <c r="E90">
        <v>19</v>
      </c>
      <c r="F90" t="s">
        <v>23</v>
      </c>
      <c r="G90" t="s">
        <v>22</v>
      </c>
      <c r="H90">
        <v>66</v>
      </c>
      <c r="I90">
        <v>1</v>
      </c>
    </row>
    <row r="91" spans="1:9" x14ac:dyDescent="0.3">
      <c r="A91">
        <v>2</v>
      </c>
      <c r="B91">
        <v>1</v>
      </c>
      <c r="C91" t="s">
        <v>16</v>
      </c>
      <c r="D91" t="s">
        <v>17</v>
      </c>
      <c r="E91">
        <v>58</v>
      </c>
      <c r="F91" t="s">
        <v>23</v>
      </c>
      <c r="G91" t="s">
        <v>22</v>
      </c>
      <c r="H91">
        <v>39</v>
      </c>
      <c r="I91">
        <v>0</v>
      </c>
    </row>
    <row r="92" spans="1:9" x14ac:dyDescent="0.3">
      <c r="A92">
        <v>2</v>
      </c>
      <c r="B92">
        <v>1</v>
      </c>
      <c r="C92" t="s">
        <v>16</v>
      </c>
      <c r="D92" t="s">
        <v>17</v>
      </c>
      <c r="E92">
        <v>24</v>
      </c>
      <c r="F92" t="s">
        <v>23</v>
      </c>
      <c r="G92" t="s">
        <v>22</v>
      </c>
      <c r="H92">
        <v>44</v>
      </c>
      <c r="I92">
        <v>1</v>
      </c>
    </row>
    <row r="93" spans="1:9" x14ac:dyDescent="0.3">
      <c r="A93">
        <v>2</v>
      </c>
      <c r="B93">
        <v>1</v>
      </c>
      <c r="C93" t="s">
        <v>16</v>
      </c>
      <c r="D93" t="s">
        <v>17</v>
      </c>
      <c r="E93">
        <v>32</v>
      </c>
      <c r="F93" t="s">
        <v>23</v>
      </c>
      <c r="G93" t="s">
        <v>22</v>
      </c>
      <c r="H93">
        <v>39</v>
      </c>
      <c r="I93">
        <v>1</v>
      </c>
    </row>
    <row r="94" spans="1:9" x14ac:dyDescent="0.3">
      <c r="A94">
        <v>2</v>
      </c>
      <c r="B94">
        <v>1</v>
      </c>
      <c r="C94" t="s">
        <v>16</v>
      </c>
      <c r="D94" t="s">
        <v>17</v>
      </c>
      <c r="E94">
        <v>18</v>
      </c>
      <c r="F94" t="s">
        <v>23</v>
      </c>
      <c r="G94" t="s">
        <v>22</v>
      </c>
      <c r="H94">
        <v>27</v>
      </c>
      <c r="I94">
        <v>1</v>
      </c>
    </row>
    <row r="95" spans="1:9" x14ac:dyDescent="0.3">
      <c r="A95">
        <v>2</v>
      </c>
      <c r="B95">
        <v>1</v>
      </c>
      <c r="C95" t="s">
        <v>16</v>
      </c>
      <c r="D95" t="s">
        <v>17</v>
      </c>
      <c r="E95">
        <v>29</v>
      </c>
      <c r="F95" t="s">
        <v>23</v>
      </c>
      <c r="G95" t="s">
        <v>22</v>
      </c>
      <c r="H95">
        <v>19</v>
      </c>
      <c r="I95">
        <v>0</v>
      </c>
    </row>
    <row r="96" spans="1:9" x14ac:dyDescent="0.3">
      <c r="A96">
        <v>2</v>
      </c>
      <c r="B96">
        <v>1</v>
      </c>
      <c r="C96" t="s">
        <v>16</v>
      </c>
      <c r="D96" t="s">
        <v>17</v>
      </c>
      <c r="E96">
        <v>21</v>
      </c>
      <c r="F96" t="s">
        <v>23</v>
      </c>
      <c r="G96" t="s">
        <v>22</v>
      </c>
      <c r="H96">
        <v>43</v>
      </c>
      <c r="I96">
        <v>1</v>
      </c>
    </row>
    <row r="97" spans="1:9" x14ac:dyDescent="0.3">
      <c r="A97">
        <v>2</v>
      </c>
      <c r="B97">
        <v>1</v>
      </c>
      <c r="C97" t="s">
        <v>16</v>
      </c>
      <c r="D97" t="s">
        <v>17</v>
      </c>
      <c r="E97">
        <v>25</v>
      </c>
      <c r="F97" t="s">
        <v>23</v>
      </c>
      <c r="G97" t="s">
        <v>22</v>
      </c>
      <c r="H97">
        <v>56</v>
      </c>
      <c r="I97">
        <v>1</v>
      </c>
    </row>
    <row r="98" spans="1:9" x14ac:dyDescent="0.3">
      <c r="A98">
        <v>2</v>
      </c>
      <c r="B98">
        <v>1</v>
      </c>
      <c r="C98" t="s">
        <v>16</v>
      </c>
      <c r="D98" t="s">
        <v>17</v>
      </c>
      <c r="E98">
        <v>3</v>
      </c>
      <c r="F98" t="s">
        <v>23</v>
      </c>
      <c r="G98" t="s">
        <v>22</v>
      </c>
      <c r="H98">
        <v>32</v>
      </c>
      <c r="I98">
        <v>1</v>
      </c>
    </row>
    <row r="99" spans="1:9" x14ac:dyDescent="0.3">
      <c r="A99">
        <v>2</v>
      </c>
      <c r="B99">
        <v>1</v>
      </c>
      <c r="C99" t="s">
        <v>16</v>
      </c>
      <c r="D99" t="s">
        <v>17</v>
      </c>
      <c r="E99">
        <v>0</v>
      </c>
      <c r="F99" t="s">
        <v>23</v>
      </c>
      <c r="G99" t="s">
        <v>22</v>
      </c>
      <c r="H99">
        <v>44</v>
      </c>
      <c r="I99">
        <v>1</v>
      </c>
    </row>
    <row r="100" spans="1:9" x14ac:dyDescent="0.3">
      <c r="A100">
        <v>2</v>
      </c>
      <c r="B100">
        <v>1</v>
      </c>
      <c r="C100" t="s">
        <v>16</v>
      </c>
      <c r="D100" t="s">
        <v>17</v>
      </c>
      <c r="E100">
        <v>8</v>
      </c>
      <c r="F100" t="s">
        <v>23</v>
      </c>
      <c r="G100" t="s">
        <v>22</v>
      </c>
      <c r="H100">
        <v>71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1252A-89F3-4BDD-A2FA-77365B1187AB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16</v>
      </c>
      <c r="D1" t="s">
        <v>17</v>
      </c>
      <c r="E1">
        <v>26</v>
      </c>
      <c r="F1" t="s">
        <v>25</v>
      </c>
      <c r="G1" t="s">
        <v>24</v>
      </c>
      <c r="H1">
        <v>13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16</v>
      </c>
      <c r="D2" t="s">
        <v>17</v>
      </c>
      <c r="E2">
        <v>41</v>
      </c>
      <c r="F2" t="s">
        <v>25</v>
      </c>
      <c r="G2" t="s">
        <v>24</v>
      </c>
      <c r="H2">
        <v>0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16</v>
      </c>
      <c r="D3" t="s">
        <v>17</v>
      </c>
      <c r="E3">
        <v>12</v>
      </c>
      <c r="F3" t="s">
        <v>25</v>
      </c>
      <c r="G3" t="s">
        <v>24</v>
      </c>
      <c r="H3">
        <v>28</v>
      </c>
      <c r="I3">
        <v>1</v>
      </c>
      <c r="K3" s="8" t="s">
        <v>11</v>
      </c>
      <c r="L3" s="8"/>
      <c r="M3" s="10">
        <f>COUNTIF($I$1:$I$100, 0)</f>
        <v>65</v>
      </c>
      <c r="N3" s="10"/>
      <c r="O3" s="10">
        <f>COUNTIFS($I$1:$I$100, 0, $B$1:$B$100, 0)</f>
        <v>35</v>
      </c>
      <c r="P3" s="10"/>
      <c r="Q3" s="11">
        <f>COUNTIFS($I$1:$I$100, 0, $B$1:$B$100, 1)</f>
        <v>30</v>
      </c>
      <c r="R3" s="12"/>
      <c r="T3" cm="1">
        <f t="array" ref="T3">SUMPRODUCT(--($E$1:$E$100=$H$1:$H$100))</f>
        <v>1</v>
      </c>
    </row>
    <row r="4" spans="1:20" x14ac:dyDescent="0.3">
      <c r="A4">
        <v>2</v>
      </c>
      <c r="B4">
        <v>0</v>
      </c>
      <c r="C4" t="s">
        <v>16</v>
      </c>
      <c r="D4" t="s">
        <v>17</v>
      </c>
      <c r="E4">
        <v>46</v>
      </c>
      <c r="F4" t="s">
        <v>25</v>
      </c>
      <c r="G4" t="s">
        <v>24</v>
      </c>
      <c r="H4">
        <v>2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16</v>
      </c>
      <c r="D5" t="s">
        <v>17</v>
      </c>
      <c r="E5">
        <v>45</v>
      </c>
      <c r="F5" t="s">
        <v>25</v>
      </c>
      <c r="G5" t="s">
        <v>24</v>
      </c>
      <c r="H5">
        <v>0</v>
      </c>
      <c r="I5">
        <v>0</v>
      </c>
      <c r="K5" s="8" t="s">
        <v>10</v>
      </c>
      <c r="L5" s="8"/>
      <c r="M5" s="14">
        <f>COUNTIF($I$1:$I$100, 1)</f>
        <v>35</v>
      </c>
      <c r="N5" s="10"/>
      <c r="O5" s="10">
        <f>COUNTIFS($I$1:$I$100, 1, $B$1:$B$100, 0)</f>
        <v>15</v>
      </c>
      <c r="P5" s="10"/>
      <c r="Q5" s="10">
        <f>COUNTIFS($I$1:$I$100, 1, $B$1:$B$100, 1)</f>
        <v>20</v>
      </c>
      <c r="R5" s="13"/>
    </row>
    <row r="6" spans="1:20" x14ac:dyDescent="0.3">
      <c r="A6">
        <v>2</v>
      </c>
      <c r="B6">
        <v>0</v>
      </c>
      <c r="C6" t="s">
        <v>16</v>
      </c>
      <c r="D6" t="s">
        <v>17</v>
      </c>
      <c r="E6">
        <v>11</v>
      </c>
      <c r="F6" t="s">
        <v>25</v>
      </c>
      <c r="G6" t="s">
        <v>24</v>
      </c>
      <c r="H6">
        <v>33</v>
      </c>
      <c r="I6">
        <v>1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16</v>
      </c>
      <c r="D7" t="s">
        <v>17</v>
      </c>
      <c r="E7">
        <v>16</v>
      </c>
      <c r="F7" t="s">
        <v>25</v>
      </c>
      <c r="G7" t="s">
        <v>24</v>
      </c>
      <c r="H7">
        <v>19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16</v>
      </c>
      <c r="D8" t="s">
        <v>17</v>
      </c>
      <c r="E8">
        <v>17</v>
      </c>
      <c r="F8" t="s">
        <v>25</v>
      </c>
      <c r="G8" t="s">
        <v>24</v>
      </c>
      <c r="H8">
        <v>58</v>
      </c>
      <c r="I8">
        <v>1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16</v>
      </c>
      <c r="D9" t="s">
        <v>17</v>
      </c>
      <c r="E9">
        <v>52</v>
      </c>
      <c r="F9" t="s">
        <v>25</v>
      </c>
      <c r="G9" t="s">
        <v>24</v>
      </c>
      <c r="H9">
        <v>0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16</v>
      </c>
      <c r="D10" t="s">
        <v>17</v>
      </c>
      <c r="E10">
        <v>39</v>
      </c>
      <c r="F10" t="s">
        <v>25</v>
      </c>
      <c r="G10" t="s">
        <v>24</v>
      </c>
      <c r="H10">
        <v>39</v>
      </c>
      <c r="I10">
        <v>0</v>
      </c>
      <c r="K10" s="8" t="s">
        <v>6</v>
      </c>
      <c r="L10" s="8"/>
      <c r="M10" s="10">
        <f>AVERAGE($E$1:$E$100,)</f>
        <v>29.722772277227723</v>
      </c>
      <c r="N10" s="10"/>
      <c r="O10" s="10" cm="1">
        <f t="array" ref="O10">AVERAGE(_xlfn._xlws.FILTER($E$1:$E$100,$I$1:$I$100 = 0))</f>
        <v>40.369230769230768</v>
      </c>
      <c r="P10" s="10"/>
      <c r="Q10" s="11" cm="1">
        <f t="array" ref="Q10">AVERAGE(_xlfn._xlws.FILTER($E$1:$E$100,$I$1:$I$100 = 1))</f>
        <v>10.8</v>
      </c>
      <c r="R10" s="12"/>
    </row>
    <row r="11" spans="1:20" x14ac:dyDescent="0.3">
      <c r="A11">
        <v>2</v>
      </c>
      <c r="B11">
        <v>0</v>
      </c>
      <c r="C11" t="s">
        <v>16</v>
      </c>
      <c r="D11" t="s">
        <v>17</v>
      </c>
      <c r="E11">
        <v>42</v>
      </c>
      <c r="F11" t="s">
        <v>25</v>
      </c>
      <c r="G11" t="s">
        <v>24</v>
      </c>
      <c r="H11">
        <v>6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16</v>
      </c>
      <c r="D12" t="s">
        <v>17</v>
      </c>
      <c r="E12">
        <v>18</v>
      </c>
      <c r="F12" t="s">
        <v>25</v>
      </c>
      <c r="G12" t="s">
        <v>24</v>
      </c>
      <c r="H12">
        <v>63</v>
      </c>
      <c r="I12">
        <v>1</v>
      </c>
      <c r="K12" s="8" t="s">
        <v>5</v>
      </c>
      <c r="L12" s="8"/>
      <c r="M12" s="10">
        <f>AVERAGE($H$1:$H$100,)</f>
        <v>19.514851485148515</v>
      </c>
      <c r="N12" s="10"/>
      <c r="O12" s="10" cm="1">
        <f t="array" ref="O12">AVERAGE(_xlfn._xlws.FILTER($H$1:$H$100,$I$1:$I$100 = 0))</f>
        <v>11.123076923076923</v>
      </c>
      <c r="P12" s="10"/>
      <c r="Q12" s="10" cm="1">
        <f t="array" ref="Q12">AVERAGE(_xlfn._xlws.FILTER($H$1:$H$100,$I$1:$I$100 = 1))</f>
        <v>35.657142857142858</v>
      </c>
      <c r="R12" s="13"/>
    </row>
    <row r="13" spans="1:20" x14ac:dyDescent="0.3">
      <c r="A13">
        <v>2</v>
      </c>
      <c r="B13">
        <v>0</v>
      </c>
      <c r="C13" t="s">
        <v>16</v>
      </c>
      <c r="D13" t="s">
        <v>17</v>
      </c>
      <c r="E13">
        <v>70</v>
      </c>
      <c r="F13" t="s">
        <v>25</v>
      </c>
      <c r="G13" t="s">
        <v>24</v>
      </c>
      <c r="H13">
        <v>69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16</v>
      </c>
      <c r="D14" t="s">
        <v>17</v>
      </c>
      <c r="E14">
        <v>7</v>
      </c>
      <c r="F14" t="s">
        <v>25</v>
      </c>
      <c r="G14" t="s">
        <v>24</v>
      </c>
      <c r="H14">
        <v>53</v>
      </c>
      <c r="I14">
        <v>1</v>
      </c>
      <c r="K14" s="19" t="s">
        <v>4</v>
      </c>
      <c r="L14" s="12"/>
      <c r="M14" s="20" cm="1">
        <f t="array" ref="M14">AVERAGE($E$1:$E$100 - $H$1:$H$100)</f>
        <v>10.31</v>
      </c>
      <c r="N14" s="20"/>
      <c r="O14" s="20" cm="1">
        <f t="array" ref="O14">AVERAGE(_xlfn._xlws.FILTER($E$1:$E$100 - $H$1:$H$100, I$1:I$100 = 0))</f>
        <v>29.246153846153845</v>
      </c>
      <c r="P14" s="20"/>
      <c r="Q14" s="20" cm="1">
        <f t="array" ref="Q14">AVERAGE(_xlfn._xlws.FILTER($E$1:$E$100 - $H$1:$H$100, I$1:I$100 = 1))</f>
        <v>-24.857142857142858</v>
      </c>
      <c r="R14" s="22"/>
    </row>
    <row r="15" spans="1:20" x14ac:dyDescent="0.3">
      <c r="A15">
        <v>2</v>
      </c>
      <c r="B15">
        <v>0</v>
      </c>
      <c r="C15" t="s">
        <v>16</v>
      </c>
      <c r="D15" t="s">
        <v>17</v>
      </c>
      <c r="E15">
        <v>18</v>
      </c>
      <c r="F15" t="s">
        <v>25</v>
      </c>
      <c r="G15" t="s">
        <v>24</v>
      </c>
      <c r="H15">
        <v>34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16</v>
      </c>
      <c r="D16" t="s">
        <v>17</v>
      </c>
      <c r="E16">
        <v>91</v>
      </c>
      <c r="F16" t="s">
        <v>25</v>
      </c>
      <c r="G16" t="s">
        <v>24</v>
      </c>
      <c r="H16">
        <v>5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16</v>
      </c>
      <c r="D17" t="s">
        <v>17</v>
      </c>
      <c r="E17">
        <v>41</v>
      </c>
      <c r="F17" t="s">
        <v>25</v>
      </c>
      <c r="G17" t="s">
        <v>24</v>
      </c>
      <c r="H17">
        <v>8</v>
      </c>
      <c r="I17">
        <v>0</v>
      </c>
    </row>
    <row r="18" spans="1:9" x14ac:dyDescent="0.3">
      <c r="A18">
        <v>2</v>
      </c>
      <c r="B18">
        <v>0</v>
      </c>
      <c r="C18" t="s">
        <v>16</v>
      </c>
      <c r="D18" t="s">
        <v>17</v>
      </c>
      <c r="E18">
        <v>25</v>
      </c>
      <c r="F18" t="s">
        <v>25</v>
      </c>
      <c r="G18" t="s">
        <v>24</v>
      </c>
      <c r="H18">
        <v>15</v>
      </c>
      <c r="I18">
        <v>0</v>
      </c>
    </row>
    <row r="19" spans="1:9" x14ac:dyDescent="0.3">
      <c r="A19">
        <v>2</v>
      </c>
      <c r="B19">
        <v>0</v>
      </c>
      <c r="C19" t="s">
        <v>16</v>
      </c>
      <c r="D19" t="s">
        <v>17</v>
      </c>
      <c r="E19">
        <v>36</v>
      </c>
      <c r="F19" t="s">
        <v>25</v>
      </c>
      <c r="G19" t="s">
        <v>24</v>
      </c>
      <c r="H19">
        <v>16</v>
      </c>
      <c r="I19">
        <v>0</v>
      </c>
    </row>
    <row r="20" spans="1:9" x14ac:dyDescent="0.3">
      <c r="A20">
        <v>2</v>
      </c>
      <c r="B20">
        <v>0</v>
      </c>
      <c r="C20" t="s">
        <v>16</v>
      </c>
      <c r="D20" t="s">
        <v>17</v>
      </c>
      <c r="E20">
        <v>17</v>
      </c>
      <c r="F20" t="s">
        <v>25</v>
      </c>
      <c r="G20" t="s">
        <v>24</v>
      </c>
      <c r="H20">
        <v>16</v>
      </c>
      <c r="I20">
        <v>0</v>
      </c>
    </row>
    <row r="21" spans="1:9" x14ac:dyDescent="0.3">
      <c r="A21">
        <v>2</v>
      </c>
      <c r="B21">
        <v>0</v>
      </c>
      <c r="C21" t="s">
        <v>16</v>
      </c>
      <c r="D21" t="s">
        <v>17</v>
      </c>
      <c r="E21">
        <v>16</v>
      </c>
      <c r="F21" t="s">
        <v>25</v>
      </c>
      <c r="G21" t="s">
        <v>24</v>
      </c>
      <c r="H21">
        <v>38</v>
      </c>
      <c r="I21">
        <v>1</v>
      </c>
    </row>
    <row r="22" spans="1:9" x14ac:dyDescent="0.3">
      <c r="A22">
        <v>2</v>
      </c>
      <c r="B22">
        <v>0</v>
      </c>
      <c r="C22" t="s">
        <v>16</v>
      </c>
      <c r="D22" t="s">
        <v>17</v>
      </c>
      <c r="E22">
        <v>57</v>
      </c>
      <c r="F22" t="s">
        <v>25</v>
      </c>
      <c r="G22" t="s">
        <v>24</v>
      </c>
      <c r="H22">
        <v>2</v>
      </c>
      <c r="I22">
        <v>0</v>
      </c>
    </row>
    <row r="23" spans="1:9" x14ac:dyDescent="0.3">
      <c r="A23">
        <v>2</v>
      </c>
      <c r="B23">
        <v>0</v>
      </c>
      <c r="C23" t="s">
        <v>16</v>
      </c>
      <c r="D23" t="s">
        <v>17</v>
      </c>
      <c r="E23">
        <v>47</v>
      </c>
      <c r="F23" t="s">
        <v>25</v>
      </c>
      <c r="G23" t="s">
        <v>24</v>
      </c>
      <c r="H23">
        <v>0</v>
      </c>
      <c r="I23">
        <v>0</v>
      </c>
    </row>
    <row r="24" spans="1:9" x14ac:dyDescent="0.3">
      <c r="A24">
        <v>2</v>
      </c>
      <c r="B24">
        <v>0</v>
      </c>
      <c r="C24" t="s">
        <v>16</v>
      </c>
      <c r="D24" t="s">
        <v>17</v>
      </c>
      <c r="E24">
        <v>15</v>
      </c>
      <c r="F24" t="s">
        <v>25</v>
      </c>
      <c r="G24" t="s">
        <v>24</v>
      </c>
      <c r="H24">
        <v>16</v>
      </c>
      <c r="I24">
        <v>1</v>
      </c>
    </row>
    <row r="25" spans="1:9" x14ac:dyDescent="0.3">
      <c r="A25">
        <v>2</v>
      </c>
      <c r="B25">
        <v>0</v>
      </c>
      <c r="C25" t="s">
        <v>16</v>
      </c>
      <c r="D25" t="s">
        <v>17</v>
      </c>
      <c r="E25">
        <v>24</v>
      </c>
      <c r="F25" t="s">
        <v>25</v>
      </c>
      <c r="G25" t="s">
        <v>24</v>
      </c>
      <c r="H25">
        <v>39</v>
      </c>
      <c r="I25">
        <v>1</v>
      </c>
    </row>
    <row r="26" spans="1:9" x14ac:dyDescent="0.3">
      <c r="A26">
        <v>2</v>
      </c>
      <c r="B26">
        <v>0</v>
      </c>
      <c r="C26" t="s">
        <v>16</v>
      </c>
      <c r="D26" t="s">
        <v>17</v>
      </c>
      <c r="E26">
        <v>45</v>
      </c>
      <c r="F26" t="s">
        <v>25</v>
      </c>
      <c r="G26" t="s">
        <v>24</v>
      </c>
      <c r="H26">
        <v>21</v>
      </c>
      <c r="I26">
        <v>0</v>
      </c>
    </row>
    <row r="27" spans="1:9" x14ac:dyDescent="0.3">
      <c r="A27">
        <v>2</v>
      </c>
      <c r="B27">
        <v>0</v>
      </c>
      <c r="C27" t="s">
        <v>16</v>
      </c>
      <c r="D27" t="s">
        <v>17</v>
      </c>
      <c r="E27">
        <v>23</v>
      </c>
      <c r="F27" t="s">
        <v>25</v>
      </c>
      <c r="G27" t="s">
        <v>24</v>
      </c>
      <c r="H27">
        <v>28</v>
      </c>
      <c r="I27">
        <v>1</v>
      </c>
    </row>
    <row r="28" spans="1:9" x14ac:dyDescent="0.3">
      <c r="A28">
        <v>2</v>
      </c>
      <c r="B28">
        <v>0</v>
      </c>
      <c r="C28" t="s">
        <v>16</v>
      </c>
      <c r="D28" t="s">
        <v>17</v>
      </c>
      <c r="E28">
        <v>36</v>
      </c>
      <c r="F28" t="s">
        <v>25</v>
      </c>
      <c r="G28" t="s">
        <v>24</v>
      </c>
      <c r="H28">
        <v>3</v>
      </c>
      <c r="I28">
        <v>0</v>
      </c>
    </row>
    <row r="29" spans="1:9" x14ac:dyDescent="0.3">
      <c r="A29">
        <v>2</v>
      </c>
      <c r="B29">
        <v>0</v>
      </c>
      <c r="C29" t="s">
        <v>16</v>
      </c>
      <c r="D29" t="s">
        <v>17</v>
      </c>
      <c r="E29">
        <v>41</v>
      </c>
      <c r="F29" t="s">
        <v>25</v>
      </c>
      <c r="G29" t="s">
        <v>24</v>
      </c>
      <c r="H29">
        <v>14</v>
      </c>
      <c r="I29">
        <v>0</v>
      </c>
    </row>
    <row r="30" spans="1:9" x14ac:dyDescent="0.3">
      <c r="A30">
        <v>2</v>
      </c>
      <c r="B30">
        <v>0</v>
      </c>
      <c r="C30" t="s">
        <v>16</v>
      </c>
      <c r="D30" t="s">
        <v>17</v>
      </c>
      <c r="E30">
        <v>5</v>
      </c>
      <c r="F30" t="s">
        <v>25</v>
      </c>
      <c r="G30" t="s">
        <v>24</v>
      </c>
      <c r="H30">
        <v>0</v>
      </c>
      <c r="I30">
        <v>0</v>
      </c>
    </row>
    <row r="31" spans="1:9" x14ac:dyDescent="0.3">
      <c r="A31">
        <v>2</v>
      </c>
      <c r="B31">
        <v>0</v>
      </c>
      <c r="C31" t="s">
        <v>16</v>
      </c>
      <c r="D31" t="s">
        <v>17</v>
      </c>
      <c r="E31">
        <v>37</v>
      </c>
      <c r="F31" t="s">
        <v>25</v>
      </c>
      <c r="G31" t="s">
        <v>24</v>
      </c>
      <c r="H31">
        <v>25</v>
      </c>
      <c r="I31">
        <v>0</v>
      </c>
    </row>
    <row r="32" spans="1:9" x14ac:dyDescent="0.3">
      <c r="A32">
        <v>2</v>
      </c>
      <c r="B32">
        <v>0</v>
      </c>
      <c r="C32" t="s">
        <v>16</v>
      </c>
      <c r="D32" t="s">
        <v>17</v>
      </c>
      <c r="E32">
        <v>24</v>
      </c>
      <c r="F32" t="s">
        <v>25</v>
      </c>
      <c r="G32" t="s">
        <v>24</v>
      </c>
      <c r="H32">
        <v>0</v>
      </c>
      <c r="I32">
        <v>0</v>
      </c>
    </row>
    <row r="33" spans="1:9" x14ac:dyDescent="0.3">
      <c r="A33">
        <v>2</v>
      </c>
      <c r="B33">
        <v>0</v>
      </c>
      <c r="C33" t="s">
        <v>16</v>
      </c>
      <c r="D33" t="s">
        <v>17</v>
      </c>
      <c r="E33">
        <v>41</v>
      </c>
      <c r="F33" t="s">
        <v>25</v>
      </c>
      <c r="G33" t="s">
        <v>24</v>
      </c>
      <c r="H33">
        <v>2</v>
      </c>
      <c r="I33">
        <v>0</v>
      </c>
    </row>
    <row r="34" spans="1:9" x14ac:dyDescent="0.3">
      <c r="A34">
        <v>2</v>
      </c>
      <c r="B34">
        <v>0</v>
      </c>
      <c r="C34" t="s">
        <v>16</v>
      </c>
      <c r="D34" t="s">
        <v>17</v>
      </c>
      <c r="E34">
        <v>67</v>
      </c>
      <c r="F34" t="s">
        <v>25</v>
      </c>
      <c r="G34" t="s">
        <v>24</v>
      </c>
      <c r="H34">
        <v>30</v>
      </c>
      <c r="I34">
        <v>0</v>
      </c>
    </row>
    <row r="35" spans="1:9" x14ac:dyDescent="0.3">
      <c r="A35">
        <v>2</v>
      </c>
      <c r="B35">
        <v>0</v>
      </c>
      <c r="C35" t="s">
        <v>16</v>
      </c>
      <c r="D35" t="s">
        <v>17</v>
      </c>
      <c r="E35">
        <v>21</v>
      </c>
      <c r="F35" t="s">
        <v>25</v>
      </c>
      <c r="G35" t="s">
        <v>24</v>
      </c>
      <c r="H35">
        <v>2</v>
      </c>
      <c r="I35">
        <v>0</v>
      </c>
    </row>
    <row r="36" spans="1:9" x14ac:dyDescent="0.3">
      <c r="A36">
        <v>2</v>
      </c>
      <c r="B36">
        <v>0</v>
      </c>
      <c r="C36" t="s">
        <v>16</v>
      </c>
      <c r="D36" t="s">
        <v>17</v>
      </c>
      <c r="E36">
        <v>34</v>
      </c>
      <c r="F36" t="s">
        <v>25</v>
      </c>
      <c r="G36" t="s">
        <v>24</v>
      </c>
      <c r="H36">
        <v>26</v>
      </c>
      <c r="I36">
        <v>0</v>
      </c>
    </row>
    <row r="37" spans="1:9" x14ac:dyDescent="0.3">
      <c r="A37">
        <v>2</v>
      </c>
      <c r="B37">
        <v>0</v>
      </c>
      <c r="C37" t="s">
        <v>16</v>
      </c>
      <c r="D37" t="s">
        <v>17</v>
      </c>
      <c r="E37">
        <v>9</v>
      </c>
      <c r="F37" t="s">
        <v>25</v>
      </c>
      <c r="G37" t="s">
        <v>24</v>
      </c>
      <c r="H37">
        <v>2</v>
      </c>
      <c r="I37">
        <v>0</v>
      </c>
    </row>
    <row r="38" spans="1:9" x14ac:dyDescent="0.3">
      <c r="A38">
        <v>2</v>
      </c>
      <c r="B38">
        <v>0</v>
      </c>
      <c r="C38" t="s">
        <v>16</v>
      </c>
      <c r="D38" t="s">
        <v>17</v>
      </c>
      <c r="E38">
        <v>34</v>
      </c>
      <c r="F38" t="s">
        <v>25</v>
      </c>
      <c r="G38" t="s">
        <v>24</v>
      </c>
      <c r="H38">
        <v>16</v>
      </c>
      <c r="I38">
        <v>0</v>
      </c>
    </row>
    <row r="39" spans="1:9" x14ac:dyDescent="0.3">
      <c r="A39">
        <v>2</v>
      </c>
      <c r="B39">
        <v>0</v>
      </c>
      <c r="C39" t="s">
        <v>16</v>
      </c>
      <c r="D39" t="s">
        <v>17</v>
      </c>
      <c r="E39">
        <v>39</v>
      </c>
      <c r="F39" t="s">
        <v>25</v>
      </c>
      <c r="G39" t="s">
        <v>24</v>
      </c>
      <c r="H39">
        <v>19</v>
      </c>
      <c r="I39">
        <v>0</v>
      </c>
    </row>
    <row r="40" spans="1:9" x14ac:dyDescent="0.3">
      <c r="A40">
        <v>2</v>
      </c>
      <c r="B40">
        <v>0</v>
      </c>
      <c r="C40" t="s">
        <v>16</v>
      </c>
      <c r="D40" t="s">
        <v>17</v>
      </c>
      <c r="E40">
        <v>39</v>
      </c>
      <c r="F40" t="s">
        <v>25</v>
      </c>
      <c r="G40" t="s">
        <v>24</v>
      </c>
      <c r="H40">
        <v>10</v>
      </c>
      <c r="I40">
        <v>0</v>
      </c>
    </row>
    <row r="41" spans="1:9" x14ac:dyDescent="0.3">
      <c r="A41">
        <v>2</v>
      </c>
      <c r="B41">
        <v>0</v>
      </c>
      <c r="C41" t="s">
        <v>16</v>
      </c>
      <c r="D41" t="s">
        <v>17</v>
      </c>
      <c r="E41">
        <v>54</v>
      </c>
      <c r="F41" t="s">
        <v>25</v>
      </c>
      <c r="G41" t="s">
        <v>24</v>
      </c>
      <c r="H41">
        <v>3</v>
      </c>
      <c r="I41">
        <v>0</v>
      </c>
    </row>
    <row r="42" spans="1:9" x14ac:dyDescent="0.3">
      <c r="A42">
        <v>2</v>
      </c>
      <c r="B42">
        <v>0</v>
      </c>
      <c r="C42" t="s">
        <v>16</v>
      </c>
      <c r="D42" t="s">
        <v>17</v>
      </c>
      <c r="E42">
        <v>58</v>
      </c>
      <c r="F42" t="s">
        <v>25</v>
      </c>
      <c r="G42" t="s">
        <v>24</v>
      </c>
      <c r="H42">
        <v>4</v>
      </c>
      <c r="I42">
        <v>0</v>
      </c>
    </row>
    <row r="43" spans="1:9" x14ac:dyDescent="0.3">
      <c r="A43">
        <v>2</v>
      </c>
      <c r="B43">
        <v>0</v>
      </c>
      <c r="C43" t="s">
        <v>16</v>
      </c>
      <c r="D43" t="s">
        <v>17</v>
      </c>
      <c r="E43">
        <v>13</v>
      </c>
      <c r="F43" t="s">
        <v>25</v>
      </c>
      <c r="G43" t="s">
        <v>24</v>
      </c>
      <c r="H43">
        <v>15</v>
      </c>
      <c r="I43">
        <v>1</v>
      </c>
    </row>
    <row r="44" spans="1:9" x14ac:dyDescent="0.3">
      <c r="A44">
        <v>2</v>
      </c>
      <c r="B44">
        <v>0</v>
      </c>
      <c r="C44" t="s">
        <v>16</v>
      </c>
      <c r="D44" t="s">
        <v>17</v>
      </c>
      <c r="E44">
        <v>43</v>
      </c>
      <c r="F44" t="s">
        <v>25</v>
      </c>
      <c r="G44" t="s">
        <v>24</v>
      </c>
      <c r="H44">
        <v>51</v>
      </c>
      <c r="I44">
        <v>1</v>
      </c>
    </row>
    <row r="45" spans="1:9" x14ac:dyDescent="0.3">
      <c r="A45">
        <v>2</v>
      </c>
      <c r="B45">
        <v>0</v>
      </c>
      <c r="C45" t="s">
        <v>16</v>
      </c>
      <c r="D45" t="s">
        <v>17</v>
      </c>
      <c r="E45">
        <v>43</v>
      </c>
      <c r="F45" t="s">
        <v>25</v>
      </c>
      <c r="G45" t="s">
        <v>24</v>
      </c>
      <c r="H45">
        <v>22</v>
      </c>
      <c r="I45">
        <v>0</v>
      </c>
    </row>
    <row r="46" spans="1:9" x14ac:dyDescent="0.3">
      <c r="A46">
        <v>2</v>
      </c>
      <c r="B46">
        <v>0</v>
      </c>
      <c r="C46" t="s">
        <v>16</v>
      </c>
      <c r="D46" t="s">
        <v>17</v>
      </c>
      <c r="E46">
        <v>70</v>
      </c>
      <c r="F46" t="s">
        <v>25</v>
      </c>
      <c r="G46" t="s">
        <v>24</v>
      </c>
      <c r="H46">
        <v>3</v>
      </c>
      <c r="I46">
        <v>0</v>
      </c>
    </row>
    <row r="47" spans="1:9" x14ac:dyDescent="0.3">
      <c r="A47">
        <v>2</v>
      </c>
      <c r="B47">
        <v>0</v>
      </c>
      <c r="C47" t="s">
        <v>16</v>
      </c>
      <c r="D47" t="s">
        <v>17</v>
      </c>
      <c r="E47">
        <v>47</v>
      </c>
      <c r="F47" t="s">
        <v>25</v>
      </c>
      <c r="G47" t="s">
        <v>24</v>
      </c>
      <c r="H47">
        <v>0</v>
      </c>
      <c r="I47">
        <v>0</v>
      </c>
    </row>
    <row r="48" spans="1:9" x14ac:dyDescent="0.3">
      <c r="A48">
        <v>2</v>
      </c>
      <c r="B48">
        <v>0</v>
      </c>
      <c r="C48" t="s">
        <v>16</v>
      </c>
      <c r="D48" t="s">
        <v>17</v>
      </c>
      <c r="E48">
        <v>2</v>
      </c>
      <c r="F48" t="s">
        <v>25</v>
      </c>
      <c r="G48" t="s">
        <v>24</v>
      </c>
      <c r="H48">
        <v>17</v>
      </c>
      <c r="I48">
        <v>1</v>
      </c>
    </row>
    <row r="49" spans="1:9" x14ac:dyDescent="0.3">
      <c r="A49">
        <v>2</v>
      </c>
      <c r="B49">
        <v>0</v>
      </c>
      <c r="C49" t="s">
        <v>16</v>
      </c>
      <c r="D49" t="s">
        <v>17</v>
      </c>
      <c r="E49">
        <v>2</v>
      </c>
      <c r="F49" t="s">
        <v>25</v>
      </c>
      <c r="G49" t="s">
        <v>24</v>
      </c>
      <c r="H49">
        <v>39</v>
      </c>
      <c r="I49">
        <v>1</v>
      </c>
    </row>
    <row r="50" spans="1:9" x14ac:dyDescent="0.3">
      <c r="A50">
        <v>2</v>
      </c>
      <c r="B50">
        <v>0</v>
      </c>
      <c r="C50" t="s">
        <v>16</v>
      </c>
      <c r="D50" t="s">
        <v>17</v>
      </c>
      <c r="E50">
        <v>63</v>
      </c>
      <c r="F50" t="s">
        <v>25</v>
      </c>
      <c r="G50" t="s">
        <v>24</v>
      </c>
      <c r="H50">
        <v>21</v>
      </c>
      <c r="I50">
        <v>0</v>
      </c>
    </row>
    <row r="51" spans="1:9" x14ac:dyDescent="0.3">
      <c r="A51">
        <v>2</v>
      </c>
      <c r="B51">
        <v>1</v>
      </c>
      <c r="C51" t="s">
        <v>16</v>
      </c>
      <c r="D51" t="s">
        <v>17</v>
      </c>
      <c r="E51">
        <v>38</v>
      </c>
      <c r="F51" t="s">
        <v>25</v>
      </c>
      <c r="G51" t="s">
        <v>24</v>
      </c>
      <c r="H51">
        <v>3</v>
      </c>
      <c r="I51">
        <v>0</v>
      </c>
    </row>
    <row r="52" spans="1:9" x14ac:dyDescent="0.3">
      <c r="A52">
        <v>2</v>
      </c>
      <c r="B52">
        <v>1</v>
      </c>
      <c r="C52" t="s">
        <v>16</v>
      </c>
      <c r="D52" t="s">
        <v>17</v>
      </c>
      <c r="E52">
        <v>28</v>
      </c>
      <c r="F52" t="s">
        <v>25</v>
      </c>
      <c r="G52" t="s">
        <v>24</v>
      </c>
      <c r="H52">
        <v>18</v>
      </c>
      <c r="I52">
        <v>0</v>
      </c>
    </row>
    <row r="53" spans="1:9" x14ac:dyDescent="0.3">
      <c r="A53">
        <v>2</v>
      </c>
      <c r="B53">
        <v>1</v>
      </c>
      <c r="C53" t="s">
        <v>16</v>
      </c>
      <c r="D53" t="s">
        <v>17</v>
      </c>
      <c r="E53">
        <v>28</v>
      </c>
      <c r="F53" t="s">
        <v>25</v>
      </c>
      <c r="G53" t="s">
        <v>24</v>
      </c>
      <c r="H53">
        <v>15</v>
      </c>
      <c r="I53">
        <v>0</v>
      </c>
    </row>
    <row r="54" spans="1:9" x14ac:dyDescent="0.3">
      <c r="A54">
        <v>2</v>
      </c>
      <c r="B54">
        <v>1</v>
      </c>
      <c r="C54" t="s">
        <v>16</v>
      </c>
      <c r="D54" t="s">
        <v>17</v>
      </c>
      <c r="E54">
        <v>0</v>
      </c>
      <c r="F54" t="s">
        <v>25</v>
      </c>
      <c r="G54" t="s">
        <v>24</v>
      </c>
      <c r="H54">
        <v>35</v>
      </c>
      <c r="I54">
        <v>1</v>
      </c>
    </row>
    <row r="55" spans="1:9" x14ac:dyDescent="0.3">
      <c r="A55">
        <v>2</v>
      </c>
      <c r="B55">
        <v>1</v>
      </c>
      <c r="C55" t="s">
        <v>16</v>
      </c>
      <c r="D55" t="s">
        <v>17</v>
      </c>
      <c r="E55">
        <v>14</v>
      </c>
      <c r="F55" t="s">
        <v>25</v>
      </c>
      <c r="G55" t="s">
        <v>24</v>
      </c>
      <c r="H55">
        <v>10</v>
      </c>
      <c r="I55">
        <v>0</v>
      </c>
    </row>
    <row r="56" spans="1:9" x14ac:dyDescent="0.3">
      <c r="A56">
        <v>2</v>
      </c>
      <c r="B56">
        <v>1</v>
      </c>
      <c r="C56" t="s">
        <v>16</v>
      </c>
      <c r="D56" t="s">
        <v>17</v>
      </c>
      <c r="E56">
        <v>63</v>
      </c>
      <c r="F56" t="s">
        <v>25</v>
      </c>
      <c r="G56" t="s">
        <v>24</v>
      </c>
      <c r="H56">
        <v>20</v>
      </c>
      <c r="I56">
        <v>0</v>
      </c>
    </row>
    <row r="57" spans="1:9" x14ac:dyDescent="0.3">
      <c r="A57">
        <v>2</v>
      </c>
      <c r="B57">
        <v>1</v>
      </c>
      <c r="C57" t="s">
        <v>16</v>
      </c>
      <c r="D57" t="s">
        <v>17</v>
      </c>
      <c r="E57">
        <v>57</v>
      </c>
      <c r="F57" t="s">
        <v>25</v>
      </c>
      <c r="G57" t="s">
        <v>24</v>
      </c>
      <c r="H57">
        <v>13</v>
      </c>
      <c r="I57">
        <v>0</v>
      </c>
    </row>
    <row r="58" spans="1:9" x14ac:dyDescent="0.3">
      <c r="A58">
        <v>2</v>
      </c>
      <c r="B58">
        <v>1</v>
      </c>
      <c r="C58" t="s">
        <v>16</v>
      </c>
      <c r="D58" t="s">
        <v>17</v>
      </c>
      <c r="E58">
        <v>29</v>
      </c>
      <c r="F58" t="s">
        <v>25</v>
      </c>
      <c r="G58" t="s">
        <v>24</v>
      </c>
      <c r="H58">
        <v>26</v>
      </c>
      <c r="I58">
        <v>0</v>
      </c>
    </row>
    <row r="59" spans="1:9" x14ac:dyDescent="0.3">
      <c r="A59">
        <v>2</v>
      </c>
      <c r="B59">
        <v>1</v>
      </c>
      <c r="C59" t="s">
        <v>16</v>
      </c>
      <c r="D59" t="s">
        <v>17</v>
      </c>
      <c r="E59">
        <v>44</v>
      </c>
      <c r="F59" t="s">
        <v>25</v>
      </c>
      <c r="G59" t="s">
        <v>24</v>
      </c>
      <c r="H59">
        <v>18</v>
      </c>
      <c r="I59">
        <v>0</v>
      </c>
    </row>
    <row r="60" spans="1:9" x14ac:dyDescent="0.3">
      <c r="A60">
        <v>2</v>
      </c>
      <c r="B60">
        <v>1</v>
      </c>
      <c r="C60" t="s">
        <v>16</v>
      </c>
      <c r="D60" t="s">
        <v>17</v>
      </c>
      <c r="E60">
        <v>20</v>
      </c>
      <c r="F60" t="s">
        <v>25</v>
      </c>
      <c r="G60" t="s">
        <v>24</v>
      </c>
      <c r="H60">
        <v>44</v>
      </c>
      <c r="I60">
        <v>1</v>
      </c>
    </row>
    <row r="61" spans="1:9" x14ac:dyDescent="0.3">
      <c r="A61">
        <v>2</v>
      </c>
      <c r="B61">
        <v>1</v>
      </c>
      <c r="C61" t="s">
        <v>16</v>
      </c>
      <c r="D61" t="s">
        <v>17</v>
      </c>
      <c r="E61">
        <v>70</v>
      </c>
      <c r="F61" t="s">
        <v>25</v>
      </c>
      <c r="G61" t="s">
        <v>24</v>
      </c>
      <c r="H61">
        <v>18</v>
      </c>
      <c r="I61">
        <v>0</v>
      </c>
    </row>
    <row r="62" spans="1:9" x14ac:dyDescent="0.3">
      <c r="A62">
        <v>2</v>
      </c>
      <c r="B62">
        <v>1</v>
      </c>
      <c r="C62" t="s">
        <v>16</v>
      </c>
      <c r="D62" t="s">
        <v>17</v>
      </c>
      <c r="E62">
        <v>0</v>
      </c>
      <c r="F62" t="s">
        <v>25</v>
      </c>
      <c r="G62" t="s">
        <v>24</v>
      </c>
      <c r="H62">
        <v>24</v>
      </c>
      <c r="I62">
        <v>1</v>
      </c>
    </row>
    <row r="63" spans="1:9" x14ac:dyDescent="0.3">
      <c r="A63">
        <v>2</v>
      </c>
      <c r="B63">
        <v>1</v>
      </c>
      <c r="C63" t="s">
        <v>16</v>
      </c>
      <c r="D63" t="s">
        <v>17</v>
      </c>
      <c r="E63">
        <v>20</v>
      </c>
      <c r="F63" t="s">
        <v>25</v>
      </c>
      <c r="G63" t="s">
        <v>24</v>
      </c>
      <c r="H63">
        <v>11</v>
      </c>
      <c r="I63">
        <v>0</v>
      </c>
    </row>
    <row r="64" spans="1:9" x14ac:dyDescent="0.3">
      <c r="A64">
        <v>2</v>
      </c>
      <c r="B64">
        <v>1</v>
      </c>
      <c r="C64" t="s">
        <v>16</v>
      </c>
      <c r="D64" t="s">
        <v>17</v>
      </c>
      <c r="E64">
        <v>30</v>
      </c>
      <c r="F64" t="s">
        <v>25</v>
      </c>
      <c r="G64" t="s">
        <v>24</v>
      </c>
      <c r="H64">
        <v>0</v>
      </c>
      <c r="I64">
        <v>0</v>
      </c>
    </row>
    <row r="65" spans="1:9" x14ac:dyDescent="0.3">
      <c r="A65">
        <v>2</v>
      </c>
      <c r="B65">
        <v>1</v>
      </c>
      <c r="C65" t="s">
        <v>16</v>
      </c>
      <c r="D65" t="s">
        <v>17</v>
      </c>
      <c r="E65">
        <v>24</v>
      </c>
      <c r="F65" t="s">
        <v>25</v>
      </c>
      <c r="G65" t="s">
        <v>24</v>
      </c>
      <c r="H65">
        <v>0</v>
      </c>
      <c r="I65">
        <v>0</v>
      </c>
    </row>
    <row r="66" spans="1:9" x14ac:dyDescent="0.3">
      <c r="A66">
        <v>2</v>
      </c>
      <c r="B66">
        <v>1</v>
      </c>
      <c r="C66" t="s">
        <v>16</v>
      </c>
      <c r="D66" t="s">
        <v>17</v>
      </c>
      <c r="E66">
        <v>2</v>
      </c>
      <c r="F66" t="s">
        <v>25</v>
      </c>
      <c r="G66" t="s">
        <v>24</v>
      </c>
      <c r="H66">
        <v>21</v>
      </c>
      <c r="I66">
        <v>1</v>
      </c>
    </row>
    <row r="67" spans="1:9" x14ac:dyDescent="0.3">
      <c r="A67">
        <v>2</v>
      </c>
      <c r="B67">
        <v>1</v>
      </c>
      <c r="C67" t="s">
        <v>16</v>
      </c>
      <c r="D67" t="s">
        <v>17</v>
      </c>
      <c r="E67">
        <v>35</v>
      </c>
      <c r="F67" t="s">
        <v>25</v>
      </c>
      <c r="G67" t="s">
        <v>24</v>
      </c>
      <c r="H67">
        <v>14</v>
      </c>
      <c r="I67">
        <v>0</v>
      </c>
    </row>
    <row r="68" spans="1:9" x14ac:dyDescent="0.3">
      <c r="A68">
        <v>2</v>
      </c>
      <c r="B68">
        <v>1</v>
      </c>
      <c r="C68" t="s">
        <v>16</v>
      </c>
      <c r="D68" t="s">
        <v>17</v>
      </c>
      <c r="E68">
        <v>33</v>
      </c>
      <c r="F68" t="s">
        <v>25</v>
      </c>
      <c r="G68" t="s">
        <v>24</v>
      </c>
      <c r="H68">
        <v>0</v>
      </c>
      <c r="I68">
        <v>0</v>
      </c>
    </row>
    <row r="69" spans="1:9" x14ac:dyDescent="0.3">
      <c r="A69">
        <v>2</v>
      </c>
      <c r="B69">
        <v>1</v>
      </c>
      <c r="C69" t="s">
        <v>16</v>
      </c>
      <c r="D69" t="s">
        <v>17</v>
      </c>
      <c r="E69">
        <v>8</v>
      </c>
      <c r="F69" t="s">
        <v>25</v>
      </c>
      <c r="G69" t="s">
        <v>24</v>
      </c>
      <c r="H69">
        <v>52</v>
      </c>
      <c r="I69">
        <v>1</v>
      </c>
    </row>
    <row r="70" spans="1:9" x14ac:dyDescent="0.3">
      <c r="A70">
        <v>2</v>
      </c>
      <c r="B70">
        <v>1</v>
      </c>
      <c r="C70" t="s">
        <v>16</v>
      </c>
      <c r="D70" t="s">
        <v>17</v>
      </c>
      <c r="E70">
        <v>42</v>
      </c>
      <c r="F70" t="s">
        <v>25</v>
      </c>
      <c r="G70" t="s">
        <v>24</v>
      </c>
      <c r="H70">
        <v>20</v>
      </c>
      <c r="I70">
        <v>0</v>
      </c>
    </row>
    <row r="71" spans="1:9" x14ac:dyDescent="0.3">
      <c r="A71">
        <v>2</v>
      </c>
      <c r="B71">
        <v>1</v>
      </c>
      <c r="C71" t="s">
        <v>16</v>
      </c>
      <c r="D71" t="s">
        <v>17</v>
      </c>
      <c r="E71">
        <v>47</v>
      </c>
      <c r="F71" t="s">
        <v>25</v>
      </c>
      <c r="G71" t="s">
        <v>24</v>
      </c>
      <c r="H71">
        <v>4</v>
      </c>
      <c r="I71">
        <v>0</v>
      </c>
    </row>
    <row r="72" spans="1:9" x14ac:dyDescent="0.3">
      <c r="A72">
        <v>2</v>
      </c>
      <c r="B72">
        <v>1</v>
      </c>
      <c r="C72" t="s">
        <v>16</v>
      </c>
      <c r="D72" t="s">
        <v>17</v>
      </c>
      <c r="E72">
        <v>31</v>
      </c>
      <c r="F72" t="s">
        <v>25</v>
      </c>
      <c r="G72" t="s">
        <v>24</v>
      </c>
      <c r="H72">
        <v>13</v>
      </c>
      <c r="I72">
        <v>0</v>
      </c>
    </row>
    <row r="73" spans="1:9" x14ac:dyDescent="0.3">
      <c r="A73">
        <v>2</v>
      </c>
      <c r="B73">
        <v>1</v>
      </c>
      <c r="C73" t="s">
        <v>16</v>
      </c>
      <c r="D73" t="s">
        <v>17</v>
      </c>
      <c r="E73">
        <v>0</v>
      </c>
      <c r="F73" t="s">
        <v>25</v>
      </c>
      <c r="G73" t="s">
        <v>24</v>
      </c>
      <c r="H73">
        <v>71</v>
      </c>
      <c r="I73">
        <v>1</v>
      </c>
    </row>
    <row r="74" spans="1:9" x14ac:dyDescent="0.3">
      <c r="A74">
        <v>2</v>
      </c>
      <c r="B74">
        <v>1</v>
      </c>
      <c r="C74" t="s">
        <v>16</v>
      </c>
      <c r="D74" t="s">
        <v>17</v>
      </c>
      <c r="E74">
        <v>25</v>
      </c>
      <c r="F74" t="s">
        <v>25</v>
      </c>
      <c r="G74" t="s">
        <v>24</v>
      </c>
      <c r="H74">
        <v>0</v>
      </c>
      <c r="I74">
        <v>0</v>
      </c>
    </row>
    <row r="75" spans="1:9" x14ac:dyDescent="0.3">
      <c r="A75">
        <v>2</v>
      </c>
      <c r="B75">
        <v>1</v>
      </c>
      <c r="C75" t="s">
        <v>16</v>
      </c>
      <c r="D75" t="s">
        <v>17</v>
      </c>
      <c r="E75">
        <v>8</v>
      </c>
      <c r="F75" t="s">
        <v>25</v>
      </c>
      <c r="G75" t="s">
        <v>24</v>
      </c>
      <c r="H75">
        <v>42</v>
      </c>
      <c r="I75">
        <v>1</v>
      </c>
    </row>
    <row r="76" spans="1:9" x14ac:dyDescent="0.3">
      <c r="A76">
        <v>2</v>
      </c>
      <c r="B76">
        <v>1</v>
      </c>
      <c r="C76" t="s">
        <v>16</v>
      </c>
      <c r="D76" t="s">
        <v>17</v>
      </c>
      <c r="E76">
        <v>42</v>
      </c>
      <c r="F76" t="s">
        <v>25</v>
      </c>
      <c r="G76" t="s">
        <v>24</v>
      </c>
      <c r="H76">
        <v>19</v>
      </c>
      <c r="I76">
        <v>0</v>
      </c>
    </row>
    <row r="77" spans="1:9" x14ac:dyDescent="0.3">
      <c r="A77">
        <v>2</v>
      </c>
      <c r="B77">
        <v>1</v>
      </c>
      <c r="C77" t="s">
        <v>16</v>
      </c>
      <c r="D77" t="s">
        <v>17</v>
      </c>
      <c r="E77">
        <v>2</v>
      </c>
      <c r="F77" t="s">
        <v>25</v>
      </c>
      <c r="G77" t="s">
        <v>24</v>
      </c>
      <c r="H77">
        <v>23</v>
      </c>
      <c r="I77">
        <v>1</v>
      </c>
    </row>
    <row r="78" spans="1:9" x14ac:dyDescent="0.3">
      <c r="A78">
        <v>2</v>
      </c>
      <c r="B78">
        <v>1</v>
      </c>
      <c r="C78" t="s">
        <v>16</v>
      </c>
      <c r="D78" t="s">
        <v>17</v>
      </c>
      <c r="E78">
        <v>30</v>
      </c>
      <c r="F78" t="s">
        <v>25</v>
      </c>
      <c r="G78" t="s">
        <v>24</v>
      </c>
      <c r="H78">
        <v>2</v>
      </c>
      <c r="I78">
        <v>0</v>
      </c>
    </row>
    <row r="79" spans="1:9" x14ac:dyDescent="0.3">
      <c r="A79">
        <v>2</v>
      </c>
      <c r="B79">
        <v>1</v>
      </c>
      <c r="C79" t="s">
        <v>16</v>
      </c>
      <c r="D79" t="s">
        <v>17</v>
      </c>
      <c r="E79">
        <v>7</v>
      </c>
      <c r="F79" t="s">
        <v>25</v>
      </c>
      <c r="G79" t="s">
        <v>24</v>
      </c>
      <c r="H79">
        <v>9</v>
      </c>
      <c r="I79">
        <v>1</v>
      </c>
    </row>
    <row r="80" spans="1:9" x14ac:dyDescent="0.3">
      <c r="A80">
        <v>2</v>
      </c>
      <c r="B80">
        <v>1</v>
      </c>
      <c r="C80" t="s">
        <v>16</v>
      </c>
      <c r="D80" t="s">
        <v>17</v>
      </c>
      <c r="E80">
        <v>39</v>
      </c>
      <c r="F80" t="s">
        <v>25</v>
      </c>
      <c r="G80" t="s">
        <v>24</v>
      </c>
      <c r="H80">
        <v>1</v>
      </c>
      <c r="I80">
        <v>0</v>
      </c>
    </row>
    <row r="81" spans="1:9" x14ac:dyDescent="0.3">
      <c r="A81">
        <v>2</v>
      </c>
      <c r="B81">
        <v>1</v>
      </c>
      <c r="C81" t="s">
        <v>16</v>
      </c>
      <c r="D81" t="s">
        <v>17</v>
      </c>
      <c r="E81">
        <v>21</v>
      </c>
      <c r="F81" t="s">
        <v>25</v>
      </c>
      <c r="G81" t="s">
        <v>24</v>
      </c>
      <c r="H81">
        <v>2</v>
      </c>
      <c r="I81">
        <v>0</v>
      </c>
    </row>
    <row r="82" spans="1:9" x14ac:dyDescent="0.3">
      <c r="A82">
        <v>2</v>
      </c>
      <c r="B82">
        <v>1</v>
      </c>
      <c r="C82" t="s">
        <v>16</v>
      </c>
      <c r="D82" t="s">
        <v>17</v>
      </c>
      <c r="E82">
        <v>58</v>
      </c>
      <c r="F82" t="s">
        <v>25</v>
      </c>
      <c r="G82" t="s">
        <v>24</v>
      </c>
      <c r="H82">
        <v>3</v>
      </c>
      <c r="I82">
        <v>0</v>
      </c>
    </row>
    <row r="83" spans="1:9" x14ac:dyDescent="0.3">
      <c r="A83">
        <v>2</v>
      </c>
      <c r="B83">
        <v>1</v>
      </c>
      <c r="C83" t="s">
        <v>16</v>
      </c>
      <c r="D83" t="s">
        <v>17</v>
      </c>
      <c r="E83">
        <v>6</v>
      </c>
      <c r="F83" t="s">
        <v>25</v>
      </c>
      <c r="G83" t="s">
        <v>24</v>
      </c>
      <c r="H83">
        <v>34</v>
      </c>
      <c r="I83">
        <v>1</v>
      </c>
    </row>
    <row r="84" spans="1:9" x14ac:dyDescent="0.3">
      <c r="A84">
        <v>2</v>
      </c>
      <c r="B84">
        <v>1</v>
      </c>
      <c r="C84" t="s">
        <v>16</v>
      </c>
      <c r="D84" t="s">
        <v>17</v>
      </c>
      <c r="E84">
        <v>53</v>
      </c>
      <c r="F84" t="s">
        <v>25</v>
      </c>
      <c r="G84" t="s">
        <v>24</v>
      </c>
      <c r="H84">
        <v>8</v>
      </c>
      <c r="I84">
        <v>0</v>
      </c>
    </row>
    <row r="85" spans="1:9" x14ac:dyDescent="0.3">
      <c r="A85">
        <v>2</v>
      </c>
      <c r="B85">
        <v>1</v>
      </c>
      <c r="C85" t="s">
        <v>16</v>
      </c>
      <c r="D85" t="s">
        <v>17</v>
      </c>
      <c r="E85">
        <v>24</v>
      </c>
      <c r="F85" t="s">
        <v>25</v>
      </c>
      <c r="G85" t="s">
        <v>24</v>
      </c>
      <c r="H85">
        <v>14</v>
      </c>
      <c r="I85">
        <v>0</v>
      </c>
    </row>
    <row r="86" spans="1:9" x14ac:dyDescent="0.3">
      <c r="A86">
        <v>2</v>
      </c>
      <c r="B86">
        <v>1</v>
      </c>
      <c r="C86" t="s">
        <v>16</v>
      </c>
      <c r="D86" t="s">
        <v>17</v>
      </c>
      <c r="E86">
        <v>36</v>
      </c>
      <c r="F86" t="s">
        <v>25</v>
      </c>
      <c r="G86" t="s">
        <v>24</v>
      </c>
      <c r="H86">
        <v>0</v>
      </c>
      <c r="I86">
        <v>0</v>
      </c>
    </row>
    <row r="87" spans="1:9" x14ac:dyDescent="0.3">
      <c r="A87">
        <v>2</v>
      </c>
      <c r="B87">
        <v>1</v>
      </c>
      <c r="C87" t="s">
        <v>16</v>
      </c>
      <c r="D87" t="s">
        <v>17</v>
      </c>
      <c r="E87">
        <v>1</v>
      </c>
      <c r="F87" t="s">
        <v>25</v>
      </c>
      <c r="G87" t="s">
        <v>24</v>
      </c>
      <c r="H87">
        <v>47</v>
      </c>
      <c r="I87">
        <v>1</v>
      </c>
    </row>
    <row r="88" spans="1:9" x14ac:dyDescent="0.3">
      <c r="A88">
        <v>2</v>
      </c>
      <c r="B88">
        <v>1</v>
      </c>
      <c r="C88" t="s">
        <v>16</v>
      </c>
      <c r="D88" t="s">
        <v>17</v>
      </c>
      <c r="E88">
        <v>55</v>
      </c>
      <c r="F88" t="s">
        <v>25</v>
      </c>
      <c r="G88" t="s">
        <v>24</v>
      </c>
      <c r="H88">
        <v>17</v>
      </c>
      <c r="I88">
        <v>0</v>
      </c>
    </row>
    <row r="89" spans="1:9" x14ac:dyDescent="0.3">
      <c r="A89">
        <v>2</v>
      </c>
      <c r="B89">
        <v>1</v>
      </c>
      <c r="C89" t="s">
        <v>16</v>
      </c>
      <c r="D89" t="s">
        <v>17</v>
      </c>
      <c r="E89">
        <v>51</v>
      </c>
      <c r="F89" t="s">
        <v>25</v>
      </c>
      <c r="G89" t="s">
        <v>24</v>
      </c>
      <c r="H89">
        <v>40</v>
      </c>
      <c r="I89">
        <v>0</v>
      </c>
    </row>
    <row r="90" spans="1:9" x14ac:dyDescent="0.3">
      <c r="A90">
        <v>2</v>
      </c>
      <c r="B90">
        <v>1</v>
      </c>
      <c r="C90" t="s">
        <v>16</v>
      </c>
      <c r="D90" t="s">
        <v>17</v>
      </c>
      <c r="E90">
        <v>0</v>
      </c>
      <c r="F90" t="s">
        <v>25</v>
      </c>
      <c r="G90" t="s">
        <v>24</v>
      </c>
      <c r="H90">
        <v>32</v>
      </c>
      <c r="I90">
        <v>1</v>
      </c>
    </row>
    <row r="91" spans="1:9" x14ac:dyDescent="0.3">
      <c r="A91">
        <v>2</v>
      </c>
      <c r="B91">
        <v>1</v>
      </c>
      <c r="C91" t="s">
        <v>16</v>
      </c>
      <c r="D91" t="s">
        <v>17</v>
      </c>
      <c r="E91">
        <v>27</v>
      </c>
      <c r="F91" t="s">
        <v>25</v>
      </c>
      <c r="G91" t="s">
        <v>24</v>
      </c>
      <c r="H91">
        <v>0</v>
      </c>
      <c r="I91">
        <v>0</v>
      </c>
    </row>
    <row r="92" spans="1:9" x14ac:dyDescent="0.3">
      <c r="A92">
        <v>2</v>
      </c>
      <c r="B92">
        <v>1</v>
      </c>
      <c r="C92" t="s">
        <v>16</v>
      </c>
      <c r="D92" t="s">
        <v>17</v>
      </c>
      <c r="E92">
        <v>0</v>
      </c>
      <c r="F92" t="s">
        <v>25</v>
      </c>
      <c r="G92" t="s">
        <v>24</v>
      </c>
      <c r="H92">
        <v>49</v>
      </c>
      <c r="I92">
        <v>1</v>
      </c>
    </row>
    <row r="93" spans="1:9" x14ac:dyDescent="0.3">
      <c r="A93">
        <v>2</v>
      </c>
      <c r="B93">
        <v>1</v>
      </c>
      <c r="C93" t="s">
        <v>16</v>
      </c>
      <c r="D93" t="s">
        <v>17</v>
      </c>
      <c r="E93">
        <v>13</v>
      </c>
      <c r="F93" t="s">
        <v>25</v>
      </c>
      <c r="G93" t="s">
        <v>24</v>
      </c>
      <c r="H93">
        <v>20</v>
      </c>
      <c r="I93">
        <v>1</v>
      </c>
    </row>
    <row r="94" spans="1:9" x14ac:dyDescent="0.3">
      <c r="A94">
        <v>2</v>
      </c>
      <c r="B94">
        <v>1</v>
      </c>
      <c r="C94" t="s">
        <v>16</v>
      </c>
      <c r="D94" t="s">
        <v>17</v>
      </c>
      <c r="E94">
        <v>11</v>
      </c>
      <c r="F94" t="s">
        <v>25</v>
      </c>
      <c r="G94" t="s">
        <v>24</v>
      </c>
      <c r="H94">
        <v>12</v>
      </c>
      <c r="I94">
        <v>1</v>
      </c>
    </row>
    <row r="95" spans="1:9" x14ac:dyDescent="0.3">
      <c r="A95">
        <v>2</v>
      </c>
      <c r="B95">
        <v>1</v>
      </c>
      <c r="C95" t="s">
        <v>16</v>
      </c>
      <c r="D95" t="s">
        <v>17</v>
      </c>
      <c r="E95">
        <v>13</v>
      </c>
      <c r="F95" t="s">
        <v>25</v>
      </c>
      <c r="G95" t="s">
        <v>24</v>
      </c>
      <c r="H95">
        <v>57</v>
      </c>
      <c r="I95">
        <v>1</v>
      </c>
    </row>
    <row r="96" spans="1:9" x14ac:dyDescent="0.3">
      <c r="A96">
        <v>2</v>
      </c>
      <c r="B96">
        <v>1</v>
      </c>
      <c r="C96" t="s">
        <v>16</v>
      </c>
      <c r="D96" t="s">
        <v>17</v>
      </c>
      <c r="E96">
        <v>0</v>
      </c>
      <c r="F96" t="s">
        <v>25</v>
      </c>
      <c r="G96" t="s">
        <v>24</v>
      </c>
      <c r="H96">
        <v>48</v>
      </c>
      <c r="I96">
        <v>1</v>
      </c>
    </row>
    <row r="97" spans="1:9" x14ac:dyDescent="0.3">
      <c r="A97">
        <v>2</v>
      </c>
      <c r="B97">
        <v>1</v>
      </c>
      <c r="C97" t="s">
        <v>16</v>
      </c>
      <c r="D97" t="s">
        <v>17</v>
      </c>
      <c r="E97">
        <v>19</v>
      </c>
      <c r="F97" t="s">
        <v>25</v>
      </c>
      <c r="G97" t="s">
        <v>24</v>
      </c>
      <c r="H97">
        <v>29</v>
      </c>
      <c r="I97">
        <v>1</v>
      </c>
    </row>
    <row r="98" spans="1:9" x14ac:dyDescent="0.3">
      <c r="A98">
        <v>2</v>
      </c>
      <c r="B98">
        <v>1</v>
      </c>
      <c r="C98" t="s">
        <v>16</v>
      </c>
      <c r="D98" t="s">
        <v>17</v>
      </c>
      <c r="E98">
        <v>12</v>
      </c>
      <c r="F98" t="s">
        <v>25</v>
      </c>
      <c r="G98" t="s">
        <v>24</v>
      </c>
      <c r="H98">
        <v>28</v>
      </c>
      <c r="I98">
        <v>1</v>
      </c>
    </row>
    <row r="99" spans="1:9" x14ac:dyDescent="0.3">
      <c r="A99">
        <v>2</v>
      </c>
      <c r="B99">
        <v>1</v>
      </c>
      <c r="C99" t="s">
        <v>16</v>
      </c>
      <c r="D99" t="s">
        <v>17</v>
      </c>
      <c r="E99">
        <v>19</v>
      </c>
      <c r="F99" t="s">
        <v>25</v>
      </c>
      <c r="G99" t="s">
        <v>24</v>
      </c>
      <c r="H99">
        <v>40</v>
      </c>
      <c r="I99">
        <v>1</v>
      </c>
    </row>
    <row r="100" spans="1:9" x14ac:dyDescent="0.3">
      <c r="A100">
        <v>2</v>
      </c>
      <c r="B100">
        <v>1</v>
      </c>
      <c r="C100" t="s">
        <v>16</v>
      </c>
      <c r="D100" t="s">
        <v>17</v>
      </c>
      <c r="E100">
        <v>48</v>
      </c>
      <c r="F100" t="s">
        <v>25</v>
      </c>
      <c r="G100" t="s">
        <v>24</v>
      </c>
      <c r="H100">
        <v>0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76960-8392-4B6A-AEA7-4AD1E9E5EBAC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16</v>
      </c>
      <c r="D1" t="s">
        <v>17</v>
      </c>
      <c r="E1">
        <v>27</v>
      </c>
      <c r="F1" t="s">
        <v>27</v>
      </c>
      <c r="G1" t="s">
        <v>26</v>
      </c>
      <c r="H1">
        <v>59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16</v>
      </c>
      <c r="D2" t="s">
        <v>17</v>
      </c>
      <c r="E2">
        <v>40</v>
      </c>
      <c r="F2" t="s">
        <v>27</v>
      </c>
      <c r="G2" t="s">
        <v>26</v>
      </c>
      <c r="H2">
        <v>36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16</v>
      </c>
      <c r="D3" t="s">
        <v>17</v>
      </c>
      <c r="E3">
        <v>15</v>
      </c>
      <c r="F3" t="s">
        <v>27</v>
      </c>
      <c r="G3" t="s">
        <v>26</v>
      </c>
      <c r="H3">
        <v>28</v>
      </c>
      <c r="I3">
        <v>1</v>
      </c>
      <c r="K3" s="8" t="s">
        <v>11</v>
      </c>
      <c r="L3" s="8"/>
      <c r="M3" s="10">
        <f>COUNTIF($I$1:$I$100, 0)</f>
        <v>39</v>
      </c>
      <c r="N3" s="10"/>
      <c r="O3" s="10">
        <f>COUNTIFS($I$1:$I$100, 0, $B$1:$B$100, 0)</f>
        <v>22</v>
      </c>
      <c r="P3" s="10"/>
      <c r="Q3" s="11">
        <f>COUNTIFS($I$1:$I$100, 0, $B$1:$B$100, 1)</f>
        <v>17</v>
      </c>
      <c r="R3" s="12"/>
      <c r="T3" cm="1">
        <f t="array" ref="T3">SUMPRODUCT(--($E$1:$E$100=$H$1:$H$100))</f>
        <v>5</v>
      </c>
    </row>
    <row r="4" spans="1:20" x14ac:dyDescent="0.3">
      <c r="A4">
        <v>2</v>
      </c>
      <c r="B4">
        <v>0</v>
      </c>
      <c r="C4" t="s">
        <v>16</v>
      </c>
      <c r="D4" t="s">
        <v>17</v>
      </c>
      <c r="E4">
        <v>46</v>
      </c>
      <c r="F4" t="s">
        <v>27</v>
      </c>
      <c r="G4" t="s">
        <v>26</v>
      </c>
      <c r="H4">
        <v>25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16</v>
      </c>
      <c r="D5" t="s">
        <v>17</v>
      </c>
      <c r="E5">
        <v>51</v>
      </c>
      <c r="F5" t="s">
        <v>27</v>
      </c>
      <c r="G5" t="s">
        <v>26</v>
      </c>
      <c r="H5">
        <v>41</v>
      </c>
      <c r="I5">
        <v>0</v>
      </c>
      <c r="K5" s="8" t="s">
        <v>10</v>
      </c>
      <c r="L5" s="8"/>
      <c r="M5" s="14">
        <f>COUNTIF($I$1:$I$100, 1)</f>
        <v>61</v>
      </c>
      <c r="N5" s="10"/>
      <c r="O5" s="10">
        <f>COUNTIFS($I$1:$I$100, 1, $B$1:$B$100, 0)</f>
        <v>28</v>
      </c>
      <c r="P5" s="10"/>
      <c r="Q5" s="10">
        <f>COUNTIFS($I$1:$I$100, 1, $B$1:$B$100, 1)</f>
        <v>33</v>
      </c>
      <c r="R5" s="13"/>
    </row>
    <row r="6" spans="1:20" x14ac:dyDescent="0.3">
      <c r="A6">
        <v>2</v>
      </c>
      <c r="B6">
        <v>0</v>
      </c>
      <c r="C6" t="s">
        <v>16</v>
      </c>
      <c r="D6" t="s">
        <v>17</v>
      </c>
      <c r="E6">
        <v>38</v>
      </c>
      <c r="F6" t="s">
        <v>27</v>
      </c>
      <c r="G6" t="s">
        <v>26</v>
      </c>
      <c r="H6">
        <v>20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16</v>
      </c>
      <c r="D7" t="s">
        <v>17</v>
      </c>
      <c r="E7">
        <v>30</v>
      </c>
      <c r="F7" t="s">
        <v>27</v>
      </c>
      <c r="G7" t="s">
        <v>26</v>
      </c>
      <c r="H7">
        <v>20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16</v>
      </c>
      <c r="D8" t="s">
        <v>17</v>
      </c>
      <c r="E8">
        <v>45</v>
      </c>
      <c r="F8" t="s">
        <v>27</v>
      </c>
      <c r="G8" t="s">
        <v>26</v>
      </c>
      <c r="H8">
        <v>52</v>
      </c>
      <c r="I8">
        <v>1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16</v>
      </c>
      <c r="D9" t="s">
        <v>17</v>
      </c>
      <c r="E9">
        <v>18</v>
      </c>
      <c r="F9" t="s">
        <v>27</v>
      </c>
      <c r="G9" t="s">
        <v>26</v>
      </c>
      <c r="H9">
        <v>47</v>
      </c>
      <c r="I9">
        <v>1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16</v>
      </c>
      <c r="D10" t="s">
        <v>17</v>
      </c>
      <c r="E10">
        <v>23</v>
      </c>
      <c r="F10" t="s">
        <v>27</v>
      </c>
      <c r="G10" t="s">
        <v>26</v>
      </c>
      <c r="H10">
        <v>26</v>
      </c>
      <c r="I10">
        <v>1</v>
      </c>
      <c r="K10" s="8" t="s">
        <v>6</v>
      </c>
      <c r="L10" s="8"/>
      <c r="M10" s="10">
        <f>AVERAGE($E$1:$E$100,)</f>
        <v>26.227722772277229</v>
      </c>
      <c r="N10" s="10"/>
      <c r="O10" s="10" cm="1">
        <f t="array" ref="O10">AVERAGE(_xlfn._xlws.FILTER($E$1:$E$100,$I$1:$I$100 = 0))</f>
        <v>37.07692307692308</v>
      </c>
      <c r="P10" s="10"/>
      <c r="Q10" s="11" cm="1">
        <f t="array" ref="Q10">AVERAGE(_xlfn._xlws.FILTER($E$1:$E$100,$I$1:$I$100 = 1))</f>
        <v>19.721311475409838</v>
      </c>
      <c r="R10" s="12"/>
    </row>
    <row r="11" spans="1:20" x14ac:dyDescent="0.3">
      <c r="A11">
        <v>2</v>
      </c>
      <c r="B11">
        <v>0</v>
      </c>
      <c r="C11" t="s">
        <v>16</v>
      </c>
      <c r="D11" t="s">
        <v>17</v>
      </c>
      <c r="E11">
        <v>10</v>
      </c>
      <c r="F11" t="s">
        <v>27</v>
      </c>
      <c r="G11" t="s">
        <v>26</v>
      </c>
      <c r="H11">
        <v>67</v>
      </c>
      <c r="I11">
        <v>1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16</v>
      </c>
      <c r="D12" t="s">
        <v>17</v>
      </c>
      <c r="E12">
        <v>27</v>
      </c>
      <c r="F12" t="s">
        <v>27</v>
      </c>
      <c r="G12" t="s">
        <v>26</v>
      </c>
      <c r="H12">
        <v>25</v>
      </c>
      <c r="I12">
        <v>0</v>
      </c>
      <c r="K12" s="8" t="s">
        <v>5</v>
      </c>
      <c r="L12" s="8"/>
      <c r="M12" s="10">
        <f>AVERAGE($H$1:$H$100,)</f>
        <v>35.594059405940591</v>
      </c>
      <c r="N12" s="10"/>
      <c r="O12" s="10" cm="1">
        <f t="array" ref="O12">AVERAGE(_xlfn._xlws.FILTER($H$1:$H$100,$I$1:$I$100 = 0))</f>
        <v>20.410256410256409</v>
      </c>
      <c r="P12" s="10"/>
      <c r="Q12" s="10" cm="1">
        <f t="array" ref="Q12">AVERAGE(_xlfn._xlws.FILTER($H$1:$H$100,$I$1:$I$100 = 1))</f>
        <v>45.885245901639344</v>
      </c>
      <c r="R12" s="13"/>
    </row>
    <row r="13" spans="1:20" x14ac:dyDescent="0.3">
      <c r="A13">
        <v>2</v>
      </c>
      <c r="B13">
        <v>0</v>
      </c>
      <c r="C13" t="s">
        <v>16</v>
      </c>
      <c r="D13" t="s">
        <v>17</v>
      </c>
      <c r="E13">
        <v>2</v>
      </c>
      <c r="F13" t="s">
        <v>27</v>
      </c>
      <c r="G13" t="s">
        <v>26</v>
      </c>
      <c r="H13">
        <v>31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16</v>
      </c>
      <c r="D14" t="s">
        <v>17</v>
      </c>
      <c r="E14">
        <v>34</v>
      </c>
      <c r="F14" t="s">
        <v>27</v>
      </c>
      <c r="G14" t="s">
        <v>26</v>
      </c>
      <c r="H14">
        <v>60</v>
      </c>
      <c r="I14">
        <v>1</v>
      </c>
      <c r="K14" s="19" t="s">
        <v>4</v>
      </c>
      <c r="L14" s="12"/>
      <c r="M14" s="20" cm="1">
        <f t="array" ref="M14">AVERAGE($E$1:$E$100 - $H$1:$H$100)</f>
        <v>-9.4600000000000009</v>
      </c>
      <c r="N14" s="20"/>
      <c r="O14" s="20" cm="1">
        <f t="array" ref="O14">AVERAGE(_xlfn._xlws.FILTER($E$1:$E$100 - $H$1:$H$100, I$1:I$100 = 0))</f>
        <v>16.666666666666668</v>
      </c>
      <c r="P14" s="20"/>
      <c r="Q14" s="20" cm="1">
        <f t="array" ref="Q14">AVERAGE(_xlfn._xlws.FILTER($E$1:$E$100 - $H$1:$H$100, I$1:I$100 = 1))</f>
        <v>-26.16393442622951</v>
      </c>
      <c r="R14" s="22"/>
    </row>
    <row r="15" spans="1:20" x14ac:dyDescent="0.3">
      <c r="A15">
        <v>2</v>
      </c>
      <c r="B15">
        <v>0</v>
      </c>
      <c r="C15" t="s">
        <v>16</v>
      </c>
      <c r="D15" t="s">
        <v>17</v>
      </c>
      <c r="E15">
        <v>21</v>
      </c>
      <c r="F15" t="s">
        <v>27</v>
      </c>
      <c r="G15" t="s">
        <v>26</v>
      </c>
      <c r="H15">
        <v>13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16</v>
      </c>
      <c r="D16" t="s">
        <v>17</v>
      </c>
      <c r="E16">
        <v>37</v>
      </c>
      <c r="F16" t="s">
        <v>27</v>
      </c>
      <c r="G16" t="s">
        <v>26</v>
      </c>
      <c r="H16">
        <v>33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16</v>
      </c>
      <c r="D17" t="s">
        <v>17</v>
      </c>
      <c r="E17">
        <v>22</v>
      </c>
      <c r="F17" t="s">
        <v>27</v>
      </c>
      <c r="G17" t="s">
        <v>26</v>
      </c>
      <c r="H17">
        <v>36</v>
      </c>
      <c r="I17">
        <v>1</v>
      </c>
    </row>
    <row r="18" spans="1:9" x14ac:dyDescent="0.3">
      <c r="A18">
        <v>2</v>
      </c>
      <c r="B18">
        <v>0</v>
      </c>
      <c r="C18" t="s">
        <v>16</v>
      </c>
      <c r="D18" t="s">
        <v>17</v>
      </c>
      <c r="E18">
        <v>15</v>
      </c>
      <c r="F18" t="s">
        <v>27</v>
      </c>
      <c r="G18" t="s">
        <v>26</v>
      </c>
      <c r="H18">
        <v>41</v>
      </c>
      <c r="I18">
        <v>1</v>
      </c>
    </row>
    <row r="19" spans="1:9" x14ac:dyDescent="0.3">
      <c r="A19">
        <v>2</v>
      </c>
      <c r="B19">
        <v>0</v>
      </c>
      <c r="C19" t="s">
        <v>16</v>
      </c>
      <c r="D19" t="s">
        <v>17</v>
      </c>
      <c r="E19">
        <v>18</v>
      </c>
      <c r="F19" t="s">
        <v>27</v>
      </c>
      <c r="G19" t="s">
        <v>26</v>
      </c>
      <c r="H19">
        <v>28</v>
      </c>
      <c r="I19">
        <v>1</v>
      </c>
    </row>
    <row r="20" spans="1:9" x14ac:dyDescent="0.3">
      <c r="A20">
        <v>2</v>
      </c>
      <c r="B20">
        <v>0</v>
      </c>
      <c r="C20" t="s">
        <v>16</v>
      </c>
      <c r="D20" t="s">
        <v>17</v>
      </c>
      <c r="E20">
        <v>23</v>
      </c>
      <c r="F20" t="s">
        <v>27</v>
      </c>
      <c r="G20" t="s">
        <v>26</v>
      </c>
      <c r="H20">
        <v>23</v>
      </c>
      <c r="I20">
        <v>0</v>
      </c>
    </row>
    <row r="21" spans="1:9" x14ac:dyDescent="0.3">
      <c r="A21">
        <v>2</v>
      </c>
      <c r="B21">
        <v>0</v>
      </c>
      <c r="C21" t="s">
        <v>16</v>
      </c>
      <c r="D21" t="s">
        <v>17</v>
      </c>
      <c r="E21">
        <v>37</v>
      </c>
      <c r="F21" t="s">
        <v>27</v>
      </c>
      <c r="G21" t="s">
        <v>26</v>
      </c>
      <c r="H21">
        <v>11</v>
      </c>
      <c r="I21">
        <v>0</v>
      </c>
    </row>
    <row r="22" spans="1:9" x14ac:dyDescent="0.3">
      <c r="A22">
        <v>2</v>
      </c>
      <c r="B22">
        <v>0</v>
      </c>
      <c r="C22" t="s">
        <v>16</v>
      </c>
      <c r="D22" t="s">
        <v>17</v>
      </c>
      <c r="E22">
        <v>16</v>
      </c>
      <c r="F22" t="s">
        <v>27</v>
      </c>
      <c r="G22" t="s">
        <v>26</v>
      </c>
      <c r="H22">
        <v>15</v>
      </c>
      <c r="I22">
        <v>0</v>
      </c>
    </row>
    <row r="23" spans="1:9" x14ac:dyDescent="0.3">
      <c r="A23">
        <v>2</v>
      </c>
      <c r="B23">
        <v>0</v>
      </c>
      <c r="C23" t="s">
        <v>16</v>
      </c>
      <c r="D23" t="s">
        <v>17</v>
      </c>
      <c r="E23">
        <v>19</v>
      </c>
      <c r="F23" t="s">
        <v>27</v>
      </c>
      <c r="G23" t="s">
        <v>26</v>
      </c>
      <c r="H23">
        <v>19</v>
      </c>
      <c r="I23">
        <v>0</v>
      </c>
    </row>
    <row r="24" spans="1:9" x14ac:dyDescent="0.3">
      <c r="A24">
        <v>2</v>
      </c>
      <c r="B24">
        <v>0</v>
      </c>
      <c r="C24" t="s">
        <v>16</v>
      </c>
      <c r="D24" t="s">
        <v>17</v>
      </c>
      <c r="E24">
        <v>32</v>
      </c>
      <c r="F24" t="s">
        <v>27</v>
      </c>
      <c r="G24" t="s">
        <v>26</v>
      </c>
      <c r="H24">
        <v>43</v>
      </c>
      <c r="I24">
        <v>1</v>
      </c>
    </row>
    <row r="25" spans="1:9" x14ac:dyDescent="0.3">
      <c r="A25">
        <v>2</v>
      </c>
      <c r="B25">
        <v>0</v>
      </c>
      <c r="C25" t="s">
        <v>16</v>
      </c>
      <c r="D25" t="s">
        <v>17</v>
      </c>
      <c r="E25">
        <v>34</v>
      </c>
      <c r="F25" t="s">
        <v>27</v>
      </c>
      <c r="G25" t="s">
        <v>26</v>
      </c>
      <c r="H25">
        <v>10</v>
      </c>
      <c r="I25">
        <v>0</v>
      </c>
    </row>
    <row r="26" spans="1:9" x14ac:dyDescent="0.3">
      <c r="A26">
        <v>2</v>
      </c>
      <c r="B26">
        <v>0</v>
      </c>
      <c r="C26" t="s">
        <v>16</v>
      </c>
      <c r="D26" t="s">
        <v>17</v>
      </c>
      <c r="E26">
        <v>11</v>
      </c>
      <c r="F26" t="s">
        <v>27</v>
      </c>
      <c r="G26" t="s">
        <v>26</v>
      </c>
      <c r="H26">
        <v>53</v>
      </c>
      <c r="I26">
        <v>1</v>
      </c>
    </row>
    <row r="27" spans="1:9" x14ac:dyDescent="0.3">
      <c r="A27">
        <v>2</v>
      </c>
      <c r="B27">
        <v>0</v>
      </c>
      <c r="C27" t="s">
        <v>16</v>
      </c>
      <c r="D27" t="s">
        <v>17</v>
      </c>
      <c r="E27">
        <v>37</v>
      </c>
      <c r="F27" t="s">
        <v>27</v>
      </c>
      <c r="G27" t="s">
        <v>26</v>
      </c>
      <c r="H27">
        <v>1</v>
      </c>
      <c r="I27">
        <v>0</v>
      </c>
    </row>
    <row r="28" spans="1:9" x14ac:dyDescent="0.3">
      <c r="A28">
        <v>2</v>
      </c>
      <c r="B28">
        <v>0</v>
      </c>
      <c r="C28" t="s">
        <v>16</v>
      </c>
      <c r="D28" t="s">
        <v>17</v>
      </c>
      <c r="E28">
        <v>15</v>
      </c>
      <c r="F28" t="s">
        <v>27</v>
      </c>
      <c r="G28" t="s">
        <v>26</v>
      </c>
      <c r="H28">
        <v>52</v>
      </c>
      <c r="I28">
        <v>1</v>
      </c>
    </row>
    <row r="29" spans="1:9" x14ac:dyDescent="0.3">
      <c r="A29">
        <v>2</v>
      </c>
      <c r="B29">
        <v>0</v>
      </c>
      <c r="C29" t="s">
        <v>16</v>
      </c>
      <c r="D29" t="s">
        <v>17</v>
      </c>
      <c r="E29">
        <v>44</v>
      </c>
      <c r="F29" t="s">
        <v>27</v>
      </c>
      <c r="G29" t="s">
        <v>26</v>
      </c>
      <c r="H29">
        <v>20</v>
      </c>
      <c r="I29">
        <v>0</v>
      </c>
    </row>
    <row r="30" spans="1:9" x14ac:dyDescent="0.3">
      <c r="A30">
        <v>2</v>
      </c>
      <c r="B30">
        <v>0</v>
      </c>
      <c r="C30" t="s">
        <v>16</v>
      </c>
      <c r="D30" t="s">
        <v>17</v>
      </c>
      <c r="E30">
        <v>3</v>
      </c>
      <c r="F30" t="s">
        <v>27</v>
      </c>
      <c r="G30" t="s">
        <v>26</v>
      </c>
      <c r="H30">
        <v>35</v>
      </c>
      <c r="I30">
        <v>1</v>
      </c>
    </row>
    <row r="31" spans="1:9" x14ac:dyDescent="0.3">
      <c r="A31">
        <v>2</v>
      </c>
      <c r="B31">
        <v>0</v>
      </c>
      <c r="C31" t="s">
        <v>16</v>
      </c>
      <c r="D31" t="s">
        <v>17</v>
      </c>
      <c r="E31">
        <v>26</v>
      </c>
      <c r="F31" t="s">
        <v>27</v>
      </c>
      <c r="G31" t="s">
        <v>26</v>
      </c>
      <c r="H31">
        <v>40</v>
      </c>
      <c r="I31">
        <v>1</v>
      </c>
    </row>
    <row r="32" spans="1:9" x14ac:dyDescent="0.3">
      <c r="A32">
        <v>2</v>
      </c>
      <c r="B32">
        <v>0</v>
      </c>
      <c r="C32" t="s">
        <v>16</v>
      </c>
      <c r="D32" t="s">
        <v>17</v>
      </c>
      <c r="E32">
        <v>23</v>
      </c>
      <c r="F32" t="s">
        <v>27</v>
      </c>
      <c r="G32" t="s">
        <v>26</v>
      </c>
      <c r="H32">
        <v>20</v>
      </c>
      <c r="I32">
        <v>0</v>
      </c>
    </row>
    <row r="33" spans="1:9" x14ac:dyDescent="0.3">
      <c r="A33">
        <v>2</v>
      </c>
      <c r="B33">
        <v>0</v>
      </c>
      <c r="C33" t="s">
        <v>16</v>
      </c>
      <c r="D33" t="s">
        <v>17</v>
      </c>
      <c r="E33">
        <v>53</v>
      </c>
      <c r="F33" t="s">
        <v>27</v>
      </c>
      <c r="G33" t="s">
        <v>26</v>
      </c>
      <c r="H33">
        <v>31</v>
      </c>
      <c r="I33">
        <v>0</v>
      </c>
    </row>
    <row r="34" spans="1:9" x14ac:dyDescent="0.3">
      <c r="A34">
        <v>2</v>
      </c>
      <c r="B34">
        <v>0</v>
      </c>
      <c r="C34" t="s">
        <v>16</v>
      </c>
      <c r="D34" t="s">
        <v>17</v>
      </c>
      <c r="E34">
        <v>21</v>
      </c>
      <c r="F34" t="s">
        <v>27</v>
      </c>
      <c r="G34" t="s">
        <v>26</v>
      </c>
      <c r="H34">
        <v>23</v>
      </c>
      <c r="I34">
        <v>1</v>
      </c>
    </row>
    <row r="35" spans="1:9" x14ac:dyDescent="0.3">
      <c r="A35">
        <v>2</v>
      </c>
      <c r="B35">
        <v>0</v>
      </c>
      <c r="C35" t="s">
        <v>16</v>
      </c>
      <c r="D35" t="s">
        <v>17</v>
      </c>
      <c r="E35">
        <v>35</v>
      </c>
      <c r="F35" t="s">
        <v>27</v>
      </c>
      <c r="G35" t="s">
        <v>26</v>
      </c>
      <c r="H35">
        <v>48</v>
      </c>
      <c r="I35">
        <v>1</v>
      </c>
    </row>
    <row r="36" spans="1:9" x14ac:dyDescent="0.3">
      <c r="A36">
        <v>2</v>
      </c>
      <c r="B36">
        <v>0</v>
      </c>
      <c r="C36" t="s">
        <v>16</v>
      </c>
      <c r="D36" t="s">
        <v>17</v>
      </c>
      <c r="E36">
        <v>45</v>
      </c>
      <c r="F36" t="s">
        <v>27</v>
      </c>
      <c r="G36" t="s">
        <v>26</v>
      </c>
      <c r="H36">
        <v>10</v>
      </c>
      <c r="I36">
        <v>0</v>
      </c>
    </row>
    <row r="37" spans="1:9" x14ac:dyDescent="0.3">
      <c r="A37">
        <v>2</v>
      </c>
      <c r="B37">
        <v>0</v>
      </c>
      <c r="C37" t="s">
        <v>16</v>
      </c>
      <c r="D37" t="s">
        <v>17</v>
      </c>
      <c r="E37">
        <v>4</v>
      </c>
      <c r="F37" t="s">
        <v>27</v>
      </c>
      <c r="G37" t="s">
        <v>26</v>
      </c>
      <c r="H37">
        <v>78</v>
      </c>
      <c r="I37">
        <v>1</v>
      </c>
    </row>
    <row r="38" spans="1:9" x14ac:dyDescent="0.3">
      <c r="A38">
        <v>2</v>
      </c>
      <c r="B38">
        <v>0</v>
      </c>
      <c r="C38" t="s">
        <v>16</v>
      </c>
      <c r="D38" t="s">
        <v>17</v>
      </c>
      <c r="E38">
        <v>2</v>
      </c>
      <c r="F38" t="s">
        <v>27</v>
      </c>
      <c r="G38" t="s">
        <v>26</v>
      </c>
      <c r="H38">
        <v>39</v>
      </c>
      <c r="I38">
        <v>1</v>
      </c>
    </row>
    <row r="39" spans="1:9" x14ac:dyDescent="0.3">
      <c r="A39">
        <v>2</v>
      </c>
      <c r="B39">
        <v>0</v>
      </c>
      <c r="C39" t="s">
        <v>16</v>
      </c>
      <c r="D39" t="s">
        <v>17</v>
      </c>
      <c r="E39">
        <v>4</v>
      </c>
      <c r="F39" t="s">
        <v>27</v>
      </c>
      <c r="G39" t="s">
        <v>26</v>
      </c>
      <c r="H39">
        <v>63</v>
      </c>
      <c r="I39">
        <v>1</v>
      </c>
    </row>
    <row r="40" spans="1:9" x14ac:dyDescent="0.3">
      <c r="A40">
        <v>2</v>
      </c>
      <c r="B40">
        <v>0</v>
      </c>
      <c r="C40" t="s">
        <v>16</v>
      </c>
      <c r="D40" t="s">
        <v>17</v>
      </c>
      <c r="E40">
        <v>7</v>
      </c>
      <c r="F40" t="s">
        <v>27</v>
      </c>
      <c r="G40" t="s">
        <v>26</v>
      </c>
      <c r="H40">
        <v>49</v>
      </c>
      <c r="I40">
        <v>1</v>
      </c>
    </row>
    <row r="41" spans="1:9" x14ac:dyDescent="0.3">
      <c r="A41">
        <v>2</v>
      </c>
      <c r="B41">
        <v>0</v>
      </c>
      <c r="C41" t="s">
        <v>16</v>
      </c>
      <c r="D41" t="s">
        <v>17</v>
      </c>
      <c r="E41">
        <v>20</v>
      </c>
      <c r="F41" t="s">
        <v>27</v>
      </c>
      <c r="G41" t="s">
        <v>26</v>
      </c>
      <c r="H41">
        <v>63</v>
      </c>
      <c r="I41">
        <v>1</v>
      </c>
    </row>
    <row r="42" spans="1:9" x14ac:dyDescent="0.3">
      <c r="A42">
        <v>2</v>
      </c>
      <c r="B42">
        <v>0</v>
      </c>
      <c r="C42" t="s">
        <v>16</v>
      </c>
      <c r="D42" t="s">
        <v>17</v>
      </c>
      <c r="E42">
        <v>46</v>
      </c>
      <c r="F42" t="s">
        <v>27</v>
      </c>
      <c r="G42" t="s">
        <v>26</v>
      </c>
      <c r="H42">
        <v>59</v>
      </c>
      <c r="I42">
        <v>1</v>
      </c>
    </row>
    <row r="43" spans="1:9" x14ac:dyDescent="0.3">
      <c r="A43">
        <v>2</v>
      </c>
      <c r="B43">
        <v>0</v>
      </c>
      <c r="C43" t="s">
        <v>16</v>
      </c>
      <c r="D43" t="s">
        <v>17</v>
      </c>
      <c r="E43">
        <v>70</v>
      </c>
      <c r="F43" t="s">
        <v>27</v>
      </c>
      <c r="G43" t="s">
        <v>26</v>
      </c>
      <c r="H43">
        <v>7</v>
      </c>
      <c r="I43">
        <v>0</v>
      </c>
    </row>
    <row r="44" spans="1:9" x14ac:dyDescent="0.3">
      <c r="A44">
        <v>2</v>
      </c>
      <c r="B44">
        <v>0</v>
      </c>
      <c r="C44" t="s">
        <v>16</v>
      </c>
      <c r="D44" t="s">
        <v>17</v>
      </c>
      <c r="E44">
        <v>7</v>
      </c>
      <c r="F44" t="s">
        <v>27</v>
      </c>
      <c r="G44" t="s">
        <v>26</v>
      </c>
      <c r="H44">
        <v>40</v>
      </c>
      <c r="I44">
        <v>1</v>
      </c>
    </row>
    <row r="45" spans="1:9" x14ac:dyDescent="0.3">
      <c r="A45">
        <v>2</v>
      </c>
      <c r="B45">
        <v>0</v>
      </c>
      <c r="C45" t="s">
        <v>16</v>
      </c>
      <c r="D45" t="s">
        <v>17</v>
      </c>
      <c r="E45">
        <v>34</v>
      </c>
      <c r="F45" t="s">
        <v>27</v>
      </c>
      <c r="G45" t="s">
        <v>26</v>
      </c>
      <c r="H45">
        <v>34</v>
      </c>
      <c r="I45">
        <v>0</v>
      </c>
    </row>
    <row r="46" spans="1:9" x14ac:dyDescent="0.3">
      <c r="A46">
        <v>2</v>
      </c>
      <c r="B46">
        <v>0</v>
      </c>
      <c r="C46" t="s">
        <v>16</v>
      </c>
      <c r="D46" t="s">
        <v>17</v>
      </c>
      <c r="E46">
        <v>17</v>
      </c>
      <c r="F46" t="s">
        <v>27</v>
      </c>
      <c r="G46" t="s">
        <v>26</v>
      </c>
      <c r="H46">
        <v>40</v>
      </c>
      <c r="I46">
        <v>1</v>
      </c>
    </row>
    <row r="47" spans="1:9" x14ac:dyDescent="0.3">
      <c r="A47">
        <v>2</v>
      </c>
      <c r="B47">
        <v>0</v>
      </c>
      <c r="C47" t="s">
        <v>16</v>
      </c>
      <c r="D47" t="s">
        <v>17</v>
      </c>
      <c r="E47">
        <v>57</v>
      </c>
      <c r="F47" t="s">
        <v>27</v>
      </c>
      <c r="G47" t="s">
        <v>26</v>
      </c>
      <c r="H47">
        <v>42</v>
      </c>
      <c r="I47">
        <v>0</v>
      </c>
    </row>
    <row r="48" spans="1:9" x14ac:dyDescent="0.3">
      <c r="A48">
        <v>2</v>
      </c>
      <c r="B48">
        <v>0</v>
      </c>
      <c r="C48" t="s">
        <v>16</v>
      </c>
      <c r="D48" t="s">
        <v>17</v>
      </c>
      <c r="E48">
        <v>31</v>
      </c>
      <c r="F48" t="s">
        <v>27</v>
      </c>
      <c r="G48" t="s">
        <v>26</v>
      </c>
      <c r="H48">
        <v>31</v>
      </c>
      <c r="I48">
        <v>0</v>
      </c>
    </row>
    <row r="49" spans="1:9" x14ac:dyDescent="0.3">
      <c r="A49">
        <v>2</v>
      </c>
      <c r="B49">
        <v>0</v>
      </c>
      <c r="C49" t="s">
        <v>16</v>
      </c>
      <c r="D49" t="s">
        <v>17</v>
      </c>
      <c r="E49">
        <v>16</v>
      </c>
      <c r="F49" t="s">
        <v>27</v>
      </c>
      <c r="G49" t="s">
        <v>26</v>
      </c>
      <c r="H49">
        <v>33</v>
      </c>
      <c r="I49">
        <v>1</v>
      </c>
    </row>
    <row r="50" spans="1:9" x14ac:dyDescent="0.3">
      <c r="A50">
        <v>2</v>
      </c>
      <c r="B50">
        <v>0</v>
      </c>
      <c r="C50" t="s">
        <v>16</v>
      </c>
      <c r="D50" t="s">
        <v>17</v>
      </c>
      <c r="E50">
        <v>51</v>
      </c>
      <c r="F50" t="s">
        <v>27</v>
      </c>
      <c r="G50" t="s">
        <v>26</v>
      </c>
      <c r="H50">
        <v>69</v>
      </c>
      <c r="I50">
        <v>1</v>
      </c>
    </row>
    <row r="51" spans="1:9" x14ac:dyDescent="0.3">
      <c r="A51">
        <v>2</v>
      </c>
      <c r="B51">
        <v>1</v>
      </c>
      <c r="C51" t="s">
        <v>16</v>
      </c>
      <c r="D51" t="s">
        <v>17</v>
      </c>
      <c r="E51">
        <v>7</v>
      </c>
      <c r="F51" t="s">
        <v>27</v>
      </c>
      <c r="G51" t="s">
        <v>26</v>
      </c>
      <c r="H51">
        <v>27</v>
      </c>
      <c r="I51">
        <v>1</v>
      </c>
    </row>
    <row r="52" spans="1:9" x14ac:dyDescent="0.3">
      <c r="A52">
        <v>2</v>
      </c>
      <c r="B52">
        <v>1</v>
      </c>
      <c r="C52" t="s">
        <v>16</v>
      </c>
      <c r="D52" t="s">
        <v>17</v>
      </c>
      <c r="E52">
        <v>17</v>
      </c>
      <c r="F52" t="s">
        <v>27</v>
      </c>
      <c r="G52" t="s">
        <v>26</v>
      </c>
      <c r="H52">
        <v>56</v>
      </c>
      <c r="I52">
        <v>1</v>
      </c>
    </row>
    <row r="53" spans="1:9" x14ac:dyDescent="0.3">
      <c r="A53">
        <v>2</v>
      </c>
      <c r="B53">
        <v>1</v>
      </c>
      <c r="C53" t="s">
        <v>16</v>
      </c>
      <c r="D53" t="s">
        <v>17</v>
      </c>
      <c r="E53">
        <v>20</v>
      </c>
      <c r="F53" t="s">
        <v>27</v>
      </c>
      <c r="G53" t="s">
        <v>26</v>
      </c>
      <c r="H53">
        <v>32</v>
      </c>
      <c r="I53">
        <v>1</v>
      </c>
    </row>
    <row r="54" spans="1:9" x14ac:dyDescent="0.3">
      <c r="A54">
        <v>2</v>
      </c>
      <c r="B54">
        <v>1</v>
      </c>
      <c r="C54" t="s">
        <v>16</v>
      </c>
      <c r="D54" t="s">
        <v>17</v>
      </c>
      <c r="E54">
        <v>38</v>
      </c>
      <c r="F54" t="s">
        <v>27</v>
      </c>
      <c r="G54" t="s">
        <v>26</v>
      </c>
      <c r="H54">
        <v>41</v>
      </c>
      <c r="I54">
        <v>1</v>
      </c>
    </row>
    <row r="55" spans="1:9" x14ac:dyDescent="0.3">
      <c r="A55">
        <v>2</v>
      </c>
      <c r="B55">
        <v>1</v>
      </c>
      <c r="C55" t="s">
        <v>16</v>
      </c>
      <c r="D55" t="s">
        <v>17</v>
      </c>
      <c r="E55">
        <v>6</v>
      </c>
      <c r="F55" t="s">
        <v>27</v>
      </c>
      <c r="G55" t="s">
        <v>26</v>
      </c>
      <c r="H55">
        <v>36</v>
      </c>
      <c r="I55">
        <v>1</v>
      </c>
    </row>
    <row r="56" spans="1:9" x14ac:dyDescent="0.3">
      <c r="A56">
        <v>2</v>
      </c>
      <c r="B56">
        <v>1</v>
      </c>
      <c r="C56" t="s">
        <v>16</v>
      </c>
      <c r="D56" t="s">
        <v>17</v>
      </c>
      <c r="E56">
        <v>27</v>
      </c>
      <c r="F56" t="s">
        <v>27</v>
      </c>
      <c r="G56" t="s">
        <v>26</v>
      </c>
      <c r="H56">
        <v>60</v>
      </c>
      <c r="I56">
        <v>1</v>
      </c>
    </row>
    <row r="57" spans="1:9" x14ac:dyDescent="0.3">
      <c r="A57">
        <v>2</v>
      </c>
      <c r="B57">
        <v>1</v>
      </c>
      <c r="C57" t="s">
        <v>16</v>
      </c>
      <c r="D57" t="s">
        <v>17</v>
      </c>
      <c r="E57">
        <v>22</v>
      </c>
      <c r="F57" t="s">
        <v>27</v>
      </c>
      <c r="G57" t="s">
        <v>26</v>
      </c>
      <c r="H57">
        <v>38</v>
      </c>
      <c r="I57">
        <v>1</v>
      </c>
    </row>
    <row r="58" spans="1:9" x14ac:dyDescent="0.3">
      <c r="A58">
        <v>2</v>
      </c>
      <c r="B58">
        <v>1</v>
      </c>
      <c r="C58" t="s">
        <v>16</v>
      </c>
      <c r="D58" t="s">
        <v>17</v>
      </c>
      <c r="E58">
        <v>44</v>
      </c>
      <c r="F58" t="s">
        <v>27</v>
      </c>
      <c r="G58" t="s">
        <v>26</v>
      </c>
      <c r="H58">
        <v>38</v>
      </c>
      <c r="I58">
        <v>0</v>
      </c>
    </row>
    <row r="59" spans="1:9" x14ac:dyDescent="0.3">
      <c r="A59">
        <v>2</v>
      </c>
      <c r="B59">
        <v>1</v>
      </c>
      <c r="C59" t="s">
        <v>16</v>
      </c>
      <c r="D59" t="s">
        <v>17</v>
      </c>
      <c r="E59">
        <v>54</v>
      </c>
      <c r="F59" t="s">
        <v>27</v>
      </c>
      <c r="G59" t="s">
        <v>26</v>
      </c>
      <c r="H59">
        <v>52</v>
      </c>
      <c r="I59">
        <v>0</v>
      </c>
    </row>
    <row r="60" spans="1:9" x14ac:dyDescent="0.3">
      <c r="A60">
        <v>2</v>
      </c>
      <c r="B60">
        <v>1</v>
      </c>
      <c r="C60" t="s">
        <v>16</v>
      </c>
      <c r="D60" t="s">
        <v>17</v>
      </c>
      <c r="E60">
        <v>22</v>
      </c>
      <c r="F60" t="s">
        <v>27</v>
      </c>
      <c r="G60" t="s">
        <v>26</v>
      </c>
      <c r="H60">
        <v>49</v>
      </c>
      <c r="I60">
        <v>1</v>
      </c>
    </row>
    <row r="61" spans="1:9" x14ac:dyDescent="0.3">
      <c r="A61">
        <v>2</v>
      </c>
      <c r="B61">
        <v>1</v>
      </c>
      <c r="C61" t="s">
        <v>16</v>
      </c>
      <c r="D61" t="s">
        <v>17</v>
      </c>
      <c r="E61">
        <v>25</v>
      </c>
      <c r="F61" t="s">
        <v>27</v>
      </c>
      <c r="G61" t="s">
        <v>26</v>
      </c>
      <c r="H61">
        <v>49</v>
      </c>
      <c r="I61">
        <v>1</v>
      </c>
    </row>
    <row r="62" spans="1:9" x14ac:dyDescent="0.3">
      <c r="A62">
        <v>2</v>
      </c>
      <c r="B62">
        <v>1</v>
      </c>
      <c r="C62" t="s">
        <v>16</v>
      </c>
      <c r="D62" t="s">
        <v>17</v>
      </c>
      <c r="E62">
        <v>22</v>
      </c>
      <c r="F62" t="s">
        <v>27</v>
      </c>
      <c r="G62" t="s">
        <v>26</v>
      </c>
      <c r="H62">
        <v>22</v>
      </c>
      <c r="I62">
        <v>0</v>
      </c>
    </row>
    <row r="63" spans="1:9" x14ac:dyDescent="0.3">
      <c r="A63">
        <v>2</v>
      </c>
      <c r="B63">
        <v>1</v>
      </c>
      <c r="C63" t="s">
        <v>16</v>
      </c>
      <c r="D63" t="s">
        <v>17</v>
      </c>
      <c r="E63">
        <v>36</v>
      </c>
      <c r="F63" t="s">
        <v>27</v>
      </c>
      <c r="G63" t="s">
        <v>26</v>
      </c>
      <c r="H63">
        <v>78</v>
      </c>
      <c r="I63">
        <v>1</v>
      </c>
    </row>
    <row r="64" spans="1:9" x14ac:dyDescent="0.3">
      <c r="A64">
        <v>2</v>
      </c>
      <c r="B64">
        <v>1</v>
      </c>
      <c r="C64" t="s">
        <v>16</v>
      </c>
      <c r="D64" t="s">
        <v>17</v>
      </c>
      <c r="E64">
        <v>5</v>
      </c>
      <c r="F64" t="s">
        <v>27</v>
      </c>
      <c r="G64" t="s">
        <v>26</v>
      </c>
      <c r="H64">
        <v>35</v>
      </c>
      <c r="I64">
        <v>1</v>
      </c>
    </row>
    <row r="65" spans="1:9" x14ac:dyDescent="0.3">
      <c r="A65">
        <v>2</v>
      </c>
      <c r="B65">
        <v>1</v>
      </c>
      <c r="C65" t="s">
        <v>16</v>
      </c>
      <c r="D65" t="s">
        <v>17</v>
      </c>
      <c r="E65">
        <v>21</v>
      </c>
      <c r="F65" t="s">
        <v>27</v>
      </c>
      <c r="G65" t="s">
        <v>26</v>
      </c>
      <c r="H65">
        <v>17</v>
      </c>
      <c r="I65">
        <v>0</v>
      </c>
    </row>
    <row r="66" spans="1:9" x14ac:dyDescent="0.3">
      <c r="A66">
        <v>2</v>
      </c>
      <c r="B66">
        <v>1</v>
      </c>
      <c r="C66" t="s">
        <v>16</v>
      </c>
      <c r="D66" t="s">
        <v>17</v>
      </c>
      <c r="E66">
        <v>2</v>
      </c>
      <c r="F66" t="s">
        <v>27</v>
      </c>
      <c r="G66" t="s">
        <v>26</v>
      </c>
      <c r="H66">
        <v>32</v>
      </c>
      <c r="I66">
        <v>1</v>
      </c>
    </row>
    <row r="67" spans="1:9" x14ac:dyDescent="0.3">
      <c r="A67">
        <v>2</v>
      </c>
      <c r="B67">
        <v>1</v>
      </c>
      <c r="C67" t="s">
        <v>16</v>
      </c>
      <c r="D67" t="s">
        <v>17</v>
      </c>
      <c r="E67">
        <v>14</v>
      </c>
      <c r="F67" t="s">
        <v>27</v>
      </c>
      <c r="G67" t="s">
        <v>26</v>
      </c>
      <c r="H67">
        <v>22</v>
      </c>
      <c r="I67">
        <v>1</v>
      </c>
    </row>
    <row r="68" spans="1:9" x14ac:dyDescent="0.3">
      <c r="A68">
        <v>2</v>
      </c>
      <c r="B68">
        <v>1</v>
      </c>
      <c r="C68" t="s">
        <v>16</v>
      </c>
      <c r="D68" t="s">
        <v>17</v>
      </c>
      <c r="E68">
        <v>34</v>
      </c>
      <c r="F68" t="s">
        <v>27</v>
      </c>
      <c r="G68" t="s">
        <v>26</v>
      </c>
      <c r="H68">
        <v>26</v>
      </c>
      <c r="I68">
        <v>0</v>
      </c>
    </row>
    <row r="69" spans="1:9" x14ac:dyDescent="0.3">
      <c r="A69">
        <v>2</v>
      </c>
      <c r="B69">
        <v>1</v>
      </c>
      <c r="C69" t="s">
        <v>16</v>
      </c>
      <c r="D69" t="s">
        <v>17</v>
      </c>
      <c r="E69">
        <v>19</v>
      </c>
      <c r="F69" t="s">
        <v>27</v>
      </c>
      <c r="G69" t="s">
        <v>26</v>
      </c>
      <c r="H69">
        <v>2</v>
      </c>
      <c r="I69">
        <v>0</v>
      </c>
    </row>
    <row r="70" spans="1:9" x14ac:dyDescent="0.3">
      <c r="A70">
        <v>2</v>
      </c>
      <c r="B70">
        <v>1</v>
      </c>
      <c r="C70" t="s">
        <v>16</v>
      </c>
      <c r="D70" t="s">
        <v>17</v>
      </c>
      <c r="E70">
        <v>25</v>
      </c>
      <c r="F70" t="s">
        <v>27</v>
      </c>
      <c r="G70" t="s">
        <v>26</v>
      </c>
      <c r="H70">
        <v>46</v>
      </c>
      <c r="I70">
        <v>1</v>
      </c>
    </row>
    <row r="71" spans="1:9" x14ac:dyDescent="0.3">
      <c r="A71">
        <v>2</v>
      </c>
      <c r="B71">
        <v>1</v>
      </c>
      <c r="C71" t="s">
        <v>16</v>
      </c>
      <c r="D71" t="s">
        <v>17</v>
      </c>
      <c r="E71">
        <v>25</v>
      </c>
      <c r="F71" t="s">
        <v>27</v>
      </c>
      <c r="G71" t="s">
        <v>26</v>
      </c>
      <c r="H71">
        <v>58</v>
      </c>
      <c r="I71">
        <v>1</v>
      </c>
    </row>
    <row r="72" spans="1:9" x14ac:dyDescent="0.3">
      <c r="A72">
        <v>2</v>
      </c>
      <c r="B72">
        <v>1</v>
      </c>
      <c r="C72" t="s">
        <v>16</v>
      </c>
      <c r="D72" t="s">
        <v>17</v>
      </c>
      <c r="E72">
        <v>9</v>
      </c>
      <c r="F72" t="s">
        <v>27</v>
      </c>
      <c r="G72" t="s">
        <v>26</v>
      </c>
      <c r="H72">
        <v>8</v>
      </c>
      <c r="I72">
        <v>0</v>
      </c>
    </row>
    <row r="73" spans="1:9" x14ac:dyDescent="0.3">
      <c r="A73">
        <v>2</v>
      </c>
      <c r="B73">
        <v>1</v>
      </c>
      <c r="C73" t="s">
        <v>16</v>
      </c>
      <c r="D73" t="s">
        <v>17</v>
      </c>
      <c r="E73">
        <v>4</v>
      </c>
      <c r="F73" t="s">
        <v>27</v>
      </c>
      <c r="G73" t="s">
        <v>26</v>
      </c>
      <c r="H73">
        <v>90</v>
      </c>
      <c r="I73">
        <v>1</v>
      </c>
    </row>
    <row r="74" spans="1:9" x14ac:dyDescent="0.3">
      <c r="A74">
        <v>2</v>
      </c>
      <c r="B74">
        <v>1</v>
      </c>
      <c r="C74" t="s">
        <v>16</v>
      </c>
      <c r="D74" t="s">
        <v>17</v>
      </c>
      <c r="E74">
        <v>28</v>
      </c>
      <c r="F74" t="s">
        <v>27</v>
      </c>
      <c r="G74" t="s">
        <v>26</v>
      </c>
      <c r="H74">
        <v>32</v>
      </c>
      <c r="I74">
        <v>1</v>
      </c>
    </row>
    <row r="75" spans="1:9" x14ac:dyDescent="0.3">
      <c r="A75">
        <v>2</v>
      </c>
      <c r="B75">
        <v>1</v>
      </c>
      <c r="C75" t="s">
        <v>16</v>
      </c>
      <c r="D75" t="s">
        <v>17</v>
      </c>
      <c r="E75">
        <v>19</v>
      </c>
      <c r="F75" t="s">
        <v>27</v>
      </c>
      <c r="G75" t="s">
        <v>26</v>
      </c>
      <c r="H75">
        <v>27</v>
      </c>
      <c r="I75">
        <v>1</v>
      </c>
    </row>
    <row r="76" spans="1:9" x14ac:dyDescent="0.3">
      <c r="A76">
        <v>2</v>
      </c>
      <c r="B76">
        <v>1</v>
      </c>
      <c r="C76" t="s">
        <v>16</v>
      </c>
      <c r="D76" t="s">
        <v>17</v>
      </c>
      <c r="E76">
        <v>32</v>
      </c>
      <c r="F76" t="s">
        <v>27</v>
      </c>
      <c r="G76" t="s">
        <v>26</v>
      </c>
      <c r="H76">
        <v>49</v>
      </c>
      <c r="I76">
        <v>1</v>
      </c>
    </row>
    <row r="77" spans="1:9" x14ac:dyDescent="0.3">
      <c r="A77">
        <v>2</v>
      </c>
      <c r="B77">
        <v>1</v>
      </c>
      <c r="C77" t="s">
        <v>16</v>
      </c>
      <c r="D77" t="s">
        <v>17</v>
      </c>
      <c r="E77">
        <v>42</v>
      </c>
      <c r="F77" t="s">
        <v>27</v>
      </c>
      <c r="G77" t="s">
        <v>26</v>
      </c>
      <c r="H77">
        <v>9</v>
      </c>
      <c r="I77">
        <v>0</v>
      </c>
    </row>
    <row r="78" spans="1:9" x14ac:dyDescent="0.3">
      <c r="A78">
        <v>2</v>
      </c>
      <c r="B78">
        <v>1</v>
      </c>
      <c r="C78" t="s">
        <v>16</v>
      </c>
      <c r="D78" t="s">
        <v>17</v>
      </c>
      <c r="E78">
        <v>53</v>
      </c>
      <c r="F78" t="s">
        <v>27</v>
      </c>
      <c r="G78" t="s">
        <v>26</v>
      </c>
      <c r="H78">
        <v>60</v>
      </c>
      <c r="I78">
        <v>1</v>
      </c>
    </row>
    <row r="79" spans="1:9" x14ac:dyDescent="0.3">
      <c r="A79">
        <v>2</v>
      </c>
      <c r="B79">
        <v>1</v>
      </c>
      <c r="C79" t="s">
        <v>16</v>
      </c>
      <c r="D79" t="s">
        <v>17</v>
      </c>
      <c r="E79">
        <v>2</v>
      </c>
      <c r="F79" t="s">
        <v>27</v>
      </c>
      <c r="G79" t="s">
        <v>26</v>
      </c>
      <c r="H79">
        <v>31</v>
      </c>
      <c r="I79">
        <v>1</v>
      </c>
    </row>
    <row r="80" spans="1:9" x14ac:dyDescent="0.3">
      <c r="A80">
        <v>2</v>
      </c>
      <c r="B80">
        <v>1</v>
      </c>
      <c r="C80" t="s">
        <v>16</v>
      </c>
      <c r="D80" t="s">
        <v>17</v>
      </c>
      <c r="E80">
        <v>17</v>
      </c>
      <c r="F80" t="s">
        <v>27</v>
      </c>
      <c r="G80" t="s">
        <v>26</v>
      </c>
      <c r="H80">
        <v>52</v>
      </c>
      <c r="I80">
        <v>1</v>
      </c>
    </row>
    <row r="81" spans="1:9" x14ac:dyDescent="0.3">
      <c r="A81">
        <v>2</v>
      </c>
      <c r="B81">
        <v>1</v>
      </c>
      <c r="C81" t="s">
        <v>16</v>
      </c>
      <c r="D81" t="s">
        <v>17</v>
      </c>
      <c r="E81">
        <v>51</v>
      </c>
      <c r="F81" t="s">
        <v>27</v>
      </c>
      <c r="G81" t="s">
        <v>26</v>
      </c>
      <c r="H81">
        <v>0</v>
      </c>
      <c r="I81">
        <v>0</v>
      </c>
    </row>
    <row r="82" spans="1:9" x14ac:dyDescent="0.3">
      <c r="A82">
        <v>2</v>
      </c>
      <c r="B82">
        <v>1</v>
      </c>
      <c r="C82" t="s">
        <v>16</v>
      </c>
      <c r="D82" t="s">
        <v>17</v>
      </c>
      <c r="E82">
        <v>30</v>
      </c>
      <c r="F82" t="s">
        <v>27</v>
      </c>
      <c r="G82" t="s">
        <v>26</v>
      </c>
      <c r="H82">
        <v>18</v>
      </c>
      <c r="I82">
        <v>0</v>
      </c>
    </row>
    <row r="83" spans="1:9" x14ac:dyDescent="0.3">
      <c r="A83">
        <v>2</v>
      </c>
      <c r="B83">
        <v>1</v>
      </c>
      <c r="C83" t="s">
        <v>16</v>
      </c>
      <c r="D83" t="s">
        <v>17</v>
      </c>
      <c r="E83">
        <v>15</v>
      </c>
      <c r="F83" t="s">
        <v>27</v>
      </c>
      <c r="G83" t="s">
        <v>26</v>
      </c>
      <c r="H83">
        <v>6</v>
      </c>
      <c r="I83">
        <v>0</v>
      </c>
    </row>
    <row r="84" spans="1:9" x14ac:dyDescent="0.3">
      <c r="A84">
        <v>2</v>
      </c>
      <c r="B84">
        <v>1</v>
      </c>
      <c r="C84" t="s">
        <v>16</v>
      </c>
      <c r="D84" t="s">
        <v>17</v>
      </c>
      <c r="E84">
        <v>18</v>
      </c>
      <c r="F84" t="s">
        <v>27</v>
      </c>
      <c r="G84" t="s">
        <v>26</v>
      </c>
      <c r="H84">
        <v>61</v>
      </c>
      <c r="I84">
        <v>1</v>
      </c>
    </row>
    <row r="85" spans="1:9" x14ac:dyDescent="0.3">
      <c r="A85">
        <v>2</v>
      </c>
      <c r="B85">
        <v>1</v>
      </c>
      <c r="C85" t="s">
        <v>16</v>
      </c>
      <c r="D85" t="s">
        <v>17</v>
      </c>
      <c r="E85">
        <v>47</v>
      </c>
      <c r="F85" t="s">
        <v>27</v>
      </c>
      <c r="G85" t="s">
        <v>26</v>
      </c>
      <c r="H85">
        <v>28</v>
      </c>
      <c r="I85">
        <v>0</v>
      </c>
    </row>
    <row r="86" spans="1:9" x14ac:dyDescent="0.3">
      <c r="A86">
        <v>2</v>
      </c>
      <c r="B86">
        <v>1</v>
      </c>
      <c r="C86" t="s">
        <v>16</v>
      </c>
      <c r="D86" t="s">
        <v>17</v>
      </c>
      <c r="E86">
        <v>48</v>
      </c>
      <c r="F86" t="s">
        <v>27</v>
      </c>
      <c r="G86" t="s">
        <v>26</v>
      </c>
      <c r="H86">
        <v>10</v>
      </c>
      <c r="I86">
        <v>0</v>
      </c>
    </row>
    <row r="87" spans="1:9" x14ac:dyDescent="0.3">
      <c r="A87">
        <v>2</v>
      </c>
      <c r="B87">
        <v>1</v>
      </c>
      <c r="C87" t="s">
        <v>16</v>
      </c>
      <c r="D87" t="s">
        <v>17</v>
      </c>
      <c r="E87">
        <v>23</v>
      </c>
      <c r="F87" t="s">
        <v>27</v>
      </c>
      <c r="G87" t="s">
        <v>26</v>
      </c>
      <c r="H87">
        <v>71</v>
      </c>
      <c r="I87">
        <v>1</v>
      </c>
    </row>
    <row r="88" spans="1:9" x14ac:dyDescent="0.3">
      <c r="A88">
        <v>2</v>
      </c>
      <c r="B88">
        <v>1</v>
      </c>
      <c r="C88" t="s">
        <v>16</v>
      </c>
      <c r="D88" t="s">
        <v>17</v>
      </c>
      <c r="E88">
        <v>24</v>
      </c>
      <c r="F88" t="s">
        <v>27</v>
      </c>
      <c r="G88" t="s">
        <v>26</v>
      </c>
      <c r="H88">
        <v>46</v>
      </c>
      <c r="I88">
        <v>1</v>
      </c>
    </row>
    <row r="89" spans="1:9" x14ac:dyDescent="0.3">
      <c r="A89">
        <v>2</v>
      </c>
      <c r="B89">
        <v>1</v>
      </c>
      <c r="C89" t="s">
        <v>16</v>
      </c>
      <c r="D89" t="s">
        <v>17</v>
      </c>
      <c r="E89">
        <v>9</v>
      </c>
      <c r="F89" t="s">
        <v>27</v>
      </c>
      <c r="G89" t="s">
        <v>26</v>
      </c>
      <c r="H89">
        <v>39</v>
      </c>
      <c r="I89">
        <v>1</v>
      </c>
    </row>
    <row r="90" spans="1:9" x14ac:dyDescent="0.3">
      <c r="A90">
        <v>2</v>
      </c>
      <c r="B90">
        <v>1</v>
      </c>
      <c r="C90" t="s">
        <v>16</v>
      </c>
      <c r="D90" t="s">
        <v>17</v>
      </c>
      <c r="E90">
        <v>12</v>
      </c>
      <c r="F90" t="s">
        <v>27</v>
      </c>
      <c r="G90" t="s">
        <v>26</v>
      </c>
      <c r="H90">
        <v>35</v>
      </c>
      <c r="I90">
        <v>1</v>
      </c>
    </row>
    <row r="91" spans="1:9" x14ac:dyDescent="0.3">
      <c r="A91">
        <v>2</v>
      </c>
      <c r="B91">
        <v>1</v>
      </c>
      <c r="C91" t="s">
        <v>16</v>
      </c>
      <c r="D91" t="s">
        <v>17</v>
      </c>
      <c r="E91">
        <v>9</v>
      </c>
      <c r="F91" t="s">
        <v>27</v>
      </c>
      <c r="G91" t="s">
        <v>26</v>
      </c>
      <c r="H91">
        <v>19</v>
      </c>
      <c r="I91">
        <v>1</v>
      </c>
    </row>
    <row r="92" spans="1:9" x14ac:dyDescent="0.3">
      <c r="A92">
        <v>2</v>
      </c>
      <c r="B92">
        <v>1</v>
      </c>
      <c r="C92" t="s">
        <v>16</v>
      </c>
      <c r="D92" t="s">
        <v>17</v>
      </c>
      <c r="E92">
        <v>48</v>
      </c>
      <c r="F92" t="s">
        <v>27</v>
      </c>
      <c r="G92" t="s">
        <v>26</v>
      </c>
      <c r="H92">
        <v>31</v>
      </c>
      <c r="I92">
        <v>0</v>
      </c>
    </row>
    <row r="93" spans="1:9" x14ac:dyDescent="0.3">
      <c r="A93">
        <v>2</v>
      </c>
      <c r="B93">
        <v>1</v>
      </c>
      <c r="C93" t="s">
        <v>16</v>
      </c>
      <c r="D93" t="s">
        <v>17</v>
      </c>
      <c r="E93">
        <v>10</v>
      </c>
      <c r="F93" t="s">
        <v>27</v>
      </c>
      <c r="G93" t="s">
        <v>26</v>
      </c>
      <c r="H93">
        <v>48</v>
      </c>
      <c r="I93">
        <v>1</v>
      </c>
    </row>
    <row r="94" spans="1:9" x14ac:dyDescent="0.3">
      <c r="A94">
        <v>2</v>
      </c>
      <c r="B94">
        <v>1</v>
      </c>
      <c r="C94" t="s">
        <v>16</v>
      </c>
      <c r="D94" t="s">
        <v>17</v>
      </c>
      <c r="E94">
        <v>50</v>
      </c>
      <c r="F94" t="s">
        <v>27</v>
      </c>
      <c r="G94" t="s">
        <v>26</v>
      </c>
      <c r="H94">
        <v>8</v>
      </c>
      <c r="I94">
        <v>0</v>
      </c>
    </row>
    <row r="95" spans="1:9" x14ac:dyDescent="0.3">
      <c r="A95">
        <v>2</v>
      </c>
      <c r="B95">
        <v>1</v>
      </c>
      <c r="C95" t="s">
        <v>16</v>
      </c>
      <c r="D95" t="s">
        <v>17</v>
      </c>
      <c r="E95">
        <v>57</v>
      </c>
      <c r="F95" t="s">
        <v>27</v>
      </c>
      <c r="G95" t="s">
        <v>26</v>
      </c>
      <c r="H95">
        <v>19</v>
      </c>
      <c r="I95">
        <v>0</v>
      </c>
    </row>
    <row r="96" spans="1:9" x14ac:dyDescent="0.3">
      <c r="A96">
        <v>2</v>
      </c>
      <c r="B96">
        <v>1</v>
      </c>
      <c r="C96" t="s">
        <v>16</v>
      </c>
      <c r="D96" t="s">
        <v>17</v>
      </c>
      <c r="E96">
        <v>20</v>
      </c>
      <c r="F96" t="s">
        <v>27</v>
      </c>
      <c r="G96" t="s">
        <v>26</v>
      </c>
      <c r="H96">
        <v>40</v>
      </c>
      <c r="I96">
        <v>1</v>
      </c>
    </row>
    <row r="97" spans="1:9" x14ac:dyDescent="0.3">
      <c r="A97">
        <v>2</v>
      </c>
      <c r="B97">
        <v>1</v>
      </c>
      <c r="C97" t="s">
        <v>16</v>
      </c>
      <c r="D97" t="s">
        <v>17</v>
      </c>
      <c r="E97">
        <v>37</v>
      </c>
      <c r="F97" t="s">
        <v>27</v>
      </c>
      <c r="G97" t="s">
        <v>26</v>
      </c>
      <c r="H97">
        <v>43</v>
      </c>
      <c r="I97">
        <v>1</v>
      </c>
    </row>
    <row r="98" spans="1:9" x14ac:dyDescent="0.3">
      <c r="A98">
        <v>2</v>
      </c>
      <c r="B98">
        <v>1</v>
      </c>
      <c r="C98" t="s">
        <v>16</v>
      </c>
      <c r="D98" t="s">
        <v>17</v>
      </c>
      <c r="E98">
        <v>32</v>
      </c>
      <c r="F98" t="s">
        <v>27</v>
      </c>
      <c r="G98" t="s">
        <v>26</v>
      </c>
      <c r="H98">
        <v>39</v>
      </c>
      <c r="I98">
        <v>1</v>
      </c>
    </row>
    <row r="99" spans="1:9" x14ac:dyDescent="0.3">
      <c r="A99">
        <v>2</v>
      </c>
      <c r="B99">
        <v>1</v>
      </c>
      <c r="C99" t="s">
        <v>16</v>
      </c>
      <c r="D99" t="s">
        <v>17</v>
      </c>
      <c r="E99">
        <v>42</v>
      </c>
      <c r="F99" t="s">
        <v>27</v>
      </c>
      <c r="G99" t="s">
        <v>26</v>
      </c>
      <c r="H99">
        <v>15</v>
      </c>
      <c r="I99">
        <v>0</v>
      </c>
    </row>
    <row r="100" spans="1:9" x14ac:dyDescent="0.3">
      <c r="A100">
        <v>2</v>
      </c>
      <c r="B100">
        <v>1</v>
      </c>
      <c r="C100" t="s">
        <v>16</v>
      </c>
      <c r="D100" t="s">
        <v>17</v>
      </c>
      <c r="E100">
        <v>17</v>
      </c>
      <c r="F100" t="s">
        <v>27</v>
      </c>
      <c r="G100" t="s">
        <v>26</v>
      </c>
      <c r="H100">
        <v>56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FB4AC-A87F-456A-985F-54ADC41A29D2}">
  <dimension ref="A1:T100"/>
  <sheetViews>
    <sheetView topLeftCell="J1" workbookViewId="0">
      <selection activeCell="S22" sqref="S22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16</v>
      </c>
      <c r="D1" t="s">
        <v>17</v>
      </c>
      <c r="E1">
        <v>8</v>
      </c>
      <c r="F1" t="s">
        <v>29</v>
      </c>
      <c r="G1" t="s">
        <v>28</v>
      </c>
      <c r="H1">
        <v>49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16</v>
      </c>
      <c r="D2" t="s">
        <v>17</v>
      </c>
      <c r="E2">
        <v>18</v>
      </c>
      <c r="F2" t="s">
        <v>29</v>
      </c>
      <c r="G2" t="s">
        <v>28</v>
      </c>
      <c r="H2">
        <v>54</v>
      </c>
      <c r="I2">
        <v>1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16</v>
      </c>
      <c r="D3" t="s">
        <v>17</v>
      </c>
      <c r="E3">
        <v>4</v>
      </c>
      <c r="F3" t="s">
        <v>29</v>
      </c>
      <c r="G3" t="s">
        <v>28</v>
      </c>
      <c r="H3">
        <v>36</v>
      </c>
      <c r="I3">
        <v>1</v>
      </c>
      <c r="K3" s="8" t="s">
        <v>11</v>
      </c>
      <c r="L3" s="8"/>
      <c r="M3" s="10">
        <f>COUNTIF($I$1:$I$100, 0)</f>
        <v>44</v>
      </c>
      <c r="N3" s="10"/>
      <c r="O3" s="10">
        <f>COUNTIFS($I$1:$I$100, 0, $B$1:$B$100, 0)</f>
        <v>21</v>
      </c>
      <c r="P3" s="10"/>
      <c r="Q3" s="11">
        <f>COUNTIFS($I$1:$I$100, 0, $B$1:$B$100, 1)</f>
        <v>23</v>
      </c>
      <c r="R3" s="12"/>
      <c r="T3" cm="1">
        <f t="array" ref="T3">SUMPRODUCT(--($E$1:$E$100=$H$1:$H$100))</f>
        <v>0</v>
      </c>
    </row>
    <row r="4" spans="1:20" x14ac:dyDescent="0.3">
      <c r="A4">
        <v>2</v>
      </c>
      <c r="B4">
        <v>0</v>
      </c>
      <c r="C4" t="s">
        <v>16</v>
      </c>
      <c r="D4" t="s">
        <v>17</v>
      </c>
      <c r="E4">
        <v>54</v>
      </c>
      <c r="F4" t="s">
        <v>29</v>
      </c>
      <c r="G4" t="s">
        <v>28</v>
      </c>
      <c r="H4">
        <v>15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16</v>
      </c>
      <c r="D5" t="s">
        <v>17</v>
      </c>
      <c r="E5">
        <v>42</v>
      </c>
      <c r="F5" t="s">
        <v>29</v>
      </c>
      <c r="G5" t="s">
        <v>28</v>
      </c>
      <c r="H5">
        <v>0</v>
      </c>
      <c r="I5">
        <v>0</v>
      </c>
      <c r="K5" s="8" t="s">
        <v>10</v>
      </c>
      <c r="L5" s="8"/>
      <c r="M5" s="14">
        <f>COUNTIF($I$1:$I$100, 1)</f>
        <v>56</v>
      </c>
      <c r="N5" s="10"/>
      <c r="O5" s="10">
        <f>COUNTIFS($I$1:$I$100, 1, $B$1:$B$100, 0)</f>
        <v>29</v>
      </c>
      <c r="P5" s="10"/>
      <c r="Q5" s="10">
        <f>COUNTIFS($I$1:$I$100, 1, $B$1:$B$100, 1)</f>
        <v>27</v>
      </c>
      <c r="R5" s="13"/>
    </row>
    <row r="6" spans="1:20" x14ac:dyDescent="0.3">
      <c r="A6">
        <v>2</v>
      </c>
      <c r="B6">
        <v>0</v>
      </c>
      <c r="C6" t="s">
        <v>16</v>
      </c>
      <c r="D6" t="s">
        <v>17</v>
      </c>
      <c r="E6">
        <v>43</v>
      </c>
      <c r="F6" t="s">
        <v>29</v>
      </c>
      <c r="G6" t="s">
        <v>28</v>
      </c>
      <c r="H6">
        <v>52</v>
      </c>
      <c r="I6">
        <v>1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16</v>
      </c>
      <c r="D7" t="s">
        <v>17</v>
      </c>
      <c r="E7">
        <v>9</v>
      </c>
      <c r="F7" t="s">
        <v>29</v>
      </c>
      <c r="G7" t="s">
        <v>28</v>
      </c>
      <c r="H7">
        <v>25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16</v>
      </c>
      <c r="D8" t="s">
        <v>17</v>
      </c>
      <c r="E8">
        <v>13</v>
      </c>
      <c r="F8" t="s">
        <v>29</v>
      </c>
      <c r="G8" t="s">
        <v>28</v>
      </c>
      <c r="H8">
        <v>0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16</v>
      </c>
      <c r="D9" t="s">
        <v>17</v>
      </c>
      <c r="E9">
        <v>3</v>
      </c>
      <c r="F9" t="s">
        <v>29</v>
      </c>
      <c r="G9" t="s">
        <v>28</v>
      </c>
      <c r="H9">
        <v>31</v>
      </c>
      <c r="I9">
        <v>1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16</v>
      </c>
      <c r="D10" t="s">
        <v>17</v>
      </c>
      <c r="E10">
        <v>38</v>
      </c>
      <c r="F10" t="s">
        <v>29</v>
      </c>
      <c r="G10" t="s">
        <v>28</v>
      </c>
      <c r="H10">
        <v>25</v>
      </c>
      <c r="I10">
        <v>0</v>
      </c>
      <c r="K10" s="8" t="s">
        <v>6</v>
      </c>
      <c r="L10" s="8"/>
      <c r="M10" s="10">
        <f>AVERAGE($E$1:$E$100,)</f>
        <v>23.722772277227723</v>
      </c>
      <c r="N10" s="10"/>
      <c r="O10" s="10" cm="1">
        <f t="array" ref="O10">AVERAGE(_xlfn._xlws.FILTER($E$1:$E$100,$I$1:$I$100 = 0))</f>
        <v>35.113636363636367</v>
      </c>
      <c r="P10" s="10"/>
      <c r="Q10" s="11" cm="1">
        <f t="array" ref="Q10">AVERAGE(_xlfn._xlws.FILTER($E$1:$E$100,$I$1:$I$100 = 1))</f>
        <v>15.196428571428571</v>
      </c>
      <c r="R10" s="12"/>
    </row>
    <row r="11" spans="1:20" x14ac:dyDescent="0.3">
      <c r="A11">
        <v>2</v>
      </c>
      <c r="B11">
        <v>0</v>
      </c>
      <c r="C11" t="s">
        <v>16</v>
      </c>
      <c r="D11" t="s">
        <v>17</v>
      </c>
      <c r="E11">
        <v>35</v>
      </c>
      <c r="F11" t="s">
        <v>29</v>
      </c>
      <c r="G11" t="s">
        <v>28</v>
      </c>
      <c r="H11">
        <v>40</v>
      </c>
      <c r="I11">
        <v>1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16</v>
      </c>
      <c r="D12" t="s">
        <v>17</v>
      </c>
      <c r="E12">
        <v>41</v>
      </c>
      <c r="F12" t="s">
        <v>29</v>
      </c>
      <c r="G12" t="s">
        <v>28</v>
      </c>
      <c r="H12">
        <v>34</v>
      </c>
      <c r="I12">
        <v>0</v>
      </c>
      <c r="K12" s="8" t="s">
        <v>5</v>
      </c>
      <c r="L12" s="8"/>
      <c r="M12" s="10">
        <f>AVERAGE($H$1:$H$100,)</f>
        <v>29.85148514851485</v>
      </c>
      <c r="N12" s="10"/>
      <c r="O12" s="10" cm="1">
        <f t="array" ref="O12">AVERAGE(_xlfn._xlws.FILTER($H$1:$H$100,$I$1:$I$100 = 0))</f>
        <v>15.909090909090908</v>
      </c>
      <c r="P12" s="10"/>
      <c r="Q12" s="10" cm="1">
        <f t="array" ref="Q12">AVERAGE(_xlfn._xlws.FILTER($H$1:$H$100,$I$1:$I$100 = 1))</f>
        <v>41.339285714285715</v>
      </c>
      <c r="R12" s="13"/>
    </row>
    <row r="13" spans="1:20" x14ac:dyDescent="0.3">
      <c r="A13">
        <v>2</v>
      </c>
      <c r="B13">
        <v>0</v>
      </c>
      <c r="C13" t="s">
        <v>16</v>
      </c>
      <c r="D13" t="s">
        <v>17</v>
      </c>
      <c r="E13">
        <v>10</v>
      </c>
      <c r="F13" t="s">
        <v>29</v>
      </c>
      <c r="G13" t="s">
        <v>28</v>
      </c>
      <c r="H13">
        <v>51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16</v>
      </c>
      <c r="D14" t="s">
        <v>17</v>
      </c>
      <c r="E14">
        <v>22</v>
      </c>
      <c r="F14" t="s">
        <v>29</v>
      </c>
      <c r="G14" t="s">
        <v>28</v>
      </c>
      <c r="H14">
        <v>9</v>
      </c>
      <c r="I14">
        <v>0</v>
      </c>
      <c r="K14" s="19" t="s">
        <v>4</v>
      </c>
      <c r="L14" s="12"/>
      <c r="M14" s="20" cm="1">
        <f t="array" ref="M14">AVERAGE($E$1:$E$100 - $H$1:$H$100)</f>
        <v>-6.19</v>
      </c>
      <c r="N14" s="20"/>
      <c r="O14" s="20" cm="1">
        <f t="array" ref="O14">AVERAGE(_xlfn._xlws.FILTER($E$1:$E$100 - $H$1:$H$100, I$1:I$100 = 0))</f>
        <v>19.204545454545453</v>
      </c>
      <c r="P14" s="20"/>
      <c r="Q14" s="20" cm="1">
        <f t="array" ref="Q14">AVERAGE(_xlfn._xlws.FILTER($E$1:$E$100 - $H$1:$H$100, I$1:I$100 = 1))</f>
        <v>-26.142857142857142</v>
      </c>
      <c r="R14" s="22"/>
    </row>
    <row r="15" spans="1:20" x14ac:dyDescent="0.3">
      <c r="A15">
        <v>2</v>
      </c>
      <c r="B15">
        <v>0</v>
      </c>
      <c r="C15" t="s">
        <v>16</v>
      </c>
      <c r="D15" t="s">
        <v>17</v>
      </c>
      <c r="E15">
        <v>18</v>
      </c>
      <c r="F15" t="s">
        <v>29</v>
      </c>
      <c r="G15" t="s">
        <v>28</v>
      </c>
      <c r="H15">
        <v>28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16</v>
      </c>
      <c r="D16" t="s">
        <v>17</v>
      </c>
      <c r="E16">
        <v>51</v>
      </c>
      <c r="F16" t="s">
        <v>29</v>
      </c>
      <c r="G16" t="s">
        <v>28</v>
      </c>
      <c r="H16">
        <v>21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16</v>
      </c>
      <c r="D17" t="s">
        <v>17</v>
      </c>
      <c r="E17">
        <v>15</v>
      </c>
      <c r="F17" t="s">
        <v>29</v>
      </c>
      <c r="G17" t="s">
        <v>28</v>
      </c>
      <c r="H17">
        <v>69</v>
      </c>
      <c r="I17">
        <v>1</v>
      </c>
    </row>
    <row r="18" spans="1:9" x14ac:dyDescent="0.3">
      <c r="A18">
        <v>2</v>
      </c>
      <c r="B18">
        <v>0</v>
      </c>
      <c r="C18" t="s">
        <v>16</v>
      </c>
      <c r="D18" t="s">
        <v>17</v>
      </c>
      <c r="E18">
        <v>24</v>
      </c>
      <c r="F18" t="s">
        <v>29</v>
      </c>
      <c r="G18" t="s">
        <v>28</v>
      </c>
      <c r="H18">
        <v>27</v>
      </c>
      <c r="I18">
        <v>1</v>
      </c>
    </row>
    <row r="19" spans="1:9" x14ac:dyDescent="0.3">
      <c r="A19">
        <v>2</v>
      </c>
      <c r="B19">
        <v>0</v>
      </c>
      <c r="C19" t="s">
        <v>16</v>
      </c>
      <c r="D19" t="s">
        <v>17</v>
      </c>
      <c r="E19">
        <v>31</v>
      </c>
      <c r="F19" t="s">
        <v>29</v>
      </c>
      <c r="G19" t="s">
        <v>28</v>
      </c>
      <c r="H19">
        <v>18</v>
      </c>
      <c r="I19">
        <v>0</v>
      </c>
    </row>
    <row r="20" spans="1:9" x14ac:dyDescent="0.3">
      <c r="A20">
        <v>2</v>
      </c>
      <c r="B20">
        <v>0</v>
      </c>
      <c r="C20" t="s">
        <v>16</v>
      </c>
      <c r="D20" t="s">
        <v>17</v>
      </c>
      <c r="E20">
        <v>22</v>
      </c>
      <c r="F20" t="s">
        <v>29</v>
      </c>
      <c r="G20" t="s">
        <v>28</v>
      </c>
      <c r="H20">
        <v>25</v>
      </c>
      <c r="I20">
        <v>1</v>
      </c>
    </row>
    <row r="21" spans="1:9" x14ac:dyDescent="0.3">
      <c r="A21">
        <v>2</v>
      </c>
      <c r="B21">
        <v>0</v>
      </c>
      <c r="C21" t="s">
        <v>16</v>
      </c>
      <c r="D21" t="s">
        <v>17</v>
      </c>
      <c r="E21">
        <v>14</v>
      </c>
      <c r="F21" t="s">
        <v>29</v>
      </c>
      <c r="G21" t="s">
        <v>28</v>
      </c>
      <c r="H21">
        <v>33</v>
      </c>
      <c r="I21">
        <v>1</v>
      </c>
    </row>
    <row r="22" spans="1:9" x14ac:dyDescent="0.3">
      <c r="A22">
        <v>2</v>
      </c>
      <c r="B22">
        <v>0</v>
      </c>
      <c r="C22" t="s">
        <v>16</v>
      </c>
      <c r="D22" t="s">
        <v>17</v>
      </c>
      <c r="E22">
        <v>17</v>
      </c>
      <c r="F22" t="s">
        <v>29</v>
      </c>
      <c r="G22" t="s">
        <v>28</v>
      </c>
      <c r="H22">
        <v>19</v>
      </c>
      <c r="I22">
        <v>1</v>
      </c>
    </row>
    <row r="23" spans="1:9" x14ac:dyDescent="0.3">
      <c r="A23">
        <v>2</v>
      </c>
      <c r="B23">
        <v>0</v>
      </c>
      <c r="C23" t="s">
        <v>16</v>
      </c>
      <c r="D23" t="s">
        <v>17</v>
      </c>
      <c r="E23">
        <v>25</v>
      </c>
      <c r="F23" t="s">
        <v>29</v>
      </c>
      <c r="G23" t="s">
        <v>28</v>
      </c>
      <c r="H23">
        <v>17</v>
      </c>
      <c r="I23">
        <v>0</v>
      </c>
    </row>
    <row r="24" spans="1:9" x14ac:dyDescent="0.3">
      <c r="A24">
        <v>2</v>
      </c>
      <c r="B24">
        <v>0</v>
      </c>
      <c r="C24" t="s">
        <v>16</v>
      </c>
      <c r="D24" t="s">
        <v>17</v>
      </c>
      <c r="E24">
        <v>33</v>
      </c>
      <c r="F24" t="s">
        <v>29</v>
      </c>
      <c r="G24" t="s">
        <v>28</v>
      </c>
      <c r="H24">
        <v>13</v>
      </c>
      <c r="I24">
        <v>0</v>
      </c>
    </row>
    <row r="25" spans="1:9" x14ac:dyDescent="0.3">
      <c r="A25">
        <v>2</v>
      </c>
      <c r="B25">
        <v>0</v>
      </c>
      <c r="C25" t="s">
        <v>16</v>
      </c>
      <c r="D25" t="s">
        <v>17</v>
      </c>
      <c r="E25">
        <v>11</v>
      </c>
      <c r="F25" t="s">
        <v>29</v>
      </c>
      <c r="G25" t="s">
        <v>28</v>
      </c>
      <c r="H25">
        <v>2</v>
      </c>
      <c r="I25">
        <v>0</v>
      </c>
    </row>
    <row r="26" spans="1:9" x14ac:dyDescent="0.3">
      <c r="A26">
        <v>2</v>
      </c>
      <c r="B26">
        <v>0</v>
      </c>
      <c r="C26" t="s">
        <v>16</v>
      </c>
      <c r="D26" t="s">
        <v>17</v>
      </c>
      <c r="E26">
        <v>7</v>
      </c>
      <c r="F26" t="s">
        <v>29</v>
      </c>
      <c r="G26" t="s">
        <v>28</v>
      </c>
      <c r="H26">
        <v>33</v>
      </c>
      <c r="I26">
        <v>1</v>
      </c>
    </row>
    <row r="27" spans="1:9" x14ac:dyDescent="0.3">
      <c r="A27">
        <v>2</v>
      </c>
      <c r="B27">
        <v>0</v>
      </c>
      <c r="C27" t="s">
        <v>16</v>
      </c>
      <c r="D27" t="s">
        <v>17</v>
      </c>
      <c r="E27">
        <v>9</v>
      </c>
      <c r="F27" t="s">
        <v>29</v>
      </c>
      <c r="G27" t="s">
        <v>28</v>
      </c>
      <c r="H27">
        <v>48</v>
      </c>
      <c r="I27">
        <v>1</v>
      </c>
    </row>
    <row r="28" spans="1:9" x14ac:dyDescent="0.3">
      <c r="A28">
        <v>2</v>
      </c>
      <c r="B28">
        <v>0</v>
      </c>
      <c r="C28" t="s">
        <v>16</v>
      </c>
      <c r="D28" t="s">
        <v>17</v>
      </c>
      <c r="E28">
        <v>47</v>
      </c>
      <c r="F28" t="s">
        <v>29</v>
      </c>
      <c r="G28" t="s">
        <v>28</v>
      </c>
      <c r="H28">
        <v>25</v>
      </c>
      <c r="I28">
        <v>0</v>
      </c>
    </row>
    <row r="29" spans="1:9" x14ac:dyDescent="0.3">
      <c r="A29">
        <v>2</v>
      </c>
      <c r="B29">
        <v>0</v>
      </c>
      <c r="C29" t="s">
        <v>16</v>
      </c>
      <c r="D29" t="s">
        <v>17</v>
      </c>
      <c r="E29">
        <v>5</v>
      </c>
      <c r="F29" t="s">
        <v>29</v>
      </c>
      <c r="G29" t="s">
        <v>28</v>
      </c>
      <c r="H29">
        <v>41</v>
      </c>
      <c r="I29">
        <v>1</v>
      </c>
    </row>
    <row r="30" spans="1:9" x14ac:dyDescent="0.3">
      <c r="A30">
        <v>2</v>
      </c>
      <c r="B30">
        <v>0</v>
      </c>
      <c r="C30" t="s">
        <v>16</v>
      </c>
      <c r="D30" t="s">
        <v>17</v>
      </c>
      <c r="E30">
        <v>5</v>
      </c>
      <c r="F30" t="s">
        <v>29</v>
      </c>
      <c r="G30" t="s">
        <v>28</v>
      </c>
      <c r="H30">
        <v>55</v>
      </c>
      <c r="I30">
        <v>1</v>
      </c>
    </row>
    <row r="31" spans="1:9" x14ac:dyDescent="0.3">
      <c r="A31">
        <v>2</v>
      </c>
      <c r="B31">
        <v>0</v>
      </c>
      <c r="C31" t="s">
        <v>16</v>
      </c>
      <c r="D31" t="s">
        <v>17</v>
      </c>
      <c r="E31">
        <v>52</v>
      </c>
      <c r="F31" t="s">
        <v>29</v>
      </c>
      <c r="G31" t="s">
        <v>28</v>
      </c>
      <c r="H31">
        <v>40</v>
      </c>
      <c r="I31">
        <v>0</v>
      </c>
    </row>
    <row r="32" spans="1:9" x14ac:dyDescent="0.3">
      <c r="A32">
        <v>2</v>
      </c>
      <c r="B32">
        <v>0</v>
      </c>
      <c r="C32" t="s">
        <v>16</v>
      </c>
      <c r="D32" t="s">
        <v>17</v>
      </c>
      <c r="E32">
        <v>33</v>
      </c>
      <c r="F32" t="s">
        <v>29</v>
      </c>
      <c r="G32" t="s">
        <v>28</v>
      </c>
      <c r="H32">
        <v>27</v>
      </c>
      <c r="I32">
        <v>0</v>
      </c>
    </row>
    <row r="33" spans="1:9" x14ac:dyDescent="0.3">
      <c r="A33">
        <v>2</v>
      </c>
      <c r="B33">
        <v>0</v>
      </c>
      <c r="C33" t="s">
        <v>16</v>
      </c>
      <c r="D33" t="s">
        <v>17</v>
      </c>
      <c r="E33">
        <v>28</v>
      </c>
      <c r="F33" t="s">
        <v>29</v>
      </c>
      <c r="G33" t="s">
        <v>28</v>
      </c>
      <c r="H33">
        <v>6</v>
      </c>
      <c r="I33">
        <v>0</v>
      </c>
    </row>
    <row r="34" spans="1:9" x14ac:dyDescent="0.3">
      <c r="A34">
        <v>2</v>
      </c>
      <c r="B34">
        <v>0</v>
      </c>
      <c r="C34" t="s">
        <v>16</v>
      </c>
      <c r="D34" t="s">
        <v>17</v>
      </c>
      <c r="E34">
        <v>28</v>
      </c>
      <c r="F34" t="s">
        <v>29</v>
      </c>
      <c r="G34" t="s">
        <v>28</v>
      </c>
      <c r="H34">
        <v>37</v>
      </c>
      <c r="I34">
        <v>1</v>
      </c>
    </row>
    <row r="35" spans="1:9" x14ac:dyDescent="0.3">
      <c r="A35">
        <v>2</v>
      </c>
      <c r="B35">
        <v>0</v>
      </c>
      <c r="C35" t="s">
        <v>16</v>
      </c>
      <c r="D35" t="s">
        <v>17</v>
      </c>
      <c r="E35">
        <v>49</v>
      </c>
      <c r="F35" t="s">
        <v>29</v>
      </c>
      <c r="G35" t="s">
        <v>28</v>
      </c>
      <c r="H35">
        <v>36</v>
      </c>
      <c r="I35">
        <v>0</v>
      </c>
    </row>
    <row r="36" spans="1:9" x14ac:dyDescent="0.3">
      <c r="A36">
        <v>2</v>
      </c>
      <c r="B36">
        <v>0</v>
      </c>
      <c r="C36" t="s">
        <v>16</v>
      </c>
      <c r="D36" t="s">
        <v>17</v>
      </c>
      <c r="E36">
        <v>42</v>
      </c>
      <c r="F36" t="s">
        <v>29</v>
      </c>
      <c r="G36" t="s">
        <v>28</v>
      </c>
      <c r="H36">
        <v>15</v>
      </c>
      <c r="I36">
        <v>0</v>
      </c>
    </row>
    <row r="37" spans="1:9" x14ac:dyDescent="0.3">
      <c r="A37">
        <v>2</v>
      </c>
      <c r="B37">
        <v>0</v>
      </c>
      <c r="C37" t="s">
        <v>16</v>
      </c>
      <c r="D37" t="s">
        <v>17</v>
      </c>
      <c r="E37">
        <v>2</v>
      </c>
      <c r="F37" t="s">
        <v>29</v>
      </c>
      <c r="G37" t="s">
        <v>28</v>
      </c>
      <c r="H37">
        <v>33</v>
      </c>
      <c r="I37">
        <v>1</v>
      </c>
    </row>
    <row r="38" spans="1:9" x14ac:dyDescent="0.3">
      <c r="A38">
        <v>2</v>
      </c>
      <c r="B38">
        <v>0</v>
      </c>
      <c r="C38" t="s">
        <v>16</v>
      </c>
      <c r="D38" t="s">
        <v>17</v>
      </c>
      <c r="E38">
        <v>10</v>
      </c>
      <c r="F38" t="s">
        <v>29</v>
      </c>
      <c r="G38" t="s">
        <v>28</v>
      </c>
      <c r="H38">
        <v>21</v>
      </c>
      <c r="I38">
        <v>1</v>
      </c>
    </row>
    <row r="39" spans="1:9" x14ac:dyDescent="0.3">
      <c r="A39">
        <v>2</v>
      </c>
      <c r="B39">
        <v>0</v>
      </c>
      <c r="C39" t="s">
        <v>16</v>
      </c>
      <c r="D39" t="s">
        <v>17</v>
      </c>
      <c r="E39">
        <v>0</v>
      </c>
      <c r="F39" t="s">
        <v>29</v>
      </c>
      <c r="G39" t="s">
        <v>28</v>
      </c>
      <c r="H39">
        <v>62</v>
      </c>
      <c r="I39">
        <v>1</v>
      </c>
    </row>
    <row r="40" spans="1:9" x14ac:dyDescent="0.3">
      <c r="A40">
        <v>2</v>
      </c>
      <c r="B40">
        <v>0</v>
      </c>
      <c r="C40" t="s">
        <v>16</v>
      </c>
      <c r="D40" t="s">
        <v>17</v>
      </c>
      <c r="E40">
        <v>51</v>
      </c>
      <c r="F40" t="s">
        <v>29</v>
      </c>
      <c r="G40" t="s">
        <v>28</v>
      </c>
      <c r="H40">
        <v>18</v>
      </c>
      <c r="I40">
        <v>0</v>
      </c>
    </row>
    <row r="41" spans="1:9" x14ac:dyDescent="0.3">
      <c r="A41">
        <v>2</v>
      </c>
      <c r="B41">
        <v>0</v>
      </c>
      <c r="C41" t="s">
        <v>16</v>
      </c>
      <c r="D41" t="s">
        <v>17</v>
      </c>
      <c r="E41">
        <v>10</v>
      </c>
      <c r="F41" t="s">
        <v>29</v>
      </c>
      <c r="G41" t="s">
        <v>28</v>
      </c>
      <c r="H41">
        <v>19</v>
      </c>
      <c r="I41">
        <v>1</v>
      </c>
    </row>
    <row r="42" spans="1:9" x14ac:dyDescent="0.3">
      <c r="A42">
        <v>2</v>
      </c>
      <c r="B42">
        <v>0</v>
      </c>
      <c r="C42" t="s">
        <v>16</v>
      </c>
      <c r="D42" t="s">
        <v>17</v>
      </c>
      <c r="E42">
        <v>0</v>
      </c>
      <c r="F42" t="s">
        <v>29</v>
      </c>
      <c r="G42" t="s">
        <v>28</v>
      </c>
      <c r="H42">
        <v>20</v>
      </c>
      <c r="I42">
        <v>1</v>
      </c>
    </row>
    <row r="43" spans="1:9" x14ac:dyDescent="0.3">
      <c r="A43">
        <v>2</v>
      </c>
      <c r="B43">
        <v>0</v>
      </c>
      <c r="C43" t="s">
        <v>16</v>
      </c>
      <c r="D43" t="s">
        <v>17</v>
      </c>
      <c r="E43">
        <v>19</v>
      </c>
      <c r="F43" t="s">
        <v>29</v>
      </c>
      <c r="G43" t="s">
        <v>28</v>
      </c>
      <c r="H43">
        <v>35</v>
      </c>
      <c r="I43">
        <v>1</v>
      </c>
    </row>
    <row r="44" spans="1:9" x14ac:dyDescent="0.3">
      <c r="A44">
        <v>2</v>
      </c>
      <c r="B44">
        <v>0</v>
      </c>
      <c r="C44" t="s">
        <v>16</v>
      </c>
      <c r="D44" t="s">
        <v>17</v>
      </c>
      <c r="E44">
        <v>33</v>
      </c>
      <c r="F44" t="s">
        <v>29</v>
      </c>
      <c r="G44" t="s">
        <v>28</v>
      </c>
      <c r="H44">
        <v>16</v>
      </c>
      <c r="I44">
        <v>0</v>
      </c>
    </row>
    <row r="45" spans="1:9" x14ac:dyDescent="0.3">
      <c r="A45">
        <v>2</v>
      </c>
      <c r="B45">
        <v>0</v>
      </c>
      <c r="C45" t="s">
        <v>16</v>
      </c>
      <c r="D45" t="s">
        <v>17</v>
      </c>
      <c r="E45">
        <v>22</v>
      </c>
      <c r="F45" t="s">
        <v>29</v>
      </c>
      <c r="G45" t="s">
        <v>28</v>
      </c>
      <c r="H45">
        <v>36</v>
      </c>
      <c r="I45">
        <v>1</v>
      </c>
    </row>
    <row r="46" spans="1:9" x14ac:dyDescent="0.3">
      <c r="A46">
        <v>2</v>
      </c>
      <c r="B46">
        <v>0</v>
      </c>
      <c r="C46" t="s">
        <v>16</v>
      </c>
      <c r="D46" t="s">
        <v>17</v>
      </c>
      <c r="E46">
        <v>18</v>
      </c>
      <c r="F46" t="s">
        <v>29</v>
      </c>
      <c r="G46" t="s">
        <v>28</v>
      </c>
      <c r="H46">
        <v>30</v>
      </c>
      <c r="I46">
        <v>1</v>
      </c>
    </row>
    <row r="47" spans="1:9" x14ac:dyDescent="0.3">
      <c r="A47">
        <v>2</v>
      </c>
      <c r="B47">
        <v>0</v>
      </c>
      <c r="C47" t="s">
        <v>16</v>
      </c>
      <c r="D47" t="s">
        <v>17</v>
      </c>
      <c r="E47">
        <v>33</v>
      </c>
      <c r="F47" t="s">
        <v>29</v>
      </c>
      <c r="G47" t="s">
        <v>28</v>
      </c>
      <c r="H47">
        <v>10</v>
      </c>
      <c r="I47">
        <v>0</v>
      </c>
    </row>
    <row r="48" spans="1:9" x14ac:dyDescent="0.3">
      <c r="A48">
        <v>2</v>
      </c>
      <c r="B48">
        <v>0</v>
      </c>
      <c r="C48" t="s">
        <v>16</v>
      </c>
      <c r="D48" t="s">
        <v>17</v>
      </c>
      <c r="E48">
        <v>36</v>
      </c>
      <c r="F48" t="s">
        <v>29</v>
      </c>
      <c r="G48" t="s">
        <v>28</v>
      </c>
      <c r="H48">
        <v>18</v>
      </c>
      <c r="I48">
        <v>0</v>
      </c>
    </row>
    <row r="49" spans="1:9" x14ac:dyDescent="0.3">
      <c r="A49">
        <v>2</v>
      </c>
      <c r="B49">
        <v>0</v>
      </c>
      <c r="C49" t="s">
        <v>16</v>
      </c>
      <c r="D49" t="s">
        <v>17</v>
      </c>
      <c r="E49">
        <v>21</v>
      </c>
      <c r="F49" t="s">
        <v>29</v>
      </c>
      <c r="G49" t="s">
        <v>28</v>
      </c>
      <c r="H49">
        <v>33</v>
      </c>
      <c r="I49">
        <v>1</v>
      </c>
    </row>
    <row r="50" spans="1:9" x14ac:dyDescent="0.3">
      <c r="A50">
        <v>2</v>
      </c>
      <c r="B50">
        <v>0</v>
      </c>
      <c r="C50" t="s">
        <v>16</v>
      </c>
      <c r="D50" t="s">
        <v>17</v>
      </c>
      <c r="E50">
        <v>15</v>
      </c>
      <c r="F50" t="s">
        <v>29</v>
      </c>
      <c r="G50" t="s">
        <v>28</v>
      </c>
      <c r="H50">
        <v>57</v>
      </c>
      <c r="I50">
        <v>1</v>
      </c>
    </row>
    <row r="51" spans="1:9" x14ac:dyDescent="0.3">
      <c r="A51">
        <v>2</v>
      </c>
      <c r="B51">
        <v>1</v>
      </c>
      <c r="C51" t="s">
        <v>16</v>
      </c>
      <c r="D51" t="s">
        <v>17</v>
      </c>
      <c r="E51">
        <v>29</v>
      </c>
      <c r="F51" t="s">
        <v>29</v>
      </c>
      <c r="G51" t="s">
        <v>28</v>
      </c>
      <c r="H51">
        <v>21</v>
      </c>
      <c r="I51">
        <v>0</v>
      </c>
    </row>
    <row r="52" spans="1:9" x14ac:dyDescent="0.3">
      <c r="A52">
        <v>2</v>
      </c>
      <c r="B52">
        <v>1</v>
      </c>
      <c r="C52" t="s">
        <v>16</v>
      </c>
      <c r="D52" t="s">
        <v>17</v>
      </c>
      <c r="E52">
        <v>36</v>
      </c>
      <c r="F52" t="s">
        <v>29</v>
      </c>
      <c r="G52" t="s">
        <v>28</v>
      </c>
      <c r="H52">
        <v>18</v>
      </c>
      <c r="I52">
        <v>0</v>
      </c>
    </row>
    <row r="53" spans="1:9" x14ac:dyDescent="0.3">
      <c r="A53">
        <v>2</v>
      </c>
      <c r="B53">
        <v>1</v>
      </c>
      <c r="C53" t="s">
        <v>16</v>
      </c>
      <c r="D53" t="s">
        <v>17</v>
      </c>
      <c r="E53">
        <v>39</v>
      </c>
      <c r="F53" t="s">
        <v>29</v>
      </c>
      <c r="G53" t="s">
        <v>28</v>
      </c>
      <c r="H53">
        <v>1</v>
      </c>
      <c r="I53">
        <v>0</v>
      </c>
    </row>
    <row r="54" spans="1:9" x14ac:dyDescent="0.3">
      <c r="A54">
        <v>2</v>
      </c>
      <c r="B54">
        <v>1</v>
      </c>
      <c r="C54" t="s">
        <v>16</v>
      </c>
      <c r="D54" t="s">
        <v>17</v>
      </c>
      <c r="E54">
        <v>32</v>
      </c>
      <c r="F54" t="s">
        <v>29</v>
      </c>
      <c r="G54" t="s">
        <v>28</v>
      </c>
      <c r="H54">
        <v>0</v>
      </c>
      <c r="I54">
        <v>0</v>
      </c>
    </row>
    <row r="55" spans="1:9" x14ac:dyDescent="0.3">
      <c r="A55">
        <v>2</v>
      </c>
      <c r="B55">
        <v>1</v>
      </c>
      <c r="C55" t="s">
        <v>16</v>
      </c>
      <c r="D55" t="s">
        <v>17</v>
      </c>
      <c r="E55">
        <v>16</v>
      </c>
      <c r="F55" t="s">
        <v>29</v>
      </c>
      <c r="G55" t="s">
        <v>28</v>
      </c>
      <c r="H55">
        <v>2</v>
      </c>
      <c r="I55">
        <v>0</v>
      </c>
    </row>
    <row r="56" spans="1:9" x14ac:dyDescent="0.3">
      <c r="A56">
        <v>2</v>
      </c>
      <c r="B56">
        <v>1</v>
      </c>
      <c r="C56" t="s">
        <v>16</v>
      </c>
      <c r="D56" t="s">
        <v>17</v>
      </c>
      <c r="E56">
        <v>34</v>
      </c>
      <c r="F56" t="s">
        <v>29</v>
      </c>
      <c r="G56" t="s">
        <v>28</v>
      </c>
      <c r="H56">
        <v>51</v>
      </c>
      <c r="I56">
        <v>1</v>
      </c>
    </row>
    <row r="57" spans="1:9" x14ac:dyDescent="0.3">
      <c r="A57">
        <v>2</v>
      </c>
      <c r="B57">
        <v>1</v>
      </c>
      <c r="C57" t="s">
        <v>16</v>
      </c>
      <c r="D57" t="s">
        <v>17</v>
      </c>
      <c r="E57">
        <v>39</v>
      </c>
      <c r="F57" t="s">
        <v>29</v>
      </c>
      <c r="G57" t="s">
        <v>28</v>
      </c>
      <c r="H57">
        <v>42</v>
      </c>
      <c r="I57">
        <v>1</v>
      </c>
    </row>
    <row r="58" spans="1:9" x14ac:dyDescent="0.3">
      <c r="A58">
        <v>2</v>
      </c>
      <c r="B58">
        <v>1</v>
      </c>
      <c r="C58" t="s">
        <v>16</v>
      </c>
      <c r="D58" t="s">
        <v>17</v>
      </c>
      <c r="E58">
        <v>19</v>
      </c>
      <c r="F58" t="s">
        <v>29</v>
      </c>
      <c r="G58" t="s">
        <v>28</v>
      </c>
      <c r="H58">
        <v>35</v>
      </c>
      <c r="I58">
        <v>1</v>
      </c>
    </row>
    <row r="59" spans="1:9" x14ac:dyDescent="0.3">
      <c r="A59">
        <v>2</v>
      </c>
      <c r="B59">
        <v>1</v>
      </c>
      <c r="C59" t="s">
        <v>16</v>
      </c>
      <c r="D59" t="s">
        <v>17</v>
      </c>
      <c r="E59">
        <v>27</v>
      </c>
      <c r="F59" t="s">
        <v>29</v>
      </c>
      <c r="G59" t="s">
        <v>28</v>
      </c>
      <c r="H59">
        <v>55</v>
      </c>
      <c r="I59">
        <v>1</v>
      </c>
    </row>
    <row r="60" spans="1:9" x14ac:dyDescent="0.3">
      <c r="A60">
        <v>2</v>
      </c>
      <c r="B60">
        <v>1</v>
      </c>
      <c r="C60" t="s">
        <v>16</v>
      </c>
      <c r="D60" t="s">
        <v>17</v>
      </c>
      <c r="E60">
        <v>0</v>
      </c>
      <c r="F60" t="s">
        <v>29</v>
      </c>
      <c r="G60" t="s">
        <v>28</v>
      </c>
      <c r="H60">
        <v>69</v>
      </c>
      <c r="I60">
        <v>1</v>
      </c>
    </row>
    <row r="61" spans="1:9" x14ac:dyDescent="0.3">
      <c r="A61">
        <v>2</v>
      </c>
      <c r="B61">
        <v>1</v>
      </c>
      <c r="C61" t="s">
        <v>16</v>
      </c>
      <c r="D61" t="s">
        <v>17</v>
      </c>
      <c r="E61">
        <v>21</v>
      </c>
      <c r="F61" t="s">
        <v>29</v>
      </c>
      <c r="G61" t="s">
        <v>28</v>
      </c>
      <c r="H61">
        <v>12</v>
      </c>
      <c r="I61">
        <v>0</v>
      </c>
    </row>
    <row r="62" spans="1:9" x14ac:dyDescent="0.3">
      <c r="A62">
        <v>2</v>
      </c>
      <c r="B62">
        <v>1</v>
      </c>
      <c r="C62" t="s">
        <v>16</v>
      </c>
      <c r="D62" t="s">
        <v>17</v>
      </c>
      <c r="E62">
        <v>9</v>
      </c>
      <c r="F62" t="s">
        <v>29</v>
      </c>
      <c r="G62" t="s">
        <v>28</v>
      </c>
      <c r="H62">
        <v>59</v>
      </c>
      <c r="I62">
        <v>1</v>
      </c>
    </row>
    <row r="63" spans="1:9" x14ac:dyDescent="0.3">
      <c r="A63">
        <v>2</v>
      </c>
      <c r="B63">
        <v>1</v>
      </c>
      <c r="C63" t="s">
        <v>16</v>
      </c>
      <c r="D63" t="s">
        <v>17</v>
      </c>
      <c r="E63">
        <v>20</v>
      </c>
      <c r="F63" t="s">
        <v>29</v>
      </c>
      <c r="G63" t="s">
        <v>28</v>
      </c>
      <c r="H63">
        <v>65</v>
      </c>
      <c r="I63">
        <v>1</v>
      </c>
    </row>
    <row r="64" spans="1:9" x14ac:dyDescent="0.3">
      <c r="A64">
        <v>2</v>
      </c>
      <c r="B64">
        <v>1</v>
      </c>
      <c r="C64" t="s">
        <v>16</v>
      </c>
      <c r="D64" t="s">
        <v>17</v>
      </c>
      <c r="E64">
        <v>11</v>
      </c>
      <c r="F64" t="s">
        <v>29</v>
      </c>
      <c r="G64" t="s">
        <v>28</v>
      </c>
      <c r="H64">
        <v>8</v>
      </c>
      <c r="I64">
        <v>0</v>
      </c>
    </row>
    <row r="65" spans="1:9" x14ac:dyDescent="0.3">
      <c r="A65">
        <v>2</v>
      </c>
      <c r="B65">
        <v>1</v>
      </c>
      <c r="C65" t="s">
        <v>16</v>
      </c>
      <c r="D65" t="s">
        <v>17</v>
      </c>
      <c r="E65">
        <v>2</v>
      </c>
      <c r="F65" t="s">
        <v>29</v>
      </c>
      <c r="G65" t="s">
        <v>28</v>
      </c>
      <c r="H65">
        <v>29</v>
      </c>
      <c r="I65">
        <v>1</v>
      </c>
    </row>
    <row r="66" spans="1:9" x14ac:dyDescent="0.3">
      <c r="A66">
        <v>2</v>
      </c>
      <c r="B66">
        <v>1</v>
      </c>
      <c r="C66" t="s">
        <v>16</v>
      </c>
      <c r="D66" t="s">
        <v>17</v>
      </c>
      <c r="E66">
        <v>5</v>
      </c>
      <c r="F66" t="s">
        <v>29</v>
      </c>
      <c r="G66" t="s">
        <v>28</v>
      </c>
      <c r="H66">
        <v>10</v>
      </c>
      <c r="I66">
        <v>1</v>
      </c>
    </row>
    <row r="67" spans="1:9" x14ac:dyDescent="0.3">
      <c r="A67">
        <v>2</v>
      </c>
      <c r="B67">
        <v>1</v>
      </c>
      <c r="C67" t="s">
        <v>16</v>
      </c>
      <c r="D67" t="s">
        <v>17</v>
      </c>
      <c r="E67">
        <v>50</v>
      </c>
      <c r="F67" t="s">
        <v>29</v>
      </c>
      <c r="G67" t="s">
        <v>28</v>
      </c>
      <c r="H67">
        <v>51</v>
      </c>
      <c r="I67">
        <v>1</v>
      </c>
    </row>
    <row r="68" spans="1:9" x14ac:dyDescent="0.3">
      <c r="A68">
        <v>2</v>
      </c>
      <c r="B68">
        <v>1</v>
      </c>
      <c r="C68" t="s">
        <v>16</v>
      </c>
      <c r="D68" t="s">
        <v>17</v>
      </c>
      <c r="E68">
        <v>17</v>
      </c>
      <c r="F68" t="s">
        <v>29</v>
      </c>
      <c r="G68" t="s">
        <v>28</v>
      </c>
      <c r="H68">
        <v>34</v>
      </c>
      <c r="I68">
        <v>1</v>
      </c>
    </row>
    <row r="69" spans="1:9" x14ac:dyDescent="0.3">
      <c r="A69">
        <v>2</v>
      </c>
      <c r="B69">
        <v>1</v>
      </c>
      <c r="C69" t="s">
        <v>16</v>
      </c>
      <c r="D69" t="s">
        <v>17</v>
      </c>
      <c r="E69">
        <v>10</v>
      </c>
      <c r="F69" t="s">
        <v>29</v>
      </c>
      <c r="G69" t="s">
        <v>28</v>
      </c>
      <c r="H69">
        <v>37</v>
      </c>
      <c r="I69">
        <v>1</v>
      </c>
    </row>
    <row r="70" spans="1:9" x14ac:dyDescent="0.3">
      <c r="A70">
        <v>2</v>
      </c>
      <c r="B70">
        <v>1</v>
      </c>
      <c r="C70" t="s">
        <v>16</v>
      </c>
      <c r="D70" t="s">
        <v>17</v>
      </c>
      <c r="E70">
        <v>6</v>
      </c>
      <c r="F70" t="s">
        <v>29</v>
      </c>
      <c r="G70" t="s">
        <v>28</v>
      </c>
      <c r="H70">
        <v>71</v>
      </c>
      <c r="I70">
        <v>1</v>
      </c>
    </row>
    <row r="71" spans="1:9" x14ac:dyDescent="0.3">
      <c r="A71">
        <v>2</v>
      </c>
      <c r="B71">
        <v>1</v>
      </c>
      <c r="C71" t="s">
        <v>16</v>
      </c>
      <c r="D71" t="s">
        <v>17</v>
      </c>
      <c r="E71">
        <v>19</v>
      </c>
      <c r="F71" t="s">
        <v>29</v>
      </c>
      <c r="G71" t="s">
        <v>28</v>
      </c>
      <c r="H71">
        <v>25</v>
      </c>
      <c r="I71">
        <v>1</v>
      </c>
    </row>
    <row r="72" spans="1:9" x14ac:dyDescent="0.3">
      <c r="A72">
        <v>2</v>
      </c>
      <c r="B72">
        <v>1</v>
      </c>
      <c r="C72" t="s">
        <v>16</v>
      </c>
      <c r="D72" t="s">
        <v>17</v>
      </c>
      <c r="E72">
        <v>10</v>
      </c>
      <c r="F72" t="s">
        <v>29</v>
      </c>
      <c r="G72" t="s">
        <v>28</v>
      </c>
      <c r="H72">
        <v>8</v>
      </c>
      <c r="I72">
        <v>0</v>
      </c>
    </row>
    <row r="73" spans="1:9" x14ac:dyDescent="0.3">
      <c r="A73">
        <v>2</v>
      </c>
      <c r="B73">
        <v>1</v>
      </c>
      <c r="C73" t="s">
        <v>16</v>
      </c>
      <c r="D73" t="s">
        <v>17</v>
      </c>
      <c r="E73">
        <v>36</v>
      </c>
      <c r="F73" t="s">
        <v>29</v>
      </c>
      <c r="G73" t="s">
        <v>28</v>
      </c>
      <c r="H73">
        <v>25</v>
      </c>
      <c r="I73">
        <v>0</v>
      </c>
    </row>
    <row r="74" spans="1:9" x14ac:dyDescent="0.3">
      <c r="A74">
        <v>2</v>
      </c>
      <c r="B74">
        <v>1</v>
      </c>
      <c r="C74" t="s">
        <v>16</v>
      </c>
      <c r="D74" t="s">
        <v>17</v>
      </c>
      <c r="E74">
        <v>8</v>
      </c>
      <c r="F74" t="s">
        <v>29</v>
      </c>
      <c r="G74" t="s">
        <v>28</v>
      </c>
      <c r="H74">
        <v>55</v>
      </c>
      <c r="I74">
        <v>1</v>
      </c>
    </row>
    <row r="75" spans="1:9" x14ac:dyDescent="0.3">
      <c r="A75">
        <v>2</v>
      </c>
      <c r="B75">
        <v>1</v>
      </c>
      <c r="C75" t="s">
        <v>16</v>
      </c>
      <c r="D75" t="s">
        <v>17</v>
      </c>
      <c r="E75">
        <v>11</v>
      </c>
      <c r="F75" t="s">
        <v>29</v>
      </c>
      <c r="G75" t="s">
        <v>28</v>
      </c>
      <c r="H75">
        <v>64</v>
      </c>
      <c r="I75">
        <v>1</v>
      </c>
    </row>
    <row r="76" spans="1:9" x14ac:dyDescent="0.3">
      <c r="A76">
        <v>2</v>
      </c>
      <c r="B76">
        <v>1</v>
      </c>
      <c r="C76" t="s">
        <v>16</v>
      </c>
      <c r="D76" t="s">
        <v>17</v>
      </c>
      <c r="E76">
        <v>38</v>
      </c>
      <c r="F76" t="s">
        <v>29</v>
      </c>
      <c r="G76" t="s">
        <v>28</v>
      </c>
      <c r="H76">
        <v>22</v>
      </c>
      <c r="I76">
        <v>0</v>
      </c>
    </row>
    <row r="77" spans="1:9" x14ac:dyDescent="0.3">
      <c r="A77">
        <v>2</v>
      </c>
      <c r="B77">
        <v>1</v>
      </c>
      <c r="C77" t="s">
        <v>16</v>
      </c>
      <c r="D77" t="s">
        <v>17</v>
      </c>
      <c r="E77">
        <v>12</v>
      </c>
      <c r="F77" t="s">
        <v>29</v>
      </c>
      <c r="G77" t="s">
        <v>28</v>
      </c>
      <c r="H77">
        <v>43</v>
      </c>
      <c r="I77">
        <v>1</v>
      </c>
    </row>
    <row r="78" spans="1:9" x14ac:dyDescent="0.3">
      <c r="A78">
        <v>2</v>
      </c>
      <c r="B78">
        <v>1</v>
      </c>
      <c r="C78" t="s">
        <v>16</v>
      </c>
      <c r="D78" t="s">
        <v>17</v>
      </c>
      <c r="E78">
        <v>44</v>
      </c>
      <c r="F78" t="s">
        <v>29</v>
      </c>
      <c r="G78" t="s">
        <v>28</v>
      </c>
      <c r="H78">
        <v>17</v>
      </c>
      <c r="I78">
        <v>0</v>
      </c>
    </row>
    <row r="79" spans="1:9" x14ac:dyDescent="0.3">
      <c r="A79">
        <v>2</v>
      </c>
      <c r="B79">
        <v>1</v>
      </c>
      <c r="C79" t="s">
        <v>16</v>
      </c>
      <c r="D79" t="s">
        <v>17</v>
      </c>
      <c r="E79">
        <v>24</v>
      </c>
      <c r="F79" t="s">
        <v>29</v>
      </c>
      <c r="G79" t="s">
        <v>28</v>
      </c>
      <c r="H79">
        <v>39</v>
      </c>
      <c r="I79">
        <v>1</v>
      </c>
    </row>
    <row r="80" spans="1:9" x14ac:dyDescent="0.3">
      <c r="A80">
        <v>2</v>
      </c>
      <c r="B80">
        <v>1</v>
      </c>
      <c r="C80" t="s">
        <v>16</v>
      </c>
      <c r="D80" t="s">
        <v>17</v>
      </c>
      <c r="E80">
        <v>29</v>
      </c>
      <c r="F80" t="s">
        <v>29</v>
      </c>
      <c r="G80" t="s">
        <v>28</v>
      </c>
      <c r="H80">
        <v>23</v>
      </c>
      <c r="I80">
        <v>0</v>
      </c>
    </row>
    <row r="81" spans="1:9" x14ac:dyDescent="0.3">
      <c r="A81">
        <v>2</v>
      </c>
      <c r="B81">
        <v>1</v>
      </c>
      <c r="C81" t="s">
        <v>16</v>
      </c>
      <c r="D81" t="s">
        <v>17</v>
      </c>
      <c r="E81">
        <v>30</v>
      </c>
      <c r="F81" t="s">
        <v>29</v>
      </c>
      <c r="G81" t="s">
        <v>28</v>
      </c>
      <c r="H81">
        <v>24</v>
      </c>
      <c r="I81">
        <v>0</v>
      </c>
    </row>
    <row r="82" spans="1:9" x14ac:dyDescent="0.3">
      <c r="A82">
        <v>2</v>
      </c>
      <c r="B82">
        <v>1</v>
      </c>
      <c r="C82" t="s">
        <v>16</v>
      </c>
      <c r="D82" t="s">
        <v>17</v>
      </c>
      <c r="E82">
        <v>17</v>
      </c>
      <c r="F82" t="s">
        <v>29</v>
      </c>
      <c r="G82" t="s">
        <v>28</v>
      </c>
      <c r="H82">
        <v>18</v>
      </c>
      <c r="I82">
        <v>1</v>
      </c>
    </row>
    <row r="83" spans="1:9" x14ac:dyDescent="0.3">
      <c r="A83">
        <v>2</v>
      </c>
      <c r="B83">
        <v>1</v>
      </c>
      <c r="C83" t="s">
        <v>16</v>
      </c>
      <c r="D83" t="s">
        <v>17</v>
      </c>
      <c r="E83">
        <v>4</v>
      </c>
      <c r="F83" t="s">
        <v>29</v>
      </c>
      <c r="G83" t="s">
        <v>28</v>
      </c>
      <c r="H83">
        <v>60</v>
      </c>
      <c r="I83">
        <v>1</v>
      </c>
    </row>
    <row r="84" spans="1:9" x14ac:dyDescent="0.3">
      <c r="A84">
        <v>2</v>
      </c>
      <c r="B84">
        <v>1</v>
      </c>
      <c r="C84" t="s">
        <v>16</v>
      </c>
      <c r="D84" t="s">
        <v>17</v>
      </c>
      <c r="E84">
        <v>41</v>
      </c>
      <c r="F84" t="s">
        <v>29</v>
      </c>
      <c r="G84" t="s">
        <v>28</v>
      </c>
      <c r="H84">
        <v>10</v>
      </c>
      <c r="I84">
        <v>0</v>
      </c>
    </row>
    <row r="85" spans="1:9" x14ac:dyDescent="0.3">
      <c r="A85">
        <v>2</v>
      </c>
      <c r="B85">
        <v>1</v>
      </c>
      <c r="C85" t="s">
        <v>16</v>
      </c>
      <c r="D85" t="s">
        <v>17</v>
      </c>
      <c r="E85">
        <v>38</v>
      </c>
      <c r="F85" t="s">
        <v>29</v>
      </c>
      <c r="G85" t="s">
        <v>28</v>
      </c>
      <c r="H85">
        <v>81</v>
      </c>
      <c r="I85">
        <v>1</v>
      </c>
    </row>
    <row r="86" spans="1:9" x14ac:dyDescent="0.3">
      <c r="A86">
        <v>2</v>
      </c>
      <c r="B86">
        <v>1</v>
      </c>
      <c r="C86" t="s">
        <v>16</v>
      </c>
      <c r="D86" t="s">
        <v>17</v>
      </c>
      <c r="E86">
        <v>13</v>
      </c>
      <c r="F86" t="s">
        <v>29</v>
      </c>
      <c r="G86" t="s">
        <v>28</v>
      </c>
      <c r="H86">
        <v>29</v>
      </c>
      <c r="I86">
        <v>1</v>
      </c>
    </row>
    <row r="87" spans="1:9" x14ac:dyDescent="0.3">
      <c r="A87">
        <v>2</v>
      </c>
      <c r="B87">
        <v>1</v>
      </c>
      <c r="C87" t="s">
        <v>16</v>
      </c>
      <c r="D87" t="s">
        <v>17</v>
      </c>
      <c r="E87">
        <v>32</v>
      </c>
      <c r="F87" t="s">
        <v>29</v>
      </c>
      <c r="G87" t="s">
        <v>28</v>
      </c>
      <c r="H87">
        <v>9</v>
      </c>
      <c r="I87">
        <v>0</v>
      </c>
    </row>
    <row r="88" spans="1:9" x14ac:dyDescent="0.3">
      <c r="A88">
        <v>2</v>
      </c>
      <c r="B88">
        <v>1</v>
      </c>
      <c r="C88" t="s">
        <v>16</v>
      </c>
      <c r="D88" t="s">
        <v>17</v>
      </c>
      <c r="E88">
        <v>25</v>
      </c>
      <c r="F88" t="s">
        <v>29</v>
      </c>
      <c r="G88" t="s">
        <v>28</v>
      </c>
      <c r="H88">
        <v>10</v>
      </c>
      <c r="I88">
        <v>0</v>
      </c>
    </row>
    <row r="89" spans="1:9" x14ac:dyDescent="0.3">
      <c r="A89">
        <v>2</v>
      </c>
      <c r="B89">
        <v>1</v>
      </c>
      <c r="C89" t="s">
        <v>16</v>
      </c>
      <c r="D89" t="s">
        <v>17</v>
      </c>
      <c r="E89">
        <v>3</v>
      </c>
      <c r="F89" t="s">
        <v>29</v>
      </c>
      <c r="G89" t="s">
        <v>28</v>
      </c>
      <c r="H89">
        <v>50</v>
      </c>
      <c r="I89">
        <v>1</v>
      </c>
    </row>
    <row r="90" spans="1:9" x14ac:dyDescent="0.3">
      <c r="A90">
        <v>2</v>
      </c>
      <c r="B90">
        <v>1</v>
      </c>
      <c r="C90" t="s">
        <v>16</v>
      </c>
      <c r="D90" t="s">
        <v>17</v>
      </c>
      <c r="E90">
        <v>15</v>
      </c>
      <c r="F90" t="s">
        <v>29</v>
      </c>
      <c r="G90" t="s">
        <v>28</v>
      </c>
      <c r="H90">
        <v>47</v>
      </c>
      <c r="I90">
        <v>1</v>
      </c>
    </row>
    <row r="91" spans="1:9" x14ac:dyDescent="0.3">
      <c r="A91">
        <v>2</v>
      </c>
      <c r="B91">
        <v>1</v>
      </c>
      <c r="C91" t="s">
        <v>16</v>
      </c>
      <c r="D91" t="s">
        <v>17</v>
      </c>
      <c r="E91">
        <v>48</v>
      </c>
      <c r="F91" t="s">
        <v>29</v>
      </c>
      <c r="G91" t="s">
        <v>28</v>
      </c>
      <c r="H91">
        <v>16</v>
      </c>
      <c r="I91">
        <v>0</v>
      </c>
    </row>
    <row r="92" spans="1:9" x14ac:dyDescent="0.3">
      <c r="A92">
        <v>2</v>
      </c>
      <c r="B92">
        <v>1</v>
      </c>
      <c r="C92" t="s">
        <v>16</v>
      </c>
      <c r="D92" t="s">
        <v>17</v>
      </c>
      <c r="E92">
        <v>40</v>
      </c>
      <c r="F92" t="s">
        <v>29</v>
      </c>
      <c r="G92" t="s">
        <v>28</v>
      </c>
      <c r="H92">
        <v>24</v>
      </c>
      <c r="I92">
        <v>0</v>
      </c>
    </row>
    <row r="93" spans="1:9" x14ac:dyDescent="0.3">
      <c r="A93">
        <v>2</v>
      </c>
      <c r="B93">
        <v>1</v>
      </c>
      <c r="C93" t="s">
        <v>16</v>
      </c>
      <c r="D93" t="s">
        <v>17</v>
      </c>
      <c r="E93">
        <v>6</v>
      </c>
      <c r="F93" t="s">
        <v>29</v>
      </c>
      <c r="G93" t="s">
        <v>28</v>
      </c>
      <c r="H93">
        <v>43</v>
      </c>
      <c r="I93">
        <v>1</v>
      </c>
    </row>
    <row r="94" spans="1:9" x14ac:dyDescent="0.3">
      <c r="A94">
        <v>2</v>
      </c>
      <c r="B94">
        <v>1</v>
      </c>
      <c r="C94" t="s">
        <v>16</v>
      </c>
      <c r="D94" t="s">
        <v>17</v>
      </c>
      <c r="E94">
        <v>42</v>
      </c>
      <c r="F94" t="s">
        <v>29</v>
      </c>
      <c r="G94" t="s">
        <v>28</v>
      </c>
      <c r="H94">
        <v>19</v>
      </c>
      <c r="I94">
        <v>0</v>
      </c>
    </row>
    <row r="95" spans="1:9" x14ac:dyDescent="0.3">
      <c r="A95">
        <v>2</v>
      </c>
      <c r="B95">
        <v>1</v>
      </c>
      <c r="C95" t="s">
        <v>16</v>
      </c>
      <c r="D95" t="s">
        <v>17</v>
      </c>
      <c r="E95">
        <v>25</v>
      </c>
      <c r="F95" t="s">
        <v>29</v>
      </c>
      <c r="G95" t="s">
        <v>28</v>
      </c>
      <c r="H95">
        <v>37</v>
      </c>
      <c r="I95">
        <v>1</v>
      </c>
    </row>
    <row r="96" spans="1:9" x14ac:dyDescent="0.3">
      <c r="A96">
        <v>2</v>
      </c>
      <c r="B96">
        <v>1</v>
      </c>
      <c r="C96" t="s">
        <v>16</v>
      </c>
      <c r="D96" t="s">
        <v>17</v>
      </c>
      <c r="E96">
        <v>63</v>
      </c>
      <c r="F96" t="s">
        <v>29</v>
      </c>
      <c r="G96" t="s">
        <v>28</v>
      </c>
      <c r="H96">
        <v>33</v>
      </c>
      <c r="I96">
        <v>0</v>
      </c>
    </row>
    <row r="97" spans="1:9" x14ac:dyDescent="0.3">
      <c r="A97">
        <v>2</v>
      </c>
      <c r="B97">
        <v>1</v>
      </c>
      <c r="C97" t="s">
        <v>16</v>
      </c>
      <c r="D97" t="s">
        <v>17</v>
      </c>
      <c r="E97">
        <v>44</v>
      </c>
      <c r="F97" t="s">
        <v>29</v>
      </c>
      <c r="G97" t="s">
        <v>28</v>
      </c>
      <c r="H97">
        <v>3</v>
      </c>
      <c r="I97">
        <v>0</v>
      </c>
    </row>
    <row r="98" spans="1:9" x14ac:dyDescent="0.3">
      <c r="A98">
        <v>2</v>
      </c>
      <c r="B98">
        <v>1</v>
      </c>
      <c r="C98" t="s">
        <v>16</v>
      </c>
      <c r="D98" t="s">
        <v>17</v>
      </c>
      <c r="E98">
        <v>45</v>
      </c>
      <c r="F98" t="s">
        <v>29</v>
      </c>
      <c r="G98" t="s">
        <v>28</v>
      </c>
      <c r="H98">
        <v>15</v>
      </c>
      <c r="I98">
        <v>0</v>
      </c>
    </row>
    <row r="99" spans="1:9" x14ac:dyDescent="0.3">
      <c r="A99">
        <v>2</v>
      </c>
      <c r="B99">
        <v>1</v>
      </c>
      <c r="C99" t="s">
        <v>16</v>
      </c>
      <c r="D99" t="s">
        <v>17</v>
      </c>
      <c r="E99">
        <v>29</v>
      </c>
      <c r="F99" t="s">
        <v>29</v>
      </c>
      <c r="G99" t="s">
        <v>28</v>
      </c>
      <c r="H99">
        <v>15</v>
      </c>
      <c r="I99">
        <v>0</v>
      </c>
    </row>
    <row r="100" spans="1:9" x14ac:dyDescent="0.3">
      <c r="A100">
        <v>2</v>
      </c>
      <c r="B100">
        <v>1</v>
      </c>
      <c r="C100" t="s">
        <v>16</v>
      </c>
      <c r="D100" t="s">
        <v>17</v>
      </c>
      <c r="E100">
        <v>7</v>
      </c>
      <c r="F100" t="s">
        <v>29</v>
      </c>
      <c r="G100" t="s">
        <v>28</v>
      </c>
      <c r="H100">
        <v>17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D5B81-4B80-4D64-BF0E-F79A9379DCD2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19</v>
      </c>
      <c r="D1" t="s">
        <v>18</v>
      </c>
      <c r="E1">
        <v>47</v>
      </c>
      <c r="F1" t="s">
        <v>21</v>
      </c>
      <c r="G1" t="s">
        <v>20</v>
      </c>
      <c r="H1">
        <v>25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19</v>
      </c>
      <c r="D2" t="s">
        <v>18</v>
      </c>
      <c r="E2">
        <v>48</v>
      </c>
      <c r="F2" t="s">
        <v>21</v>
      </c>
      <c r="G2" t="s">
        <v>20</v>
      </c>
      <c r="H2">
        <v>11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19</v>
      </c>
      <c r="D3" t="s">
        <v>18</v>
      </c>
      <c r="E3">
        <v>51</v>
      </c>
      <c r="F3" t="s">
        <v>21</v>
      </c>
      <c r="G3" t="s">
        <v>20</v>
      </c>
      <c r="H3">
        <v>67</v>
      </c>
      <c r="I3">
        <v>1</v>
      </c>
      <c r="K3" s="8" t="s">
        <v>11</v>
      </c>
      <c r="L3" s="8"/>
      <c r="M3" s="10">
        <f>COUNTIF($I$1:$I$100, 0)</f>
        <v>63</v>
      </c>
      <c r="N3" s="10"/>
      <c r="O3" s="10">
        <f>COUNTIFS($I$1:$I$100, 0, $B$1:$B$100, 0)</f>
        <v>28</v>
      </c>
      <c r="P3" s="10"/>
      <c r="Q3" s="11">
        <f>COUNTIFS($I$1:$I$100, 0, $B$1:$B$100, 1)</f>
        <v>35</v>
      </c>
      <c r="R3" s="12"/>
      <c r="T3" cm="1">
        <f t="array" ref="T3">SUMPRODUCT(--($E$1:$E$100=$H$1:$H$100))</f>
        <v>0</v>
      </c>
    </row>
    <row r="4" spans="1:20" x14ac:dyDescent="0.3">
      <c r="A4">
        <v>2</v>
      </c>
      <c r="B4">
        <v>0</v>
      </c>
      <c r="C4" t="s">
        <v>19</v>
      </c>
      <c r="D4" t="s">
        <v>18</v>
      </c>
      <c r="E4">
        <v>41</v>
      </c>
      <c r="F4" t="s">
        <v>21</v>
      </c>
      <c r="G4" t="s">
        <v>20</v>
      </c>
      <c r="H4">
        <v>62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19</v>
      </c>
      <c r="D5" t="s">
        <v>18</v>
      </c>
      <c r="E5">
        <v>53</v>
      </c>
      <c r="F5" t="s">
        <v>21</v>
      </c>
      <c r="G5" t="s">
        <v>20</v>
      </c>
      <c r="H5">
        <v>25</v>
      </c>
      <c r="I5">
        <v>0</v>
      </c>
      <c r="K5" s="8" t="s">
        <v>10</v>
      </c>
      <c r="L5" s="8"/>
      <c r="M5" s="14">
        <f>COUNTIF($I$1:$I$100, 1)</f>
        <v>37</v>
      </c>
      <c r="N5" s="10"/>
      <c r="O5" s="10">
        <f>COUNTIFS($I$1:$I$100, 1, $B$1:$B$100, 0)</f>
        <v>22</v>
      </c>
      <c r="P5" s="10"/>
      <c r="Q5" s="10">
        <f>COUNTIFS($I$1:$I$100, 1, $B$1:$B$100, 1)</f>
        <v>15</v>
      </c>
      <c r="R5" s="13"/>
    </row>
    <row r="6" spans="1:20" x14ac:dyDescent="0.3">
      <c r="A6">
        <v>2</v>
      </c>
      <c r="B6">
        <v>0</v>
      </c>
      <c r="C6" t="s">
        <v>19</v>
      </c>
      <c r="D6" t="s">
        <v>18</v>
      </c>
      <c r="E6">
        <v>17</v>
      </c>
      <c r="F6" t="s">
        <v>21</v>
      </c>
      <c r="G6" t="s">
        <v>20</v>
      </c>
      <c r="H6">
        <v>16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19</v>
      </c>
      <c r="D7" t="s">
        <v>18</v>
      </c>
      <c r="E7">
        <v>57</v>
      </c>
      <c r="F7" t="s">
        <v>21</v>
      </c>
      <c r="G7" t="s">
        <v>20</v>
      </c>
      <c r="H7">
        <v>20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19</v>
      </c>
      <c r="D8" t="s">
        <v>18</v>
      </c>
      <c r="E8">
        <v>29</v>
      </c>
      <c r="F8" t="s">
        <v>21</v>
      </c>
      <c r="G8" t="s">
        <v>20</v>
      </c>
      <c r="H8">
        <v>64</v>
      </c>
      <c r="I8">
        <v>1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19</v>
      </c>
      <c r="D9" t="s">
        <v>18</v>
      </c>
      <c r="E9">
        <v>63</v>
      </c>
      <c r="F9" t="s">
        <v>21</v>
      </c>
      <c r="G9" t="s">
        <v>20</v>
      </c>
      <c r="H9">
        <v>2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19</v>
      </c>
      <c r="D10" t="s">
        <v>18</v>
      </c>
      <c r="E10">
        <v>23</v>
      </c>
      <c r="F10" t="s">
        <v>21</v>
      </c>
      <c r="G10" t="s">
        <v>20</v>
      </c>
      <c r="H10">
        <v>22</v>
      </c>
      <c r="I10">
        <v>0</v>
      </c>
      <c r="K10" s="8" t="s">
        <v>6</v>
      </c>
      <c r="L10" s="8"/>
      <c r="M10" s="10">
        <f>AVERAGE($E$1:$E$100,)</f>
        <v>40.336633663366335</v>
      </c>
      <c r="N10" s="10"/>
      <c r="O10" s="10" cm="1">
        <f t="array" ref="O10">AVERAGE(_xlfn._xlws.FILTER($E$1:$E$100,$I$1:$I$100 = 0))</f>
        <v>46.730158730158728</v>
      </c>
      <c r="P10" s="10"/>
      <c r="Q10" s="11" cm="1">
        <f t="array" ref="Q10">AVERAGE(_xlfn._xlws.FILTER($E$1:$E$100,$I$1:$I$100 = 1))</f>
        <v>30.54054054054054</v>
      </c>
      <c r="R10" s="12"/>
    </row>
    <row r="11" spans="1:20" x14ac:dyDescent="0.3">
      <c r="A11">
        <v>2</v>
      </c>
      <c r="B11">
        <v>0</v>
      </c>
      <c r="C11" t="s">
        <v>19</v>
      </c>
      <c r="D11" t="s">
        <v>18</v>
      </c>
      <c r="E11">
        <v>65</v>
      </c>
      <c r="F11" t="s">
        <v>21</v>
      </c>
      <c r="G11" t="s">
        <v>20</v>
      </c>
      <c r="H11">
        <v>3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19</v>
      </c>
      <c r="D12" t="s">
        <v>18</v>
      </c>
      <c r="E12">
        <v>48</v>
      </c>
      <c r="F12" t="s">
        <v>21</v>
      </c>
      <c r="G12" t="s">
        <v>20</v>
      </c>
      <c r="H12">
        <v>36</v>
      </c>
      <c r="I12">
        <v>0</v>
      </c>
      <c r="K12" s="8" t="s">
        <v>5</v>
      </c>
      <c r="L12" s="8"/>
      <c r="M12" s="10">
        <f>AVERAGE($H$1:$H$100,)</f>
        <v>32.396039603960396</v>
      </c>
      <c r="N12" s="10"/>
      <c r="O12" s="10" cm="1">
        <f t="array" ref="O12">AVERAGE(_xlfn._xlws.FILTER($H$1:$H$100,$I$1:$I$100 = 0))</f>
        <v>24.428571428571427</v>
      </c>
      <c r="P12" s="10"/>
      <c r="Q12" s="10" cm="1">
        <f t="array" ref="Q12">AVERAGE(_xlfn._xlws.FILTER($H$1:$H$100,$I$1:$I$100 = 1))</f>
        <v>46.837837837837839</v>
      </c>
      <c r="R12" s="13"/>
    </row>
    <row r="13" spans="1:20" x14ac:dyDescent="0.3">
      <c r="A13">
        <v>2</v>
      </c>
      <c r="B13">
        <v>0</v>
      </c>
      <c r="C13" t="s">
        <v>19</v>
      </c>
      <c r="D13" t="s">
        <v>18</v>
      </c>
      <c r="E13">
        <v>59</v>
      </c>
      <c r="F13" t="s">
        <v>21</v>
      </c>
      <c r="G13" t="s">
        <v>20</v>
      </c>
      <c r="H13">
        <v>52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19</v>
      </c>
      <c r="D14" t="s">
        <v>18</v>
      </c>
      <c r="E14">
        <v>54</v>
      </c>
      <c r="F14" t="s">
        <v>21</v>
      </c>
      <c r="G14" t="s">
        <v>20</v>
      </c>
      <c r="H14">
        <v>38</v>
      </c>
      <c r="I14">
        <v>0</v>
      </c>
      <c r="K14" s="19" t="s">
        <v>4</v>
      </c>
      <c r="L14" s="12"/>
      <c r="M14" s="20" cm="1">
        <f t="array" ref="M14">AVERAGE($E$1:$E$100 - $H$1:$H$100)</f>
        <v>8.02</v>
      </c>
      <c r="N14" s="20"/>
      <c r="O14" s="20" cm="1">
        <f t="array" ref="O14">AVERAGE(_xlfn._xlws.FILTER($E$1:$E$100 - $H$1:$H$100, I$1:I$100 = 0))</f>
        <v>22.301587301587301</v>
      </c>
      <c r="P14" s="20"/>
      <c r="Q14" s="20" cm="1">
        <f t="array" ref="Q14">AVERAGE(_xlfn._xlws.FILTER($E$1:$E$100 - $H$1:$H$100, I$1:I$100 = 1))</f>
        <v>-16.297297297297298</v>
      </c>
      <c r="R14" s="22"/>
    </row>
    <row r="15" spans="1:20" x14ac:dyDescent="0.3">
      <c r="A15">
        <v>2</v>
      </c>
      <c r="B15">
        <v>0</v>
      </c>
      <c r="C15" t="s">
        <v>19</v>
      </c>
      <c r="D15" t="s">
        <v>18</v>
      </c>
      <c r="E15">
        <v>25</v>
      </c>
      <c r="F15" t="s">
        <v>21</v>
      </c>
      <c r="G15" t="s">
        <v>20</v>
      </c>
      <c r="H15">
        <v>28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19</v>
      </c>
      <c r="D16" t="s">
        <v>18</v>
      </c>
      <c r="E16">
        <v>18</v>
      </c>
      <c r="F16" t="s">
        <v>21</v>
      </c>
      <c r="G16" t="s">
        <v>20</v>
      </c>
      <c r="H16">
        <v>30</v>
      </c>
      <c r="I16">
        <v>1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19</v>
      </c>
      <c r="D17" t="s">
        <v>18</v>
      </c>
      <c r="E17">
        <v>51</v>
      </c>
      <c r="F17" t="s">
        <v>21</v>
      </c>
      <c r="G17" t="s">
        <v>20</v>
      </c>
      <c r="H17">
        <v>15</v>
      </c>
      <c r="I17">
        <v>0</v>
      </c>
    </row>
    <row r="18" spans="1:9" x14ac:dyDescent="0.3">
      <c r="A18">
        <v>2</v>
      </c>
      <c r="B18">
        <v>0</v>
      </c>
      <c r="C18" t="s">
        <v>19</v>
      </c>
      <c r="D18" t="s">
        <v>18</v>
      </c>
      <c r="E18">
        <v>60</v>
      </c>
      <c r="F18" t="s">
        <v>21</v>
      </c>
      <c r="G18" t="s">
        <v>20</v>
      </c>
      <c r="H18">
        <v>9</v>
      </c>
      <c r="I18">
        <v>0</v>
      </c>
    </row>
    <row r="19" spans="1:9" x14ac:dyDescent="0.3">
      <c r="A19">
        <v>2</v>
      </c>
      <c r="B19">
        <v>0</v>
      </c>
      <c r="C19" t="s">
        <v>19</v>
      </c>
      <c r="D19" t="s">
        <v>18</v>
      </c>
      <c r="E19">
        <v>35</v>
      </c>
      <c r="F19" t="s">
        <v>21</v>
      </c>
      <c r="G19" t="s">
        <v>20</v>
      </c>
      <c r="H19">
        <v>48</v>
      </c>
      <c r="I19">
        <v>1</v>
      </c>
    </row>
    <row r="20" spans="1:9" x14ac:dyDescent="0.3">
      <c r="A20">
        <v>2</v>
      </c>
      <c r="B20">
        <v>0</v>
      </c>
      <c r="C20" t="s">
        <v>19</v>
      </c>
      <c r="D20" t="s">
        <v>18</v>
      </c>
      <c r="E20">
        <v>31</v>
      </c>
      <c r="F20" t="s">
        <v>21</v>
      </c>
      <c r="G20" t="s">
        <v>20</v>
      </c>
      <c r="H20">
        <v>46</v>
      </c>
      <c r="I20">
        <v>1</v>
      </c>
    </row>
    <row r="21" spans="1:9" x14ac:dyDescent="0.3">
      <c r="A21">
        <v>2</v>
      </c>
      <c r="B21">
        <v>0</v>
      </c>
      <c r="C21" t="s">
        <v>19</v>
      </c>
      <c r="D21" t="s">
        <v>18</v>
      </c>
      <c r="E21">
        <v>29</v>
      </c>
      <c r="F21" t="s">
        <v>21</v>
      </c>
      <c r="G21" t="s">
        <v>20</v>
      </c>
      <c r="H21">
        <v>32</v>
      </c>
      <c r="I21">
        <v>1</v>
      </c>
    </row>
    <row r="22" spans="1:9" x14ac:dyDescent="0.3">
      <c r="A22">
        <v>2</v>
      </c>
      <c r="B22">
        <v>0</v>
      </c>
      <c r="C22" t="s">
        <v>19</v>
      </c>
      <c r="D22" t="s">
        <v>18</v>
      </c>
      <c r="E22">
        <v>22</v>
      </c>
      <c r="F22" t="s">
        <v>21</v>
      </c>
      <c r="G22" t="s">
        <v>20</v>
      </c>
      <c r="H22">
        <v>25</v>
      </c>
      <c r="I22">
        <v>1</v>
      </c>
    </row>
    <row r="23" spans="1:9" x14ac:dyDescent="0.3">
      <c r="A23">
        <v>2</v>
      </c>
      <c r="B23">
        <v>0</v>
      </c>
      <c r="C23" t="s">
        <v>19</v>
      </c>
      <c r="D23" t="s">
        <v>18</v>
      </c>
      <c r="E23">
        <v>67</v>
      </c>
      <c r="F23" t="s">
        <v>21</v>
      </c>
      <c r="G23" t="s">
        <v>20</v>
      </c>
      <c r="H23">
        <v>25</v>
      </c>
      <c r="I23">
        <v>0</v>
      </c>
    </row>
    <row r="24" spans="1:9" x14ac:dyDescent="0.3">
      <c r="A24">
        <v>2</v>
      </c>
      <c r="B24">
        <v>0</v>
      </c>
      <c r="C24" t="s">
        <v>19</v>
      </c>
      <c r="D24" t="s">
        <v>18</v>
      </c>
      <c r="E24">
        <v>23</v>
      </c>
      <c r="F24" t="s">
        <v>21</v>
      </c>
      <c r="G24" t="s">
        <v>20</v>
      </c>
      <c r="H24">
        <v>44</v>
      </c>
      <c r="I24">
        <v>1</v>
      </c>
    </row>
    <row r="25" spans="1:9" x14ac:dyDescent="0.3">
      <c r="A25">
        <v>2</v>
      </c>
      <c r="B25">
        <v>0</v>
      </c>
      <c r="C25" t="s">
        <v>19</v>
      </c>
      <c r="D25" t="s">
        <v>18</v>
      </c>
      <c r="E25">
        <v>27</v>
      </c>
      <c r="F25" t="s">
        <v>21</v>
      </c>
      <c r="G25" t="s">
        <v>20</v>
      </c>
      <c r="H25">
        <v>14</v>
      </c>
      <c r="I25">
        <v>0</v>
      </c>
    </row>
    <row r="26" spans="1:9" x14ac:dyDescent="0.3">
      <c r="A26">
        <v>2</v>
      </c>
      <c r="B26">
        <v>0</v>
      </c>
      <c r="C26" t="s">
        <v>19</v>
      </c>
      <c r="D26" t="s">
        <v>18</v>
      </c>
      <c r="E26">
        <v>23</v>
      </c>
      <c r="F26" t="s">
        <v>21</v>
      </c>
      <c r="G26" t="s">
        <v>20</v>
      </c>
      <c r="H26">
        <v>46</v>
      </c>
      <c r="I26">
        <v>1</v>
      </c>
    </row>
    <row r="27" spans="1:9" x14ac:dyDescent="0.3">
      <c r="A27">
        <v>2</v>
      </c>
      <c r="B27">
        <v>0</v>
      </c>
      <c r="C27" t="s">
        <v>19</v>
      </c>
      <c r="D27" t="s">
        <v>18</v>
      </c>
      <c r="E27">
        <v>23</v>
      </c>
      <c r="F27" t="s">
        <v>21</v>
      </c>
      <c r="G27" t="s">
        <v>20</v>
      </c>
      <c r="H27">
        <v>36</v>
      </c>
      <c r="I27">
        <v>1</v>
      </c>
    </row>
    <row r="28" spans="1:9" x14ac:dyDescent="0.3">
      <c r="A28">
        <v>2</v>
      </c>
      <c r="B28">
        <v>0</v>
      </c>
      <c r="C28" t="s">
        <v>19</v>
      </c>
      <c r="D28" t="s">
        <v>18</v>
      </c>
      <c r="E28">
        <v>56</v>
      </c>
      <c r="F28" t="s">
        <v>21</v>
      </c>
      <c r="G28" t="s">
        <v>20</v>
      </c>
      <c r="H28">
        <v>35</v>
      </c>
      <c r="I28">
        <v>0</v>
      </c>
    </row>
    <row r="29" spans="1:9" x14ac:dyDescent="0.3">
      <c r="A29">
        <v>2</v>
      </c>
      <c r="B29">
        <v>0</v>
      </c>
      <c r="C29" t="s">
        <v>19</v>
      </c>
      <c r="D29" t="s">
        <v>18</v>
      </c>
      <c r="E29">
        <v>40</v>
      </c>
      <c r="F29" t="s">
        <v>21</v>
      </c>
      <c r="G29" t="s">
        <v>20</v>
      </c>
      <c r="H29">
        <v>59</v>
      </c>
      <c r="I29">
        <v>1</v>
      </c>
    </row>
    <row r="30" spans="1:9" x14ac:dyDescent="0.3">
      <c r="A30">
        <v>2</v>
      </c>
      <c r="B30">
        <v>0</v>
      </c>
      <c r="C30" t="s">
        <v>19</v>
      </c>
      <c r="D30" t="s">
        <v>18</v>
      </c>
      <c r="E30">
        <v>36</v>
      </c>
      <c r="F30" t="s">
        <v>21</v>
      </c>
      <c r="G30" t="s">
        <v>20</v>
      </c>
      <c r="H30">
        <v>40</v>
      </c>
      <c r="I30">
        <v>1</v>
      </c>
    </row>
    <row r="31" spans="1:9" x14ac:dyDescent="0.3">
      <c r="A31">
        <v>2</v>
      </c>
      <c r="B31">
        <v>0</v>
      </c>
      <c r="C31" t="s">
        <v>19</v>
      </c>
      <c r="D31" t="s">
        <v>18</v>
      </c>
      <c r="E31">
        <v>42</v>
      </c>
      <c r="F31" t="s">
        <v>21</v>
      </c>
      <c r="G31" t="s">
        <v>20</v>
      </c>
      <c r="H31">
        <v>78</v>
      </c>
      <c r="I31">
        <v>1</v>
      </c>
    </row>
    <row r="32" spans="1:9" x14ac:dyDescent="0.3">
      <c r="A32">
        <v>2</v>
      </c>
      <c r="B32">
        <v>0</v>
      </c>
      <c r="C32" t="s">
        <v>19</v>
      </c>
      <c r="D32" t="s">
        <v>18</v>
      </c>
      <c r="E32">
        <v>42</v>
      </c>
      <c r="F32" t="s">
        <v>21</v>
      </c>
      <c r="G32" t="s">
        <v>20</v>
      </c>
      <c r="H32">
        <v>11</v>
      </c>
      <c r="I32">
        <v>0</v>
      </c>
    </row>
    <row r="33" spans="1:9" x14ac:dyDescent="0.3">
      <c r="A33">
        <v>2</v>
      </c>
      <c r="B33">
        <v>0</v>
      </c>
      <c r="C33" t="s">
        <v>19</v>
      </c>
      <c r="D33" t="s">
        <v>18</v>
      </c>
      <c r="E33">
        <v>25</v>
      </c>
      <c r="F33" t="s">
        <v>21</v>
      </c>
      <c r="G33" t="s">
        <v>20</v>
      </c>
      <c r="H33">
        <v>33</v>
      </c>
      <c r="I33">
        <v>1</v>
      </c>
    </row>
    <row r="34" spans="1:9" x14ac:dyDescent="0.3">
      <c r="A34">
        <v>2</v>
      </c>
      <c r="B34">
        <v>0</v>
      </c>
      <c r="C34" t="s">
        <v>19</v>
      </c>
      <c r="D34" t="s">
        <v>18</v>
      </c>
      <c r="E34">
        <v>33</v>
      </c>
      <c r="F34" t="s">
        <v>21</v>
      </c>
      <c r="G34" t="s">
        <v>20</v>
      </c>
      <c r="H34">
        <v>14</v>
      </c>
      <c r="I34">
        <v>0</v>
      </c>
    </row>
    <row r="35" spans="1:9" x14ac:dyDescent="0.3">
      <c r="A35">
        <v>2</v>
      </c>
      <c r="B35">
        <v>0</v>
      </c>
      <c r="C35" t="s">
        <v>19</v>
      </c>
      <c r="D35" t="s">
        <v>18</v>
      </c>
      <c r="E35">
        <v>53</v>
      </c>
      <c r="F35" t="s">
        <v>21</v>
      </c>
      <c r="G35" t="s">
        <v>20</v>
      </c>
      <c r="H35">
        <v>54</v>
      </c>
      <c r="I35">
        <v>1</v>
      </c>
    </row>
    <row r="36" spans="1:9" x14ac:dyDescent="0.3">
      <c r="A36">
        <v>2</v>
      </c>
      <c r="B36">
        <v>0</v>
      </c>
      <c r="C36" t="s">
        <v>19</v>
      </c>
      <c r="D36" t="s">
        <v>18</v>
      </c>
      <c r="E36">
        <v>49</v>
      </c>
      <c r="F36" t="s">
        <v>21</v>
      </c>
      <c r="G36" t="s">
        <v>20</v>
      </c>
      <c r="H36">
        <v>33</v>
      </c>
      <c r="I36">
        <v>0</v>
      </c>
    </row>
    <row r="37" spans="1:9" x14ac:dyDescent="0.3">
      <c r="A37">
        <v>2</v>
      </c>
      <c r="B37">
        <v>0</v>
      </c>
      <c r="C37" t="s">
        <v>19</v>
      </c>
      <c r="D37" t="s">
        <v>18</v>
      </c>
      <c r="E37">
        <v>54</v>
      </c>
      <c r="F37" t="s">
        <v>21</v>
      </c>
      <c r="G37" t="s">
        <v>20</v>
      </c>
      <c r="H37">
        <v>49</v>
      </c>
      <c r="I37">
        <v>0</v>
      </c>
    </row>
    <row r="38" spans="1:9" x14ac:dyDescent="0.3">
      <c r="A38">
        <v>2</v>
      </c>
      <c r="B38">
        <v>0</v>
      </c>
      <c r="C38" t="s">
        <v>19</v>
      </c>
      <c r="D38" t="s">
        <v>18</v>
      </c>
      <c r="E38">
        <v>43</v>
      </c>
      <c r="F38" t="s">
        <v>21</v>
      </c>
      <c r="G38" t="s">
        <v>20</v>
      </c>
      <c r="H38">
        <v>24</v>
      </c>
      <c r="I38">
        <v>0</v>
      </c>
    </row>
    <row r="39" spans="1:9" x14ac:dyDescent="0.3">
      <c r="A39">
        <v>2</v>
      </c>
      <c r="B39">
        <v>0</v>
      </c>
      <c r="C39" t="s">
        <v>19</v>
      </c>
      <c r="D39" t="s">
        <v>18</v>
      </c>
      <c r="E39">
        <v>25</v>
      </c>
      <c r="F39" t="s">
        <v>21</v>
      </c>
      <c r="G39" t="s">
        <v>20</v>
      </c>
      <c r="H39">
        <v>8</v>
      </c>
      <c r="I39">
        <v>0</v>
      </c>
    </row>
    <row r="40" spans="1:9" x14ac:dyDescent="0.3">
      <c r="A40">
        <v>2</v>
      </c>
      <c r="B40">
        <v>0</v>
      </c>
      <c r="C40" t="s">
        <v>19</v>
      </c>
      <c r="D40" t="s">
        <v>18</v>
      </c>
      <c r="E40">
        <v>34</v>
      </c>
      <c r="F40" t="s">
        <v>21</v>
      </c>
      <c r="G40" t="s">
        <v>20</v>
      </c>
      <c r="H40">
        <v>59</v>
      </c>
      <c r="I40">
        <v>1</v>
      </c>
    </row>
    <row r="41" spans="1:9" x14ac:dyDescent="0.3">
      <c r="A41">
        <v>2</v>
      </c>
      <c r="B41">
        <v>0</v>
      </c>
      <c r="C41" t="s">
        <v>19</v>
      </c>
      <c r="D41" t="s">
        <v>18</v>
      </c>
      <c r="E41">
        <v>48</v>
      </c>
      <c r="F41" t="s">
        <v>21</v>
      </c>
      <c r="G41" t="s">
        <v>20</v>
      </c>
      <c r="H41">
        <v>65</v>
      </c>
      <c r="I41">
        <v>1</v>
      </c>
    </row>
    <row r="42" spans="1:9" x14ac:dyDescent="0.3">
      <c r="A42">
        <v>2</v>
      </c>
      <c r="B42">
        <v>0</v>
      </c>
      <c r="C42" t="s">
        <v>19</v>
      </c>
      <c r="D42" t="s">
        <v>18</v>
      </c>
      <c r="E42">
        <v>29</v>
      </c>
      <c r="F42" t="s">
        <v>21</v>
      </c>
      <c r="G42" t="s">
        <v>20</v>
      </c>
      <c r="H42">
        <v>39</v>
      </c>
      <c r="I42">
        <v>1</v>
      </c>
    </row>
    <row r="43" spans="1:9" x14ac:dyDescent="0.3">
      <c r="A43">
        <v>2</v>
      </c>
      <c r="B43">
        <v>0</v>
      </c>
      <c r="C43" t="s">
        <v>19</v>
      </c>
      <c r="D43" t="s">
        <v>18</v>
      </c>
      <c r="E43">
        <v>49</v>
      </c>
      <c r="F43" t="s">
        <v>21</v>
      </c>
      <c r="G43" t="s">
        <v>20</v>
      </c>
      <c r="H43">
        <v>43</v>
      </c>
      <c r="I43">
        <v>0</v>
      </c>
    </row>
    <row r="44" spans="1:9" x14ac:dyDescent="0.3">
      <c r="A44">
        <v>2</v>
      </c>
      <c r="B44">
        <v>0</v>
      </c>
      <c r="C44" t="s">
        <v>19</v>
      </c>
      <c r="D44" t="s">
        <v>18</v>
      </c>
      <c r="E44">
        <v>55</v>
      </c>
      <c r="F44" t="s">
        <v>21</v>
      </c>
      <c r="G44" t="s">
        <v>20</v>
      </c>
      <c r="H44">
        <v>53</v>
      </c>
      <c r="I44">
        <v>0</v>
      </c>
    </row>
    <row r="45" spans="1:9" x14ac:dyDescent="0.3">
      <c r="A45">
        <v>2</v>
      </c>
      <c r="B45">
        <v>0</v>
      </c>
      <c r="C45" t="s">
        <v>19</v>
      </c>
      <c r="D45" t="s">
        <v>18</v>
      </c>
      <c r="E45">
        <v>25</v>
      </c>
      <c r="F45" t="s">
        <v>21</v>
      </c>
      <c r="G45" t="s">
        <v>20</v>
      </c>
      <c r="H45">
        <v>90</v>
      </c>
      <c r="I45">
        <v>1</v>
      </c>
    </row>
    <row r="46" spans="1:9" x14ac:dyDescent="0.3">
      <c r="A46">
        <v>2</v>
      </c>
      <c r="B46">
        <v>0</v>
      </c>
      <c r="C46" t="s">
        <v>19</v>
      </c>
      <c r="D46" t="s">
        <v>18</v>
      </c>
      <c r="E46">
        <v>20</v>
      </c>
      <c r="F46" t="s">
        <v>21</v>
      </c>
      <c r="G46" t="s">
        <v>20</v>
      </c>
      <c r="H46">
        <v>0</v>
      </c>
      <c r="I46">
        <v>0</v>
      </c>
    </row>
    <row r="47" spans="1:9" x14ac:dyDescent="0.3">
      <c r="A47">
        <v>2</v>
      </c>
      <c r="B47">
        <v>0</v>
      </c>
      <c r="C47" t="s">
        <v>19</v>
      </c>
      <c r="D47" t="s">
        <v>18</v>
      </c>
      <c r="E47">
        <v>44</v>
      </c>
      <c r="F47" t="s">
        <v>21</v>
      </c>
      <c r="G47" t="s">
        <v>20</v>
      </c>
      <c r="H47">
        <v>2</v>
      </c>
      <c r="I47">
        <v>0</v>
      </c>
    </row>
    <row r="48" spans="1:9" x14ac:dyDescent="0.3">
      <c r="A48">
        <v>2</v>
      </c>
      <c r="B48">
        <v>0</v>
      </c>
      <c r="C48" t="s">
        <v>19</v>
      </c>
      <c r="D48" t="s">
        <v>18</v>
      </c>
      <c r="E48">
        <v>63</v>
      </c>
      <c r="F48" t="s">
        <v>21</v>
      </c>
      <c r="G48" t="s">
        <v>20</v>
      </c>
      <c r="H48">
        <v>23</v>
      </c>
      <c r="I48">
        <v>0</v>
      </c>
    </row>
    <row r="49" spans="1:9" x14ac:dyDescent="0.3">
      <c r="A49">
        <v>2</v>
      </c>
      <c r="B49">
        <v>0</v>
      </c>
      <c r="C49" t="s">
        <v>19</v>
      </c>
      <c r="D49" t="s">
        <v>18</v>
      </c>
      <c r="E49">
        <v>46</v>
      </c>
      <c r="F49" t="s">
        <v>21</v>
      </c>
      <c r="G49" t="s">
        <v>20</v>
      </c>
      <c r="H49">
        <v>8</v>
      </c>
      <c r="I49">
        <v>0</v>
      </c>
    </row>
    <row r="50" spans="1:9" x14ac:dyDescent="0.3">
      <c r="A50">
        <v>2</v>
      </c>
      <c r="B50">
        <v>0</v>
      </c>
      <c r="C50" t="s">
        <v>19</v>
      </c>
      <c r="D50" t="s">
        <v>18</v>
      </c>
      <c r="E50">
        <v>23</v>
      </c>
      <c r="F50" t="s">
        <v>21</v>
      </c>
      <c r="G50" t="s">
        <v>20</v>
      </c>
      <c r="H50">
        <v>37</v>
      </c>
      <c r="I50">
        <v>1</v>
      </c>
    </row>
    <row r="51" spans="1:9" x14ac:dyDescent="0.3">
      <c r="A51">
        <v>2</v>
      </c>
      <c r="B51">
        <v>1</v>
      </c>
      <c r="C51" t="s">
        <v>19</v>
      </c>
      <c r="D51" t="s">
        <v>18</v>
      </c>
      <c r="E51">
        <v>53</v>
      </c>
      <c r="F51" t="s">
        <v>21</v>
      </c>
      <c r="G51" t="s">
        <v>20</v>
      </c>
      <c r="H51">
        <v>47</v>
      </c>
      <c r="I51">
        <v>0</v>
      </c>
    </row>
    <row r="52" spans="1:9" x14ac:dyDescent="0.3">
      <c r="A52">
        <v>2</v>
      </c>
      <c r="B52">
        <v>1</v>
      </c>
      <c r="C52" t="s">
        <v>19</v>
      </c>
      <c r="D52" t="s">
        <v>18</v>
      </c>
      <c r="E52">
        <v>56</v>
      </c>
      <c r="F52" t="s">
        <v>21</v>
      </c>
      <c r="G52" t="s">
        <v>20</v>
      </c>
      <c r="H52">
        <v>40</v>
      </c>
      <c r="I52">
        <v>0</v>
      </c>
    </row>
    <row r="53" spans="1:9" x14ac:dyDescent="0.3">
      <c r="A53">
        <v>2</v>
      </c>
      <c r="B53">
        <v>1</v>
      </c>
      <c r="C53" t="s">
        <v>19</v>
      </c>
      <c r="D53" t="s">
        <v>18</v>
      </c>
      <c r="E53">
        <v>45</v>
      </c>
      <c r="F53" t="s">
        <v>21</v>
      </c>
      <c r="G53" t="s">
        <v>20</v>
      </c>
      <c r="H53">
        <v>26</v>
      </c>
      <c r="I53">
        <v>0</v>
      </c>
    </row>
    <row r="54" spans="1:9" x14ac:dyDescent="0.3">
      <c r="A54">
        <v>2</v>
      </c>
      <c r="B54">
        <v>1</v>
      </c>
      <c r="C54" t="s">
        <v>19</v>
      </c>
      <c r="D54" t="s">
        <v>18</v>
      </c>
      <c r="E54">
        <v>46</v>
      </c>
      <c r="F54" t="s">
        <v>21</v>
      </c>
      <c r="G54" t="s">
        <v>20</v>
      </c>
      <c r="H54">
        <v>43</v>
      </c>
      <c r="I54">
        <v>0</v>
      </c>
    </row>
    <row r="55" spans="1:9" x14ac:dyDescent="0.3">
      <c r="A55">
        <v>2</v>
      </c>
      <c r="B55">
        <v>1</v>
      </c>
      <c r="C55" t="s">
        <v>19</v>
      </c>
      <c r="D55" t="s">
        <v>18</v>
      </c>
      <c r="E55">
        <v>60</v>
      </c>
      <c r="F55" t="s">
        <v>21</v>
      </c>
      <c r="G55" t="s">
        <v>20</v>
      </c>
      <c r="H55">
        <v>19</v>
      </c>
      <c r="I55">
        <v>0</v>
      </c>
    </row>
    <row r="56" spans="1:9" x14ac:dyDescent="0.3">
      <c r="A56">
        <v>2</v>
      </c>
      <c r="B56">
        <v>1</v>
      </c>
      <c r="C56" t="s">
        <v>19</v>
      </c>
      <c r="D56" t="s">
        <v>18</v>
      </c>
      <c r="E56">
        <v>32</v>
      </c>
      <c r="F56" t="s">
        <v>21</v>
      </c>
      <c r="G56" t="s">
        <v>20</v>
      </c>
      <c r="H56">
        <v>45</v>
      </c>
      <c r="I56">
        <v>1</v>
      </c>
    </row>
    <row r="57" spans="1:9" x14ac:dyDescent="0.3">
      <c r="A57">
        <v>2</v>
      </c>
      <c r="B57">
        <v>1</v>
      </c>
      <c r="C57" t="s">
        <v>19</v>
      </c>
      <c r="D57" t="s">
        <v>18</v>
      </c>
      <c r="E57">
        <v>63</v>
      </c>
      <c r="F57" t="s">
        <v>21</v>
      </c>
      <c r="G57" t="s">
        <v>20</v>
      </c>
      <c r="H57">
        <v>35</v>
      </c>
      <c r="I57">
        <v>0</v>
      </c>
    </row>
    <row r="58" spans="1:9" x14ac:dyDescent="0.3">
      <c r="A58">
        <v>2</v>
      </c>
      <c r="B58">
        <v>1</v>
      </c>
      <c r="C58" t="s">
        <v>19</v>
      </c>
      <c r="D58" t="s">
        <v>18</v>
      </c>
      <c r="E58">
        <v>20</v>
      </c>
      <c r="F58" t="s">
        <v>21</v>
      </c>
      <c r="G58" t="s">
        <v>20</v>
      </c>
      <c r="H58">
        <v>8</v>
      </c>
      <c r="I58">
        <v>0</v>
      </c>
    </row>
    <row r="59" spans="1:9" x14ac:dyDescent="0.3">
      <c r="A59">
        <v>2</v>
      </c>
      <c r="B59">
        <v>1</v>
      </c>
      <c r="C59" t="s">
        <v>19</v>
      </c>
      <c r="D59" t="s">
        <v>18</v>
      </c>
      <c r="E59">
        <v>34</v>
      </c>
      <c r="F59" t="s">
        <v>21</v>
      </c>
      <c r="G59" t="s">
        <v>20</v>
      </c>
      <c r="H59">
        <v>23</v>
      </c>
      <c r="I59">
        <v>0</v>
      </c>
    </row>
    <row r="60" spans="1:9" x14ac:dyDescent="0.3">
      <c r="A60">
        <v>2</v>
      </c>
      <c r="B60">
        <v>1</v>
      </c>
      <c r="C60" t="s">
        <v>19</v>
      </c>
      <c r="D60" t="s">
        <v>18</v>
      </c>
      <c r="E60">
        <v>53</v>
      </c>
      <c r="F60" t="s">
        <v>21</v>
      </c>
      <c r="G60" t="s">
        <v>20</v>
      </c>
      <c r="H60">
        <v>42</v>
      </c>
      <c r="I60">
        <v>0</v>
      </c>
    </row>
    <row r="61" spans="1:9" x14ac:dyDescent="0.3">
      <c r="A61">
        <v>2</v>
      </c>
      <c r="B61">
        <v>1</v>
      </c>
      <c r="C61" t="s">
        <v>19</v>
      </c>
      <c r="D61" t="s">
        <v>18</v>
      </c>
      <c r="E61">
        <v>49</v>
      </c>
      <c r="F61" t="s">
        <v>21</v>
      </c>
      <c r="G61" t="s">
        <v>20</v>
      </c>
      <c r="H61">
        <v>23</v>
      </c>
      <c r="I61">
        <v>0</v>
      </c>
    </row>
    <row r="62" spans="1:9" x14ac:dyDescent="0.3">
      <c r="A62">
        <v>2</v>
      </c>
      <c r="B62">
        <v>1</v>
      </c>
      <c r="C62" t="s">
        <v>19</v>
      </c>
      <c r="D62" t="s">
        <v>18</v>
      </c>
      <c r="E62">
        <v>51</v>
      </c>
      <c r="F62" t="s">
        <v>21</v>
      </c>
      <c r="G62" t="s">
        <v>20</v>
      </c>
      <c r="H62">
        <v>69</v>
      </c>
      <c r="I62">
        <v>1</v>
      </c>
    </row>
    <row r="63" spans="1:9" x14ac:dyDescent="0.3">
      <c r="A63">
        <v>2</v>
      </c>
      <c r="B63">
        <v>1</v>
      </c>
      <c r="C63" t="s">
        <v>19</v>
      </c>
      <c r="D63" t="s">
        <v>18</v>
      </c>
      <c r="E63">
        <v>23</v>
      </c>
      <c r="F63" t="s">
        <v>21</v>
      </c>
      <c r="G63" t="s">
        <v>20</v>
      </c>
      <c r="H63">
        <v>22</v>
      </c>
      <c r="I63">
        <v>0</v>
      </c>
    </row>
    <row r="64" spans="1:9" x14ac:dyDescent="0.3">
      <c r="A64">
        <v>2</v>
      </c>
      <c r="B64">
        <v>1</v>
      </c>
      <c r="C64" t="s">
        <v>19</v>
      </c>
      <c r="D64" t="s">
        <v>18</v>
      </c>
      <c r="E64">
        <v>52</v>
      </c>
      <c r="F64" t="s">
        <v>21</v>
      </c>
      <c r="G64" t="s">
        <v>20</v>
      </c>
      <c r="H64">
        <v>47</v>
      </c>
      <c r="I64">
        <v>0</v>
      </c>
    </row>
    <row r="65" spans="1:9" x14ac:dyDescent="0.3">
      <c r="A65">
        <v>2</v>
      </c>
      <c r="B65">
        <v>1</v>
      </c>
      <c r="C65" t="s">
        <v>19</v>
      </c>
      <c r="D65" t="s">
        <v>18</v>
      </c>
      <c r="E65">
        <v>12</v>
      </c>
      <c r="F65" t="s">
        <v>21</v>
      </c>
      <c r="G65" t="s">
        <v>20</v>
      </c>
      <c r="H65">
        <v>19</v>
      </c>
      <c r="I65">
        <v>1</v>
      </c>
    </row>
    <row r="66" spans="1:9" x14ac:dyDescent="0.3">
      <c r="A66">
        <v>2</v>
      </c>
      <c r="B66">
        <v>1</v>
      </c>
      <c r="C66" t="s">
        <v>19</v>
      </c>
      <c r="D66" t="s">
        <v>18</v>
      </c>
      <c r="E66">
        <v>44</v>
      </c>
      <c r="F66" t="s">
        <v>21</v>
      </c>
      <c r="G66" t="s">
        <v>20</v>
      </c>
      <c r="H66">
        <v>12</v>
      </c>
      <c r="I66">
        <v>0</v>
      </c>
    </row>
    <row r="67" spans="1:9" x14ac:dyDescent="0.3">
      <c r="A67">
        <v>2</v>
      </c>
      <c r="B67">
        <v>1</v>
      </c>
      <c r="C67" t="s">
        <v>19</v>
      </c>
      <c r="D67" t="s">
        <v>18</v>
      </c>
      <c r="E67">
        <v>26</v>
      </c>
      <c r="F67" t="s">
        <v>21</v>
      </c>
      <c r="G67" t="s">
        <v>20</v>
      </c>
      <c r="H67">
        <v>47</v>
      </c>
      <c r="I67">
        <v>1</v>
      </c>
    </row>
    <row r="68" spans="1:9" x14ac:dyDescent="0.3">
      <c r="A68">
        <v>2</v>
      </c>
      <c r="B68">
        <v>1</v>
      </c>
      <c r="C68" t="s">
        <v>19</v>
      </c>
      <c r="D68" t="s">
        <v>18</v>
      </c>
      <c r="E68">
        <v>66</v>
      </c>
      <c r="F68" t="s">
        <v>21</v>
      </c>
      <c r="G68" t="s">
        <v>20</v>
      </c>
      <c r="H68">
        <v>37</v>
      </c>
      <c r="I68">
        <v>0</v>
      </c>
    </row>
    <row r="69" spans="1:9" x14ac:dyDescent="0.3">
      <c r="A69">
        <v>2</v>
      </c>
      <c r="B69">
        <v>1</v>
      </c>
      <c r="C69" t="s">
        <v>19</v>
      </c>
      <c r="D69" t="s">
        <v>18</v>
      </c>
      <c r="E69">
        <v>30</v>
      </c>
      <c r="F69" t="s">
        <v>21</v>
      </c>
      <c r="G69" t="s">
        <v>20</v>
      </c>
      <c r="H69">
        <v>32</v>
      </c>
      <c r="I69">
        <v>1</v>
      </c>
    </row>
    <row r="70" spans="1:9" x14ac:dyDescent="0.3">
      <c r="A70">
        <v>2</v>
      </c>
      <c r="B70">
        <v>1</v>
      </c>
      <c r="C70" t="s">
        <v>19</v>
      </c>
      <c r="D70" t="s">
        <v>18</v>
      </c>
      <c r="E70">
        <v>48</v>
      </c>
      <c r="F70" t="s">
        <v>21</v>
      </c>
      <c r="G70" t="s">
        <v>20</v>
      </c>
      <c r="H70">
        <v>21</v>
      </c>
      <c r="I70">
        <v>0</v>
      </c>
    </row>
    <row r="71" spans="1:9" x14ac:dyDescent="0.3">
      <c r="A71">
        <v>2</v>
      </c>
      <c r="B71">
        <v>1</v>
      </c>
      <c r="C71" t="s">
        <v>19</v>
      </c>
      <c r="D71" t="s">
        <v>18</v>
      </c>
      <c r="E71">
        <v>42</v>
      </c>
      <c r="F71" t="s">
        <v>21</v>
      </c>
      <c r="G71" t="s">
        <v>20</v>
      </c>
      <c r="H71">
        <v>29</v>
      </c>
      <c r="I71">
        <v>0</v>
      </c>
    </row>
    <row r="72" spans="1:9" x14ac:dyDescent="0.3">
      <c r="A72">
        <v>2</v>
      </c>
      <c r="B72">
        <v>1</v>
      </c>
      <c r="C72" t="s">
        <v>19</v>
      </c>
      <c r="D72" t="s">
        <v>18</v>
      </c>
      <c r="E72">
        <v>25</v>
      </c>
      <c r="F72" t="s">
        <v>21</v>
      </c>
      <c r="G72" t="s">
        <v>20</v>
      </c>
      <c r="H72">
        <v>29</v>
      </c>
      <c r="I72">
        <v>1</v>
      </c>
    </row>
    <row r="73" spans="1:9" x14ac:dyDescent="0.3">
      <c r="A73">
        <v>2</v>
      </c>
      <c r="B73">
        <v>1</v>
      </c>
      <c r="C73" t="s">
        <v>19</v>
      </c>
      <c r="D73" t="s">
        <v>18</v>
      </c>
      <c r="E73">
        <v>48</v>
      </c>
      <c r="F73" t="s">
        <v>21</v>
      </c>
      <c r="G73" t="s">
        <v>20</v>
      </c>
      <c r="H73">
        <v>33</v>
      </c>
      <c r="I73">
        <v>0</v>
      </c>
    </row>
    <row r="74" spans="1:9" x14ac:dyDescent="0.3">
      <c r="A74">
        <v>2</v>
      </c>
      <c r="B74">
        <v>1</v>
      </c>
      <c r="C74" t="s">
        <v>19</v>
      </c>
      <c r="D74" t="s">
        <v>18</v>
      </c>
      <c r="E74">
        <v>29</v>
      </c>
      <c r="F74" t="s">
        <v>21</v>
      </c>
      <c r="G74" t="s">
        <v>20</v>
      </c>
      <c r="H74">
        <v>36</v>
      </c>
      <c r="I74">
        <v>1</v>
      </c>
    </row>
    <row r="75" spans="1:9" x14ac:dyDescent="0.3">
      <c r="A75">
        <v>2</v>
      </c>
      <c r="B75">
        <v>1</v>
      </c>
      <c r="C75" t="s">
        <v>19</v>
      </c>
      <c r="D75" t="s">
        <v>18</v>
      </c>
      <c r="E75">
        <v>47</v>
      </c>
      <c r="F75" t="s">
        <v>21</v>
      </c>
      <c r="G75" t="s">
        <v>20</v>
      </c>
      <c r="H75">
        <v>8</v>
      </c>
      <c r="I75">
        <v>0</v>
      </c>
    </row>
    <row r="76" spans="1:9" x14ac:dyDescent="0.3">
      <c r="A76">
        <v>2</v>
      </c>
      <c r="B76">
        <v>1</v>
      </c>
      <c r="C76" t="s">
        <v>19</v>
      </c>
      <c r="D76" t="s">
        <v>18</v>
      </c>
      <c r="E76">
        <v>46</v>
      </c>
      <c r="F76" t="s">
        <v>21</v>
      </c>
      <c r="G76" t="s">
        <v>20</v>
      </c>
      <c r="H76">
        <v>28</v>
      </c>
      <c r="I76">
        <v>0</v>
      </c>
    </row>
    <row r="77" spans="1:9" x14ac:dyDescent="0.3">
      <c r="A77">
        <v>2</v>
      </c>
      <c r="B77">
        <v>1</v>
      </c>
      <c r="C77" t="s">
        <v>19</v>
      </c>
      <c r="D77" t="s">
        <v>18</v>
      </c>
      <c r="E77">
        <v>50</v>
      </c>
      <c r="F77" t="s">
        <v>21</v>
      </c>
      <c r="G77" t="s">
        <v>20</v>
      </c>
      <c r="H77">
        <v>49</v>
      </c>
      <c r="I77">
        <v>0</v>
      </c>
    </row>
    <row r="78" spans="1:9" x14ac:dyDescent="0.3">
      <c r="A78">
        <v>2</v>
      </c>
      <c r="B78">
        <v>1</v>
      </c>
      <c r="C78" t="s">
        <v>19</v>
      </c>
      <c r="D78" t="s">
        <v>18</v>
      </c>
      <c r="E78">
        <v>52</v>
      </c>
      <c r="F78" t="s">
        <v>21</v>
      </c>
      <c r="G78" t="s">
        <v>20</v>
      </c>
      <c r="H78">
        <v>16</v>
      </c>
      <c r="I78">
        <v>0</v>
      </c>
    </row>
    <row r="79" spans="1:9" x14ac:dyDescent="0.3">
      <c r="A79">
        <v>2</v>
      </c>
      <c r="B79">
        <v>1</v>
      </c>
      <c r="C79" t="s">
        <v>19</v>
      </c>
      <c r="D79" t="s">
        <v>18</v>
      </c>
      <c r="E79">
        <v>42</v>
      </c>
      <c r="F79" t="s">
        <v>21</v>
      </c>
      <c r="G79" t="s">
        <v>20</v>
      </c>
      <c r="H79">
        <v>29</v>
      </c>
      <c r="I79">
        <v>0</v>
      </c>
    </row>
    <row r="80" spans="1:9" x14ac:dyDescent="0.3">
      <c r="A80">
        <v>2</v>
      </c>
      <c r="B80">
        <v>1</v>
      </c>
      <c r="C80" t="s">
        <v>19</v>
      </c>
      <c r="D80" t="s">
        <v>18</v>
      </c>
      <c r="E80">
        <v>64</v>
      </c>
      <c r="F80" t="s">
        <v>21</v>
      </c>
      <c r="G80" t="s">
        <v>20</v>
      </c>
      <c r="H80">
        <v>2</v>
      </c>
      <c r="I80">
        <v>0</v>
      </c>
    </row>
    <row r="81" spans="1:9" x14ac:dyDescent="0.3">
      <c r="A81">
        <v>2</v>
      </c>
      <c r="B81">
        <v>1</v>
      </c>
      <c r="C81" t="s">
        <v>19</v>
      </c>
      <c r="D81" t="s">
        <v>18</v>
      </c>
      <c r="E81">
        <v>30</v>
      </c>
      <c r="F81" t="s">
        <v>21</v>
      </c>
      <c r="G81" t="s">
        <v>20</v>
      </c>
      <c r="H81">
        <v>26</v>
      </c>
      <c r="I81">
        <v>0</v>
      </c>
    </row>
    <row r="82" spans="1:9" x14ac:dyDescent="0.3">
      <c r="A82">
        <v>2</v>
      </c>
      <c r="B82">
        <v>1</v>
      </c>
      <c r="C82" t="s">
        <v>19</v>
      </c>
      <c r="D82" t="s">
        <v>18</v>
      </c>
      <c r="E82">
        <v>39</v>
      </c>
      <c r="F82" t="s">
        <v>21</v>
      </c>
      <c r="G82" t="s">
        <v>20</v>
      </c>
      <c r="H82">
        <v>52</v>
      </c>
      <c r="I82">
        <v>1</v>
      </c>
    </row>
    <row r="83" spans="1:9" x14ac:dyDescent="0.3">
      <c r="A83">
        <v>2</v>
      </c>
      <c r="B83">
        <v>1</v>
      </c>
      <c r="C83" t="s">
        <v>19</v>
      </c>
      <c r="D83" t="s">
        <v>18</v>
      </c>
      <c r="E83">
        <v>34</v>
      </c>
      <c r="F83" t="s">
        <v>21</v>
      </c>
      <c r="G83" t="s">
        <v>20</v>
      </c>
      <c r="H83">
        <v>19</v>
      </c>
      <c r="I83">
        <v>0</v>
      </c>
    </row>
    <row r="84" spans="1:9" x14ac:dyDescent="0.3">
      <c r="A84">
        <v>2</v>
      </c>
      <c r="B84">
        <v>1</v>
      </c>
      <c r="C84" t="s">
        <v>19</v>
      </c>
      <c r="D84" t="s">
        <v>18</v>
      </c>
      <c r="E84">
        <v>26</v>
      </c>
      <c r="F84" t="s">
        <v>21</v>
      </c>
      <c r="G84" t="s">
        <v>20</v>
      </c>
      <c r="H84">
        <v>40</v>
      </c>
      <c r="I84">
        <v>1</v>
      </c>
    </row>
    <row r="85" spans="1:9" x14ac:dyDescent="0.3">
      <c r="A85">
        <v>2</v>
      </c>
      <c r="B85">
        <v>1</v>
      </c>
      <c r="C85" t="s">
        <v>19</v>
      </c>
      <c r="D85" t="s">
        <v>18</v>
      </c>
      <c r="E85">
        <v>35</v>
      </c>
      <c r="F85" t="s">
        <v>21</v>
      </c>
      <c r="G85" t="s">
        <v>20</v>
      </c>
      <c r="H85">
        <v>18</v>
      </c>
      <c r="I85">
        <v>0</v>
      </c>
    </row>
    <row r="86" spans="1:9" x14ac:dyDescent="0.3">
      <c r="A86">
        <v>2</v>
      </c>
      <c r="B86">
        <v>1</v>
      </c>
      <c r="C86" t="s">
        <v>19</v>
      </c>
      <c r="D86" t="s">
        <v>18</v>
      </c>
      <c r="E86">
        <v>32</v>
      </c>
      <c r="F86" t="s">
        <v>21</v>
      </c>
      <c r="G86" t="s">
        <v>20</v>
      </c>
      <c r="H86">
        <v>8</v>
      </c>
      <c r="I86">
        <v>0</v>
      </c>
    </row>
    <row r="87" spans="1:9" x14ac:dyDescent="0.3">
      <c r="A87">
        <v>2</v>
      </c>
      <c r="B87">
        <v>1</v>
      </c>
      <c r="C87" t="s">
        <v>19</v>
      </c>
      <c r="D87" t="s">
        <v>18</v>
      </c>
      <c r="E87">
        <v>38</v>
      </c>
      <c r="F87" t="s">
        <v>21</v>
      </c>
      <c r="G87" t="s">
        <v>20</v>
      </c>
      <c r="H87">
        <v>30</v>
      </c>
      <c r="I87">
        <v>0</v>
      </c>
    </row>
    <row r="88" spans="1:9" x14ac:dyDescent="0.3">
      <c r="A88">
        <v>2</v>
      </c>
      <c r="B88">
        <v>1</v>
      </c>
      <c r="C88" t="s">
        <v>19</v>
      </c>
      <c r="D88" t="s">
        <v>18</v>
      </c>
      <c r="E88">
        <v>70</v>
      </c>
      <c r="F88" t="s">
        <v>21</v>
      </c>
      <c r="G88" t="s">
        <v>20</v>
      </c>
      <c r="H88">
        <v>40</v>
      </c>
      <c r="I88">
        <v>0</v>
      </c>
    </row>
    <row r="89" spans="1:9" x14ac:dyDescent="0.3">
      <c r="A89">
        <v>2</v>
      </c>
      <c r="B89">
        <v>1</v>
      </c>
      <c r="C89" t="s">
        <v>19</v>
      </c>
      <c r="D89" t="s">
        <v>18</v>
      </c>
      <c r="E89">
        <v>52</v>
      </c>
      <c r="F89" t="s">
        <v>21</v>
      </c>
      <c r="G89" t="s">
        <v>20</v>
      </c>
      <c r="H89">
        <v>24</v>
      </c>
      <c r="I89">
        <v>0</v>
      </c>
    </row>
    <row r="90" spans="1:9" x14ac:dyDescent="0.3">
      <c r="A90">
        <v>2</v>
      </c>
      <c r="B90">
        <v>1</v>
      </c>
      <c r="C90" t="s">
        <v>19</v>
      </c>
      <c r="D90" t="s">
        <v>18</v>
      </c>
      <c r="E90">
        <v>36</v>
      </c>
      <c r="F90" t="s">
        <v>21</v>
      </c>
      <c r="G90" t="s">
        <v>20</v>
      </c>
      <c r="H90">
        <v>15</v>
      </c>
      <c r="I90">
        <v>0</v>
      </c>
    </row>
    <row r="91" spans="1:9" x14ac:dyDescent="0.3">
      <c r="A91">
        <v>2</v>
      </c>
      <c r="B91">
        <v>1</v>
      </c>
      <c r="C91" t="s">
        <v>19</v>
      </c>
      <c r="D91" t="s">
        <v>18</v>
      </c>
      <c r="E91">
        <v>17</v>
      </c>
      <c r="F91" t="s">
        <v>21</v>
      </c>
      <c r="G91" t="s">
        <v>20</v>
      </c>
      <c r="H91">
        <v>75</v>
      </c>
      <c r="I91">
        <v>1</v>
      </c>
    </row>
    <row r="92" spans="1:9" x14ac:dyDescent="0.3">
      <c r="A92">
        <v>2</v>
      </c>
      <c r="B92">
        <v>1</v>
      </c>
      <c r="C92" t="s">
        <v>19</v>
      </c>
      <c r="D92" t="s">
        <v>18</v>
      </c>
      <c r="E92">
        <v>44</v>
      </c>
      <c r="F92" t="s">
        <v>21</v>
      </c>
      <c r="G92" t="s">
        <v>20</v>
      </c>
      <c r="H92">
        <v>8</v>
      </c>
      <c r="I92">
        <v>0</v>
      </c>
    </row>
    <row r="93" spans="1:9" x14ac:dyDescent="0.3">
      <c r="A93">
        <v>2</v>
      </c>
      <c r="B93">
        <v>1</v>
      </c>
      <c r="C93" t="s">
        <v>19</v>
      </c>
      <c r="D93" t="s">
        <v>18</v>
      </c>
      <c r="E93">
        <v>36</v>
      </c>
      <c r="F93" t="s">
        <v>21</v>
      </c>
      <c r="G93" t="s">
        <v>20</v>
      </c>
      <c r="H93">
        <v>56</v>
      </c>
      <c r="I93">
        <v>1</v>
      </c>
    </row>
    <row r="94" spans="1:9" x14ac:dyDescent="0.3">
      <c r="A94">
        <v>2</v>
      </c>
      <c r="B94">
        <v>1</v>
      </c>
      <c r="C94" t="s">
        <v>19</v>
      </c>
      <c r="D94" t="s">
        <v>18</v>
      </c>
      <c r="E94">
        <v>14</v>
      </c>
      <c r="F94" t="s">
        <v>21</v>
      </c>
      <c r="G94" t="s">
        <v>20</v>
      </c>
      <c r="H94">
        <v>30</v>
      </c>
      <c r="I94">
        <v>1</v>
      </c>
    </row>
    <row r="95" spans="1:9" x14ac:dyDescent="0.3">
      <c r="A95">
        <v>2</v>
      </c>
      <c r="B95">
        <v>1</v>
      </c>
      <c r="C95" t="s">
        <v>19</v>
      </c>
      <c r="D95" t="s">
        <v>18</v>
      </c>
      <c r="E95">
        <v>60</v>
      </c>
      <c r="F95" t="s">
        <v>21</v>
      </c>
      <c r="G95" t="s">
        <v>20</v>
      </c>
      <c r="H95">
        <v>42</v>
      </c>
      <c r="I95">
        <v>0</v>
      </c>
    </row>
    <row r="96" spans="1:9" x14ac:dyDescent="0.3">
      <c r="A96">
        <v>2</v>
      </c>
      <c r="B96">
        <v>1</v>
      </c>
      <c r="C96" t="s">
        <v>19</v>
      </c>
      <c r="D96" t="s">
        <v>18</v>
      </c>
      <c r="E96">
        <v>38</v>
      </c>
      <c r="F96" t="s">
        <v>21</v>
      </c>
      <c r="G96" t="s">
        <v>20</v>
      </c>
      <c r="H96">
        <v>23</v>
      </c>
      <c r="I96">
        <v>0</v>
      </c>
    </row>
    <row r="97" spans="1:9" x14ac:dyDescent="0.3">
      <c r="A97">
        <v>2</v>
      </c>
      <c r="B97">
        <v>1</v>
      </c>
      <c r="C97" t="s">
        <v>19</v>
      </c>
      <c r="D97" t="s">
        <v>18</v>
      </c>
      <c r="E97">
        <v>23</v>
      </c>
      <c r="F97" t="s">
        <v>21</v>
      </c>
      <c r="G97" t="s">
        <v>20</v>
      </c>
      <c r="H97">
        <v>46</v>
      </c>
      <c r="I97">
        <v>1</v>
      </c>
    </row>
    <row r="98" spans="1:9" x14ac:dyDescent="0.3">
      <c r="A98">
        <v>2</v>
      </c>
      <c r="B98">
        <v>1</v>
      </c>
      <c r="C98" t="s">
        <v>19</v>
      </c>
      <c r="D98" t="s">
        <v>18</v>
      </c>
      <c r="E98">
        <v>54</v>
      </c>
      <c r="F98" t="s">
        <v>21</v>
      </c>
      <c r="G98" t="s">
        <v>20</v>
      </c>
      <c r="H98">
        <v>31</v>
      </c>
      <c r="I98">
        <v>0</v>
      </c>
    </row>
    <row r="99" spans="1:9" x14ac:dyDescent="0.3">
      <c r="A99">
        <v>2</v>
      </c>
      <c r="B99">
        <v>1</v>
      </c>
      <c r="C99" t="s">
        <v>19</v>
      </c>
      <c r="D99" t="s">
        <v>18</v>
      </c>
      <c r="E99">
        <v>30</v>
      </c>
      <c r="F99" t="s">
        <v>21</v>
      </c>
      <c r="G99" t="s">
        <v>20</v>
      </c>
      <c r="H99">
        <v>39</v>
      </c>
      <c r="I99">
        <v>1</v>
      </c>
    </row>
    <row r="100" spans="1:9" x14ac:dyDescent="0.3">
      <c r="A100">
        <v>2</v>
      </c>
      <c r="B100">
        <v>1</v>
      </c>
      <c r="C100" t="s">
        <v>19</v>
      </c>
      <c r="D100" t="s">
        <v>18</v>
      </c>
      <c r="E100">
        <v>35</v>
      </c>
      <c r="F100" t="s">
        <v>21</v>
      </c>
      <c r="G100" t="s">
        <v>20</v>
      </c>
      <c r="H100">
        <v>36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5E6E3-591B-4476-A81B-9F3C0953EAAF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19</v>
      </c>
      <c r="D1" t="s">
        <v>18</v>
      </c>
      <c r="E1">
        <v>53</v>
      </c>
      <c r="F1" t="s">
        <v>23</v>
      </c>
      <c r="G1" t="s">
        <v>22</v>
      </c>
      <c r="H1">
        <v>28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19</v>
      </c>
      <c r="D2" t="s">
        <v>18</v>
      </c>
      <c r="E2">
        <v>44</v>
      </c>
      <c r="F2" t="s">
        <v>23</v>
      </c>
      <c r="G2" t="s">
        <v>22</v>
      </c>
      <c r="H2">
        <v>46</v>
      </c>
      <c r="I2">
        <v>1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19</v>
      </c>
      <c r="D3" t="s">
        <v>18</v>
      </c>
      <c r="E3">
        <v>52</v>
      </c>
      <c r="F3" t="s">
        <v>23</v>
      </c>
      <c r="G3" t="s">
        <v>22</v>
      </c>
      <c r="H3">
        <v>38</v>
      </c>
      <c r="I3">
        <v>0</v>
      </c>
      <c r="K3" s="8" t="s">
        <v>11</v>
      </c>
      <c r="L3" s="8"/>
      <c r="M3" s="10">
        <f>COUNTIF($I$1:$I$100, 0)</f>
        <v>58</v>
      </c>
      <c r="N3" s="10"/>
      <c r="O3" s="10">
        <f>COUNTIFS($I$1:$I$100, 0, $B$1:$B$100, 0)</f>
        <v>30</v>
      </c>
      <c r="P3" s="10"/>
      <c r="Q3" s="11">
        <f>COUNTIFS($I$1:$I$100, 0, $B$1:$B$100, 1)</f>
        <v>28</v>
      </c>
      <c r="R3" s="12"/>
      <c r="T3" cm="1">
        <f t="array" ref="T3">SUMPRODUCT(--($E$1:$E$100=$H$1:$H$100))</f>
        <v>3</v>
      </c>
    </row>
    <row r="4" spans="1:20" x14ac:dyDescent="0.3">
      <c r="A4">
        <v>2</v>
      </c>
      <c r="B4">
        <v>0</v>
      </c>
      <c r="C4" t="s">
        <v>19</v>
      </c>
      <c r="D4" t="s">
        <v>18</v>
      </c>
      <c r="E4">
        <v>38</v>
      </c>
      <c r="F4" t="s">
        <v>23</v>
      </c>
      <c r="G4" t="s">
        <v>22</v>
      </c>
      <c r="H4">
        <v>57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19</v>
      </c>
      <c r="D5" t="s">
        <v>18</v>
      </c>
      <c r="E5">
        <v>75</v>
      </c>
      <c r="F5" t="s">
        <v>23</v>
      </c>
      <c r="G5" t="s">
        <v>22</v>
      </c>
      <c r="H5">
        <v>64</v>
      </c>
      <c r="I5">
        <v>0</v>
      </c>
      <c r="K5" s="8" t="s">
        <v>10</v>
      </c>
      <c r="L5" s="8"/>
      <c r="M5" s="14">
        <f>COUNTIF($I$1:$I$100, 1)</f>
        <v>42</v>
      </c>
      <c r="N5" s="10"/>
      <c r="O5" s="10">
        <f>COUNTIFS($I$1:$I$100, 1, $B$1:$B$100, 0)</f>
        <v>20</v>
      </c>
      <c r="P5" s="10"/>
      <c r="Q5" s="10">
        <f>COUNTIFS($I$1:$I$100, 1, $B$1:$B$100, 1)</f>
        <v>22</v>
      </c>
      <c r="R5" s="13"/>
    </row>
    <row r="6" spans="1:20" x14ac:dyDescent="0.3">
      <c r="A6">
        <v>2</v>
      </c>
      <c r="B6">
        <v>0</v>
      </c>
      <c r="C6" t="s">
        <v>19</v>
      </c>
      <c r="D6" t="s">
        <v>18</v>
      </c>
      <c r="E6">
        <v>70</v>
      </c>
      <c r="F6" t="s">
        <v>23</v>
      </c>
      <c r="G6" t="s">
        <v>22</v>
      </c>
      <c r="H6">
        <v>41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19</v>
      </c>
      <c r="D7" t="s">
        <v>18</v>
      </c>
      <c r="E7">
        <v>34</v>
      </c>
      <c r="F7" t="s">
        <v>23</v>
      </c>
      <c r="G7" t="s">
        <v>22</v>
      </c>
      <c r="H7">
        <v>36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19</v>
      </c>
      <c r="D8" t="s">
        <v>18</v>
      </c>
      <c r="E8">
        <v>69</v>
      </c>
      <c r="F8" t="s">
        <v>23</v>
      </c>
      <c r="G8" t="s">
        <v>22</v>
      </c>
      <c r="H8">
        <v>61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19</v>
      </c>
      <c r="D9" t="s">
        <v>18</v>
      </c>
      <c r="E9">
        <v>83</v>
      </c>
      <c r="F9" t="s">
        <v>23</v>
      </c>
      <c r="G9" t="s">
        <v>22</v>
      </c>
      <c r="H9">
        <v>47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19</v>
      </c>
      <c r="D10" t="s">
        <v>18</v>
      </c>
      <c r="E10">
        <v>72</v>
      </c>
      <c r="F10" t="s">
        <v>23</v>
      </c>
      <c r="G10" t="s">
        <v>22</v>
      </c>
      <c r="H10">
        <v>42</v>
      </c>
      <c r="I10">
        <v>0</v>
      </c>
      <c r="K10" s="8" t="s">
        <v>6</v>
      </c>
      <c r="L10" s="8"/>
      <c r="M10" s="10">
        <f>AVERAGE($E$1:$E$100,)</f>
        <v>54.039603960396036</v>
      </c>
      <c r="N10" s="10"/>
      <c r="O10" s="10" cm="1">
        <f t="array" ref="O10">AVERAGE(_xlfn._xlws.FILTER($E$1:$E$100,$I$1:$I$100 = 0))</f>
        <v>61.03448275862069</v>
      </c>
      <c r="P10" s="10"/>
      <c r="Q10" s="11" cm="1">
        <f t="array" ref="Q10">AVERAGE(_xlfn._xlws.FILTER($E$1:$E$100,$I$1:$I$100 = 1))</f>
        <v>45.666666666666664</v>
      </c>
      <c r="R10" s="12"/>
    </row>
    <row r="11" spans="1:20" x14ac:dyDescent="0.3">
      <c r="A11">
        <v>2</v>
      </c>
      <c r="B11">
        <v>0</v>
      </c>
      <c r="C11" t="s">
        <v>19</v>
      </c>
      <c r="D11" t="s">
        <v>18</v>
      </c>
      <c r="E11">
        <v>55</v>
      </c>
      <c r="F11" t="s">
        <v>23</v>
      </c>
      <c r="G11" t="s">
        <v>22</v>
      </c>
      <c r="H11">
        <v>33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19</v>
      </c>
      <c r="D12" t="s">
        <v>18</v>
      </c>
      <c r="E12">
        <v>28</v>
      </c>
      <c r="F12" t="s">
        <v>23</v>
      </c>
      <c r="G12" t="s">
        <v>22</v>
      </c>
      <c r="H12">
        <v>65</v>
      </c>
      <c r="I12">
        <v>1</v>
      </c>
      <c r="K12" s="8" t="s">
        <v>5</v>
      </c>
      <c r="L12" s="8"/>
      <c r="M12" s="10">
        <f>AVERAGE($H$1:$H$100,)</f>
        <v>50.138613861386141</v>
      </c>
      <c r="N12" s="10"/>
      <c r="O12" s="10" cm="1">
        <f t="array" ref="O12">AVERAGE(_xlfn._xlws.FILTER($H$1:$H$100,$I$1:$I$100 = 0))</f>
        <v>43.724137931034484</v>
      </c>
      <c r="P12" s="10"/>
      <c r="Q12" s="10" cm="1">
        <f t="array" ref="Q12">AVERAGE(_xlfn._xlws.FILTER($H$1:$H$100,$I$1:$I$100 = 1))</f>
        <v>60.19047619047619</v>
      </c>
      <c r="R12" s="13"/>
    </row>
    <row r="13" spans="1:20" x14ac:dyDescent="0.3">
      <c r="A13">
        <v>2</v>
      </c>
      <c r="B13">
        <v>0</v>
      </c>
      <c r="C13" t="s">
        <v>19</v>
      </c>
      <c r="D13" t="s">
        <v>18</v>
      </c>
      <c r="E13">
        <v>59</v>
      </c>
      <c r="F13" t="s">
        <v>23</v>
      </c>
      <c r="G13" t="s">
        <v>22</v>
      </c>
      <c r="H13">
        <v>55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19</v>
      </c>
      <c r="D14" t="s">
        <v>18</v>
      </c>
      <c r="E14">
        <v>72</v>
      </c>
      <c r="F14" t="s">
        <v>23</v>
      </c>
      <c r="G14" t="s">
        <v>22</v>
      </c>
      <c r="H14">
        <v>81</v>
      </c>
      <c r="I14">
        <v>1</v>
      </c>
      <c r="K14" s="19" t="s">
        <v>4</v>
      </c>
      <c r="L14" s="12"/>
      <c r="M14" s="20" cm="1">
        <f t="array" ref="M14">AVERAGE($E$1:$E$100 - $H$1:$H$100)</f>
        <v>3.94</v>
      </c>
      <c r="N14" s="20"/>
      <c r="O14" s="20" cm="1">
        <f t="array" ref="O14">AVERAGE(_xlfn._xlws.FILTER($E$1:$E$100 - $H$1:$H$100, I$1:I$100 = 0))</f>
        <v>17.310344827586206</v>
      </c>
      <c r="P14" s="20"/>
      <c r="Q14" s="20" cm="1">
        <f t="array" ref="Q14">AVERAGE(_xlfn._xlws.FILTER($E$1:$E$100 - $H$1:$H$100, I$1:I$100 = 1))</f>
        <v>-14.523809523809524</v>
      </c>
      <c r="R14" s="22"/>
    </row>
    <row r="15" spans="1:20" x14ac:dyDescent="0.3">
      <c r="A15">
        <v>2</v>
      </c>
      <c r="B15">
        <v>0</v>
      </c>
      <c r="C15" t="s">
        <v>19</v>
      </c>
      <c r="D15" t="s">
        <v>18</v>
      </c>
      <c r="E15">
        <v>47</v>
      </c>
      <c r="F15" t="s">
        <v>23</v>
      </c>
      <c r="G15" t="s">
        <v>22</v>
      </c>
      <c r="H15">
        <v>40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19</v>
      </c>
      <c r="D16" t="s">
        <v>18</v>
      </c>
      <c r="E16">
        <v>61</v>
      </c>
      <c r="F16" t="s">
        <v>23</v>
      </c>
      <c r="G16" t="s">
        <v>22</v>
      </c>
      <c r="H16">
        <v>32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19</v>
      </c>
      <c r="D17" t="s">
        <v>18</v>
      </c>
      <c r="E17">
        <v>64</v>
      </c>
      <c r="F17" t="s">
        <v>23</v>
      </c>
      <c r="G17" t="s">
        <v>22</v>
      </c>
      <c r="H17">
        <v>62</v>
      </c>
      <c r="I17">
        <v>0</v>
      </c>
    </row>
    <row r="18" spans="1:9" x14ac:dyDescent="0.3">
      <c r="A18">
        <v>2</v>
      </c>
      <c r="B18">
        <v>0</v>
      </c>
      <c r="C18" t="s">
        <v>19</v>
      </c>
      <c r="D18" t="s">
        <v>18</v>
      </c>
      <c r="E18">
        <v>89</v>
      </c>
      <c r="F18" t="s">
        <v>23</v>
      </c>
      <c r="G18" t="s">
        <v>22</v>
      </c>
      <c r="H18">
        <v>47</v>
      </c>
      <c r="I18">
        <v>0</v>
      </c>
    </row>
    <row r="19" spans="1:9" x14ac:dyDescent="0.3">
      <c r="A19">
        <v>2</v>
      </c>
      <c r="B19">
        <v>0</v>
      </c>
      <c r="C19" t="s">
        <v>19</v>
      </c>
      <c r="D19" t="s">
        <v>18</v>
      </c>
      <c r="E19">
        <v>46</v>
      </c>
      <c r="F19" t="s">
        <v>23</v>
      </c>
      <c r="G19" t="s">
        <v>22</v>
      </c>
      <c r="H19">
        <v>24</v>
      </c>
      <c r="I19">
        <v>0</v>
      </c>
    </row>
    <row r="20" spans="1:9" x14ac:dyDescent="0.3">
      <c r="A20">
        <v>2</v>
      </c>
      <c r="B20">
        <v>0</v>
      </c>
      <c r="C20" t="s">
        <v>19</v>
      </c>
      <c r="D20" t="s">
        <v>18</v>
      </c>
      <c r="E20">
        <v>52</v>
      </c>
      <c r="F20" t="s">
        <v>23</v>
      </c>
      <c r="G20" t="s">
        <v>22</v>
      </c>
      <c r="H20">
        <v>58</v>
      </c>
      <c r="I20">
        <v>1</v>
      </c>
    </row>
    <row r="21" spans="1:9" x14ac:dyDescent="0.3">
      <c r="A21">
        <v>2</v>
      </c>
      <c r="B21">
        <v>0</v>
      </c>
      <c r="C21" t="s">
        <v>19</v>
      </c>
      <c r="D21" t="s">
        <v>18</v>
      </c>
      <c r="E21">
        <v>61</v>
      </c>
      <c r="F21" t="s">
        <v>23</v>
      </c>
      <c r="G21" t="s">
        <v>22</v>
      </c>
      <c r="H21">
        <v>63</v>
      </c>
      <c r="I21">
        <v>1</v>
      </c>
    </row>
    <row r="22" spans="1:9" x14ac:dyDescent="0.3">
      <c r="A22">
        <v>2</v>
      </c>
      <c r="B22">
        <v>0</v>
      </c>
      <c r="C22" t="s">
        <v>19</v>
      </c>
      <c r="D22" t="s">
        <v>18</v>
      </c>
      <c r="E22">
        <v>60</v>
      </c>
      <c r="F22" t="s">
        <v>23</v>
      </c>
      <c r="G22" t="s">
        <v>22</v>
      </c>
      <c r="H22">
        <v>72</v>
      </c>
      <c r="I22">
        <v>1</v>
      </c>
    </row>
    <row r="23" spans="1:9" x14ac:dyDescent="0.3">
      <c r="A23">
        <v>2</v>
      </c>
      <c r="B23">
        <v>0</v>
      </c>
      <c r="C23" t="s">
        <v>19</v>
      </c>
      <c r="D23" t="s">
        <v>18</v>
      </c>
      <c r="E23">
        <v>53</v>
      </c>
      <c r="F23" t="s">
        <v>23</v>
      </c>
      <c r="G23" t="s">
        <v>22</v>
      </c>
      <c r="H23">
        <v>64</v>
      </c>
      <c r="I23">
        <v>1</v>
      </c>
    </row>
    <row r="24" spans="1:9" x14ac:dyDescent="0.3">
      <c r="A24">
        <v>2</v>
      </c>
      <c r="B24">
        <v>0</v>
      </c>
      <c r="C24" t="s">
        <v>19</v>
      </c>
      <c r="D24" t="s">
        <v>18</v>
      </c>
      <c r="E24">
        <v>45</v>
      </c>
      <c r="F24" t="s">
        <v>23</v>
      </c>
      <c r="G24" t="s">
        <v>22</v>
      </c>
      <c r="H24">
        <v>58</v>
      </c>
      <c r="I24">
        <v>1</v>
      </c>
    </row>
    <row r="25" spans="1:9" x14ac:dyDescent="0.3">
      <c r="A25">
        <v>2</v>
      </c>
      <c r="B25">
        <v>0</v>
      </c>
      <c r="C25" t="s">
        <v>19</v>
      </c>
      <c r="D25" t="s">
        <v>18</v>
      </c>
      <c r="E25">
        <v>73</v>
      </c>
      <c r="F25" t="s">
        <v>23</v>
      </c>
      <c r="G25" t="s">
        <v>22</v>
      </c>
      <c r="H25">
        <v>26</v>
      </c>
      <c r="I25">
        <v>0</v>
      </c>
    </row>
    <row r="26" spans="1:9" x14ac:dyDescent="0.3">
      <c r="A26">
        <v>2</v>
      </c>
      <c r="B26">
        <v>0</v>
      </c>
      <c r="C26" t="s">
        <v>19</v>
      </c>
      <c r="D26" t="s">
        <v>18</v>
      </c>
      <c r="E26">
        <v>66</v>
      </c>
      <c r="F26" t="s">
        <v>23</v>
      </c>
      <c r="G26" t="s">
        <v>22</v>
      </c>
      <c r="H26">
        <v>46</v>
      </c>
      <c r="I26">
        <v>0</v>
      </c>
    </row>
    <row r="27" spans="1:9" x14ac:dyDescent="0.3">
      <c r="A27">
        <v>2</v>
      </c>
      <c r="B27">
        <v>0</v>
      </c>
      <c r="C27" t="s">
        <v>19</v>
      </c>
      <c r="D27" t="s">
        <v>18</v>
      </c>
      <c r="E27">
        <v>57</v>
      </c>
      <c r="F27" t="s">
        <v>23</v>
      </c>
      <c r="G27" t="s">
        <v>22</v>
      </c>
      <c r="H27">
        <v>49</v>
      </c>
      <c r="I27">
        <v>0</v>
      </c>
    </row>
    <row r="28" spans="1:9" x14ac:dyDescent="0.3">
      <c r="A28">
        <v>2</v>
      </c>
      <c r="B28">
        <v>0</v>
      </c>
      <c r="C28" t="s">
        <v>19</v>
      </c>
      <c r="D28" t="s">
        <v>18</v>
      </c>
      <c r="E28">
        <v>46</v>
      </c>
      <c r="F28" t="s">
        <v>23</v>
      </c>
      <c r="G28" t="s">
        <v>22</v>
      </c>
      <c r="H28">
        <v>59</v>
      </c>
      <c r="I28">
        <v>1</v>
      </c>
    </row>
    <row r="29" spans="1:9" x14ac:dyDescent="0.3">
      <c r="A29">
        <v>2</v>
      </c>
      <c r="B29">
        <v>0</v>
      </c>
      <c r="C29" t="s">
        <v>19</v>
      </c>
      <c r="D29" t="s">
        <v>18</v>
      </c>
      <c r="E29">
        <v>63</v>
      </c>
      <c r="F29" t="s">
        <v>23</v>
      </c>
      <c r="G29" t="s">
        <v>22</v>
      </c>
      <c r="H29">
        <v>35</v>
      </c>
      <c r="I29">
        <v>0</v>
      </c>
    </row>
    <row r="30" spans="1:9" x14ac:dyDescent="0.3">
      <c r="A30">
        <v>2</v>
      </c>
      <c r="B30">
        <v>0</v>
      </c>
      <c r="C30" t="s">
        <v>19</v>
      </c>
      <c r="D30" t="s">
        <v>18</v>
      </c>
      <c r="E30">
        <v>65</v>
      </c>
      <c r="F30" t="s">
        <v>23</v>
      </c>
      <c r="G30" t="s">
        <v>22</v>
      </c>
      <c r="H30">
        <v>55</v>
      </c>
      <c r="I30">
        <v>0</v>
      </c>
    </row>
    <row r="31" spans="1:9" x14ac:dyDescent="0.3">
      <c r="A31">
        <v>2</v>
      </c>
      <c r="B31">
        <v>0</v>
      </c>
      <c r="C31" t="s">
        <v>19</v>
      </c>
      <c r="D31" t="s">
        <v>18</v>
      </c>
      <c r="E31">
        <v>49</v>
      </c>
      <c r="F31" t="s">
        <v>23</v>
      </c>
      <c r="G31" t="s">
        <v>22</v>
      </c>
      <c r="H31">
        <v>67</v>
      </c>
      <c r="I31">
        <v>1</v>
      </c>
    </row>
    <row r="32" spans="1:9" x14ac:dyDescent="0.3">
      <c r="A32">
        <v>2</v>
      </c>
      <c r="B32">
        <v>0</v>
      </c>
      <c r="C32" t="s">
        <v>19</v>
      </c>
      <c r="D32" t="s">
        <v>18</v>
      </c>
      <c r="E32">
        <v>57</v>
      </c>
      <c r="F32" t="s">
        <v>23</v>
      </c>
      <c r="G32" t="s">
        <v>22</v>
      </c>
      <c r="H32">
        <v>50</v>
      </c>
      <c r="I32">
        <v>0</v>
      </c>
    </row>
    <row r="33" spans="1:9" x14ac:dyDescent="0.3">
      <c r="A33">
        <v>2</v>
      </c>
      <c r="B33">
        <v>0</v>
      </c>
      <c r="C33" t="s">
        <v>19</v>
      </c>
      <c r="D33" t="s">
        <v>18</v>
      </c>
      <c r="E33">
        <v>54</v>
      </c>
      <c r="F33" t="s">
        <v>23</v>
      </c>
      <c r="G33" t="s">
        <v>22</v>
      </c>
      <c r="H33">
        <v>46</v>
      </c>
      <c r="I33">
        <v>0</v>
      </c>
    </row>
    <row r="34" spans="1:9" x14ac:dyDescent="0.3">
      <c r="A34">
        <v>2</v>
      </c>
      <c r="B34">
        <v>0</v>
      </c>
      <c r="C34" t="s">
        <v>19</v>
      </c>
      <c r="D34" t="s">
        <v>18</v>
      </c>
      <c r="E34">
        <v>53</v>
      </c>
      <c r="F34" t="s">
        <v>23</v>
      </c>
      <c r="G34" t="s">
        <v>22</v>
      </c>
      <c r="H34">
        <v>41</v>
      </c>
      <c r="I34">
        <v>0</v>
      </c>
    </row>
    <row r="35" spans="1:9" x14ac:dyDescent="0.3">
      <c r="A35">
        <v>2</v>
      </c>
      <c r="B35">
        <v>0</v>
      </c>
      <c r="C35" t="s">
        <v>19</v>
      </c>
      <c r="D35" t="s">
        <v>18</v>
      </c>
      <c r="E35">
        <v>39</v>
      </c>
      <c r="F35" t="s">
        <v>23</v>
      </c>
      <c r="G35" t="s">
        <v>22</v>
      </c>
      <c r="H35">
        <v>87</v>
      </c>
      <c r="I35">
        <v>1</v>
      </c>
    </row>
    <row r="36" spans="1:9" x14ac:dyDescent="0.3">
      <c r="A36">
        <v>2</v>
      </c>
      <c r="B36">
        <v>0</v>
      </c>
      <c r="C36" t="s">
        <v>19</v>
      </c>
      <c r="D36" t="s">
        <v>18</v>
      </c>
      <c r="E36">
        <v>59</v>
      </c>
      <c r="F36" t="s">
        <v>23</v>
      </c>
      <c r="G36" t="s">
        <v>22</v>
      </c>
      <c r="H36">
        <v>32</v>
      </c>
      <c r="I36">
        <v>0</v>
      </c>
    </row>
    <row r="37" spans="1:9" x14ac:dyDescent="0.3">
      <c r="A37">
        <v>2</v>
      </c>
      <c r="B37">
        <v>0</v>
      </c>
      <c r="C37" t="s">
        <v>19</v>
      </c>
      <c r="D37" t="s">
        <v>18</v>
      </c>
      <c r="E37">
        <v>47</v>
      </c>
      <c r="F37" t="s">
        <v>23</v>
      </c>
      <c r="G37" t="s">
        <v>22</v>
      </c>
      <c r="H37">
        <v>60</v>
      </c>
      <c r="I37">
        <v>1</v>
      </c>
    </row>
    <row r="38" spans="1:9" x14ac:dyDescent="0.3">
      <c r="A38">
        <v>2</v>
      </c>
      <c r="B38">
        <v>0</v>
      </c>
      <c r="C38" t="s">
        <v>19</v>
      </c>
      <c r="D38" t="s">
        <v>18</v>
      </c>
      <c r="E38">
        <v>50</v>
      </c>
      <c r="F38" t="s">
        <v>23</v>
      </c>
      <c r="G38" t="s">
        <v>22</v>
      </c>
      <c r="H38">
        <v>51</v>
      </c>
      <c r="I38">
        <v>1</v>
      </c>
    </row>
    <row r="39" spans="1:9" x14ac:dyDescent="0.3">
      <c r="A39">
        <v>2</v>
      </c>
      <c r="B39">
        <v>0</v>
      </c>
      <c r="C39" t="s">
        <v>19</v>
      </c>
      <c r="D39" t="s">
        <v>18</v>
      </c>
      <c r="E39">
        <v>42</v>
      </c>
      <c r="F39" t="s">
        <v>23</v>
      </c>
      <c r="G39" t="s">
        <v>22</v>
      </c>
      <c r="H39">
        <v>41</v>
      </c>
      <c r="I39">
        <v>0</v>
      </c>
    </row>
    <row r="40" spans="1:9" x14ac:dyDescent="0.3">
      <c r="A40">
        <v>2</v>
      </c>
      <c r="B40">
        <v>0</v>
      </c>
      <c r="C40" t="s">
        <v>19</v>
      </c>
      <c r="D40" t="s">
        <v>18</v>
      </c>
      <c r="E40">
        <v>55</v>
      </c>
      <c r="F40" t="s">
        <v>23</v>
      </c>
      <c r="G40" t="s">
        <v>22</v>
      </c>
      <c r="H40">
        <v>13</v>
      </c>
      <c r="I40">
        <v>0</v>
      </c>
    </row>
    <row r="41" spans="1:9" x14ac:dyDescent="0.3">
      <c r="A41">
        <v>2</v>
      </c>
      <c r="B41">
        <v>0</v>
      </c>
      <c r="C41" t="s">
        <v>19</v>
      </c>
      <c r="D41" t="s">
        <v>18</v>
      </c>
      <c r="E41">
        <v>53</v>
      </c>
      <c r="F41" t="s">
        <v>23</v>
      </c>
      <c r="G41" t="s">
        <v>22</v>
      </c>
      <c r="H41">
        <v>65</v>
      </c>
      <c r="I41">
        <v>1</v>
      </c>
    </row>
    <row r="42" spans="1:9" x14ac:dyDescent="0.3">
      <c r="A42">
        <v>2</v>
      </c>
      <c r="B42">
        <v>0</v>
      </c>
      <c r="C42" t="s">
        <v>19</v>
      </c>
      <c r="D42" t="s">
        <v>18</v>
      </c>
      <c r="E42">
        <v>41</v>
      </c>
      <c r="F42" t="s">
        <v>23</v>
      </c>
      <c r="G42" t="s">
        <v>22</v>
      </c>
      <c r="H42">
        <v>25</v>
      </c>
      <c r="I42">
        <v>0</v>
      </c>
    </row>
    <row r="43" spans="1:9" x14ac:dyDescent="0.3">
      <c r="A43">
        <v>2</v>
      </c>
      <c r="B43">
        <v>0</v>
      </c>
      <c r="C43" t="s">
        <v>19</v>
      </c>
      <c r="D43" t="s">
        <v>18</v>
      </c>
      <c r="E43">
        <v>64</v>
      </c>
      <c r="F43" t="s">
        <v>23</v>
      </c>
      <c r="G43" t="s">
        <v>22</v>
      </c>
      <c r="H43">
        <v>64</v>
      </c>
      <c r="I43">
        <v>0</v>
      </c>
    </row>
    <row r="44" spans="1:9" x14ac:dyDescent="0.3">
      <c r="A44">
        <v>2</v>
      </c>
      <c r="B44">
        <v>0</v>
      </c>
      <c r="C44" t="s">
        <v>19</v>
      </c>
      <c r="D44" t="s">
        <v>18</v>
      </c>
      <c r="E44">
        <v>53</v>
      </c>
      <c r="F44" t="s">
        <v>23</v>
      </c>
      <c r="G44" t="s">
        <v>22</v>
      </c>
      <c r="H44">
        <v>67</v>
      </c>
      <c r="I44">
        <v>1</v>
      </c>
    </row>
    <row r="45" spans="1:9" x14ac:dyDescent="0.3">
      <c r="A45">
        <v>2</v>
      </c>
      <c r="B45">
        <v>0</v>
      </c>
      <c r="C45" t="s">
        <v>19</v>
      </c>
      <c r="D45" t="s">
        <v>18</v>
      </c>
      <c r="E45">
        <v>59</v>
      </c>
      <c r="F45" t="s">
        <v>23</v>
      </c>
      <c r="G45" t="s">
        <v>22</v>
      </c>
      <c r="H45">
        <v>74</v>
      </c>
      <c r="I45">
        <v>1</v>
      </c>
    </row>
    <row r="46" spans="1:9" x14ac:dyDescent="0.3">
      <c r="A46">
        <v>2</v>
      </c>
      <c r="B46">
        <v>0</v>
      </c>
      <c r="C46" t="s">
        <v>19</v>
      </c>
      <c r="D46" t="s">
        <v>18</v>
      </c>
      <c r="E46">
        <v>52</v>
      </c>
      <c r="F46" t="s">
        <v>23</v>
      </c>
      <c r="G46" t="s">
        <v>22</v>
      </c>
      <c r="H46">
        <v>53</v>
      </c>
      <c r="I46">
        <v>1</v>
      </c>
    </row>
    <row r="47" spans="1:9" x14ac:dyDescent="0.3">
      <c r="A47">
        <v>2</v>
      </c>
      <c r="B47">
        <v>0</v>
      </c>
      <c r="C47" t="s">
        <v>19</v>
      </c>
      <c r="D47" t="s">
        <v>18</v>
      </c>
      <c r="E47">
        <v>78</v>
      </c>
      <c r="F47" t="s">
        <v>23</v>
      </c>
      <c r="G47" t="s">
        <v>22</v>
      </c>
      <c r="H47">
        <v>59</v>
      </c>
      <c r="I47">
        <v>0</v>
      </c>
    </row>
    <row r="48" spans="1:9" x14ac:dyDescent="0.3">
      <c r="A48">
        <v>2</v>
      </c>
      <c r="B48">
        <v>0</v>
      </c>
      <c r="C48" t="s">
        <v>19</v>
      </c>
      <c r="D48" t="s">
        <v>18</v>
      </c>
      <c r="E48">
        <v>28</v>
      </c>
      <c r="F48" t="s">
        <v>23</v>
      </c>
      <c r="G48" t="s">
        <v>22</v>
      </c>
      <c r="H48">
        <v>78</v>
      </c>
      <c r="I48">
        <v>1</v>
      </c>
    </row>
    <row r="49" spans="1:9" x14ac:dyDescent="0.3">
      <c r="A49">
        <v>2</v>
      </c>
      <c r="B49">
        <v>0</v>
      </c>
      <c r="C49" t="s">
        <v>19</v>
      </c>
      <c r="D49" t="s">
        <v>18</v>
      </c>
      <c r="E49">
        <v>68</v>
      </c>
      <c r="F49" t="s">
        <v>23</v>
      </c>
      <c r="G49" t="s">
        <v>22</v>
      </c>
      <c r="H49">
        <v>44</v>
      </c>
      <c r="I49">
        <v>0</v>
      </c>
    </row>
    <row r="50" spans="1:9" x14ac:dyDescent="0.3">
      <c r="A50">
        <v>2</v>
      </c>
      <c r="B50">
        <v>0</v>
      </c>
      <c r="C50" t="s">
        <v>19</v>
      </c>
      <c r="D50" t="s">
        <v>18</v>
      </c>
      <c r="E50">
        <v>45</v>
      </c>
      <c r="F50" t="s">
        <v>23</v>
      </c>
      <c r="G50" t="s">
        <v>22</v>
      </c>
      <c r="H50">
        <v>34</v>
      </c>
      <c r="I50">
        <v>0</v>
      </c>
    </row>
    <row r="51" spans="1:9" x14ac:dyDescent="0.3">
      <c r="A51">
        <v>2</v>
      </c>
      <c r="B51">
        <v>1</v>
      </c>
      <c r="C51" t="s">
        <v>19</v>
      </c>
      <c r="D51" t="s">
        <v>18</v>
      </c>
      <c r="E51">
        <v>79</v>
      </c>
      <c r="F51" t="s">
        <v>23</v>
      </c>
      <c r="G51" t="s">
        <v>22</v>
      </c>
      <c r="H51">
        <v>44</v>
      </c>
      <c r="I51">
        <v>0</v>
      </c>
    </row>
    <row r="52" spans="1:9" x14ac:dyDescent="0.3">
      <c r="A52">
        <v>2</v>
      </c>
      <c r="B52">
        <v>1</v>
      </c>
      <c r="C52" t="s">
        <v>19</v>
      </c>
      <c r="D52" t="s">
        <v>18</v>
      </c>
      <c r="E52">
        <v>65</v>
      </c>
      <c r="F52" t="s">
        <v>23</v>
      </c>
      <c r="G52" t="s">
        <v>22</v>
      </c>
      <c r="H52">
        <v>42</v>
      </c>
      <c r="I52">
        <v>0</v>
      </c>
    </row>
    <row r="53" spans="1:9" x14ac:dyDescent="0.3">
      <c r="A53">
        <v>2</v>
      </c>
      <c r="B53">
        <v>1</v>
      </c>
      <c r="C53" t="s">
        <v>19</v>
      </c>
      <c r="D53" t="s">
        <v>18</v>
      </c>
      <c r="E53">
        <v>72</v>
      </c>
      <c r="F53" t="s">
        <v>23</v>
      </c>
      <c r="G53" t="s">
        <v>22</v>
      </c>
      <c r="H53">
        <v>34</v>
      </c>
      <c r="I53">
        <v>0</v>
      </c>
    </row>
    <row r="54" spans="1:9" x14ac:dyDescent="0.3">
      <c r="A54">
        <v>2</v>
      </c>
      <c r="B54">
        <v>1</v>
      </c>
      <c r="C54" t="s">
        <v>19</v>
      </c>
      <c r="D54" t="s">
        <v>18</v>
      </c>
      <c r="E54">
        <v>55</v>
      </c>
      <c r="F54" t="s">
        <v>23</v>
      </c>
      <c r="G54" t="s">
        <v>22</v>
      </c>
      <c r="H54">
        <v>53</v>
      </c>
      <c r="I54">
        <v>0</v>
      </c>
    </row>
    <row r="55" spans="1:9" x14ac:dyDescent="0.3">
      <c r="A55">
        <v>2</v>
      </c>
      <c r="B55">
        <v>1</v>
      </c>
      <c r="C55" t="s">
        <v>19</v>
      </c>
      <c r="D55" t="s">
        <v>18</v>
      </c>
      <c r="E55">
        <v>59</v>
      </c>
      <c r="F55" t="s">
        <v>23</v>
      </c>
      <c r="G55" t="s">
        <v>22</v>
      </c>
      <c r="H55">
        <v>84</v>
      </c>
      <c r="I55">
        <v>1</v>
      </c>
    </row>
    <row r="56" spans="1:9" x14ac:dyDescent="0.3">
      <c r="A56">
        <v>2</v>
      </c>
      <c r="B56">
        <v>1</v>
      </c>
      <c r="C56" t="s">
        <v>19</v>
      </c>
      <c r="D56" t="s">
        <v>18</v>
      </c>
      <c r="E56">
        <v>40</v>
      </c>
      <c r="F56" t="s">
        <v>23</v>
      </c>
      <c r="G56" t="s">
        <v>22</v>
      </c>
      <c r="H56">
        <v>63</v>
      </c>
      <c r="I56">
        <v>1</v>
      </c>
    </row>
    <row r="57" spans="1:9" x14ac:dyDescent="0.3">
      <c r="A57">
        <v>2</v>
      </c>
      <c r="B57">
        <v>1</v>
      </c>
      <c r="C57" t="s">
        <v>19</v>
      </c>
      <c r="D57" t="s">
        <v>18</v>
      </c>
      <c r="E57">
        <v>68</v>
      </c>
      <c r="F57" t="s">
        <v>23</v>
      </c>
      <c r="G57" t="s">
        <v>22</v>
      </c>
      <c r="H57">
        <v>62</v>
      </c>
      <c r="I57">
        <v>0</v>
      </c>
    </row>
    <row r="58" spans="1:9" x14ac:dyDescent="0.3">
      <c r="A58">
        <v>2</v>
      </c>
      <c r="B58">
        <v>1</v>
      </c>
      <c r="C58" t="s">
        <v>19</v>
      </c>
      <c r="D58" t="s">
        <v>18</v>
      </c>
      <c r="E58">
        <v>54</v>
      </c>
      <c r="F58" t="s">
        <v>23</v>
      </c>
      <c r="G58" t="s">
        <v>22</v>
      </c>
      <c r="H58">
        <v>36</v>
      </c>
      <c r="I58">
        <v>0</v>
      </c>
    </row>
    <row r="59" spans="1:9" x14ac:dyDescent="0.3">
      <c r="A59">
        <v>2</v>
      </c>
      <c r="B59">
        <v>1</v>
      </c>
      <c r="C59" t="s">
        <v>19</v>
      </c>
      <c r="D59" t="s">
        <v>18</v>
      </c>
      <c r="E59">
        <v>53</v>
      </c>
      <c r="F59" t="s">
        <v>23</v>
      </c>
      <c r="G59" t="s">
        <v>22</v>
      </c>
      <c r="H59">
        <v>42</v>
      </c>
      <c r="I59">
        <v>0</v>
      </c>
    </row>
    <row r="60" spans="1:9" x14ac:dyDescent="0.3">
      <c r="A60">
        <v>2</v>
      </c>
      <c r="B60">
        <v>1</v>
      </c>
      <c r="C60" t="s">
        <v>19</v>
      </c>
      <c r="D60" t="s">
        <v>18</v>
      </c>
      <c r="E60">
        <v>55</v>
      </c>
      <c r="F60" t="s">
        <v>23</v>
      </c>
      <c r="G60" t="s">
        <v>22</v>
      </c>
      <c r="H60">
        <v>40</v>
      </c>
      <c r="I60">
        <v>0</v>
      </c>
    </row>
    <row r="61" spans="1:9" x14ac:dyDescent="0.3">
      <c r="A61">
        <v>2</v>
      </c>
      <c r="B61">
        <v>1</v>
      </c>
      <c r="C61" t="s">
        <v>19</v>
      </c>
      <c r="D61" t="s">
        <v>18</v>
      </c>
      <c r="E61">
        <v>45</v>
      </c>
      <c r="F61" t="s">
        <v>23</v>
      </c>
      <c r="G61" t="s">
        <v>22</v>
      </c>
      <c r="H61">
        <v>61</v>
      </c>
      <c r="I61">
        <v>1</v>
      </c>
    </row>
    <row r="62" spans="1:9" x14ac:dyDescent="0.3">
      <c r="A62">
        <v>2</v>
      </c>
      <c r="B62">
        <v>1</v>
      </c>
      <c r="C62" t="s">
        <v>19</v>
      </c>
      <c r="D62" t="s">
        <v>18</v>
      </c>
      <c r="E62">
        <v>51</v>
      </c>
      <c r="F62" t="s">
        <v>23</v>
      </c>
      <c r="G62" t="s">
        <v>22</v>
      </c>
      <c r="H62">
        <v>56</v>
      </c>
      <c r="I62">
        <v>1</v>
      </c>
    </row>
    <row r="63" spans="1:9" x14ac:dyDescent="0.3">
      <c r="A63">
        <v>2</v>
      </c>
      <c r="B63">
        <v>1</v>
      </c>
      <c r="C63" t="s">
        <v>19</v>
      </c>
      <c r="D63" t="s">
        <v>18</v>
      </c>
      <c r="E63">
        <v>66</v>
      </c>
      <c r="F63" t="s">
        <v>23</v>
      </c>
      <c r="G63" t="s">
        <v>22</v>
      </c>
      <c r="H63">
        <v>66</v>
      </c>
      <c r="I63">
        <v>0</v>
      </c>
    </row>
    <row r="64" spans="1:9" x14ac:dyDescent="0.3">
      <c r="A64">
        <v>2</v>
      </c>
      <c r="B64">
        <v>1</v>
      </c>
      <c r="C64" t="s">
        <v>19</v>
      </c>
      <c r="D64" t="s">
        <v>18</v>
      </c>
      <c r="E64">
        <v>69</v>
      </c>
      <c r="F64" t="s">
        <v>23</v>
      </c>
      <c r="G64" t="s">
        <v>22</v>
      </c>
      <c r="H64">
        <v>54</v>
      </c>
      <c r="I64">
        <v>0</v>
      </c>
    </row>
    <row r="65" spans="1:9" x14ac:dyDescent="0.3">
      <c r="A65">
        <v>2</v>
      </c>
      <c r="B65">
        <v>1</v>
      </c>
      <c r="C65" t="s">
        <v>19</v>
      </c>
      <c r="D65" t="s">
        <v>18</v>
      </c>
      <c r="E65">
        <v>53</v>
      </c>
      <c r="F65" t="s">
        <v>23</v>
      </c>
      <c r="G65" t="s">
        <v>22</v>
      </c>
      <c r="H65">
        <v>46</v>
      </c>
      <c r="I65">
        <v>0</v>
      </c>
    </row>
    <row r="66" spans="1:9" x14ac:dyDescent="0.3">
      <c r="A66">
        <v>2</v>
      </c>
      <c r="B66">
        <v>1</v>
      </c>
      <c r="C66" t="s">
        <v>19</v>
      </c>
      <c r="D66" t="s">
        <v>18</v>
      </c>
      <c r="E66">
        <v>40</v>
      </c>
      <c r="F66" t="s">
        <v>23</v>
      </c>
      <c r="G66" t="s">
        <v>22</v>
      </c>
      <c r="H66">
        <v>57</v>
      </c>
      <c r="I66">
        <v>1</v>
      </c>
    </row>
    <row r="67" spans="1:9" x14ac:dyDescent="0.3">
      <c r="A67">
        <v>2</v>
      </c>
      <c r="B67">
        <v>1</v>
      </c>
      <c r="C67" t="s">
        <v>19</v>
      </c>
      <c r="D67" t="s">
        <v>18</v>
      </c>
      <c r="E67">
        <v>75</v>
      </c>
      <c r="F67" t="s">
        <v>23</v>
      </c>
      <c r="G67" t="s">
        <v>22</v>
      </c>
      <c r="H67">
        <v>44</v>
      </c>
      <c r="I67">
        <v>0</v>
      </c>
    </row>
    <row r="68" spans="1:9" x14ac:dyDescent="0.3">
      <c r="A68">
        <v>2</v>
      </c>
      <c r="B68">
        <v>1</v>
      </c>
      <c r="C68" t="s">
        <v>19</v>
      </c>
      <c r="D68" t="s">
        <v>18</v>
      </c>
      <c r="E68">
        <v>48</v>
      </c>
      <c r="F68" t="s">
        <v>23</v>
      </c>
      <c r="G68" t="s">
        <v>22</v>
      </c>
      <c r="H68">
        <v>51</v>
      </c>
      <c r="I68">
        <v>1</v>
      </c>
    </row>
    <row r="69" spans="1:9" x14ac:dyDescent="0.3">
      <c r="A69">
        <v>2</v>
      </c>
      <c r="B69">
        <v>1</v>
      </c>
      <c r="C69" t="s">
        <v>19</v>
      </c>
      <c r="D69" t="s">
        <v>18</v>
      </c>
      <c r="E69">
        <v>47</v>
      </c>
      <c r="F69" t="s">
        <v>23</v>
      </c>
      <c r="G69" t="s">
        <v>22</v>
      </c>
      <c r="H69">
        <v>27</v>
      </c>
      <c r="I69">
        <v>0</v>
      </c>
    </row>
    <row r="70" spans="1:9" x14ac:dyDescent="0.3">
      <c r="A70">
        <v>2</v>
      </c>
      <c r="B70">
        <v>1</v>
      </c>
      <c r="C70" t="s">
        <v>19</v>
      </c>
      <c r="D70" t="s">
        <v>18</v>
      </c>
      <c r="E70">
        <v>39</v>
      </c>
      <c r="F70" t="s">
        <v>23</v>
      </c>
      <c r="G70" t="s">
        <v>22</v>
      </c>
      <c r="H70">
        <v>48</v>
      </c>
      <c r="I70">
        <v>1</v>
      </c>
    </row>
    <row r="71" spans="1:9" x14ac:dyDescent="0.3">
      <c r="A71">
        <v>2</v>
      </c>
      <c r="B71">
        <v>1</v>
      </c>
      <c r="C71" t="s">
        <v>19</v>
      </c>
      <c r="D71" t="s">
        <v>18</v>
      </c>
      <c r="E71">
        <v>44</v>
      </c>
      <c r="F71" t="s">
        <v>23</v>
      </c>
      <c r="G71" t="s">
        <v>22</v>
      </c>
      <c r="H71">
        <v>59</v>
      </c>
      <c r="I71">
        <v>1</v>
      </c>
    </row>
    <row r="72" spans="1:9" x14ac:dyDescent="0.3">
      <c r="A72">
        <v>2</v>
      </c>
      <c r="B72">
        <v>1</v>
      </c>
      <c r="C72" t="s">
        <v>19</v>
      </c>
      <c r="D72" t="s">
        <v>18</v>
      </c>
      <c r="E72">
        <v>36</v>
      </c>
      <c r="F72" t="s">
        <v>23</v>
      </c>
      <c r="G72" t="s">
        <v>22</v>
      </c>
      <c r="H72">
        <v>56</v>
      </c>
      <c r="I72">
        <v>1</v>
      </c>
    </row>
    <row r="73" spans="1:9" x14ac:dyDescent="0.3">
      <c r="A73">
        <v>2</v>
      </c>
      <c r="B73">
        <v>1</v>
      </c>
      <c r="C73" t="s">
        <v>19</v>
      </c>
      <c r="D73" t="s">
        <v>18</v>
      </c>
      <c r="E73">
        <v>47</v>
      </c>
      <c r="F73" t="s">
        <v>23</v>
      </c>
      <c r="G73" t="s">
        <v>22</v>
      </c>
      <c r="H73">
        <v>54</v>
      </c>
      <c r="I73">
        <v>1</v>
      </c>
    </row>
    <row r="74" spans="1:9" x14ac:dyDescent="0.3">
      <c r="A74">
        <v>2</v>
      </c>
      <c r="B74">
        <v>1</v>
      </c>
      <c r="C74" t="s">
        <v>19</v>
      </c>
      <c r="D74" t="s">
        <v>18</v>
      </c>
      <c r="E74">
        <v>44</v>
      </c>
      <c r="F74" t="s">
        <v>23</v>
      </c>
      <c r="G74" t="s">
        <v>22</v>
      </c>
      <c r="H74">
        <v>52</v>
      </c>
      <c r="I74">
        <v>1</v>
      </c>
    </row>
    <row r="75" spans="1:9" x14ac:dyDescent="0.3">
      <c r="A75">
        <v>2</v>
      </c>
      <c r="B75">
        <v>1</v>
      </c>
      <c r="C75" t="s">
        <v>19</v>
      </c>
      <c r="D75" t="s">
        <v>18</v>
      </c>
      <c r="E75">
        <v>64</v>
      </c>
      <c r="F75" t="s">
        <v>23</v>
      </c>
      <c r="G75" t="s">
        <v>22</v>
      </c>
      <c r="H75">
        <v>36</v>
      </c>
      <c r="I75">
        <v>0</v>
      </c>
    </row>
    <row r="76" spans="1:9" x14ac:dyDescent="0.3">
      <c r="A76">
        <v>2</v>
      </c>
      <c r="B76">
        <v>1</v>
      </c>
      <c r="C76" t="s">
        <v>19</v>
      </c>
      <c r="D76" t="s">
        <v>18</v>
      </c>
      <c r="E76">
        <v>59</v>
      </c>
      <c r="F76" t="s">
        <v>23</v>
      </c>
      <c r="G76" t="s">
        <v>22</v>
      </c>
      <c r="H76">
        <v>45</v>
      </c>
      <c r="I76">
        <v>0</v>
      </c>
    </row>
    <row r="77" spans="1:9" x14ac:dyDescent="0.3">
      <c r="A77">
        <v>2</v>
      </c>
      <c r="B77">
        <v>1</v>
      </c>
      <c r="C77" t="s">
        <v>19</v>
      </c>
      <c r="D77" t="s">
        <v>18</v>
      </c>
      <c r="E77">
        <v>67</v>
      </c>
      <c r="F77" t="s">
        <v>23</v>
      </c>
      <c r="G77" t="s">
        <v>22</v>
      </c>
      <c r="H77">
        <v>76</v>
      </c>
      <c r="I77">
        <v>1</v>
      </c>
    </row>
    <row r="78" spans="1:9" x14ac:dyDescent="0.3">
      <c r="A78">
        <v>2</v>
      </c>
      <c r="B78">
        <v>1</v>
      </c>
      <c r="C78" t="s">
        <v>19</v>
      </c>
      <c r="D78" t="s">
        <v>18</v>
      </c>
      <c r="E78">
        <v>48</v>
      </c>
      <c r="F78" t="s">
        <v>23</v>
      </c>
      <c r="G78" t="s">
        <v>22</v>
      </c>
      <c r="H78">
        <v>53</v>
      </c>
      <c r="I78">
        <v>1</v>
      </c>
    </row>
    <row r="79" spans="1:9" x14ac:dyDescent="0.3">
      <c r="A79">
        <v>2</v>
      </c>
      <c r="B79">
        <v>1</v>
      </c>
      <c r="C79" t="s">
        <v>19</v>
      </c>
      <c r="D79" t="s">
        <v>18</v>
      </c>
      <c r="E79">
        <v>71</v>
      </c>
      <c r="F79" t="s">
        <v>23</v>
      </c>
      <c r="G79" t="s">
        <v>22</v>
      </c>
      <c r="H79">
        <v>54</v>
      </c>
      <c r="I79">
        <v>0</v>
      </c>
    </row>
    <row r="80" spans="1:9" x14ac:dyDescent="0.3">
      <c r="A80">
        <v>2</v>
      </c>
      <c r="B80">
        <v>1</v>
      </c>
      <c r="C80" t="s">
        <v>19</v>
      </c>
      <c r="D80" t="s">
        <v>18</v>
      </c>
      <c r="E80">
        <v>34</v>
      </c>
      <c r="F80" t="s">
        <v>23</v>
      </c>
      <c r="G80" t="s">
        <v>22</v>
      </c>
      <c r="H80">
        <v>36</v>
      </c>
      <c r="I80">
        <v>1</v>
      </c>
    </row>
    <row r="81" spans="1:9" x14ac:dyDescent="0.3">
      <c r="A81">
        <v>2</v>
      </c>
      <c r="B81">
        <v>1</v>
      </c>
      <c r="C81" t="s">
        <v>19</v>
      </c>
      <c r="D81" t="s">
        <v>18</v>
      </c>
      <c r="E81">
        <v>42</v>
      </c>
      <c r="F81" t="s">
        <v>23</v>
      </c>
      <c r="G81" t="s">
        <v>22</v>
      </c>
      <c r="H81">
        <v>57</v>
      </c>
      <c r="I81">
        <v>1</v>
      </c>
    </row>
    <row r="82" spans="1:9" x14ac:dyDescent="0.3">
      <c r="A82">
        <v>2</v>
      </c>
      <c r="B82">
        <v>1</v>
      </c>
      <c r="C82" t="s">
        <v>19</v>
      </c>
      <c r="D82" t="s">
        <v>18</v>
      </c>
      <c r="E82">
        <v>66</v>
      </c>
      <c r="F82" t="s">
        <v>23</v>
      </c>
      <c r="G82" t="s">
        <v>22</v>
      </c>
      <c r="H82">
        <v>58</v>
      </c>
      <c r="I82">
        <v>0</v>
      </c>
    </row>
    <row r="83" spans="1:9" x14ac:dyDescent="0.3">
      <c r="A83">
        <v>2</v>
      </c>
      <c r="B83">
        <v>1</v>
      </c>
      <c r="C83" t="s">
        <v>19</v>
      </c>
      <c r="D83" t="s">
        <v>18</v>
      </c>
      <c r="E83">
        <v>45</v>
      </c>
      <c r="F83" t="s">
        <v>23</v>
      </c>
      <c r="G83" t="s">
        <v>22</v>
      </c>
      <c r="H83">
        <v>39</v>
      </c>
      <c r="I83">
        <v>0</v>
      </c>
    </row>
    <row r="84" spans="1:9" x14ac:dyDescent="0.3">
      <c r="A84">
        <v>2</v>
      </c>
      <c r="B84">
        <v>1</v>
      </c>
      <c r="C84" t="s">
        <v>19</v>
      </c>
      <c r="D84" t="s">
        <v>18</v>
      </c>
      <c r="E84">
        <v>30</v>
      </c>
      <c r="F84" t="s">
        <v>23</v>
      </c>
      <c r="G84" t="s">
        <v>22</v>
      </c>
      <c r="H84">
        <v>47</v>
      </c>
      <c r="I84">
        <v>1</v>
      </c>
    </row>
    <row r="85" spans="1:9" x14ac:dyDescent="0.3">
      <c r="A85">
        <v>2</v>
      </c>
      <c r="B85">
        <v>1</v>
      </c>
      <c r="C85" t="s">
        <v>19</v>
      </c>
      <c r="D85" t="s">
        <v>18</v>
      </c>
      <c r="E85">
        <v>52</v>
      </c>
      <c r="F85" t="s">
        <v>23</v>
      </c>
      <c r="G85" t="s">
        <v>22</v>
      </c>
      <c r="H85">
        <v>33</v>
      </c>
      <c r="I85">
        <v>0</v>
      </c>
    </row>
    <row r="86" spans="1:9" x14ac:dyDescent="0.3">
      <c r="A86">
        <v>2</v>
      </c>
      <c r="B86">
        <v>1</v>
      </c>
      <c r="C86" t="s">
        <v>19</v>
      </c>
      <c r="D86" t="s">
        <v>18</v>
      </c>
      <c r="E86">
        <v>51</v>
      </c>
      <c r="F86" t="s">
        <v>23</v>
      </c>
      <c r="G86" t="s">
        <v>22</v>
      </c>
      <c r="H86">
        <v>59</v>
      </c>
      <c r="I86">
        <v>1</v>
      </c>
    </row>
    <row r="87" spans="1:9" x14ac:dyDescent="0.3">
      <c r="A87">
        <v>2</v>
      </c>
      <c r="B87">
        <v>1</v>
      </c>
      <c r="C87" t="s">
        <v>19</v>
      </c>
      <c r="D87" t="s">
        <v>18</v>
      </c>
      <c r="E87">
        <v>53</v>
      </c>
      <c r="F87" t="s">
        <v>23</v>
      </c>
      <c r="G87" t="s">
        <v>22</v>
      </c>
      <c r="H87">
        <v>53</v>
      </c>
      <c r="I87">
        <v>0</v>
      </c>
    </row>
    <row r="88" spans="1:9" x14ac:dyDescent="0.3">
      <c r="A88">
        <v>2</v>
      </c>
      <c r="B88">
        <v>1</v>
      </c>
      <c r="C88" t="s">
        <v>19</v>
      </c>
      <c r="D88" t="s">
        <v>18</v>
      </c>
      <c r="E88">
        <v>42</v>
      </c>
      <c r="F88" t="s">
        <v>23</v>
      </c>
      <c r="G88" t="s">
        <v>22</v>
      </c>
      <c r="H88">
        <v>46</v>
      </c>
      <c r="I88">
        <v>1</v>
      </c>
    </row>
    <row r="89" spans="1:9" x14ac:dyDescent="0.3">
      <c r="A89">
        <v>2</v>
      </c>
      <c r="B89">
        <v>1</v>
      </c>
      <c r="C89" t="s">
        <v>19</v>
      </c>
      <c r="D89" t="s">
        <v>18</v>
      </c>
      <c r="E89">
        <v>56</v>
      </c>
      <c r="F89" t="s">
        <v>23</v>
      </c>
      <c r="G89" t="s">
        <v>22</v>
      </c>
      <c r="H89">
        <v>51</v>
      </c>
      <c r="I89">
        <v>0</v>
      </c>
    </row>
    <row r="90" spans="1:9" x14ac:dyDescent="0.3">
      <c r="A90">
        <v>2</v>
      </c>
      <c r="B90">
        <v>1</v>
      </c>
      <c r="C90" t="s">
        <v>19</v>
      </c>
      <c r="D90" t="s">
        <v>18</v>
      </c>
      <c r="E90">
        <v>38</v>
      </c>
      <c r="F90" t="s">
        <v>23</v>
      </c>
      <c r="G90" t="s">
        <v>22</v>
      </c>
      <c r="H90">
        <v>58</v>
      </c>
      <c r="I90">
        <v>1</v>
      </c>
    </row>
    <row r="91" spans="1:9" x14ac:dyDescent="0.3">
      <c r="A91">
        <v>2</v>
      </c>
      <c r="B91">
        <v>1</v>
      </c>
      <c r="C91" t="s">
        <v>19</v>
      </c>
      <c r="D91" t="s">
        <v>18</v>
      </c>
      <c r="E91">
        <v>54</v>
      </c>
      <c r="F91" t="s">
        <v>23</v>
      </c>
      <c r="G91" t="s">
        <v>22</v>
      </c>
      <c r="H91">
        <v>38</v>
      </c>
      <c r="I91">
        <v>0</v>
      </c>
    </row>
    <row r="92" spans="1:9" x14ac:dyDescent="0.3">
      <c r="A92">
        <v>2</v>
      </c>
      <c r="B92">
        <v>1</v>
      </c>
      <c r="C92" t="s">
        <v>19</v>
      </c>
      <c r="D92" t="s">
        <v>18</v>
      </c>
      <c r="E92">
        <v>72</v>
      </c>
      <c r="F92" t="s">
        <v>23</v>
      </c>
      <c r="G92" t="s">
        <v>22</v>
      </c>
      <c r="H92">
        <v>49</v>
      </c>
      <c r="I92">
        <v>0</v>
      </c>
    </row>
    <row r="93" spans="1:9" x14ac:dyDescent="0.3">
      <c r="A93">
        <v>2</v>
      </c>
      <c r="B93">
        <v>1</v>
      </c>
      <c r="C93" t="s">
        <v>19</v>
      </c>
      <c r="D93" t="s">
        <v>18</v>
      </c>
      <c r="E93">
        <v>48</v>
      </c>
      <c r="F93" t="s">
        <v>23</v>
      </c>
      <c r="G93" t="s">
        <v>22</v>
      </c>
      <c r="H93">
        <v>82</v>
      </c>
      <c r="I93">
        <v>1</v>
      </c>
    </row>
    <row r="94" spans="1:9" x14ac:dyDescent="0.3">
      <c r="A94">
        <v>2</v>
      </c>
      <c r="B94">
        <v>1</v>
      </c>
      <c r="C94" t="s">
        <v>19</v>
      </c>
      <c r="D94" t="s">
        <v>18</v>
      </c>
      <c r="E94">
        <v>48</v>
      </c>
      <c r="F94" t="s">
        <v>23</v>
      </c>
      <c r="G94" t="s">
        <v>22</v>
      </c>
      <c r="H94">
        <v>36</v>
      </c>
      <c r="I94">
        <v>0</v>
      </c>
    </row>
    <row r="95" spans="1:9" x14ac:dyDescent="0.3">
      <c r="A95">
        <v>2</v>
      </c>
      <c r="B95">
        <v>1</v>
      </c>
      <c r="C95" t="s">
        <v>19</v>
      </c>
      <c r="D95" t="s">
        <v>18</v>
      </c>
      <c r="E95">
        <v>64</v>
      </c>
      <c r="F95" t="s">
        <v>23</v>
      </c>
      <c r="G95" t="s">
        <v>22</v>
      </c>
      <c r="H95">
        <v>56</v>
      </c>
      <c r="I95">
        <v>0</v>
      </c>
    </row>
    <row r="96" spans="1:9" x14ac:dyDescent="0.3">
      <c r="A96">
        <v>2</v>
      </c>
      <c r="B96">
        <v>1</v>
      </c>
      <c r="C96" t="s">
        <v>19</v>
      </c>
      <c r="D96" t="s">
        <v>18</v>
      </c>
      <c r="E96">
        <v>32</v>
      </c>
      <c r="F96" t="s">
        <v>23</v>
      </c>
      <c r="G96" t="s">
        <v>22</v>
      </c>
      <c r="H96">
        <v>53</v>
      </c>
      <c r="I96">
        <v>1</v>
      </c>
    </row>
    <row r="97" spans="1:9" x14ac:dyDescent="0.3">
      <c r="A97">
        <v>2</v>
      </c>
      <c r="B97">
        <v>1</v>
      </c>
      <c r="C97" t="s">
        <v>19</v>
      </c>
      <c r="D97" t="s">
        <v>18</v>
      </c>
      <c r="E97">
        <v>30</v>
      </c>
      <c r="F97" t="s">
        <v>23</v>
      </c>
      <c r="G97" t="s">
        <v>22</v>
      </c>
      <c r="H97">
        <v>59</v>
      </c>
      <c r="I97">
        <v>1</v>
      </c>
    </row>
    <row r="98" spans="1:9" x14ac:dyDescent="0.3">
      <c r="A98">
        <v>2</v>
      </c>
      <c r="B98">
        <v>1</v>
      </c>
      <c r="C98" t="s">
        <v>19</v>
      </c>
      <c r="D98" t="s">
        <v>18</v>
      </c>
      <c r="E98">
        <v>56</v>
      </c>
      <c r="F98" t="s">
        <v>23</v>
      </c>
      <c r="G98" t="s">
        <v>22</v>
      </c>
      <c r="H98">
        <v>48</v>
      </c>
      <c r="I98">
        <v>0</v>
      </c>
    </row>
    <row r="99" spans="1:9" x14ac:dyDescent="0.3">
      <c r="A99">
        <v>2</v>
      </c>
      <c r="B99">
        <v>1</v>
      </c>
      <c r="C99" t="s">
        <v>19</v>
      </c>
      <c r="D99" t="s">
        <v>18</v>
      </c>
      <c r="E99">
        <v>57</v>
      </c>
      <c r="F99" t="s">
        <v>23</v>
      </c>
      <c r="G99" t="s">
        <v>22</v>
      </c>
      <c r="H99">
        <v>54</v>
      </c>
      <c r="I99">
        <v>0</v>
      </c>
    </row>
    <row r="100" spans="1:9" x14ac:dyDescent="0.3">
      <c r="A100">
        <v>2</v>
      </c>
      <c r="B100">
        <v>1</v>
      </c>
      <c r="C100" t="s">
        <v>19</v>
      </c>
      <c r="D100" t="s">
        <v>18</v>
      </c>
      <c r="E100">
        <v>77</v>
      </c>
      <c r="F100" t="s">
        <v>23</v>
      </c>
      <c r="G100" t="s">
        <v>22</v>
      </c>
      <c r="H100">
        <v>22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9F98-6954-4762-B7BE-9889D1145E70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19</v>
      </c>
      <c r="D1" t="s">
        <v>18</v>
      </c>
      <c r="E1">
        <v>58</v>
      </c>
      <c r="F1" t="s">
        <v>25</v>
      </c>
      <c r="G1" t="s">
        <v>24</v>
      </c>
      <c r="H1">
        <v>22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19</v>
      </c>
      <c r="D2" t="s">
        <v>18</v>
      </c>
      <c r="E2">
        <v>62</v>
      </c>
      <c r="F2" t="s">
        <v>25</v>
      </c>
      <c r="G2" t="s">
        <v>24</v>
      </c>
      <c r="H2">
        <v>29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19</v>
      </c>
      <c r="D3" t="s">
        <v>18</v>
      </c>
      <c r="E3">
        <v>53</v>
      </c>
      <c r="F3" t="s">
        <v>25</v>
      </c>
      <c r="G3" t="s">
        <v>24</v>
      </c>
      <c r="H3">
        <v>7</v>
      </c>
      <c r="I3">
        <v>0</v>
      </c>
      <c r="K3" s="8" t="s">
        <v>11</v>
      </c>
      <c r="L3" s="8"/>
      <c r="M3" s="10">
        <f>COUNTIF($I$1:$I$100, 0)</f>
        <v>98</v>
      </c>
      <c r="N3" s="10"/>
      <c r="O3" s="10">
        <f>COUNTIFS($I$1:$I$100, 0, $B$1:$B$100, 0)</f>
        <v>48</v>
      </c>
      <c r="P3" s="10"/>
      <c r="Q3" s="11">
        <f>COUNTIFS($I$1:$I$100, 0, $B$1:$B$100, 1)</f>
        <v>50</v>
      </c>
      <c r="R3" s="12"/>
      <c r="T3" cm="1">
        <f t="array" ref="T3">SUMPRODUCT(--($E$1:$E$100=$H$1:$H$100))</f>
        <v>0</v>
      </c>
    </row>
    <row r="4" spans="1:20" x14ac:dyDescent="0.3">
      <c r="A4">
        <v>2</v>
      </c>
      <c r="B4">
        <v>0</v>
      </c>
      <c r="C4" t="s">
        <v>19</v>
      </c>
      <c r="D4" t="s">
        <v>18</v>
      </c>
      <c r="E4">
        <v>48</v>
      </c>
      <c r="F4" t="s">
        <v>25</v>
      </c>
      <c r="G4" t="s">
        <v>24</v>
      </c>
      <c r="H4">
        <v>2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19</v>
      </c>
      <c r="D5" t="s">
        <v>18</v>
      </c>
      <c r="E5">
        <v>46</v>
      </c>
      <c r="F5" t="s">
        <v>25</v>
      </c>
      <c r="G5" t="s">
        <v>24</v>
      </c>
      <c r="H5">
        <v>56</v>
      </c>
      <c r="I5">
        <v>1</v>
      </c>
      <c r="K5" s="8" t="s">
        <v>10</v>
      </c>
      <c r="L5" s="8"/>
      <c r="M5" s="14">
        <f>COUNTIF($I$1:$I$100, 1)</f>
        <v>2</v>
      </c>
      <c r="N5" s="10"/>
      <c r="O5" s="10">
        <f>COUNTIFS($I$1:$I$100, 1, $B$1:$B$100, 0)</f>
        <v>2</v>
      </c>
      <c r="P5" s="10"/>
      <c r="Q5" s="10">
        <f>COUNTIFS($I$1:$I$100, 1, $B$1:$B$100, 1)</f>
        <v>0</v>
      </c>
      <c r="R5" s="13"/>
    </row>
    <row r="6" spans="1:20" x14ac:dyDescent="0.3">
      <c r="A6">
        <v>2</v>
      </c>
      <c r="B6">
        <v>0</v>
      </c>
      <c r="C6" t="s">
        <v>19</v>
      </c>
      <c r="D6" t="s">
        <v>18</v>
      </c>
      <c r="E6">
        <v>45</v>
      </c>
      <c r="F6" t="s">
        <v>25</v>
      </c>
      <c r="G6" t="s">
        <v>24</v>
      </c>
      <c r="H6">
        <v>0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19</v>
      </c>
      <c r="D7" t="s">
        <v>18</v>
      </c>
      <c r="E7">
        <v>40</v>
      </c>
      <c r="F7" t="s">
        <v>25</v>
      </c>
      <c r="G7" t="s">
        <v>24</v>
      </c>
      <c r="H7">
        <v>20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19</v>
      </c>
      <c r="D8" t="s">
        <v>18</v>
      </c>
      <c r="E8">
        <v>46</v>
      </c>
      <c r="F8" t="s">
        <v>25</v>
      </c>
      <c r="G8" t="s">
        <v>24</v>
      </c>
      <c r="H8">
        <v>31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19</v>
      </c>
      <c r="D9" t="s">
        <v>18</v>
      </c>
      <c r="E9">
        <v>107</v>
      </c>
      <c r="F9" t="s">
        <v>25</v>
      </c>
      <c r="G9" t="s">
        <v>24</v>
      </c>
      <c r="H9">
        <v>30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19</v>
      </c>
      <c r="D10" t="s">
        <v>18</v>
      </c>
      <c r="E10">
        <v>46</v>
      </c>
      <c r="F10" t="s">
        <v>25</v>
      </c>
      <c r="G10" t="s">
        <v>24</v>
      </c>
      <c r="H10">
        <v>15</v>
      </c>
      <c r="I10">
        <v>0</v>
      </c>
      <c r="K10" s="8" t="s">
        <v>6</v>
      </c>
      <c r="L10" s="8"/>
      <c r="M10" s="10">
        <f>AVERAGE($E$1:$E$100,)</f>
        <v>55.980198019801982</v>
      </c>
      <c r="N10" s="10"/>
      <c r="O10" s="10" cm="1">
        <f t="array" ref="O10">AVERAGE(_xlfn._xlws.FILTER($E$1:$E$100,$I$1:$I$100 = 0))</f>
        <v>56.744897959183675</v>
      </c>
      <c r="P10" s="10"/>
      <c r="Q10" s="11" cm="1">
        <f t="array" ref="Q10">AVERAGE(_xlfn._xlws.FILTER($E$1:$E$100,$I$1:$I$100 = 1))</f>
        <v>46.5</v>
      </c>
      <c r="R10" s="12"/>
    </row>
    <row r="11" spans="1:20" x14ac:dyDescent="0.3">
      <c r="A11">
        <v>2</v>
      </c>
      <c r="B11">
        <v>0</v>
      </c>
      <c r="C11" t="s">
        <v>19</v>
      </c>
      <c r="D11" t="s">
        <v>18</v>
      </c>
      <c r="E11">
        <v>69</v>
      </c>
      <c r="F11" t="s">
        <v>25</v>
      </c>
      <c r="G11" t="s">
        <v>24</v>
      </c>
      <c r="H11">
        <v>3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19</v>
      </c>
      <c r="D12" t="s">
        <v>18</v>
      </c>
      <c r="E12">
        <v>46</v>
      </c>
      <c r="F12" t="s">
        <v>25</v>
      </c>
      <c r="G12" t="s">
        <v>24</v>
      </c>
      <c r="H12">
        <v>13</v>
      </c>
      <c r="I12">
        <v>0</v>
      </c>
      <c r="K12" s="8" t="s">
        <v>5</v>
      </c>
      <c r="L12" s="8"/>
      <c r="M12" s="10">
        <f>AVERAGE($H$1:$H$100,)</f>
        <v>15.465346534653465</v>
      </c>
      <c r="N12" s="10"/>
      <c r="O12" s="10" cm="1">
        <f t="array" ref="O12">AVERAGE(_xlfn._xlws.FILTER($H$1:$H$100,$I$1:$I$100 = 0))</f>
        <v>14.86734693877551</v>
      </c>
      <c r="P12" s="10"/>
      <c r="Q12" s="10" cm="1">
        <f t="array" ref="Q12">AVERAGE(_xlfn._xlws.FILTER($H$1:$H$100,$I$1:$I$100 = 1))</f>
        <v>52.5</v>
      </c>
      <c r="R12" s="13"/>
    </row>
    <row r="13" spans="1:20" x14ac:dyDescent="0.3">
      <c r="A13">
        <v>2</v>
      </c>
      <c r="B13">
        <v>0</v>
      </c>
      <c r="C13" t="s">
        <v>19</v>
      </c>
      <c r="D13" t="s">
        <v>18</v>
      </c>
      <c r="E13">
        <v>70</v>
      </c>
      <c r="F13" t="s">
        <v>25</v>
      </c>
      <c r="G13" t="s">
        <v>24</v>
      </c>
      <c r="H13">
        <v>9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19</v>
      </c>
      <c r="D14" t="s">
        <v>18</v>
      </c>
      <c r="E14">
        <v>81</v>
      </c>
      <c r="F14" t="s">
        <v>25</v>
      </c>
      <c r="G14" t="s">
        <v>24</v>
      </c>
      <c r="H14">
        <v>37</v>
      </c>
      <c r="I14">
        <v>0</v>
      </c>
      <c r="K14" s="19" t="s">
        <v>4</v>
      </c>
      <c r="L14" s="12"/>
      <c r="M14" s="20" cm="1">
        <f t="array" ref="M14">AVERAGE($E$1:$E$100 - $H$1:$H$100)</f>
        <v>40.92</v>
      </c>
      <c r="N14" s="20"/>
      <c r="O14" s="20" cm="1">
        <f t="array" ref="O14">AVERAGE(_xlfn._xlws.FILTER($E$1:$E$100 - $H$1:$H$100, I$1:I$100 = 0))</f>
        <v>41.877551020408163</v>
      </c>
      <c r="P14" s="20"/>
      <c r="Q14" s="20" cm="1">
        <f t="array" ref="Q14">AVERAGE(_xlfn._xlws.FILTER($E$1:$E$100 - $H$1:$H$100, I$1:I$100 = 1))</f>
        <v>-6</v>
      </c>
      <c r="R14" s="22"/>
    </row>
    <row r="15" spans="1:20" x14ac:dyDescent="0.3">
      <c r="A15">
        <v>2</v>
      </c>
      <c r="B15">
        <v>0</v>
      </c>
      <c r="C15" t="s">
        <v>19</v>
      </c>
      <c r="D15" t="s">
        <v>18</v>
      </c>
      <c r="E15">
        <v>49</v>
      </c>
      <c r="F15" t="s">
        <v>25</v>
      </c>
      <c r="G15" t="s">
        <v>24</v>
      </c>
      <c r="H15">
        <v>23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19</v>
      </c>
      <c r="D16" t="s">
        <v>18</v>
      </c>
      <c r="E16">
        <v>62</v>
      </c>
      <c r="F16" t="s">
        <v>25</v>
      </c>
      <c r="G16" t="s">
        <v>24</v>
      </c>
      <c r="H16">
        <v>2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19</v>
      </c>
      <c r="D17" t="s">
        <v>18</v>
      </c>
      <c r="E17">
        <v>56</v>
      </c>
      <c r="F17" t="s">
        <v>25</v>
      </c>
      <c r="G17" t="s">
        <v>24</v>
      </c>
      <c r="H17">
        <v>34</v>
      </c>
      <c r="I17">
        <v>0</v>
      </c>
    </row>
    <row r="18" spans="1:9" x14ac:dyDescent="0.3">
      <c r="A18">
        <v>2</v>
      </c>
      <c r="B18">
        <v>0</v>
      </c>
      <c r="C18" t="s">
        <v>19</v>
      </c>
      <c r="D18" t="s">
        <v>18</v>
      </c>
      <c r="E18">
        <v>55</v>
      </c>
      <c r="F18" t="s">
        <v>25</v>
      </c>
      <c r="G18" t="s">
        <v>24</v>
      </c>
      <c r="H18">
        <v>7</v>
      </c>
      <c r="I18">
        <v>0</v>
      </c>
    </row>
    <row r="19" spans="1:9" x14ac:dyDescent="0.3">
      <c r="A19">
        <v>2</v>
      </c>
      <c r="B19">
        <v>0</v>
      </c>
      <c r="C19" t="s">
        <v>19</v>
      </c>
      <c r="D19" t="s">
        <v>18</v>
      </c>
      <c r="E19">
        <v>50</v>
      </c>
      <c r="F19" t="s">
        <v>25</v>
      </c>
      <c r="G19" t="s">
        <v>24</v>
      </c>
      <c r="H19">
        <v>26</v>
      </c>
      <c r="I19">
        <v>0</v>
      </c>
    </row>
    <row r="20" spans="1:9" x14ac:dyDescent="0.3">
      <c r="A20">
        <v>2</v>
      </c>
      <c r="B20">
        <v>0</v>
      </c>
      <c r="C20" t="s">
        <v>19</v>
      </c>
      <c r="D20" t="s">
        <v>18</v>
      </c>
      <c r="E20">
        <v>71</v>
      </c>
      <c r="F20" t="s">
        <v>25</v>
      </c>
      <c r="G20" t="s">
        <v>24</v>
      </c>
      <c r="H20">
        <v>0</v>
      </c>
      <c r="I20">
        <v>0</v>
      </c>
    </row>
    <row r="21" spans="1:9" x14ac:dyDescent="0.3">
      <c r="A21">
        <v>2</v>
      </c>
      <c r="B21">
        <v>0</v>
      </c>
      <c r="C21" t="s">
        <v>19</v>
      </c>
      <c r="D21" t="s">
        <v>18</v>
      </c>
      <c r="E21">
        <v>38</v>
      </c>
      <c r="F21" t="s">
        <v>25</v>
      </c>
      <c r="G21" t="s">
        <v>24</v>
      </c>
      <c r="H21">
        <v>10</v>
      </c>
      <c r="I21">
        <v>0</v>
      </c>
    </row>
    <row r="22" spans="1:9" x14ac:dyDescent="0.3">
      <c r="A22">
        <v>2</v>
      </c>
      <c r="B22">
        <v>0</v>
      </c>
      <c r="C22" t="s">
        <v>19</v>
      </c>
      <c r="D22" t="s">
        <v>18</v>
      </c>
      <c r="E22">
        <v>50</v>
      </c>
      <c r="F22" t="s">
        <v>25</v>
      </c>
      <c r="G22" t="s">
        <v>24</v>
      </c>
      <c r="H22">
        <v>5</v>
      </c>
      <c r="I22">
        <v>0</v>
      </c>
    </row>
    <row r="23" spans="1:9" x14ac:dyDescent="0.3">
      <c r="A23">
        <v>2</v>
      </c>
      <c r="B23">
        <v>0</v>
      </c>
      <c r="C23" t="s">
        <v>19</v>
      </c>
      <c r="D23" t="s">
        <v>18</v>
      </c>
      <c r="E23">
        <v>56</v>
      </c>
      <c r="F23" t="s">
        <v>25</v>
      </c>
      <c r="G23" t="s">
        <v>24</v>
      </c>
      <c r="H23">
        <v>22</v>
      </c>
      <c r="I23">
        <v>0</v>
      </c>
    </row>
    <row r="24" spans="1:9" x14ac:dyDescent="0.3">
      <c r="A24">
        <v>2</v>
      </c>
      <c r="B24">
        <v>0</v>
      </c>
      <c r="C24" t="s">
        <v>19</v>
      </c>
      <c r="D24" t="s">
        <v>18</v>
      </c>
      <c r="E24">
        <v>26</v>
      </c>
      <c r="F24" t="s">
        <v>25</v>
      </c>
      <c r="G24" t="s">
        <v>24</v>
      </c>
      <c r="H24">
        <v>2</v>
      </c>
      <c r="I24">
        <v>0</v>
      </c>
    </row>
    <row r="25" spans="1:9" x14ac:dyDescent="0.3">
      <c r="A25">
        <v>2</v>
      </c>
      <c r="B25">
        <v>0</v>
      </c>
      <c r="C25" t="s">
        <v>19</v>
      </c>
      <c r="D25" t="s">
        <v>18</v>
      </c>
      <c r="E25">
        <v>30</v>
      </c>
      <c r="F25" t="s">
        <v>25</v>
      </c>
      <c r="G25" t="s">
        <v>24</v>
      </c>
      <c r="H25">
        <v>18</v>
      </c>
      <c r="I25">
        <v>0</v>
      </c>
    </row>
    <row r="26" spans="1:9" x14ac:dyDescent="0.3">
      <c r="A26">
        <v>2</v>
      </c>
      <c r="B26">
        <v>0</v>
      </c>
      <c r="C26" t="s">
        <v>19</v>
      </c>
      <c r="D26" t="s">
        <v>18</v>
      </c>
      <c r="E26">
        <v>39</v>
      </c>
      <c r="F26" t="s">
        <v>25</v>
      </c>
      <c r="G26" t="s">
        <v>24</v>
      </c>
      <c r="H26">
        <v>7</v>
      </c>
      <c r="I26">
        <v>0</v>
      </c>
    </row>
    <row r="27" spans="1:9" x14ac:dyDescent="0.3">
      <c r="A27">
        <v>2</v>
      </c>
      <c r="B27">
        <v>0</v>
      </c>
      <c r="C27" t="s">
        <v>19</v>
      </c>
      <c r="D27" t="s">
        <v>18</v>
      </c>
      <c r="E27">
        <v>48</v>
      </c>
      <c r="F27" t="s">
        <v>25</v>
      </c>
      <c r="G27" t="s">
        <v>24</v>
      </c>
      <c r="H27">
        <v>13</v>
      </c>
      <c r="I27">
        <v>0</v>
      </c>
    </row>
    <row r="28" spans="1:9" x14ac:dyDescent="0.3">
      <c r="A28">
        <v>2</v>
      </c>
      <c r="B28">
        <v>0</v>
      </c>
      <c r="C28" t="s">
        <v>19</v>
      </c>
      <c r="D28" t="s">
        <v>18</v>
      </c>
      <c r="E28">
        <v>61</v>
      </c>
      <c r="F28" t="s">
        <v>25</v>
      </c>
      <c r="G28" t="s">
        <v>24</v>
      </c>
      <c r="H28">
        <v>16</v>
      </c>
      <c r="I28">
        <v>0</v>
      </c>
    </row>
    <row r="29" spans="1:9" x14ac:dyDescent="0.3">
      <c r="A29">
        <v>2</v>
      </c>
      <c r="B29">
        <v>0</v>
      </c>
      <c r="C29" t="s">
        <v>19</v>
      </c>
      <c r="D29" t="s">
        <v>18</v>
      </c>
      <c r="E29">
        <v>56</v>
      </c>
      <c r="F29" t="s">
        <v>25</v>
      </c>
      <c r="G29" t="s">
        <v>24</v>
      </c>
      <c r="H29">
        <v>20</v>
      </c>
      <c r="I29">
        <v>0</v>
      </c>
    </row>
    <row r="30" spans="1:9" x14ac:dyDescent="0.3">
      <c r="A30">
        <v>2</v>
      </c>
      <c r="B30">
        <v>0</v>
      </c>
      <c r="C30" t="s">
        <v>19</v>
      </c>
      <c r="D30" t="s">
        <v>18</v>
      </c>
      <c r="E30">
        <v>79</v>
      </c>
      <c r="F30" t="s">
        <v>25</v>
      </c>
      <c r="G30" t="s">
        <v>24</v>
      </c>
      <c r="H30">
        <v>27</v>
      </c>
      <c r="I30">
        <v>0</v>
      </c>
    </row>
    <row r="31" spans="1:9" x14ac:dyDescent="0.3">
      <c r="A31">
        <v>2</v>
      </c>
      <c r="B31">
        <v>0</v>
      </c>
      <c r="C31" t="s">
        <v>19</v>
      </c>
      <c r="D31" t="s">
        <v>18</v>
      </c>
      <c r="E31">
        <v>47</v>
      </c>
      <c r="F31" t="s">
        <v>25</v>
      </c>
      <c r="G31" t="s">
        <v>24</v>
      </c>
      <c r="H31">
        <v>5</v>
      </c>
      <c r="I31">
        <v>0</v>
      </c>
    </row>
    <row r="32" spans="1:9" x14ac:dyDescent="0.3">
      <c r="A32">
        <v>2</v>
      </c>
      <c r="B32">
        <v>0</v>
      </c>
      <c r="C32" t="s">
        <v>19</v>
      </c>
      <c r="D32" t="s">
        <v>18</v>
      </c>
      <c r="E32">
        <v>43</v>
      </c>
      <c r="F32" t="s">
        <v>25</v>
      </c>
      <c r="G32" t="s">
        <v>24</v>
      </c>
      <c r="H32">
        <v>6</v>
      </c>
      <c r="I32">
        <v>0</v>
      </c>
    </row>
    <row r="33" spans="1:9" x14ac:dyDescent="0.3">
      <c r="A33">
        <v>2</v>
      </c>
      <c r="B33">
        <v>0</v>
      </c>
      <c r="C33" t="s">
        <v>19</v>
      </c>
      <c r="D33" t="s">
        <v>18</v>
      </c>
      <c r="E33">
        <v>43</v>
      </c>
      <c r="F33" t="s">
        <v>25</v>
      </c>
      <c r="G33" t="s">
        <v>24</v>
      </c>
      <c r="H33">
        <v>12</v>
      </c>
      <c r="I33">
        <v>0</v>
      </c>
    </row>
    <row r="34" spans="1:9" x14ac:dyDescent="0.3">
      <c r="A34">
        <v>2</v>
      </c>
      <c r="B34">
        <v>0</v>
      </c>
      <c r="C34" t="s">
        <v>19</v>
      </c>
      <c r="D34" t="s">
        <v>18</v>
      </c>
      <c r="E34">
        <v>41</v>
      </c>
      <c r="F34" t="s">
        <v>25</v>
      </c>
      <c r="G34" t="s">
        <v>24</v>
      </c>
      <c r="H34">
        <v>0</v>
      </c>
      <c r="I34">
        <v>0</v>
      </c>
    </row>
    <row r="35" spans="1:9" x14ac:dyDescent="0.3">
      <c r="A35">
        <v>2</v>
      </c>
      <c r="B35">
        <v>0</v>
      </c>
      <c r="C35" t="s">
        <v>19</v>
      </c>
      <c r="D35" t="s">
        <v>18</v>
      </c>
      <c r="E35">
        <v>25</v>
      </c>
      <c r="F35" t="s">
        <v>25</v>
      </c>
      <c r="G35" t="s">
        <v>24</v>
      </c>
      <c r="H35">
        <v>2</v>
      </c>
      <c r="I35">
        <v>0</v>
      </c>
    </row>
    <row r="36" spans="1:9" x14ac:dyDescent="0.3">
      <c r="A36">
        <v>2</v>
      </c>
      <c r="B36">
        <v>0</v>
      </c>
      <c r="C36" t="s">
        <v>19</v>
      </c>
      <c r="D36" t="s">
        <v>18</v>
      </c>
      <c r="E36">
        <v>75</v>
      </c>
      <c r="F36" t="s">
        <v>25</v>
      </c>
      <c r="G36" t="s">
        <v>24</v>
      </c>
      <c r="H36">
        <v>13</v>
      </c>
      <c r="I36">
        <v>0</v>
      </c>
    </row>
    <row r="37" spans="1:9" x14ac:dyDescent="0.3">
      <c r="A37">
        <v>2</v>
      </c>
      <c r="B37">
        <v>0</v>
      </c>
      <c r="C37" t="s">
        <v>19</v>
      </c>
      <c r="D37" t="s">
        <v>18</v>
      </c>
      <c r="E37">
        <v>40</v>
      </c>
      <c r="F37" t="s">
        <v>25</v>
      </c>
      <c r="G37" t="s">
        <v>24</v>
      </c>
      <c r="H37">
        <v>23</v>
      </c>
      <c r="I37">
        <v>0</v>
      </c>
    </row>
    <row r="38" spans="1:9" x14ac:dyDescent="0.3">
      <c r="A38">
        <v>2</v>
      </c>
      <c r="B38">
        <v>0</v>
      </c>
      <c r="C38" t="s">
        <v>19</v>
      </c>
      <c r="D38" t="s">
        <v>18</v>
      </c>
      <c r="E38">
        <v>43</v>
      </c>
      <c r="F38" t="s">
        <v>25</v>
      </c>
      <c r="G38" t="s">
        <v>24</v>
      </c>
      <c r="H38">
        <v>2</v>
      </c>
      <c r="I38">
        <v>0</v>
      </c>
    </row>
    <row r="39" spans="1:9" x14ac:dyDescent="0.3">
      <c r="A39">
        <v>2</v>
      </c>
      <c r="B39">
        <v>0</v>
      </c>
      <c r="C39" t="s">
        <v>19</v>
      </c>
      <c r="D39" t="s">
        <v>18</v>
      </c>
      <c r="E39">
        <v>55</v>
      </c>
      <c r="F39" t="s">
        <v>25</v>
      </c>
      <c r="G39" t="s">
        <v>24</v>
      </c>
      <c r="H39">
        <v>30</v>
      </c>
      <c r="I39">
        <v>0</v>
      </c>
    </row>
    <row r="40" spans="1:9" x14ac:dyDescent="0.3">
      <c r="A40">
        <v>2</v>
      </c>
      <c r="B40">
        <v>0</v>
      </c>
      <c r="C40" t="s">
        <v>19</v>
      </c>
      <c r="D40" t="s">
        <v>18</v>
      </c>
      <c r="E40">
        <v>41</v>
      </c>
      <c r="F40" t="s">
        <v>25</v>
      </c>
      <c r="G40" t="s">
        <v>24</v>
      </c>
      <c r="H40">
        <v>14</v>
      </c>
      <c r="I40">
        <v>0</v>
      </c>
    </row>
    <row r="41" spans="1:9" x14ac:dyDescent="0.3">
      <c r="A41">
        <v>2</v>
      </c>
      <c r="B41">
        <v>0</v>
      </c>
      <c r="C41" t="s">
        <v>19</v>
      </c>
      <c r="D41" t="s">
        <v>18</v>
      </c>
      <c r="E41">
        <v>66</v>
      </c>
      <c r="F41" t="s">
        <v>25</v>
      </c>
      <c r="G41" t="s">
        <v>24</v>
      </c>
      <c r="H41">
        <v>21</v>
      </c>
      <c r="I41">
        <v>0</v>
      </c>
    </row>
    <row r="42" spans="1:9" x14ac:dyDescent="0.3">
      <c r="A42">
        <v>2</v>
      </c>
      <c r="B42">
        <v>0</v>
      </c>
      <c r="C42" t="s">
        <v>19</v>
      </c>
      <c r="D42" t="s">
        <v>18</v>
      </c>
      <c r="E42">
        <v>66</v>
      </c>
      <c r="F42" t="s">
        <v>25</v>
      </c>
      <c r="G42" t="s">
        <v>24</v>
      </c>
      <c r="H42">
        <v>7</v>
      </c>
      <c r="I42">
        <v>0</v>
      </c>
    </row>
    <row r="43" spans="1:9" x14ac:dyDescent="0.3">
      <c r="A43">
        <v>2</v>
      </c>
      <c r="B43">
        <v>0</v>
      </c>
      <c r="C43" t="s">
        <v>19</v>
      </c>
      <c r="D43" t="s">
        <v>18</v>
      </c>
      <c r="E43">
        <v>37</v>
      </c>
      <c r="F43" t="s">
        <v>25</v>
      </c>
      <c r="G43" t="s">
        <v>24</v>
      </c>
      <c r="H43">
        <v>8</v>
      </c>
      <c r="I43">
        <v>0</v>
      </c>
    </row>
    <row r="44" spans="1:9" x14ac:dyDescent="0.3">
      <c r="A44">
        <v>2</v>
      </c>
      <c r="B44">
        <v>0</v>
      </c>
      <c r="C44" t="s">
        <v>19</v>
      </c>
      <c r="D44" t="s">
        <v>18</v>
      </c>
      <c r="E44">
        <v>63</v>
      </c>
      <c r="F44" t="s">
        <v>25</v>
      </c>
      <c r="G44" t="s">
        <v>24</v>
      </c>
      <c r="H44">
        <v>6</v>
      </c>
      <c r="I44">
        <v>0</v>
      </c>
    </row>
    <row r="45" spans="1:9" x14ac:dyDescent="0.3">
      <c r="A45">
        <v>2</v>
      </c>
      <c r="B45">
        <v>0</v>
      </c>
      <c r="C45" t="s">
        <v>19</v>
      </c>
      <c r="D45" t="s">
        <v>18</v>
      </c>
      <c r="E45">
        <v>45</v>
      </c>
      <c r="F45" t="s">
        <v>25</v>
      </c>
      <c r="G45" t="s">
        <v>24</v>
      </c>
      <c r="H45">
        <v>42</v>
      </c>
      <c r="I45">
        <v>0</v>
      </c>
    </row>
    <row r="46" spans="1:9" x14ac:dyDescent="0.3">
      <c r="A46">
        <v>2</v>
      </c>
      <c r="B46">
        <v>0</v>
      </c>
      <c r="C46" t="s">
        <v>19</v>
      </c>
      <c r="D46" t="s">
        <v>18</v>
      </c>
      <c r="E46">
        <v>62</v>
      </c>
      <c r="F46" t="s">
        <v>25</v>
      </c>
      <c r="G46" t="s">
        <v>24</v>
      </c>
      <c r="H46">
        <v>2</v>
      </c>
      <c r="I46">
        <v>0</v>
      </c>
    </row>
    <row r="47" spans="1:9" x14ac:dyDescent="0.3">
      <c r="A47">
        <v>2</v>
      </c>
      <c r="B47">
        <v>0</v>
      </c>
      <c r="C47" t="s">
        <v>19</v>
      </c>
      <c r="D47" t="s">
        <v>18</v>
      </c>
      <c r="E47">
        <v>47</v>
      </c>
      <c r="F47" t="s">
        <v>25</v>
      </c>
      <c r="G47" t="s">
        <v>24</v>
      </c>
      <c r="H47">
        <v>49</v>
      </c>
      <c r="I47">
        <v>1</v>
      </c>
    </row>
    <row r="48" spans="1:9" x14ac:dyDescent="0.3">
      <c r="A48">
        <v>2</v>
      </c>
      <c r="B48">
        <v>0</v>
      </c>
      <c r="C48" t="s">
        <v>19</v>
      </c>
      <c r="D48" t="s">
        <v>18</v>
      </c>
      <c r="E48">
        <v>70</v>
      </c>
      <c r="F48" t="s">
        <v>25</v>
      </c>
      <c r="G48" t="s">
        <v>24</v>
      </c>
      <c r="H48">
        <v>20</v>
      </c>
      <c r="I48">
        <v>0</v>
      </c>
    </row>
    <row r="49" spans="1:9" x14ac:dyDescent="0.3">
      <c r="A49">
        <v>2</v>
      </c>
      <c r="B49">
        <v>0</v>
      </c>
      <c r="C49" t="s">
        <v>19</v>
      </c>
      <c r="D49" t="s">
        <v>18</v>
      </c>
      <c r="E49">
        <v>47</v>
      </c>
      <c r="F49" t="s">
        <v>25</v>
      </c>
      <c r="G49" t="s">
        <v>24</v>
      </c>
      <c r="H49">
        <v>0</v>
      </c>
      <c r="I49">
        <v>0</v>
      </c>
    </row>
    <row r="50" spans="1:9" x14ac:dyDescent="0.3">
      <c r="A50">
        <v>2</v>
      </c>
      <c r="B50">
        <v>0</v>
      </c>
      <c r="C50" t="s">
        <v>19</v>
      </c>
      <c r="D50" t="s">
        <v>18</v>
      </c>
      <c r="E50">
        <v>80</v>
      </c>
      <c r="F50" t="s">
        <v>25</v>
      </c>
      <c r="G50" t="s">
        <v>24</v>
      </c>
      <c r="H50">
        <v>4</v>
      </c>
      <c r="I50">
        <v>0</v>
      </c>
    </row>
    <row r="51" spans="1:9" x14ac:dyDescent="0.3">
      <c r="A51">
        <v>2</v>
      </c>
      <c r="B51">
        <v>1</v>
      </c>
      <c r="C51" t="s">
        <v>19</v>
      </c>
      <c r="D51" t="s">
        <v>18</v>
      </c>
      <c r="E51">
        <v>84</v>
      </c>
      <c r="F51" t="s">
        <v>25</v>
      </c>
      <c r="G51" t="s">
        <v>24</v>
      </c>
      <c r="H51">
        <v>12</v>
      </c>
      <c r="I51">
        <v>0</v>
      </c>
    </row>
    <row r="52" spans="1:9" x14ac:dyDescent="0.3">
      <c r="A52">
        <v>2</v>
      </c>
      <c r="B52">
        <v>1</v>
      </c>
      <c r="C52" t="s">
        <v>19</v>
      </c>
      <c r="D52" t="s">
        <v>18</v>
      </c>
      <c r="E52">
        <v>68</v>
      </c>
      <c r="F52" t="s">
        <v>25</v>
      </c>
      <c r="G52" t="s">
        <v>24</v>
      </c>
      <c r="H52">
        <v>11</v>
      </c>
      <c r="I52">
        <v>0</v>
      </c>
    </row>
    <row r="53" spans="1:9" x14ac:dyDescent="0.3">
      <c r="A53">
        <v>2</v>
      </c>
      <c r="B53">
        <v>1</v>
      </c>
      <c r="C53" t="s">
        <v>19</v>
      </c>
      <c r="D53" t="s">
        <v>18</v>
      </c>
      <c r="E53">
        <v>43</v>
      </c>
      <c r="F53" t="s">
        <v>25</v>
      </c>
      <c r="G53" t="s">
        <v>24</v>
      </c>
      <c r="H53">
        <v>0</v>
      </c>
      <c r="I53">
        <v>0</v>
      </c>
    </row>
    <row r="54" spans="1:9" x14ac:dyDescent="0.3">
      <c r="A54">
        <v>2</v>
      </c>
      <c r="B54">
        <v>1</v>
      </c>
      <c r="C54" t="s">
        <v>19</v>
      </c>
      <c r="D54" t="s">
        <v>18</v>
      </c>
      <c r="E54">
        <v>76</v>
      </c>
      <c r="F54" t="s">
        <v>25</v>
      </c>
      <c r="G54" t="s">
        <v>24</v>
      </c>
      <c r="H54">
        <v>2</v>
      </c>
      <c r="I54">
        <v>0</v>
      </c>
    </row>
    <row r="55" spans="1:9" x14ac:dyDescent="0.3">
      <c r="A55">
        <v>2</v>
      </c>
      <c r="B55">
        <v>1</v>
      </c>
      <c r="C55" t="s">
        <v>19</v>
      </c>
      <c r="D55" t="s">
        <v>18</v>
      </c>
      <c r="E55">
        <v>70</v>
      </c>
      <c r="F55" t="s">
        <v>25</v>
      </c>
      <c r="G55" t="s">
        <v>24</v>
      </c>
      <c r="H55">
        <v>48</v>
      </c>
      <c r="I55">
        <v>0</v>
      </c>
    </row>
    <row r="56" spans="1:9" x14ac:dyDescent="0.3">
      <c r="A56">
        <v>2</v>
      </c>
      <c r="B56">
        <v>1</v>
      </c>
      <c r="C56" t="s">
        <v>19</v>
      </c>
      <c r="D56" t="s">
        <v>18</v>
      </c>
      <c r="E56">
        <v>48</v>
      </c>
      <c r="F56" t="s">
        <v>25</v>
      </c>
      <c r="G56" t="s">
        <v>24</v>
      </c>
      <c r="H56">
        <v>47</v>
      </c>
      <c r="I56">
        <v>0</v>
      </c>
    </row>
    <row r="57" spans="1:9" x14ac:dyDescent="0.3">
      <c r="A57">
        <v>2</v>
      </c>
      <c r="B57">
        <v>1</v>
      </c>
      <c r="C57" t="s">
        <v>19</v>
      </c>
      <c r="D57" t="s">
        <v>18</v>
      </c>
      <c r="E57">
        <v>46</v>
      </c>
      <c r="F57" t="s">
        <v>25</v>
      </c>
      <c r="G57" t="s">
        <v>24</v>
      </c>
      <c r="H57">
        <v>3</v>
      </c>
      <c r="I57">
        <v>0</v>
      </c>
    </row>
    <row r="58" spans="1:9" x14ac:dyDescent="0.3">
      <c r="A58">
        <v>2</v>
      </c>
      <c r="B58">
        <v>1</v>
      </c>
      <c r="C58" t="s">
        <v>19</v>
      </c>
      <c r="D58" t="s">
        <v>18</v>
      </c>
      <c r="E58">
        <v>61</v>
      </c>
      <c r="F58" t="s">
        <v>25</v>
      </c>
      <c r="G58" t="s">
        <v>24</v>
      </c>
      <c r="H58">
        <v>18</v>
      </c>
      <c r="I58">
        <v>0</v>
      </c>
    </row>
    <row r="59" spans="1:9" x14ac:dyDescent="0.3">
      <c r="A59">
        <v>2</v>
      </c>
      <c r="B59">
        <v>1</v>
      </c>
      <c r="C59" t="s">
        <v>19</v>
      </c>
      <c r="D59" t="s">
        <v>18</v>
      </c>
      <c r="E59">
        <v>29</v>
      </c>
      <c r="F59" t="s">
        <v>25</v>
      </c>
      <c r="G59" t="s">
        <v>24</v>
      </c>
      <c r="H59">
        <v>18</v>
      </c>
      <c r="I59">
        <v>0</v>
      </c>
    </row>
    <row r="60" spans="1:9" x14ac:dyDescent="0.3">
      <c r="A60">
        <v>2</v>
      </c>
      <c r="B60">
        <v>1</v>
      </c>
      <c r="C60" t="s">
        <v>19</v>
      </c>
      <c r="D60" t="s">
        <v>18</v>
      </c>
      <c r="E60">
        <v>59</v>
      </c>
      <c r="F60" t="s">
        <v>25</v>
      </c>
      <c r="G60" t="s">
        <v>24</v>
      </c>
      <c r="H60">
        <v>19</v>
      </c>
      <c r="I60">
        <v>0</v>
      </c>
    </row>
    <row r="61" spans="1:9" x14ac:dyDescent="0.3">
      <c r="A61">
        <v>2</v>
      </c>
      <c r="B61">
        <v>1</v>
      </c>
      <c r="C61" t="s">
        <v>19</v>
      </c>
      <c r="D61" t="s">
        <v>18</v>
      </c>
      <c r="E61">
        <v>65</v>
      </c>
      <c r="F61" t="s">
        <v>25</v>
      </c>
      <c r="G61" t="s">
        <v>24</v>
      </c>
      <c r="H61">
        <v>8</v>
      </c>
      <c r="I61">
        <v>0</v>
      </c>
    </row>
    <row r="62" spans="1:9" x14ac:dyDescent="0.3">
      <c r="A62">
        <v>2</v>
      </c>
      <c r="B62">
        <v>1</v>
      </c>
      <c r="C62" t="s">
        <v>19</v>
      </c>
      <c r="D62" t="s">
        <v>18</v>
      </c>
      <c r="E62">
        <v>90</v>
      </c>
      <c r="F62" t="s">
        <v>25</v>
      </c>
      <c r="G62" t="s">
        <v>24</v>
      </c>
      <c r="H62">
        <v>2</v>
      </c>
      <c r="I62">
        <v>0</v>
      </c>
    </row>
    <row r="63" spans="1:9" x14ac:dyDescent="0.3">
      <c r="A63">
        <v>2</v>
      </c>
      <c r="B63">
        <v>1</v>
      </c>
      <c r="C63" t="s">
        <v>19</v>
      </c>
      <c r="D63" t="s">
        <v>18</v>
      </c>
      <c r="E63">
        <v>64</v>
      </c>
      <c r="F63" t="s">
        <v>25</v>
      </c>
      <c r="G63" t="s">
        <v>24</v>
      </c>
      <c r="H63">
        <v>31</v>
      </c>
      <c r="I63">
        <v>0</v>
      </c>
    </row>
    <row r="64" spans="1:9" x14ac:dyDescent="0.3">
      <c r="A64">
        <v>2</v>
      </c>
      <c r="B64">
        <v>1</v>
      </c>
      <c r="C64" t="s">
        <v>19</v>
      </c>
      <c r="D64" t="s">
        <v>18</v>
      </c>
      <c r="E64">
        <v>71</v>
      </c>
      <c r="F64" t="s">
        <v>25</v>
      </c>
      <c r="G64" t="s">
        <v>24</v>
      </c>
      <c r="H64">
        <v>54</v>
      </c>
      <c r="I64">
        <v>0</v>
      </c>
    </row>
    <row r="65" spans="1:9" x14ac:dyDescent="0.3">
      <c r="A65">
        <v>2</v>
      </c>
      <c r="B65">
        <v>1</v>
      </c>
      <c r="C65" t="s">
        <v>19</v>
      </c>
      <c r="D65" t="s">
        <v>18</v>
      </c>
      <c r="E65">
        <v>44</v>
      </c>
      <c r="F65" t="s">
        <v>25</v>
      </c>
      <c r="G65" t="s">
        <v>24</v>
      </c>
      <c r="H65">
        <v>15</v>
      </c>
      <c r="I65">
        <v>0</v>
      </c>
    </row>
    <row r="66" spans="1:9" x14ac:dyDescent="0.3">
      <c r="A66">
        <v>2</v>
      </c>
      <c r="B66">
        <v>1</v>
      </c>
      <c r="C66" t="s">
        <v>19</v>
      </c>
      <c r="D66" t="s">
        <v>18</v>
      </c>
      <c r="E66">
        <v>81</v>
      </c>
      <c r="F66" t="s">
        <v>25</v>
      </c>
      <c r="G66" t="s">
        <v>24</v>
      </c>
      <c r="H66">
        <v>8</v>
      </c>
      <c r="I66">
        <v>0</v>
      </c>
    </row>
    <row r="67" spans="1:9" x14ac:dyDescent="0.3">
      <c r="A67">
        <v>2</v>
      </c>
      <c r="B67">
        <v>1</v>
      </c>
      <c r="C67" t="s">
        <v>19</v>
      </c>
      <c r="D67" t="s">
        <v>18</v>
      </c>
      <c r="E67">
        <v>51</v>
      </c>
      <c r="F67" t="s">
        <v>25</v>
      </c>
      <c r="G67" t="s">
        <v>24</v>
      </c>
      <c r="H67">
        <v>0</v>
      </c>
      <c r="I67">
        <v>0</v>
      </c>
    </row>
    <row r="68" spans="1:9" x14ac:dyDescent="0.3">
      <c r="A68">
        <v>2</v>
      </c>
      <c r="B68">
        <v>1</v>
      </c>
      <c r="C68" t="s">
        <v>19</v>
      </c>
      <c r="D68" t="s">
        <v>18</v>
      </c>
      <c r="E68">
        <v>56</v>
      </c>
      <c r="F68" t="s">
        <v>25</v>
      </c>
      <c r="G68" t="s">
        <v>24</v>
      </c>
      <c r="H68">
        <v>34</v>
      </c>
      <c r="I68">
        <v>0</v>
      </c>
    </row>
    <row r="69" spans="1:9" x14ac:dyDescent="0.3">
      <c r="A69">
        <v>2</v>
      </c>
      <c r="B69">
        <v>1</v>
      </c>
      <c r="C69" t="s">
        <v>19</v>
      </c>
      <c r="D69" t="s">
        <v>18</v>
      </c>
      <c r="E69">
        <v>51</v>
      </c>
      <c r="F69" t="s">
        <v>25</v>
      </c>
      <c r="G69" t="s">
        <v>24</v>
      </c>
      <c r="H69">
        <v>10</v>
      </c>
      <c r="I69">
        <v>0</v>
      </c>
    </row>
    <row r="70" spans="1:9" x14ac:dyDescent="0.3">
      <c r="A70">
        <v>2</v>
      </c>
      <c r="B70">
        <v>1</v>
      </c>
      <c r="C70" t="s">
        <v>19</v>
      </c>
      <c r="D70" t="s">
        <v>18</v>
      </c>
      <c r="E70">
        <v>56</v>
      </c>
      <c r="F70" t="s">
        <v>25</v>
      </c>
      <c r="G70" t="s">
        <v>24</v>
      </c>
      <c r="H70">
        <v>16</v>
      </c>
      <c r="I70">
        <v>0</v>
      </c>
    </row>
    <row r="71" spans="1:9" x14ac:dyDescent="0.3">
      <c r="A71">
        <v>2</v>
      </c>
      <c r="B71">
        <v>1</v>
      </c>
      <c r="C71" t="s">
        <v>19</v>
      </c>
      <c r="D71" t="s">
        <v>18</v>
      </c>
      <c r="E71">
        <v>54</v>
      </c>
      <c r="F71" t="s">
        <v>25</v>
      </c>
      <c r="G71" t="s">
        <v>24</v>
      </c>
      <c r="H71">
        <v>4</v>
      </c>
      <c r="I71">
        <v>0</v>
      </c>
    </row>
    <row r="72" spans="1:9" x14ac:dyDescent="0.3">
      <c r="A72">
        <v>2</v>
      </c>
      <c r="B72">
        <v>1</v>
      </c>
      <c r="C72" t="s">
        <v>19</v>
      </c>
      <c r="D72" t="s">
        <v>18</v>
      </c>
      <c r="E72">
        <v>61</v>
      </c>
      <c r="F72" t="s">
        <v>25</v>
      </c>
      <c r="G72" t="s">
        <v>24</v>
      </c>
      <c r="H72">
        <v>28</v>
      </c>
      <c r="I72">
        <v>0</v>
      </c>
    </row>
    <row r="73" spans="1:9" x14ac:dyDescent="0.3">
      <c r="A73">
        <v>2</v>
      </c>
      <c r="B73">
        <v>1</v>
      </c>
      <c r="C73" t="s">
        <v>19</v>
      </c>
      <c r="D73" t="s">
        <v>18</v>
      </c>
      <c r="E73">
        <v>67</v>
      </c>
      <c r="F73" t="s">
        <v>25</v>
      </c>
      <c r="G73" t="s">
        <v>24</v>
      </c>
      <c r="H73">
        <v>19</v>
      </c>
      <c r="I73">
        <v>0</v>
      </c>
    </row>
    <row r="74" spans="1:9" x14ac:dyDescent="0.3">
      <c r="A74">
        <v>2</v>
      </c>
      <c r="B74">
        <v>1</v>
      </c>
      <c r="C74" t="s">
        <v>19</v>
      </c>
      <c r="D74" t="s">
        <v>18</v>
      </c>
      <c r="E74">
        <v>87</v>
      </c>
      <c r="F74" t="s">
        <v>25</v>
      </c>
      <c r="G74" t="s">
        <v>24</v>
      </c>
      <c r="H74">
        <v>15</v>
      </c>
      <c r="I74">
        <v>0</v>
      </c>
    </row>
    <row r="75" spans="1:9" x14ac:dyDescent="0.3">
      <c r="A75">
        <v>2</v>
      </c>
      <c r="B75">
        <v>1</v>
      </c>
      <c r="C75" t="s">
        <v>19</v>
      </c>
      <c r="D75" t="s">
        <v>18</v>
      </c>
      <c r="E75">
        <v>43</v>
      </c>
      <c r="F75" t="s">
        <v>25</v>
      </c>
      <c r="G75" t="s">
        <v>24</v>
      </c>
      <c r="H75">
        <v>10</v>
      </c>
      <c r="I75">
        <v>0</v>
      </c>
    </row>
    <row r="76" spans="1:9" x14ac:dyDescent="0.3">
      <c r="A76">
        <v>2</v>
      </c>
      <c r="B76">
        <v>1</v>
      </c>
      <c r="C76" t="s">
        <v>19</v>
      </c>
      <c r="D76" t="s">
        <v>18</v>
      </c>
      <c r="E76">
        <v>57</v>
      </c>
      <c r="F76" t="s">
        <v>25</v>
      </c>
      <c r="G76" t="s">
        <v>24</v>
      </c>
      <c r="H76">
        <v>24</v>
      </c>
      <c r="I76">
        <v>0</v>
      </c>
    </row>
    <row r="77" spans="1:9" x14ac:dyDescent="0.3">
      <c r="A77">
        <v>2</v>
      </c>
      <c r="B77">
        <v>1</v>
      </c>
      <c r="C77" t="s">
        <v>19</v>
      </c>
      <c r="D77" t="s">
        <v>18</v>
      </c>
      <c r="E77">
        <v>53</v>
      </c>
      <c r="F77" t="s">
        <v>25</v>
      </c>
      <c r="G77" t="s">
        <v>24</v>
      </c>
      <c r="H77">
        <v>28</v>
      </c>
      <c r="I77">
        <v>0</v>
      </c>
    </row>
    <row r="78" spans="1:9" x14ac:dyDescent="0.3">
      <c r="A78">
        <v>2</v>
      </c>
      <c r="B78">
        <v>1</v>
      </c>
      <c r="C78" t="s">
        <v>19</v>
      </c>
      <c r="D78" t="s">
        <v>18</v>
      </c>
      <c r="E78">
        <v>48</v>
      </c>
      <c r="F78" t="s">
        <v>25</v>
      </c>
      <c r="G78" t="s">
        <v>24</v>
      </c>
      <c r="H78">
        <v>7</v>
      </c>
      <c r="I78">
        <v>0</v>
      </c>
    </row>
    <row r="79" spans="1:9" x14ac:dyDescent="0.3">
      <c r="A79">
        <v>2</v>
      </c>
      <c r="B79">
        <v>1</v>
      </c>
      <c r="C79" t="s">
        <v>19</v>
      </c>
      <c r="D79" t="s">
        <v>18</v>
      </c>
      <c r="E79">
        <v>43</v>
      </c>
      <c r="F79" t="s">
        <v>25</v>
      </c>
      <c r="G79" t="s">
        <v>24</v>
      </c>
      <c r="H79">
        <v>0</v>
      </c>
      <c r="I79">
        <v>0</v>
      </c>
    </row>
    <row r="80" spans="1:9" x14ac:dyDescent="0.3">
      <c r="A80">
        <v>2</v>
      </c>
      <c r="B80">
        <v>1</v>
      </c>
      <c r="C80" t="s">
        <v>19</v>
      </c>
      <c r="D80" t="s">
        <v>18</v>
      </c>
      <c r="E80">
        <v>59</v>
      </c>
      <c r="F80" t="s">
        <v>25</v>
      </c>
      <c r="G80" t="s">
        <v>24</v>
      </c>
      <c r="H80">
        <v>1</v>
      </c>
      <c r="I80">
        <v>0</v>
      </c>
    </row>
    <row r="81" spans="1:9" x14ac:dyDescent="0.3">
      <c r="A81">
        <v>2</v>
      </c>
      <c r="B81">
        <v>1</v>
      </c>
      <c r="C81" t="s">
        <v>19</v>
      </c>
      <c r="D81" t="s">
        <v>18</v>
      </c>
      <c r="E81">
        <v>58</v>
      </c>
      <c r="F81" t="s">
        <v>25</v>
      </c>
      <c r="G81" t="s">
        <v>24</v>
      </c>
      <c r="H81">
        <v>21</v>
      </c>
      <c r="I81">
        <v>0</v>
      </c>
    </row>
    <row r="82" spans="1:9" x14ac:dyDescent="0.3">
      <c r="A82">
        <v>2</v>
      </c>
      <c r="B82">
        <v>1</v>
      </c>
      <c r="C82" t="s">
        <v>19</v>
      </c>
      <c r="D82" t="s">
        <v>18</v>
      </c>
      <c r="E82">
        <v>66</v>
      </c>
      <c r="F82" t="s">
        <v>25</v>
      </c>
      <c r="G82" t="s">
        <v>24</v>
      </c>
      <c r="H82">
        <v>23</v>
      </c>
      <c r="I82">
        <v>0</v>
      </c>
    </row>
    <row r="83" spans="1:9" x14ac:dyDescent="0.3">
      <c r="A83">
        <v>2</v>
      </c>
      <c r="B83">
        <v>1</v>
      </c>
      <c r="C83" t="s">
        <v>19</v>
      </c>
      <c r="D83" t="s">
        <v>18</v>
      </c>
      <c r="E83">
        <v>62</v>
      </c>
      <c r="F83" t="s">
        <v>25</v>
      </c>
      <c r="G83" t="s">
        <v>24</v>
      </c>
      <c r="H83">
        <v>12</v>
      </c>
      <c r="I83">
        <v>0</v>
      </c>
    </row>
    <row r="84" spans="1:9" x14ac:dyDescent="0.3">
      <c r="A84">
        <v>2</v>
      </c>
      <c r="B84">
        <v>1</v>
      </c>
      <c r="C84" t="s">
        <v>19</v>
      </c>
      <c r="D84" t="s">
        <v>18</v>
      </c>
      <c r="E84">
        <v>62</v>
      </c>
      <c r="F84" t="s">
        <v>25</v>
      </c>
      <c r="G84" t="s">
        <v>24</v>
      </c>
      <c r="H84">
        <v>10</v>
      </c>
      <c r="I84">
        <v>0</v>
      </c>
    </row>
    <row r="85" spans="1:9" x14ac:dyDescent="0.3">
      <c r="A85">
        <v>2</v>
      </c>
      <c r="B85">
        <v>1</v>
      </c>
      <c r="C85" t="s">
        <v>19</v>
      </c>
      <c r="D85" t="s">
        <v>18</v>
      </c>
      <c r="E85">
        <v>56</v>
      </c>
      <c r="F85" t="s">
        <v>25</v>
      </c>
      <c r="G85" t="s">
        <v>24</v>
      </c>
      <c r="H85">
        <v>5</v>
      </c>
      <c r="I85">
        <v>0</v>
      </c>
    </row>
    <row r="86" spans="1:9" x14ac:dyDescent="0.3">
      <c r="A86">
        <v>2</v>
      </c>
      <c r="B86">
        <v>1</v>
      </c>
      <c r="C86" t="s">
        <v>19</v>
      </c>
      <c r="D86" t="s">
        <v>18</v>
      </c>
      <c r="E86">
        <v>69</v>
      </c>
      <c r="F86" t="s">
        <v>25</v>
      </c>
      <c r="G86" t="s">
        <v>24</v>
      </c>
      <c r="H86">
        <v>11</v>
      </c>
      <c r="I86">
        <v>0</v>
      </c>
    </row>
    <row r="87" spans="1:9" x14ac:dyDescent="0.3">
      <c r="A87">
        <v>2</v>
      </c>
      <c r="B87">
        <v>1</v>
      </c>
      <c r="C87" t="s">
        <v>19</v>
      </c>
      <c r="D87" t="s">
        <v>18</v>
      </c>
      <c r="E87">
        <v>53</v>
      </c>
      <c r="F87" t="s">
        <v>25</v>
      </c>
      <c r="G87" t="s">
        <v>24</v>
      </c>
      <c r="H87">
        <v>16</v>
      </c>
      <c r="I87">
        <v>0</v>
      </c>
    </row>
    <row r="88" spans="1:9" x14ac:dyDescent="0.3">
      <c r="A88">
        <v>2</v>
      </c>
      <c r="B88">
        <v>1</v>
      </c>
      <c r="C88" t="s">
        <v>19</v>
      </c>
      <c r="D88" t="s">
        <v>18</v>
      </c>
      <c r="E88">
        <v>82</v>
      </c>
      <c r="F88" t="s">
        <v>25</v>
      </c>
      <c r="G88" t="s">
        <v>24</v>
      </c>
      <c r="H88">
        <v>0</v>
      </c>
      <c r="I88">
        <v>0</v>
      </c>
    </row>
    <row r="89" spans="1:9" x14ac:dyDescent="0.3">
      <c r="A89">
        <v>2</v>
      </c>
      <c r="B89">
        <v>1</v>
      </c>
      <c r="C89" t="s">
        <v>19</v>
      </c>
      <c r="D89" t="s">
        <v>18</v>
      </c>
      <c r="E89">
        <v>48</v>
      </c>
      <c r="F89" t="s">
        <v>25</v>
      </c>
      <c r="G89" t="s">
        <v>24</v>
      </c>
      <c r="H89">
        <v>24</v>
      </c>
      <c r="I89">
        <v>0</v>
      </c>
    </row>
    <row r="90" spans="1:9" x14ac:dyDescent="0.3">
      <c r="A90">
        <v>2</v>
      </c>
      <c r="B90">
        <v>1</v>
      </c>
      <c r="C90" t="s">
        <v>19</v>
      </c>
      <c r="D90" t="s">
        <v>18</v>
      </c>
      <c r="E90">
        <v>78</v>
      </c>
      <c r="F90" t="s">
        <v>25</v>
      </c>
      <c r="G90" t="s">
        <v>24</v>
      </c>
      <c r="H90">
        <v>4</v>
      </c>
      <c r="I90">
        <v>0</v>
      </c>
    </row>
    <row r="91" spans="1:9" x14ac:dyDescent="0.3">
      <c r="A91">
        <v>2</v>
      </c>
      <c r="B91">
        <v>1</v>
      </c>
      <c r="C91" t="s">
        <v>19</v>
      </c>
      <c r="D91" t="s">
        <v>18</v>
      </c>
      <c r="E91">
        <v>48</v>
      </c>
      <c r="F91" t="s">
        <v>25</v>
      </c>
      <c r="G91" t="s">
        <v>24</v>
      </c>
      <c r="H91">
        <v>4</v>
      </c>
      <c r="I91">
        <v>0</v>
      </c>
    </row>
    <row r="92" spans="1:9" x14ac:dyDescent="0.3">
      <c r="A92">
        <v>2</v>
      </c>
      <c r="B92">
        <v>1</v>
      </c>
      <c r="C92" t="s">
        <v>19</v>
      </c>
      <c r="D92" t="s">
        <v>18</v>
      </c>
      <c r="E92">
        <v>56</v>
      </c>
      <c r="F92" t="s">
        <v>25</v>
      </c>
      <c r="G92" t="s">
        <v>24</v>
      </c>
      <c r="H92">
        <v>5</v>
      </c>
      <c r="I92">
        <v>0</v>
      </c>
    </row>
    <row r="93" spans="1:9" x14ac:dyDescent="0.3">
      <c r="A93">
        <v>2</v>
      </c>
      <c r="B93">
        <v>1</v>
      </c>
      <c r="C93" t="s">
        <v>19</v>
      </c>
      <c r="D93" t="s">
        <v>18</v>
      </c>
      <c r="E93">
        <v>73</v>
      </c>
      <c r="F93" t="s">
        <v>25</v>
      </c>
      <c r="G93" t="s">
        <v>24</v>
      </c>
      <c r="H93">
        <v>9</v>
      </c>
      <c r="I93">
        <v>0</v>
      </c>
    </row>
    <row r="94" spans="1:9" x14ac:dyDescent="0.3">
      <c r="A94">
        <v>2</v>
      </c>
      <c r="B94">
        <v>1</v>
      </c>
      <c r="C94" t="s">
        <v>19</v>
      </c>
      <c r="D94" t="s">
        <v>18</v>
      </c>
      <c r="E94">
        <v>62</v>
      </c>
      <c r="F94" t="s">
        <v>25</v>
      </c>
      <c r="G94" t="s">
        <v>24</v>
      </c>
      <c r="H94">
        <v>52</v>
      </c>
      <c r="I94">
        <v>0</v>
      </c>
    </row>
    <row r="95" spans="1:9" x14ac:dyDescent="0.3">
      <c r="A95">
        <v>2</v>
      </c>
      <c r="B95">
        <v>1</v>
      </c>
      <c r="C95" t="s">
        <v>19</v>
      </c>
      <c r="D95" t="s">
        <v>18</v>
      </c>
      <c r="E95">
        <v>59</v>
      </c>
      <c r="F95" t="s">
        <v>25</v>
      </c>
      <c r="G95" t="s">
        <v>24</v>
      </c>
      <c r="H95">
        <v>12</v>
      </c>
      <c r="I95">
        <v>0</v>
      </c>
    </row>
    <row r="96" spans="1:9" x14ac:dyDescent="0.3">
      <c r="A96">
        <v>2</v>
      </c>
      <c r="B96">
        <v>1</v>
      </c>
      <c r="C96" t="s">
        <v>19</v>
      </c>
      <c r="D96" t="s">
        <v>18</v>
      </c>
      <c r="E96">
        <v>55</v>
      </c>
      <c r="F96" t="s">
        <v>25</v>
      </c>
      <c r="G96" t="s">
        <v>24</v>
      </c>
      <c r="H96">
        <v>33</v>
      </c>
      <c r="I96">
        <v>0</v>
      </c>
    </row>
    <row r="97" spans="1:9" x14ac:dyDescent="0.3">
      <c r="A97">
        <v>2</v>
      </c>
      <c r="B97">
        <v>1</v>
      </c>
      <c r="C97" t="s">
        <v>19</v>
      </c>
      <c r="D97" t="s">
        <v>18</v>
      </c>
      <c r="E97">
        <v>63</v>
      </c>
      <c r="F97" t="s">
        <v>25</v>
      </c>
      <c r="G97" t="s">
        <v>24</v>
      </c>
      <c r="H97">
        <v>22</v>
      </c>
      <c r="I97">
        <v>0</v>
      </c>
    </row>
    <row r="98" spans="1:9" x14ac:dyDescent="0.3">
      <c r="A98">
        <v>2</v>
      </c>
      <c r="B98">
        <v>1</v>
      </c>
      <c r="C98" t="s">
        <v>19</v>
      </c>
      <c r="D98" t="s">
        <v>18</v>
      </c>
      <c r="E98">
        <v>45</v>
      </c>
      <c r="F98" t="s">
        <v>25</v>
      </c>
      <c r="G98" t="s">
        <v>24</v>
      </c>
      <c r="H98">
        <v>20</v>
      </c>
      <c r="I98">
        <v>0</v>
      </c>
    </row>
    <row r="99" spans="1:9" x14ac:dyDescent="0.3">
      <c r="A99">
        <v>2</v>
      </c>
      <c r="B99">
        <v>1</v>
      </c>
      <c r="C99" t="s">
        <v>19</v>
      </c>
      <c r="D99" t="s">
        <v>18</v>
      </c>
      <c r="E99">
        <v>51</v>
      </c>
      <c r="F99" t="s">
        <v>25</v>
      </c>
      <c r="G99" t="s">
        <v>24</v>
      </c>
      <c r="H99">
        <v>7</v>
      </c>
      <c r="I99">
        <v>0</v>
      </c>
    </row>
    <row r="100" spans="1:9" x14ac:dyDescent="0.3">
      <c r="A100">
        <v>2</v>
      </c>
      <c r="B100">
        <v>1</v>
      </c>
      <c r="C100" t="s">
        <v>19</v>
      </c>
      <c r="D100" t="s">
        <v>18</v>
      </c>
      <c r="E100">
        <v>44</v>
      </c>
      <c r="F100" t="s">
        <v>25</v>
      </c>
      <c r="G100" t="s">
        <v>24</v>
      </c>
      <c r="H100">
        <v>8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22A4-E45D-49ED-B18A-63DC9DB0FB65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19</v>
      </c>
      <c r="D1" t="s">
        <v>18</v>
      </c>
      <c r="E1">
        <v>40</v>
      </c>
      <c r="F1" t="s">
        <v>27</v>
      </c>
      <c r="G1" t="s">
        <v>26</v>
      </c>
      <c r="H1">
        <v>24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19</v>
      </c>
      <c r="D2" t="s">
        <v>18</v>
      </c>
      <c r="E2">
        <v>57</v>
      </c>
      <c r="F2" t="s">
        <v>27</v>
      </c>
      <c r="G2" t="s">
        <v>26</v>
      </c>
      <c r="H2">
        <v>58</v>
      </c>
      <c r="I2">
        <v>1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19</v>
      </c>
      <c r="D3" t="s">
        <v>18</v>
      </c>
      <c r="E3">
        <v>50</v>
      </c>
      <c r="F3" t="s">
        <v>27</v>
      </c>
      <c r="G3" t="s">
        <v>26</v>
      </c>
      <c r="H3">
        <v>26</v>
      </c>
      <c r="I3">
        <v>0</v>
      </c>
      <c r="K3" s="8" t="s">
        <v>11</v>
      </c>
      <c r="L3" s="8"/>
      <c r="M3" s="10">
        <f>COUNTIF($I$1:$I$100, 0)</f>
        <v>83</v>
      </c>
      <c r="N3" s="10"/>
      <c r="O3" s="10">
        <f>COUNTIFS($I$1:$I$100, 0, $B$1:$B$100, 0)</f>
        <v>44</v>
      </c>
      <c r="P3" s="10"/>
      <c r="Q3" s="11">
        <f>COUNTIFS($I$1:$I$100, 0, $B$1:$B$100, 1)</f>
        <v>39</v>
      </c>
      <c r="R3" s="12"/>
      <c r="T3" cm="1">
        <f t="array" ref="T3">SUMPRODUCT(--($E$1:$E$100=$H$1:$H$100))</f>
        <v>1</v>
      </c>
    </row>
    <row r="4" spans="1:20" x14ac:dyDescent="0.3">
      <c r="A4">
        <v>2</v>
      </c>
      <c r="B4">
        <v>0</v>
      </c>
      <c r="C4" t="s">
        <v>19</v>
      </c>
      <c r="D4" t="s">
        <v>18</v>
      </c>
      <c r="E4">
        <v>31</v>
      </c>
      <c r="F4" t="s">
        <v>27</v>
      </c>
      <c r="G4" t="s">
        <v>26</v>
      </c>
      <c r="H4">
        <v>70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19</v>
      </c>
      <c r="D5" t="s">
        <v>18</v>
      </c>
      <c r="E5">
        <v>57</v>
      </c>
      <c r="F5" t="s">
        <v>27</v>
      </c>
      <c r="G5" t="s">
        <v>26</v>
      </c>
      <c r="H5">
        <v>40</v>
      </c>
      <c r="I5">
        <v>0</v>
      </c>
      <c r="K5" s="8" t="s">
        <v>10</v>
      </c>
      <c r="L5" s="8"/>
      <c r="M5" s="14">
        <f>COUNTIF($I$1:$I$100, 1)</f>
        <v>17</v>
      </c>
      <c r="N5" s="10"/>
      <c r="O5" s="10">
        <f>COUNTIFS($I$1:$I$100, 1, $B$1:$B$100, 0)</f>
        <v>6</v>
      </c>
      <c r="P5" s="10"/>
      <c r="Q5" s="10">
        <f>COUNTIFS($I$1:$I$100, 1, $B$1:$B$100, 1)</f>
        <v>11</v>
      </c>
      <c r="R5" s="13"/>
    </row>
    <row r="6" spans="1:20" x14ac:dyDescent="0.3">
      <c r="A6">
        <v>2</v>
      </c>
      <c r="B6">
        <v>0</v>
      </c>
      <c r="C6" t="s">
        <v>19</v>
      </c>
      <c r="D6" t="s">
        <v>18</v>
      </c>
      <c r="E6">
        <v>69</v>
      </c>
      <c r="F6" t="s">
        <v>27</v>
      </c>
      <c r="G6" t="s">
        <v>26</v>
      </c>
      <c r="H6">
        <v>38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19</v>
      </c>
      <c r="D7" t="s">
        <v>18</v>
      </c>
      <c r="E7">
        <v>68</v>
      </c>
      <c r="F7" t="s">
        <v>27</v>
      </c>
      <c r="G7" t="s">
        <v>26</v>
      </c>
      <c r="H7">
        <v>20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19</v>
      </c>
      <c r="D8" t="s">
        <v>18</v>
      </c>
      <c r="E8">
        <v>41</v>
      </c>
      <c r="F8" t="s">
        <v>27</v>
      </c>
      <c r="G8" t="s">
        <v>26</v>
      </c>
      <c r="H8">
        <v>18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19</v>
      </c>
      <c r="D9" t="s">
        <v>18</v>
      </c>
      <c r="E9">
        <v>94</v>
      </c>
      <c r="F9" t="s">
        <v>27</v>
      </c>
      <c r="G9" t="s">
        <v>26</v>
      </c>
      <c r="H9">
        <v>11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19</v>
      </c>
      <c r="D10" t="s">
        <v>18</v>
      </c>
      <c r="E10">
        <v>43</v>
      </c>
      <c r="F10" t="s">
        <v>27</v>
      </c>
      <c r="G10" t="s">
        <v>26</v>
      </c>
      <c r="H10">
        <v>53</v>
      </c>
      <c r="I10">
        <v>1</v>
      </c>
      <c r="K10" s="8" t="s">
        <v>6</v>
      </c>
      <c r="L10" s="8"/>
      <c r="M10" s="10">
        <f>AVERAGE($E$1:$E$100,)</f>
        <v>56.455445544554458</v>
      </c>
      <c r="N10" s="10"/>
      <c r="O10" s="10" cm="1">
        <f t="array" ref="O10">AVERAGE(_xlfn._xlws.FILTER($E$1:$E$100,$I$1:$I$100 = 0))</f>
        <v>59.373493975903614</v>
      </c>
      <c r="P10" s="10"/>
      <c r="Q10" s="11" cm="1">
        <f t="array" ref="Q10">AVERAGE(_xlfn._xlws.FILTER($E$1:$E$100,$I$1:$I$100 = 1))</f>
        <v>45.529411764705884</v>
      </c>
      <c r="R10" s="12"/>
    </row>
    <row r="11" spans="1:20" x14ac:dyDescent="0.3">
      <c r="A11">
        <v>2</v>
      </c>
      <c r="B11">
        <v>0</v>
      </c>
      <c r="C11" t="s">
        <v>19</v>
      </c>
      <c r="D11" t="s">
        <v>18</v>
      </c>
      <c r="E11">
        <v>70</v>
      </c>
      <c r="F11" t="s">
        <v>27</v>
      </c>
      <c r="G11" t="s">
        <v>26</v>
      </c>
      <c r="H11">
        <v>10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19</v>
      </c>
      <c r="D12" t="s">
        <v>18</v>
      </c>
      <c r="E12">
        <v>46</v>
      </c>
      <c r="F12" t="s">
        <v>27</v>
      </c>
      <c r="G12" t="s">
        <v>26</v>
      </c>
      <c r="H12">
        <v>23</v>
      </c>
      <c r="I12">
        <v>0</v>
      </c>
      <c r="K12" s="8" t="s">
        <v>5</v>
      </c>
      <c r="L12" s="8"/>
      <c r="M12" s="10">
        <f>AVERAGE($H$1:$H$100,)</f>
        <v>36.683168316831683</v>
      </c>
      <c r="N12" s="10"/>
      <c r="O12" s="10" cm="1">
        <f t="array" ref="O12">AVERAGE(_xlfn._xlws.FILTER($H$1:$H$100,$I$1:$I$100 = 0))</f>
        <v>32.120481927710841</v>
      </c>
      <c r="P12" s="10"/>
      <c r="Q12" s="10" cm="1">
        <f t="array" ref="Q12">AVERAGE(_xlfn._xlws.FILTER($H$1:$H$100,$I$1:$I$100 = 1))</f>
        <v>61.117647058823529</v>
      </c>
      <c r="R12" s="13"/>
    </row>
    <row r="13" spans="1:20" x14ac:dyDescent="0.3">
      <c r="A13">
        <v>2</v>
      </c>
      <c r="B13">
        <v>0</v>
      </c>
      <c r="C13" t="s">
        <v>19</v>
      </c>
      <c r="D13" t="s">
        <v>18</v>
      </c>
      <c r="E13">
        <v>57</v>
      </c>
      <c r="F13" t="s">
        <v>27</v>
      </c>
      <c r="G13" t="s">
        <v>26</v>
      </c>
      <c r="H13">
        <v>37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19</v>
      </c>
      <c r="D14" t="s">
        <v>18</v>
      </c>
      <c r="E14">
        <v>58</v>
      </c>
      <c r="F14" t="s">
        <v>27</v>
      </c>
      <c r="G14" t="s">
        <v>26</v>
      </c>
      <c r="H14">
        <v>73</v>
      </c>
      <c r="I14">
        <v>1</v>
      </c>
      <c r="K14" s="19" t="s">
        <v>4</v>
      </c>
      <c r="L14" s="12"/>
      <c r="M14" s="20" cm="1">
        <f t="array" ref="M14">AVERAGE($E$1:$E$100 - $H$1:$H$100)</f>
        <v>19.97</v>
      </c>
      <c r="N14" s="20"/>
      <c r="O14" s="20" cm="1">
        <f t="array" ref="O14">AVERAGE(_xlfn._xlws.FILTER($E$1:$E$100 - $H$1:$H$100, I$1:I$100 = 0))</f>
        <v>27.253012048192772</v>
      </c>
      <c r="P14" s="20"/>
      <c r="Q14" s="20" cm="1">
        <f t="array" ref="Q14">AVERAGE(_xlfn._xlws.FILTER($E$1:$E$100 - $H$1:$H$100, I$1:I$100 = 1))</f>
        <v>-15.588235294117647</v>
      </c>
      <c r="R14" s="22"/>
    </row>
    <row r="15" spans="1:20" x14ac:dyDescent="0.3">
      <c r="A15">
        <v>2</v>
      </c>
      <c r="B15">
        <v>0</v>
      </c>
      <c r="C15" t="s">
        <v>19</v>
      </c>
      <c r="D15" t="s">
        <v>18</v>
      </c>
      <c r="E15">
        <v>47</v>
      </c>
      <c r="F15" t="s">
        <v>27</v>
      </c>
      <c r="G15" t="s">
        <v>26</v>
      </c>
      <c r="H15">
        <v>39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19</v>
      </c>
      <c r="D16" t="s">
        <v>18</v>
      </c>
      <c r="E16">
        <v>66</v>
      </c>
      <c r="F16" t="s">
        <v>27</v>
      </c>
      <c r="G16" t="s">
        <v>26</v>
      </c>
      <c r="H16">
        <v>19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19</v>
      </c>
      <c r="D17" t="s">
        <v>18</v>
      </c>
      <c r="E17">
        <v>65</v>
      </c>
      <c r="F17" t="s">
        <v>27</v>
      </c>
      <c r="G17" t="s">
        <v>26</v>
      </c>
      <c r="H17">
        <v>59</v>
      </c>
      <c r="I17">
        <v>0</v>
      </c>
    </row>
    <row r="18" spans="1:9" x14ac:dyDescent="0.3">
      <c r="A18">
        <v>2</v>
      </c>
      <c r="B18">
        <v>0</v>
      </c>
      <c r="C18" t="s">
        <v>19</v>
      </c>
      <c r="D18" t="s">
        <v>18</v>
      </c>
      <c r="E18">
        <v>53</v>
      </c>
      <c r="F18" t="s">
        <v>27</v>
      </c>
      <c r="G18" t="s">
        <v>26</v>
      </c>
      <c r="H18">
        <v>58</v>
      </c>
      <c r="I18">
        <v>1</v>
      </c>
    </row>
    <row r="19" spans="1:9" x14ac:dyDescent="0.3">
      <c r="A19">
        <v>2</v>
      </c>
      <c r="B19">
        <v>0</v>
      </c>
      <c r="C19" t="s">
        <v>19</v>
      </c>
      <c r="D19" t="s">
        <v>18</v>
      </c>
      <c r="E19">
        <v>51</v>
      </c>
      <c r="F19" t="s">
        <v>27</v>
      </c>
      <c r="G19" t="s">
        <v>26</v>
      </c>
      <c r="H19">
        <v>26</v>
      </c>
      <c r="I19">
        <v>0</v>
      </c>
    </row>
    <row r="20" spans="1:9" x14ac:dyDescent="0.3">
      <c r="A20">
        <v>2</v>
      </c>
      <c r="B20">
        <v>0</v>
      </c>
      <c r="C20" t="s">
        <v>19</v>
      </c>
      <c r="D20" t="s">
        <v>18</v>
      </c>
      <c r="E20">
        <v>60</v>
      </c>
      <c r="F20" t="s">
        <v>27</v>
      </c>
      <c r="G20" t="s">
        <v>26</v>
      </c>
      <c r="H20">
        <v>40</v>
      </c>
      <c r="I20">
        <v>0</v>
      </c>
    </row>
    <row r="21" spans="1:9" x14ac:dyDescent="0.3">
      <c r="A21">
        <v>2</v>
      </c>
      <c r="B21">
        <v>0</v>
      </c>
      <c r="C21" t="s">
        <v>19</v>
      </c>
      <c r="D21" t="s">
        <v>18</v>
      </c>
      <c r="E21">
        <v>55</v>
      </c>
      <c r="F21" t="s">
        <v>27</v>
      </c>
      <c r="G21" t="s">
        <v>26</v>
      </c>
      <c r="H21">
        <v>12</v>
      </c>
      <c r="I21">
        <v>0</v>
      </c>
    </row>
    <row r="22" spans="1:9" x14ac:dyDescent="0.3">
      <c r="A22">
        <v>2</v>
      </c>
      <c r="B22">
        <v>0</v>
      </c>
      <c r="C22" t="s">
        <v>19</v>
      </c>
      <c r="D22" t="s">
        <v>18</v>
      </c>
      <c r="E22">
        <v>75</v>
      </c>
      <c r="F22" t="s">
        <v>27</v>
      </c>
      <c r="G22" t="s">
        <v>26</v>
      </c>
      <c r="H22">
        <v>29</v>
      </c>
      <c r="I22">
        <v>0</v>
      </c>
    </row>
    <row r="23" spans="1:9" x14ac:dyDescent="0.3">
      <c r="A23">
        <v>2</v>
      </c>
      <c r="B23">
        <v>0</v>
      </c>
      <c r="C23" t="s">
        <v>19</v>
      </c>
      <c r="D23" t="s">
        <v>18</v>
      </c>
      <c r="E23">
        <v>57</v>
      </c>
      <c r="F23" t="s">
        <v>27</v>
      </c>
      <c r="G23" t="s">
        <v>26</v>
      </c>
      <c r="H23">
        <v>41</v>
      </c>
      <c r="I23">
        <v>0</v>
      </c>
    </row>
    <row r="24" spans="1:9" x14ac:dyDescent="0.3">
      <c r="A24">
        <v>2</v>
      </c>
      <c r="B24">
        <v>0</v>
      </c>
      <c r="C24" t="s">
        <v>19</v>
      </c>
      <c r="D24" t="s">
        <v>18</v>
      </c>
      <c r="E24">
        <v>73</v>
      </c>
      <c r="F24" t="s">
        <v>27</v>
      </c>
      <c r="G24" t="s">
        <v>26</v>
      </c>
      <c r="H24">
        <v>46</v>
      </c>
      <c r="I24">
        <v>0</v>
      </c>
    </row>
    <row r="25" spans="1:9" x14ac:dyDescent="0.3">
      <c r="A25">
        <v>2</v>
      </c>
      <c r="B25">
        <v>0</v>
      </c>
      <c r="C25" t="s">
        <v>19</v>
      </c>
      <c r="D25" t="s">
        <v>18</v>
      </c>
      <c r="E25">
        <v>48</v>
      </c>
      <c r="F25" t="s">
        <v>27</v>
      </c>
      <c r="G25" t="s">
        <v>26</v>
      </c>
      <c r="H25">
        <v>44</v>
      </c>
      <c r="I25">
        <v>0</v>
      </c>
    </row>
    <row r="26" spans="1:9" x14ac:dyDescent="0.3">
      <c r="A26">
        <v>2</v>
      </c>
      <c r="B26">
        <v>0</v>
      </c>
      <c r="C26" t="s">
        <v>19</v>
      </c>
      <c r="D26" t="s">
        <v>18</v>
      </c>
      <c r="E26">
        <v>48</v>
      </c>
      <c r="F26" t="s">
        <v>27</v>
      </c>
      <c r="G26" t="s">
        <v>26</v>
      </c>
      <c r="H26">
        <v>39</v>
      </c>
      <c r="I26">
        <v>0</v>
      </c>
    </row>
    <row r="27" spans="1:9" x14ac:dyDescent="0.3">
      <c r="A27">
        <v>2</v>
      </c>
      <c r="B27">
        <v>0</v>
      </c>
      <c r="C27" t="s">
        <v>19</v>
      </c>
      <c r="D27" t="s">
        <v>18</v>
      </c>
      <c r="E27">
        <v>66</v>
      </c>
      <c r="F27" t="s">
        <v>27</v>
      </c>
      <c r="G27" t="s">
        <v>26</v>
      </c>
      <c r="H27">
        <v>14</v>
      </c>
      <c r="I27">
        <v>0</v>
      </c>
    </row>
    <row r="28" spans="1:9" x14ac:dyDescent="0.3">
      <c r="A28">
        <v>2</v>
      </c>
      <c r="B28">
        <v>0</v>
      </c>
      <c r="C28" t="s">
        <v>19</v>
      </c>
      <c r="D28" t="s">
        <v>18</v>
      </c>
      <c r="E28">
        <v>29</v>
      </c>
      <c r="F28" t="s">
        <v>27</v>
      </c>
      <c r="G28" t="s">
        <v>26</v>
      </c>
      <c r="H28">
        <v>25</v>
      </c>
      <c r="I28">
        <v>0</v>
      </c>
    </row>
    <row r="29" spans="1:9" x14ac:dyDescent="0.3">
      <c r="A29">
        <v>2</v>
      </c>
      <c r="B29">
        <v>0</v>
      </c>
      <c r="C29" t="s">
        <v>19</v>
      </c>
      <c r="D29" t="s">
        <v>18</v>
      </c>
      <c r="E29">
        <v>60</v>
      </c>
      <c r="F29" t="s">
        <v>27</v>
      </c>
      <c r="G29" t="s">
        <v>26</v>
      </c>
      <c r="H29">
        <v>40</v>
      </c>
      <c r="I29">
        <v>0</v>
      </c>
    </row>
    <row r="30" spans="1:9" x14ac:dyDescent="0.3">
      <c r="A30">
        <v>2</v>
      </c>
      <c r="B30">
        <v>0</v>
      </c>
      <c r="C30" t="s">
        <v>19</v>
      </c>
      <c r="D30" t="s">
        <v>18</v>
      </c>
      <c r="E30">
        <v>76</v>
      </c>
      <c r="F30" t="s">
        <v>27</v>
      </c>
      <c r="G30" t="s">
        <v>26</v>
      </c>
      <c r="H30">
        <v>40</v>
      </c>
      <c r="I30">
        <v>0</v>
      </c>
    </row>
    <row r="31" spans="1:9" x14ac:dyDescent="0.3">
      <c r="A31">
        <v>2</v>
      </c>
      <c r="B31">
        <v>0</v>
      </c>
      <c r="C31" t="s">
        <v>19</v>
      </c>
      <c r="D31" t="s">
        <v>18</v>
      </c>
      <c r="E31">
        <v>77</v>
      </c>
      <c r="F31" t="s">
        <v>27</v>
      </c>
      <c r="G31" t="s">
        <v>26</v>
      </c>
      <c r="H31">
        <v>39</v>
      </c>
      <c r="I31">
        <v>0</v>
      </c>
    </row>
    <row r="32" spans="1:9" x14ac:dyDescent="0.3">
      <c r="A32">
        <v>2</v>
      </c>
      <c r="B32">
        <v>0</v>
      </c>
      <c r="C32" t="s">
        <v>19</v>
      </c>
      <c r="D32" t="s">
        <v>18</v>
      </c>
      <c r="E32">
        <v>66</v>
      </c>
      <c r="F32" t="s">
        <v>27</v>
      </c>
      <c r="G32" t="s">
        <v>26</v>
      </c>
      <c r="H32">
        <v>19</v>
      </c>
      <c r="I32">
        <v>0</v>
      </c>
    </row>
    <row r="33" spans="1:9" x14ac:dyDescent="0.3">
      <c r="A33">
        <v>2</v>
      </c>
      <c r="B33">
        <v>0</v>
      </c>
      <c r="C33" t="s">
        <v>19</v>
      </c>
      <c r="D33" t="s">
        <v>18</v>
      </c>
      <c r="E33">
        <v>58</v>
      </c>
      <c r="F33" t="s">
        <v>27</v>
      </c>
      <c r="G33" t="s">
        <v>26</v>
      </c>
      <c r="H33">
        <v>35</v>
      </c>
      <c r="I33">
        <v>0</v>
      </c>
    </row>
    <row r="34" spans="1:9" x14ac:dyDescent="0.3">
      <c r="A34">
        <v>2</v>
      </c>
      <c r="B34">
        <v>0</v>
      </c>
      <c r="C34" t="s">
        <v>19</v>
      </c>
      <c r="D34" t="s">
        <v>18</v>
      </c>
      <c r="E34">
        <v>40</v>
      </c>
      <c r="F34" t="s">
        <v>27</v>
      </c>
      <c r="G34" t="s">
        <v>26</v>
      </c>
      <c r="H34">
        <v>39</v>
      </c>
      <c r="I34">
        <v>0</v>
      </c>
    </row>
    <row r="35" spans="1:9" x14ac:dyDescent="0.3">
      <c r="A35">
        <v>2</v>
      </c>
      <c r="B35">
        <v>0</v>
      </c>
      <c r="C35" t="s">
        <v>19</v>
      </c>
      <c r="D35" t="s">
        <v>18</v>
      </c>
      <c r="E35">
        <v>43</v>
      </c>
      <c r="F35" t="s">
        <v>27</v>
      </c>
      <c r="G35" t="s">
        <v>26</v>
      </c>
      <c r="H35">
        <v>37</v>
      </c>
      <c r="I35">
        <v>0</v>
      </c>
    </row>
    <row r="36" spans="1:9" x14ac:dyDescent="0.3">
      <c r="A36">
        <v>2</v>
      </c>
      <c r="B36">
        <v>0</v>
      </c>
      <c r="C36" t="s">
        <v>19</v>
      </c>
      <c r="D36" t="s">
        <v>18</v>
      </c>
      <c r="E36">
        <v>67</v>
      </c>
      <c r="F36" t="s">
        <v>27</v>
      </c>
      <c r="G36" t="s">
        <v>26</v>
      </c>
      <c r="H36">
        <v>30</v>
      </c>
      <c r="I36">
        <v>0</v>
      </c>
    </row>
    <row r="37" spans="1:9" x14ac:dyDescent="0.3">
      <c r="A37">
        <v>2</v>
      </c>
      <c r="B37">
        <v>0</v>
      </c>
      <c r="C37" t="s">
        <v>19</v>
      </c>
      <c r="D37" t="s">
        <v>18</v>
      </c>
      <c r="E37">
        <v>33</v>
      </c>
      <c r="F37" t="s">
        <v>27</v>
      </c>
      <c r="G37" t="s">
        <v>26</v>
      </c>
      <c r="H37">
        <v>19</v>
      </c>
      <c r="I37">
        <v>0</v>
      </c>
    </row>
    <row r="38" spans="1:9" x14ac:dyDescent="0.3">
      <c r="A38">
        <v>2</v>
      </c>
      <c r="B38">
        <v>0</v>
      </c>
      <c r="C38" t="s">
        <v>19</v>
      </c>
      <c r="D38" t="s">
        <v>18</v>
      </c>
      <c r="E38">
        <v>71</v>
      </c>
      <c r="F38" t="s">
        <v>27</v>
      </c>
      <c r="G38" t="s">
        <v>26</v>
      </c>
      <c r="H38">
        <v>53</v>
      </c>
      <c r="I38">
        <v>0</v>
      </c>
    </row>
    <row r="39" spans="1:9" x14ac:dyDescent="0.3">
      <c r="A39">
        <v>2</v>
      </c>
      <c r="B39">
        <v>0</v>
      </c>
      <c r="C39" t="s">
        <v>19</v>
      </c>
      <c r="D39" t="s">
        <v>18</v>
      </c>
      <c r="E39">
        <v>34</v>
      </c>
      <c r="F39" t="s">
        <v>27</v>
      </c>
      <c r="G39" t="s">
        <v>26</v>
      </c>
      <c r="H39">
        <v>23</v>
      </c>
      <c r="I39">
        <v>0</v>
      </c>
    </row>
    <row r="40" spans="1:9" x14ac:dyDescent="0.3">
      <c r="A40">
        <v>2</v>
      </c>
      <c r="B40">
        <v>0</v>
      </c>
      <c r="C40" t="s">
        <v>19</v>
      </c>
      <c r="D40" t="s">
        <v>18</v>
      </c>
      <c r="E40">
        <v>53</v>
      </c>
      <c r="F40" t="s">
        <v>27</v>
      </c>
      <c r="G40" t="s">
        <v>26</v>
      </c>
      <c r="H40">
        <v>51</v>
      </c>
      <c r="I40">
        <v>0</v>
      </c>
    </row>
    <row r="41" spans="1:9" x14ac:dyDescent="0.3">
      <c r="A41">
        <v>2</v>
      </c>
      <c r="B41">
        <v>0</v>
      </c>
      <c r="C41" t="s">
        <v>19</v>
      </c>
      <c r="D41" t="s">
        <v>18</v>
      </c>
      <c r="E41">
        <v>51</v>
      </c>
      <c r="F41" t="s">
        <v>27</v>
      </c>
      <c r="G41" t="s">
        <v>26</v>
      </c>
      <c r="H41">
        <v>46</v>
      </c>
      <c r="I41">
        <v>0</v>
      </c>
    </row>
    <row r="42" spans="1:9" x14ac:dyDescent="0.3">
      <c r="A42">
        <v>2</v>
      </c>
      <c r="B42">
        <v>0</v>
      </c>
      <c r="C42" t="s">
        <v>19</v>
      </c>
      <c r="D42" t="s">
        <v>18</v>
      </c>
      <c r="E42">
        <v>46</v>
      </c>
      <c r="F42" t="s">
        <v>27</v>
      </c>
      <c r="G42" t="s">
        <v>26</v>
      </c>
      <c r="H42">
        <v>31</v>
      </c>
      <c r="I42">
        <v>0</v>
      </c>
    </row>
    <row r="43" spans="1:9" x14ac:dyDescent="0.3">
      <c r="A43">
        <v>2</v>
      </c>
      <c r="B43">
        <v>0</v>
      </c>
      <c r="C43" t="s">
        <v>19</v>
      </c>
      <c r="D43" t="s">
        <v>18</v>
      </c>
      <c r="E43">
        <v>64</v>
      </c>
      <c r="F43" t="s">
        <v>27</v>
      </c>
      <c r="G43" t="s">
        <v>26</v>
      </c>
      <c r="H43">
        <v>39</v>
      </c>
      <c r="I43">
        <v>0</v>
      </c>
    </row>
    <row r="44" spans="1:9" x14ac:dyDescent="0.3">
      <c r="A44">
        <v>2</v>
      </c>
      <c r="B44">
        <v>0</v>
      </c>
      <c r="C44" t="s">
        <v>19</v>
      </c>
      <c r="D44" t="s">
        <v>18</v>
      </c>
      <c r="E44">
        <v>46</v>
      </c>
      <c r="F44" t="s">
        <v>27</v>
      </c>
      <c r="G44" t="s">
        <v>26</v>
      </c>
      <c r="H44">
        <v>29</v>
      </c>
      <c r="I44">
        <v>0</v>
      </c>
    </row>
    <row r="45" spans="1:9" x14ac:dyDescent="0.3">
      <c r="A45">
        <v>2</v>
      </c>
      <c r="B45">
        <v>0</v>
      </c>
      <c r="C45" t="s">
        <v>19</v>
      </c>
      <c r="D45" t="s">
        <v>18</v>
      </c>
      <c r="E45">
        <v>70</v>
      </c>
      <c r="F45" t="s">
        <v>27</v>
      </c>
      <c r="G45" t="s">
        <v>26</v>
      </c>
      <c r="H45">
        <v>41</v>
      </c>
      <c r="I45">
        <v>0</v>
      </c>
    </row>
    <row r="46" spans="1:9" x14ac:dyDescent="0.3">
      <c r="A46">
        <v>2</v>
      </c>
      <c r="B46">
        <v>0</v>
      </c>
      <c r="C46" t="s">
        <v>19</v>
      </c>
      <c r="D46" t="s">
        <v>18</v>
      </c>
      <c r="E46">
        <v>80</v>
      </c>
      <c r="F46" t="s">
        <v>27</v>
      </c>
      <c r="G46" t="s">
        <v>26</v>
      </c>
      <c r="H46">
        <v>35</v>
      </c>
      <c r="I46">
        <v>0</v>
      </c>
    </row>
    <row r="47" spans="1:9" x14ac:dyDescent="0.3">
      <c r="A47">
        <v>2</v>
      </c>
      <c r="B47">
        <v>0</v>
      </c>
      <c r="C47" t="s">
        <v>19</v>
      </c>
      <c r="D47" t="s">
        <v>18</v>
      </c>
      <c r="E47">
        <v>60</v>
      </c>
      <c r="F47" t="s">
        <v>27</v>
      </c>
      <c r="G47" t="s">
        <v>26</v>
      </c>
      <c r="H47">
        <v>38</v>
      </c>
      <c r="I47">
        <v>0</v>
      </c>
    </row>
    <row r="48" spans="1:9" x14ac:dyDescent="0.3">
      <c r="A48">
        <v>2</v>
      </c>
      <c r="B48">
        <v>0</v>
      </c>
      <c r="C48" t="s">
        <v>19</v>
      </c>
      <c r="D48" t="s">
        <v>18</v>
      </c>
      <c r="E48">
        <v>66</v>
      </c>
      <c r="F48" t="s">
        <v>27</v>
      </c>
      <c r="G48" t="s">
        <v>26</v>
      </c>
      <c r="H48">
        <v>34</v>
      </c>
      <c r="I48">
        <v>0</v>
      </c>
    </row>
    <row r="49" spans="1:9" x14ac:dyDescent="0.3">
      <c r="A49">
        <v>2</v>
      </c>
      <c r="B49">
        <v>0</v>
      </c>
      <c r="C49" t="s">
        <v>19</v>
      </c>
      <c r="D49" t="s">
        <v>18</v>
      </c>
      <c r="E49">
        <v>49</v>
      </c>
      <c r="F49" t="s">
        <v>27</v>
      </c>
      <c r="G49" t="s">
        <v>26</v>
      </c>
      <c r="H49">
        <v>51</v>
      </c>
      <c r="I49">
        <v>1</v>
      </c>
    </row>
    <row r="50" spans="1:9" x14ac:dyDescent="0.3">
      <c r="A50">
        <v>2</v>
      </c>
      <c r="B50">
        <v>0</v>
      </c>
      <c r="C50" t="s">
        <v>19</v>
      </c>
      <c r="D50" t="s">
        <v>18</v>
      </c>
      <c r="E50">
        <v>63</v>
      </c>
      <c r="F50" t="s">
        <v>27</v>
      </c>
      <c r="G50" t="s">
        <v>26</v>
      </c>
      <c r="H50">
        <v>51</v>
      </c>
      <c r="I50">
        <v>0</v>
      </c>
    </row>
    <row r="51" spans="1:9" x14ac:dyDescent="0.3">
      <c r="A51">
        <v>2</v>
      </c>
      <c r="B51">
        <v>1</v>
      </c>
      <c r="C51" t="s">
        <v>19</v>
      </c>
      <c r="D51" t="s">
        <v>18</v>
      </c>
      <c r="E51">
        <v>53</v>
      </c>
      <c r="F51" t="s">
        <v>27</v>
      </c>
      <c r="G51" t="s">
        <v>26</v>
      </c>
      <c r="H51">
        <v>39</v>
      </c>
      <c r="I51">
        <v>0</v>
      </c>
    </row>
    <row r="52" spans="1:9" x14ac:dyDescent="0.3">
      <c r="A52">
        <v>2</v>
      </c>
      <c r="B52">
        <v>1</v>
      </c>
      <c r="C52" t="s">
        <v>19</v>
      </c>
      <c r="D52" t="s">
        <v>18</v>
      </c>
      <c r="E52">
        <v>51</v>
      </c>
      <c r="F52" t="s">
        <v>27</v>
      </c>
      <c r="G52" t="s">
        <v>26</v>
      </c>
      <c r="H52">
        <v>34</v>
      </c>
      <c r="I52">
        <v>0</v>
      </c>
    </row>
    <row r="53" spans="1:9" x14ac:dyDescent="0.3">
      <c r="A53">
        <v>2</v>
      </c>
      <c r="B53">
        <v>1</v>
      </c>
      <c r="C53" t="s">
        <v>19</v>
      </c>
      <c r="D53" t="s">
        <v>18</v>
      </c>
      <c r="E53">
        <v>70</v>
      </c>
      <c r="F53" t="s">
        <v>27</v>
      </c>
      <c r="G53" t="s">
        <v>26</v>
      </c>
      <c r="H53">
        <v>11</v>
      </c>
      <c r="I53">
        <v>0</v>
      </c>
    </row>
    <row r="54" spans="1:9" x14ac:dyDescent="0.3">
      <c r="A54">
        <v>2</v>
      </c>
      <c r="B54">
        <v>1</v>
      </c>
      <c r="C54" t="s">
        <v>19</v>
      </c>
      <c r="D54" t="s">
        <v>18</v>
      </c>
      <c r="E54">
        <v>104</v>
      </c>
      <c r="F54" t="s">
        <v>27</v>
      </c>
      <c r="G54" t="s">
        <v>26</v>
      </c>
      <c r="H54">
        <v>1</v>
      </c>
      <c r="I54">
        <v>0</v>
      </c>
    </row>
    <row r="55" spans="1:9" x14ac:dyDescent="0.3">
      <c r="A55">
        <v>2</v>
      </c>
      <c r="B55">
        <v>1</v>
      </c>
      <c r="C55" t="s">
        <v>19</v>
      </c>
      <c r="D55" t="s">
        <v>18</v>
      </c>
      <c r="E55">
        <v>30</v>
      </c>
      <c r="F55" t="s">
        <v>27</v>
      </c>
      <c r="G55" t="s">
        <v>26</v>
      </c>
      <c r="H55">
        <v>42</v>
      </c>
      <c r="I55">
        <v>1</v>
      </c>
    </row>
    <row r="56" spans="1:9" x14ac:dyDescent="0.3">
      <c r="A56">
        <v>2</v>
      </c>
      <c r="B56">
        <v>1</v>
      </c>
      <c r="C56" t="s">
        <v>19</v>
      </c>
      <c r="D56" t="s">
        <v>18</v>
      </c>
      <c r="E56">
        <v>52</v>
      </c>
      <c r="F56" t="s">
        <v>27</v>
      </c>
      <c r="G56" t="s">
        <v>26</v>
      </c>
      <c r="H56">
        <v>66</v>
      </c>
      <c r="I56">
        <v>1</v>
      </c>
    </row>
    <row r="57" spans="1:9" x14ac:dyDescent="0.3">
      <c r="A57">
        <v>2</v>
      </c>
      <c r="B57">
        <v>1</v>
      </c>
      <c r="C57" t="s">
        <v>19</v>
      </c>
      <c r="D57" t="s">
        <v>18</v>
      </c>
      <c r="E57">
        <v>59</v>
      </c>
      <c r="F57" t="s">
        <v>27</v>
      </c>
      <c r="G57" t="s">
        <v>26</v>
      </c>
      <c r="H57">
        <v>4</v>
      </c>
      <c r="I57">
        <v>0</v>
      </c>
    </row>
    <row r="58" spans="1:9" x14ac:dyDescent="0.3">
      <c r="A58">
        <v>2</v>
      </c>
      <c r="B58">
        <v>1</v>
      </c>
      <c r="C58" t="s">
        <v>19</v>
      </c>
      <c r="D58" t="s">
        <v>18</v>
      </c>
      <c r="E58">
        <v>62</v>
      </c>
      <c r="F58" t="s">
        <v>27</v>
      </c>
      <c r="G58" t="s">
        <v>26</v>
      </c>
      <c r="H58">
        <v>29</v>
      </c>
      <c r="I58">
        <v>0</v>
      </c>
    </row>
    <row r="59" spans="1:9" x14ac:dyDescent="0.3">
      <c r="A59">
        <v>2</v>
      </c>
      <c r="B59">
        <v>1</v>
      </c>
      <c r="C59" t="s">
        <v>19</v>
      </c>
      <c r="D59" t="s">
        <v>18</v>
      </c>
      <c r="E59">
        <v>56</v>
      </c>
      <c r="F59" t="s">
        <v>27</v>
      </c>
      <c r="G59" t="s">
        <v>26</v>
      </c>
      <c r="H59">
        <v>52</v>
      </c>
      <c r="I59">
        <v>0</v>
      </c>
    </row>
    <row r="60" spans="1:9" x14ac:dyDescent="0.3">
      <c r="A60">
        <v>2</v>
      </c>
      <c r="B60">
        <v>1</v>
      </c>
      <c r="C60" t="s">
        <v>19</v>
      </c>
      <c r="D60" t="s">
        <v>18</v>
      </c>
      <c r="E60">
        <v>60</v>
      </c>
      <c r="F60" t="s">
        <v>27</v>
      </c>
      <c r="G60" t="s">
        <v>26</v>
      </c>
      <c r="H60">
        <v>0</v>
      </c>
      <c r="I60">
        <v>0</v>
      </c>
    </row>
    <row r="61" spans="1:9" x14ac:dyDescent="0.3">
      <c r="A61">
        <v>2</v>
      </c>
      <c r="B61">
        <v>1</v>
      </c>
      <c r="C61" t="s">
        <v>19</v>
      </c>
      <c r="D61" t="s">
        <v>18</v>
      </c>
      <c r="E61">
        <v>76</v>
      </c>
      <c r="F61" t="s">
        <v>27</v>
      </c>
      <c r="G61" t="s">
        <v>26</v>
      </c>
      <c r="H61">
        <v>30</v>
      </c>
      <c r="I61">
        <v>0</v>
      </c>
    </row>
    <row r="62" spans="1:9" x14ac:dyDescent="0.3">
      <c r="A62">
        <v>2</v>
      </c>
      <c r="B62">
        <v>1</v>
      </c>
      <c r="C62" t="s">
        <v>19</v>
      </c>
      <c r="D62" t="s">
        <v>18</v>
      </c>
      <c r="E62">
        <v>61</v>
      </c>
      <c r="F62" t="s">
        <v>27</v>
      </c>
      <c r="G62" t="s">
        <v>26</v>
      </c>
      <c r="H62">
        <v>39</v>
      </c>
      <c r="I62">
        <v>0</v>
      </c>
    </row>
    <row r="63" spans="1:9" x14ac:dyDescent="0.3">
      <c r="A63">
        <v>2</v>
      </c>
      <c r="B63">
        <v>1</v>
      </c>
      <c r="C63" t="s">
        <v>19</v>
      </c>
      <c r="D63" t="s">
        <v>18</v>
      </c>
      <c r="E63">
        <v>53</v>
      </c>
      <c r="F63" t="s">
        <v>27</v>
      </c>
      <c r="G63" t="s">
        <v>26</v>
      </c>
      <c r="H63">
        <v>37</v>
      </c>
      <c r="I63">
        <v>0</v>
      </c>
    </row>
    <row r="64" spans="1:9" x14ac:dyDescent="0.3">
      <c r="A64">
        <v>2</v>
      </c>
      <c r="B64">
        <v>1</v>
      </c>
      <c r="C64" t="s">
        <v>19</v>
      </c>
      <c r="D64" t="s">
        <v>18</v>
      </c>
      <c r="E64">
        <v>59</v>
      </c>
      <c r="F64" t="s">
        <v>27</v>
      </c>
      <c r="G64" t="s">
        <v>26</v>
      </c>
      <c r="H64">
        <v>24</v>
      </c>
      <c r="I64">
        <v>0</v>
      </c>
    </row>
    <row r="65" spans="1:9" x14ac:dyDescent="0.3">
      <c r="A65">
        <v>2</v>
      </c>
      <c r="B65">
        <v>1</v>
      </c>
      <c r="C65" t="s">
        <v>19</v>
      </c>
      <c r="D65" t="s">
        <v>18</v>
      </c>
      <c r="E65">
        <v>35</v>
      </c>
      <c r="F65" t="s">
        <v>27</v>
      </c>
      <c r="G65" t="s">
        <v>26</v>
      </c>
      <c r="H65">
        <v>25</v>
      </c>
      <c r="I65">
        <v>0</v>
      </c>
    </row>
    <row r="66" spans="1:9" x14ac:dyDescent="0.3">
      <c r="A66">
        <v>2</v>
      </c>
      <c r="B66">
        <v>1</v>
      </c>
      <c r="C66" t="s">
        <v>19</v>
      </c>
      <c r="D66" t="s">
        <v>18</v>
      </c>
      <c r="E66">
        <v>47</v>
      </c>
      <c r="F66" t="s">
        <v>27</v>
      </c>
      <c r="G66" t="s">
        <v>26</v>
      </c>
      <c r="H66">
        <v>65</v>
      </c>
      <c r="I66">
        <v>1</v>
      </c>
    </row>
    <row r="67" spans="1:9" x14ac:dyDescent="0.3">
      <c r="A67">
        <v>2</v>
      </c>
      <c r="B67">
        <v>1</v>
      </c>
      <c r="C67" t="s">
        <v>19</v>
      </c>
      <c r="D67" t="s">
        <v>18</v>
      </c>
      <c r="E67">
        <v>55</v>
      </c>
      <c r="F67" t="s">
        <v>27</v>
      </c>
      <c r="G67" t="s">
        <v>26</v>
      </c>
      <c r="H67">
        <v>55</v>
      </c>
      <c r="I67">
        <v>0</v>
      </c>
    </row>
    <row r="68" spans="1:9" x14ac:dyDescent="0.3">
      <c r="A68">
        <v>2</v>
      </c>
      <c r="B68">
        <v>1</v>
      </c>
      <c r="C68" t="s">
        <v>19</v>
      </c>
      <c r="D68" t="s">
        <v>18</v>
      </c>
      <c r="E68">
        <v>59</v>
      </c>
      <c r="F68" t="s">
        <v>27</v>
      </c>
      <c r="G68" t="s">
        <v>26</v>
      </c>
      <c r="H68">
        <v>41</v>
      </c>
      <c r="I68">
        <v>0</v>
      </c>
    </row>
    <row r="69" spans="1:9" x14ac:dyDescent="0.3">
      <c r="A69">
        <v>2</v>
      </c>
      <c r="B69">
        <v>1</v>
      </c>
      <c r="C69" t="s">
        <v>19</v>
      </c>
      <c r="D69" t="s">
        <v>18</v>
      </c>
      <c r="E69">
        <v>53</v>
      </c>
      <c r="F69" t="s">
        <v>27</v>
      </c>
      <c r="G69" t="s">
        <v>26</v>
      </c>
      <c r="H69">
        <v>30</v>
      </c>
      <c r="I69">
        <v>0</v>
      </c>
    </row>
    <row r="70" spans="1:9" x14ac:dyDescent="0.3">
      <c r="A70">
        <v>2</v>
      </c>
      <c r="B70">
        <v>1</v>
      </c>
      <c r="C70" t="s">
        <v>19</v>
      </c>
      <c r="D70" t="s">
        <v>18</v>
      </c>
      <c r="E70">
        <v>59</v>
      </c>
      <c r="F70" t="s">
        <v>27</v>
      </c>
      <c r="G70" t="s">
        <v>26</v>
      </c>
      <c r="H70">
        <v>15</v>
      </c>
      <c r="I70">
        <v>0</v>
      </c>
    </row>
    <row r="71" spans="1:9" x14ac:dyDescent="0.3">
      <c r="A71">
        <v>2</v>
      </c>
      <c r="B71">
        <v>1</v>
      </c>
      <c r="C71" t="s">
        <v>19</v>
      </c>
      <c r="D71" t="s">
        <v>18</v>
      </c>
      <c r="E71">
        <v>42</v>
      </c>
      <c r="F71" t="s">
        <v>27</v>
      </c>
      <c r="G71" t="s">
        <v>26</v>
      </c>
      <c r="H71">
        <v>34</v>
      </c>
      <c r="I71">
        <v>0</v>
      </c>
    </row>
    <row r="72" spans="1:9" x14ac:dyDescent="0.3">
      <c r="A72">
        <v>2</v>
      </c>
      <c r="B72">
        <v>1</v>
      </c>
      <c r="C72" t="s">
        <v>19</v>
      </c>
      <c r="D72" t="s">
        <v>18</v>
      </c>
      <c r="E72">
        <v>57</v>
      </c>
      <c r="F72" t="s">
        <v>27</v>
      </c>
      <c r="G72" t="s">
        <v>26</v>
      </c>
      <c r="H72">
        <v>48</v>
      </c>
      <c r="I72">
        <v>0</v>
      </c>
    </row>
    <row r="73" spans="1:9" x14ac:dyDescent="0.3">
      <c r="A73">
        <v>2</v>
      </c>
      <c r="B73">
        <v>1</v>
      </c>
      <c r="C73" t="s">
        <v>19</v>
      </c>
      <c r="D73" t="s">
        <v>18</v>
      </c>
      <c r="E73">
        <v>45</v>
      </c>
      <c r="F73" t="s">
        <v>27</v>
      </c>
      <c r="G73" t="s">
        <v>26</v>
      </c>
      <c r="H73">
        <v>32</v>
      </c>
      <c r="I73">
        <v>0</v>
      </c>
    </row>
    <row r="74" spans="1:9" x14ac:dyDescent="0.3">
      <c r="A74">
        <v>2</v>
      </c>
      <c r="B74">
        <v>1</v>
      </c>
      <c r="C74" t="s">
        <v>19</v>
      </c>
      <c r="D74" t="s">
        <v>18</v>
      </c>
      <c r="E74">
        <v>61</v>
      </c>
      <c r="F74" t="s">
        <v>27</v>
      </c>
      <c r="G74" t="s">
        <v>26</v>
      </c>
      <c r="H74">
        <v>41</v>
      </c>
      <c r="I74">
        <v>0</v>
      </c>
    </row>
    <row r="75" spans="1:9" x14ac:dyDescent="0.3">
      <c r="A75">
        <v>2</v>
      </c>
      <c r="B75">
        <v>1</v>
      </c>
      <c r="C75" t="s">
        <v>19</v>
      </c>
      <c r="D75" t="s">
        <v>18</v>
      </c>
      <c r="E75">
        <v>46</v>
      </c>
      <c r="F75" t="s">
        <v>27</v>
      </c>
      <c r="G75" t="s">
        <v>26</v>
      </c>
      <c r="H75">
        <v>53</v>
      </c>
      <c r="I75">
        <v>1</v>
      </c>
    </row>
    <row r="76" spans="1:9" x14ac:dyDescent="0.3">
      <c r="A76">
        <v>2</v>
      </c>
      <c r="B76">
        <v>1</v>
      </c>
      <c r="C76" t="s">
        <v>19</v>
      </c>
      <c r="D76" t="s">
        <v>18</v>
      </c>
      <c r="E76">
        <v>39</v>
      </c>
      <c r="F76" t="s">
        <v>27</v>
      </c>
      <c r="G76" t="s">
        <v>26</v>
      </c>
      <c r="H76">
        <v>44</v>
      </c>
      <c r="I76">
        <v>1</v>
      </c>
    </row>
    <row r="77" spans="1:9" x14ac:dyDescent="0.3">
      <c r="A77">
        <v>2</v>
      </c>
      <c r="B77">
        <v>1</v>
      </c>
      <c r="C77" t="s">
        <v>19</v>
      </c>
      <c r="D77" t="s">
        <v>18</v>
      </c>
      <c r="E77">
        <v>60</v>
      </c>
      <c r="F77" t="s">
        <v>27</v>
      </c>
      <c r="G77" t="s">
        <v>26</v>
      </c>
      <c r="H77">
        <v>34</v>
      </c>
      <c r="I77">
        <v>0</v>
      </c>
    </row>
    <row r="78" spans="1:9" x14ac:dyDescent="0.3">
      <c r="A78">
        <v>2</v>
      </c>
      <c r="B78">
        <v>1</v>
      </c>
      <c r="C78" t="s">
        <v>19</v>
      </c>
      <c r="D78" t="s">
        <v>18</v>
      </c>
      <c r="E78">
        <v>60</v>
      </c>
      <c r="F78" t="s">
        <v>27</v>
      </c>
      <c r="G78" t="s">
        <v>26</v>
      </c>
      <c r="H78">
        <v>14</v>
      </c>
      <c r="I78">
        <v>0</v>
      </c>
    </row>
    <row r="79" spans="1:9" x14ac:dyDescent="0.3">
      <c r="A79">
        <v>2</v>
      </c>
      <c r="B79">
        <v>1</v>
      </c>
      <c r="C79" t="s">
        <v>19</v>
      </c>
      <c r="D79" t="s">
        <v>18</v>
      </c>
      <c r="E79">
        <v>73</v>
      </c>
      <c r="F79" t="s">
        <v>27</v>
      </c>
      <c r="G79" t="s">
        <v>26</v>
      </c>
      <c r="H79">
        <v>29</v>
      </c>
      <c r="I79">
        <v>0</v>
      </c>
    </row>
    <row r="80" spans="1:9" x14ac:dyDescent="0.3">
      <c r="A80">
        <v>2</v>
      </c>
      <c r="B80">
        <v>1</v>
      </c>
      <c r="C80" t="s">
        <v>19</v>
      </c>
      <c r="D80" t="s">
        <v>18</v>
      </c>
      <c r="E80">
        <v>67</v>
      </c>
      <c r="F80" t="s">
        <v>27</v>
      </c>
      <c r="G80" t="s">
        <v>26</v>
      </c>
      <c r="H80">
        <v>53</v>
      </c>
      <c r="I80">
        <v>0</v>
      </c>
    </row>
    <row r="81" spans="1:9" x14ac:dyDescent="0.3">
      <c r="A81">
        <v>2</v>
      </c>
      <c r="B81">
        <v>1</v>
      </c>
      <c r="C81" t="s">
        <v>19</v>
      </c>
      <c r="D81" t="s">
        <v>18</v>
      </c>
      <c r="E81">
        <v>47</v>
      </c>
      <c r="F81" t="s">
        <v>27</v>
      </c>
      <c r="G81" t="s">
        <v>26</v>
      </c>
      <c r="H81">
        <v>24</v>
      </c>
      <c r="I81">
        <v>0</v>
      </c>
    </row>
    <row r="82" spans="1:9" x14ac:dyDescent="0.3">
      <c r="A82">
        <v>2</v>
      </c>
      <c r="B82">
        <v>1</v>
      </c>
      <c r="C82" t="s">
        <v>19</v>
      </c>
      <c r="D82" t="s">
        <v>18</v>
      </c>
      <c r="E82">
        <v>50</v>
      </c>
      <c r="F82" t="s">
        <v>27</v>
      </c>
      <c r="G82" t="s">
        <v>26</v>
      </c>
      <c r="H82">
        <v>24</v>
      </c>
      <c r="I82">
        <v>0</v>
      </c>
    </row>
    <row r="83" spans="1:9" x14ac:dyDescent="0.3">
      <c r="A83">
        <v>2</v>
      </c>
      <c r="B83">
        <v>1</v>
      </c>
      <c r="C83" t="s">
        <v>19</v>
      </c>
      <c r="D83" t="s">
        <v>18</v>
      </c>
      <c r="E83">
        <v>34</v>
      </c>
      <c r="F83" t="s">
        <v>27</v>
      </c>
      <c r="G83" t="s">
        <v>26</v>
      </c>
      <c r="H83">
        <v>65</v>
      </c>
      <c r="I83">
        <v>1</v>
      </c>
    </row>
    <row r="84" spans="1:9" x14ac:dyDescent="0.3">
      <c r="A84">
        <v>2</v>
      </c>
      <c r="B84">
        <v>1</v>
      </c>
      <c r="C84" t="s">
        <v>19</v>
      </c>
      <c r="D84" t="s">
        <v>18</v>
      </c>
      <c r="E84">
        <v>57</v>
      </c>
      <c r="F84" t="s">
        <v>27</v>
      </c>
      <c r="G84" t="s">
        <v>26</v>
      </c>
      <c r="H84">
        <v>44</v>
      </c>
      <c r="I84">
        <v>0</v>
      </c>
    </row>
    <row r="85" spans="1:9" x14ac:dyDescent="0.3">
      <c r="A85">
        <v>2</v>
      </c>
      <c r="B85">
        <v>1</v>
      </c>
      <c r="C85" t="s">
        <v>19</v>
      </c>
      <c r="D85" t="s">
        <v>18</v>
      </c>
      <c r="E85">
        <v>56</v>
      </c>
      <c r="F85" t="s">
        <v>27</v>
      </c>
      <c r="G85" t="s">
        <v>26</v>
      </c>
      <c r="H85">
        <v>39</v>
      </c>
      <c r="I85">
        <v>0</v>
      </c>
    </row>
    <row r="86" spans="1:9" x14ac:dyDescent="0.3">
      <c r="A86">
        <v>2</v>
      </c>
      <c r="B86">
        <v>1</v>
      </c>
      <c r="C86" t="s">
        <v>19</v>
      </c>
      <c r="D86" t="s">
        <v>18</v>
      </c>
      <c r="E86">
        <v>70</v>
      </c>
      <c r="F86" t="s">
        <v>27</v>
      </c>
      <c r="G86" t="s">
        <v>26</v>
      </c>
      <c r="H86">
        <v>62</v>
      </c>
      <c r="I86">
        <v>0</v>
      </c>
    </row>
    <row r="87" spans="1:9" x14ac:dyDescent="0.3">
      <c r="A87">
        <v>2</v>
      </c>
      <c r="B87">
        <v>1</v>
      </c>
      <c r="C87" t="s">
        <v>19</v>
      </c>
      <c r="D87" t="s">
        <v>18</v>
      </c>
      <c r="E87">
        <v>58</v>
      </c>
      <c r="F87" t="s">
        <v>27</v>
      </c>
      <c r="G87" t="s">
        <v>26</v>
      </c>
      <c r="H87">
        <v>28</v>
      </c>
      <c r="I87">
        <v>0</v>
      </c>
    </row>
    <row r="88" spans="1:9" x14ac:dyDescent="0.3">
      <c r="A88">
        <v>2</v>
      </c>
      <c r="B88">
        <v>1</v>
      </c>
      <c r="C88" t="s">
        <v>19</v>
      </c>
      <c r="D88" t="s">
        <v>18</v>
      </c>
      <c r="E88">
        <v>46</v>
      </c>
      <c r="F88" t="s">
        <v>27</v>
      </c>
      <c r="G88" t="s">
        <v>26</v>
      </c>
      <c r="H88">
        <v>74</v>
      </c>
      <c r="I88">
        <v>1</v>
      </c>
    </row>
    <row r="89" spans="1:9" x14ac:dyDescent="0.3">
      <c r="A89">
        <v>2</v>
      </c>
      <c r="B89">
        <v>1</v>
      </c>
      <c r="C89" t="s">
        <v>19</v>
      </c>
      <c r="D89" t="s">
        <v>18</v>
      </c>
      <c r="E89">
        <v>81</v>
      </c>
      <c r="F89" t="s">
        <v>27</v>
      </c>
      <c r="G89" t="s">
        <v>26</v>
      </c>
      <c r="H89">
        <v>25</v>
      </c>
      <c r="I89">
        <v>0</v>
      </c>
    </row>
    <row r="90" spans="1:9" x14ac:dyDescent="0.3">
      <c r="A90">
        <v>2</v>
      </c>
      <c r="B90">
        <v>1</v>
      </c>
      <c r="C90" t="s">
        <v>19</v>
      </c>
      <c r="D90" t="s">
        <v>18</v>
      </c>
      <c r="E90">
        <v>70</v>
      </c>
      <c r="F90" t="s">
        <v>27</v>
      </c>
      <c r="G90" t="s">
        <v>26</v>
      </c>
      <c r="H90">
        <v>44</v>
      </c>
      <c r="I90">
        <v>0</v>
      </c>
    </row>
    <row r="91" spans="1:9" x14ac:dyDescent="0.3">
      <c r="A91">
        <v>2</v>
      </c>
      <c r="B91">
        <v>1</v>
      </c>
      <c r="C91" t="s">
        <v>19</v>
      </c>
      <c r="D91" t="s">
        <v>18</v>
      </c>
      <c r="E91">
        <v>47</v>
      </c>
      <c r="F91" t="s">
        <v>27</v>
      </c>
      <c r="G91" t="s">
        <v>26</v>
      </c>
      <c r="H91">
        <v>80</v>
      </c>
      <c r="I91">
        <v>1</v>
      </c>
    </row>
    <row r="92" spans="1:9" x14ac:dyDescent="0.3">
      <c r="A92">
        <v>2</v>
      </c>
      <c r="B92">
        <v>1</v>
      </c>
      <c r="C92" t="s">
        <v>19</v>
      </c>
      <c r="D92" t="s">
        <v>18</v>
      </c>
      <c r="E92">
        <v>58</v>
      </c>
      <c r="F92" t="s">
        <v>27</v>
      </c>
      <c r="G92" t="s">
        <v>26</v>
      </c>
      <c r="H92">
        <v>61</v>
      </c>
      <c r="I92">
        <v>1</v>
      </c>
    </row>
    <row r="93" spans="1:9" x14ac:dyDescent="0.3">
      <c r="A93">
        <v>2</v>
      </c>
      <c r="B93">
        <v>1</v>
      </c>
      <c r="C93" t="s">
        <v>19</v>
      </c>
      <c r="D93" t="s">
        <v>18</v>
      </c>
      <c r="E93">
        <v>59</v>
      </c>
      <c r="F93" t="s">
        <v>27</v>
      </c>
      <c r="G93" t="s">
        <v>26</v>
      </c>
      <c r="H93">
        <v>19</v>
      </c>
      <c r="I93">
        <v>0</v>
      </c>
    </row>
    <row r="94" spans="1:9" x14ac:dyDescent="0.3">
      <c r="A94">
        <v>2</v>
      </c>
      <c r="B94">
        <v>1</v>
      </c>
      <c r="C94" t="s">
        <v>19</v>
      </c>
      <c r="D94" t="s">
        <v>18</v>
      </c>
      <c r="E94">
        <v>73</v>
      </c>
      <c r="F94" t="s">
        <v>27</v>
      </c>
      <c r="G94" t="s">
        <v>26</v>
      </c>
      <c r="H94">
        <v>52</v>
      </c>
      <c r="I94">
        <v>0</v>
      </c>
    </row>
    <row r="95" spans="1:9" x14ac:dyDescent="0.3">
      <c r="A95">
        <v>2</v>
      </c>
      <c r="B95">
        <v>1</v>
      </c>
      <c r="C95" t="s">
        <v>19</v>
      </c>
      <c r="D95" t="s">
        <v>18</v>
      </c>
      <c r="E95">
        <v>42</v>
      </c>
      <c r="F95" t="s">
        <v>27</v>
      </c>
      <c r="G95" t="s">
        <v>26</v>
      </c>
      <c r="H95">
        <v>57</v>
      </c>
      <c r="I95">
        <v>1</v>
      </c>
    </row>
    <row r="96" spans="1:9" x14ac:dyDescent="0.3">
      <c r="A96">
        <v>2</v>
      </c>
      <c r="B96">
        <v>1</v>
      </c>
      <c r="C96" t="s">
        <v>19</v>
      </c>
      <c r="D96" t="s">
        <v>18</v>
      </c>
      <c r="E96">
        <v>42</v>
      </c>
      <c r="F96" t="s">
        <v>27</v>
      </c>
      <c r="G96" t="s">
        <v>26</v>
      </c>
      <c r="H96">
        <v>69</v>
      </c>
      <c r="I96">
        <v>1</v>
      </c>
    </row>
    <row r="97" spans="1:9" x14ac:dyDescent="0.3">
      <c r="A97">
        <v>2</v>
      </c>
      <c r="B97">
        <v>1</v>
      </c>
      <c r="C97" t="s">
        <v>19</v>
      </c>
      <c r="D97" t="s">
        <v>18</v>
      </c>
      <c r="E97">
        <v>60</v>
      </c>
      <c r="F97" t="s">
        <v>27</v>
      </c>
      <c r="G97" t="s">
        <v>26</v>
      </c>
      <c r="H97">
        <v>30</v>
      </c>
      <c r="I97">
        <v>0</v>
      </c>
    </row>
    <row r="98" spans="1:9" x14ac:dyDescent="0.3">
      <c r="A98">
        <v>2</v>
      </c>
      <c r="B98">
        <v>1</v>
      </c>
      <c r="C98" t="s">
        <v>19</v>
      </c>
      <c r="D98" t="s">
        <v>18</v>
      </c>
      <c r="E98">
        <v>64</v>
      </c>
      <c r="F98" t="s">
        <v>27</v>
      </c>
      <c r="G98" t="s">
        <v>26</v>
      </c>
      <c r="H98">
        <v>12</v>
      </c>
      <c r="I98">
        <v>0</v>
      </c>
    </row>
    <row r="99" spans="1:9" x14ac:dyDescent="0.3">
      <c r="A99">
        <v>2</v>
      </c>
      <c r="B99">
        <v>1</v>
      </c>
      <c r="C99" t="s">
        <v>19</v>
      </c>
      <c r="D99" t="s">
        <v>18</v>
      </c>
      <c r="E99">
        <v>67</v>
      </c>
      <c r="F99" t="s">
        <v>27</v>
      </c>
      <c r="G99" t="s">
        <v>26</v>
      </c>
      <c r="H99">
        <v>25</v>
      </c>
      <c r="I99">
        <v>0</v>
      </c>
    </row>
    <row r="100" spans="1:9" x14ac:dyDescent="0.3">
      <c r="A100">
        <v>2</v>
      </c>
      <c r="B100">
        <v>1</v>
      </c>
      <c r="C100" t="s">
        <v>19</v>
      </c>
      <c r="D100" t="s">
        <v>18</v>
      </c>
      <c r="E100">
        <v>70</v>
      </c>
      <c r="F100" t="s">
        <v>27</v>
      </c>
      <c r="G100" t="s">
        <v>26</v>
      </c>
      <c r="H100">
        <v>38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0EDC0-B8EE-46FC-A980-19FAC82E2707}">
  <dimension ref="A1:T100"/>
  <sheetViews>
    <sheetView topLeftCell="J1" workbookViewId="0">
      <selection activeCell="R22" sqref="R22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19</v>
      </c>
      <c r="D1" t="s">
        <v>18</v>
      </c>
      <c r="E1">
        <v>43</v>
      </c>
      <c r="F1" t="s">
        <v>29</v>
      </c>
      <c r="G1" t="s">
        <v>28</v>
      </c>
      <c r="H1">
        <v>29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19</v>
      </c>
      <c r="D2" t="s">
        <v>18</v>
      </c>
      <c r="E2">
        <v>78</v>
      </c>
      <c r="F2" t="s">
        <v>29</v>
      </c>
      <c r="G2" t="s">
        <v>28</v>
      </c>
      <c r="H2">
        <v>9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19</v>
      </c>
      <c r="D3" t="s">
        <v>18</v>
      </c>
      <c r="E3">
        <v>61</v>
      </c>
      <c r="F3" t="s">
        <v>29</v>
      </c>
      <c r="G3" t="s">
        <v>28</v>
      </c>
      <c r="H3">
        <v>25</v>
      </c>
      <c r="I3">
        <v>0</v>
      </c>
      <c r="K3" s="8" t="s">
        <v>11</v>
      </c>
      <c r="L3" s="8"/>
      <c r="M3" s="10">
        <f>COUNTIF($I$1:$I$100, 0)</f>
        <v>94</v>
      </c>
      <c r="N3" s="10"/>
      <c r="O3" s="10">
        <f>COUNTIFS($I$1:$I$100, 0, $B$1:$B$100, 0)</f>
        <v>46</v>
      </c>
      <c r="P3" s="10"/>
      <c r="Q3" s="11">
        <f>COUNTIFS($I$1:$I$100, 0, $B$1:$B$100, 1)</f>
        <v>48</v>
      </c>
      <c r="R3" s="12"/>
      <c r="T3" cm="1">
        <f t="array" ref="T3">SUMPRODUCT(--($E$1:$E$100=$H$1:$H$100))</f>
        <v>3</v>
      </c>
    </row>
    <row r="4" spans="1:20" x14ac:dyDescent="0.3">
      <c r="A4">
        <v>2</v>
      </c>
      <c r="B4">
        <v>0</v>
      </c>
      <c r="C4" t="s">
        <v>19</v>
      </c>
      <c r="D4" t="s">
        <v>18</v>
      </c>
      <c r="E4">
        <v>62</v>
      </c>
      <c r="F4" t="s">
        <v>29</v>
      </c>
      <c r="G4" t="s">
        <v>28</v>
      </c>
      <c r="H4">
        <v>32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19</v>
      </c>
      <c r="D5" t="s">
        <v>18</v>
      </c>
      <c r="E5">
        <v>65</v>
      </c>
      <c r="F5" t="s">
        <v>29</v>
      </c>
      <c r="G5" t="s">
        <v>28</v>
      </c>
      <c r="H5">
        <v>47</v>
      </c>
      <c r="I5">
        <v>0</v>
      </c>
      <c r="K5" s="8" t="s">
        <v>10</v>
      </c>
      <c r="L5" s="8"/>
      <c r="M5" s="14">
        <f>COUNTIF($I$1:$I$100, 1)</f>
        <v>6</v>
      </c>
      <c r="N5" s="10"/>
      <c r="O5" s="10">
        <f>COUNTIFS($I$1:$I$100, 1, $B$1:$B$100, 0)</f>
        <v>4</v>
      </c>
      <c r="P5" s="10"/>
      <c r="Q5" s="10">
        <f>COUNTIFS($I$1:$I$100, 1, $B$1:$B$100, 1)</f>
        <v>2</v>
      </c>
      <c r="R5" s="13"/>
    </row>
    <row r="6" spans="1:20" x14ac:dyDescent="0.3">
      <c r="A6">
        <v>2</v>
      </c>
      <c r="B6">
        <v>0</v>
      </c>
      <c r="C6" t="s">
        <v>19</v>
      </c>
      <c r="D6" t="s">
        <v>18</v>
      </c>
      <c r="E6">
        <v>89</v>
      </c>
      <c r="F6" t="s">
        <v>29</v>
      </c>
      <c r="G6" t="s">
        <v>28</v>
      </c>
      <c r="H6">
        <v>2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19</v>
      </c>
      <c r="D7" t="s">
        <v>18</v>
      </c>
      <c r="E7">
        <v>33</v>
      </c>
      <c r="F7" t="s">
        <v>29</v>
      </c>
      <c r="G7" t="s">
        <v>28</v>
      </c>
      <c r="H7">
        <v>38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19</v>
      </c>
      <c r="D8" t="s">
        <v>18</v>
      </c>
      <c r="E8">
        <v>59</v>
      </c>
      <c r="F8" t="s">
        <v>29</v>
      </c>
      <c r="G8" t="s">
        <v>28</v>
      </c>
      <c r="H8">
        <v>24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19</v>
      </c>
      <c r="D9" t="s">
        <v>18</v>
      </c>
      <c r="E9">
        <v>64</v>
      </c>
      <c r="F9" t="s">
        <v>29</v>
      </c>
      <c r="G9" t="s">
        <v>28</v>
      </c>
      <c r="H9">
        <v>45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19</v>
      </c>
      <c r="D10" t="s">
        <v>18</v>
      </c>
      <c r="E10">
        <v>27</v>
      </c>
      <c r="F10" t="s">
        <v>29</v>
      </c>
      <c r="G10" t="s">
        <v>28</v>
      </c>
      <c r="H10">
        <v>20</v>
      </c>
      <c r="I10">
        <v>0</v>
      </c>
      <c r="K10" s="8" t="s">
        <v>6</v>
      </c>
      <c r="L10" s="8"/>
      <c r="M10" s="10">
        <f>AVERAGE($E$1:$E$100,)</f>
        <v>56.316831683168317</v>
      </c>
      <c r="N10" s="10"/>
      <c r="O10" s="10" cm="1">
        <f t="array" ref="O10">AVERAGE(_xlfn._xlws.FILTER($E$1:$E$100,$I$1:$I$100 = 0))</f>
        <v>57.882978723404257</v>
      </c>
      <c r="P10" s="10"/>
      <c r="Q10" s="11" cm="1">
        <f t="array" ref="Q10">AVERAGE(_xlfn._xlws.FILTER($E$1:$E$100,$I$1:$I$100 = 1))</f>
        <v>41.166666666666664</v>
      </c>
      <c r="R10" s="12"/>
    </row>
    <row r="11" spans="1:20" x14ac:dyDescent="0.3">
      <c r="A11">
        <v>2</v>
      </c>
      <c r="B11">
        <v>0</v>
      </c>
      <c r="C11" t="s">
        <v>19</v>
      </c>
      <c r="D11" t="s">
        <v>18</v>
      </c>
      <c r="E11">
        <v>27</v>
      </c>
      <c r="F11" t="s">
        <v>29</v>
      </c>
      <c r="G11" t="s">
        <v>28</v>
      </c>
      <c r="H11">
        <v>33</v>
      </c>
      <c r="I11">
        <v>1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19</v>
      </c>
      <c r="D12" t="s">
        <v>18</v>
      </c>
      <c r="E12">
        <v>60</v>
      </c>
      <c r="F12" t="s">
        <v>29</v>
      </c>
      <c r="G12" t="s">
        <v>28</v>
      </c>
      <c r="H12">
        <v>24</v>
      </c>
      <c r="I12">
        <v>0</v>
      </c>
      <c r="K12" s="8" t="s">
        <v>5</v>
      </c>
      <c r="L12" s="8"/>
      <c r="M12" s="10">
        <f>AVERAGE($H$1:$H$100,)</f>
        <v>26.465346534653467</v>
      </c>
      <c r="N12" s="10"/>
      <c r="O12" s="10" cm="1">
        <f t="array" ref="O12">AVERAGE(_xlfn._xlws.FILTER($H$1:$H$100,$I$1:$I$100 = 0))</f>
        <v>25.25531914893617</v>
      </c>
      <c r="P12" s="10"/>
      <c r="Q12" s="10" cm="1">
        <f t="array" ref="Q12">AVERAGE(_xlfn._xlws.FILTER($H$1:$H$100,$I$1:$I$100 = 1))</f>
        <v>49.833333333333336</v>
      </c>
      <c r="R12" s="13"/>
    </row>
    <row r="13" spans="1:20" x14ac:dyDescent="0.3">
      <c r="A13">
        <v>2</v>
      </c>
      <c r="B13">
        <v>0</v>
      </c>
      <c r="C13" t="s">
        <v>19</v>
      </c>
      <c r="D13" t="s">
        <v>18</v>
      </c>
      <c r="E13">
        <v>61</v>
      </c>
      <c r="F13" t="s">
        <v>29</v>
      </c>
      <c r="G13" t="s">
        <v>28</v>
      </c>
      <c r="H13">
        <v>31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19</v>
      </c>
      <c r="D14" t="s">
        <v>18</v>
      </c>
      <c r="E14">
        <v>58</v>
      </c>
      <c r="F14" t="s">
        <v>29</v>
      </c>
      <c r="G14" t="s">
        <v>28</v>
      </c>
      <c r="H14">
        <v>12</v>
      </c>
      <c r="I14">
        <v>0</v>
      </c>
      <c r="K14" s="19" t="s">
        <v>4</v>
      </c>
      <c r="L14" s="12"/>
      <c r="M14" s="20" cm="1">
        <f t="array" ref="M14">AVERAGE($E$1:$E$100 - $H$1:$H$100)</f>
        <v>30.15</v>
      </c>
      <c r="N14" s="20"/>
      <c r="O14" s="20" cm="1">
        <f t="array" ref="O14">AVERAGE(_xlfn._xlws.FILTER($E$1:$E$100 - $H$1:$H$100, I$1:I$100 = 0))</f>
        <v>32.627659574468083</v>
      </c>
      <c r="P14" s="20"/>
      <c r="Q14" s="20" cm="1">
        <f t="array" ref="Q14">AVERAGE(_xlfn._xlws.FILTER($E$1:$E$100 - $H$1:$H$100, I$1:I$100 = 1))</f>
        <v>-8.6666666666666661</v>
      </c>
      <c r="R14" s="22"/>
    </row>
    <row r="15" spans="1:20" x14ac:dyDescent="0.3">
      <c r="A15">
        <v>2</v>
      </c>
      <c r="B15">
        <v>0</v>
      </c>
      <c r="C15" t="s">
        <v>19</v>
      </c>
      <c r="D15" t="s">
        <v>18</v>
      </c>
      <c r="E15">
        <v>51</v>
      </c>
      <c r="F15" t="s">
        <v>29</v>
      </c>
      <c r="G15" t="s">
        <v>28</v>
      </c>
      <c r="H15">
        <v>58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19</v>
      </c>
      <c r="D16" t="s">
        <v>18</v>
      </c>
      <c r="E16">
        <v>47</v>
      </c>
      <c r="F16" t="s">
        <v>29</v>
      </c>
      <c r="G16" t="s">
        <v>28</v>
      </c>
      <c r="H16">
        <v>21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19</v>
      </c>
      <c r="D17" t="s">
        <v>18</v>
      </c>
      <c r="E17">
        <v>66</v>
      </c>
      <c r="F17" t="s">
        <v>29</v>
      </c>
      <c r="G17" t="s">
        <v>28</v>
      </c>
      <c r="H17">
        <v>0</v>
      </c>
      <c r="I17">
        <v>0</v>
      </c>
    </row>
    <row r="18" spans="1:9" x14ac:dyDescent="0.3">
      <c r="A18">
        <v>2</v>
      </c>
      <c r="B18">
        <v>0</v>
      </c>
      <c r="C18" t="s">
        <v>19</v>
      </c>
      <c r="D18" t="s">
        <v>18</v>
      </c>
      <c r="E18">
        <v>65</v>
      </c>
      <c r="F18" t="s">
        <v>29</v>
      </c>
      <c r="G18" t="s">
        <v>28</v>
      </c>
      <c r="H18">
        <v>15</v>
      </c>
      <c r="I18">
        <v>0</v>
      </c>
    </row>
    <row r="19" spans="1:9" x14ac:dyDescent="0.3">
      <c r="A19">
        <v>2</v>
      </c>
      <c r="B19">
        <v>0</v>
      </c>
      <c r="C19" t="s">
        <v>19</v>
      </c>
      <c r="D19" t="s">
        <v>18</v>
      </c>
      <c r="E19">
        <v>75</v>
      </c>
      <c r="F19" t="s">
        <v>29</v>
      </c>
      <c r="G19" t="s">
        <v>28</v>
      </c>
      <c r="H19">
        <v>10</v>
      </c>
      <c r="I19">
        <v>0</v>
      </c>
    </row>
    <row r="20" spans="1:9" x14ac:dyDescent="0.3">
      <c r="A20">
        <v>2</v>
      </c>
      <c r="B20">
        <v>0</v>
      </c>
      <c r="C20" t="s">
        <v>19</v>
      </c>
      <c r="D20" t="s">
        <v>18</v>
      </c>
      <c r="E20">
        <v>68</v>
      </c>
      <c r="F20" t="s">
        <v>29</v>
      </c>
      <c r="G20" t="s">
        <v>28</v>
      </c>
      <c r="H20">
        <v>16</v>
      </c>
      <c r="I20">
        <v>0</v>
      </c>
    </row>
    <row r="21" spans="1:9" x14ac:dyDescent="0.3">
      <c r="A21">
        <v>2</v>
      </c>
      <c r="B21">
        <v>0</v>
      </c>
      <c r="C21" t="s">
        <v>19</v>
      </c>
      <c r="D21" t="s">
        <v>18</v>
      </c>
      <c r="E21">
        <v>55</v>
      </c>
      <c r="F21" t="s">
        <v>29</v>
      </c>
      <c r="G21" t="s">
        <v>28</v>
      </c>
      <c r="H21">
        <v>32</v>
      </c>
      <c r="I21">
        <v>0</v>
      </c>
    </row>
    <row r="22" spans="1:9" x14ac:dyDescent="0.3">
      <c r="A22">
        <v>2</v>
      </c>
      <c r="B22">
        <v>0</v>
      </c>
      <c r="C22" t="s">
        <v>19</v>
      </c>
      <c r="D22" t="s">
        <v>18</v>
      </c>
      <c r="E22">
        <v>61</v>
      </c>
      <c r="F22" t="s">
        <v>29</v>
      </c>
      <c r="G22" t="s">
        <v>28</v>
      </c>
      <c r="H22">
        <v>16</v>
      </c>
      <c r="I22">
        <v>0</v>
      </c>
    </row>
    <row r="23" spans="1:9" x14ac:dyDescent="0.3">
      <c r="A23">
        <v>2</v>
      </c>
      <c r="B23">
        <v>0</v>
      </c>
      <c r="C23" t="s">
        <v>19</v>
      </c>
      <c r="D23" t="s">
        <v>18</v>
      </c>
      <c r="E23">
        <v>36</v>
      </c>
      <c r="F23" t="s">
        <v>29</v>
      </c>
      <c r="G23" t="s">
        <v>28</v>
      </c>
      <c r="H23">
        <v>22</v>
      </c>
      <c r="I23">
        <v>0</v>
      </c>
    </row>
    <row r="24" spans="1:9" x14ac:dyDescent="0.3">
      <c r="A24">
        <v>2</v>
      </c>
      <c r="B24">
        <v>0</v>
      </c>
      <c r="C24" t="s">
        <v>19</v>
      </c>
      <c r="D24" t="s">
        <v>18</v>
      </c>
      <c r="E24">
        <v>41</v>
      </c>
      <c r="F24" t="s">
        <v>29</v>
      </c>
      <c r="G24" t="s">
        <v>28</v>
      </c>
      <c r="H24">
        <v>25</v>
      </c>
      <c r="I24">
        <v>0</v>
      </c>
    </row>
    <row r="25" spans="1:9" x14ac:dyDescent="0.3">
      <c r="A25">
        <v>2</v>
      </c>
      <c r="B25">
        <v>0</v>
      </c>
      <c r="C25" t="s">
        <v>19</v>
      </c>
      <c r="D25" t="s">
        <v>18</v>
      </c>
      <c r="E25">
        <v>32</v>
      </c>
      <c r="F25" t="s">
        <v>29</v>
      </c>
      <c r="G25" t="s">
        <v>28</v>
      </c>
      <c r="H25">
        <v>2</v>
      </c>
      <c r="I25">
        <v>0</v>
      </c>
    </row>
    <row r="26" spans="1:9" x14ac:dyDescent="0.3">
      <c r="A26">
        <v>2</v>
      </c>
      <c r="B26">
        <v>0</v>
      </c>
      <c r="C26" t="s">
        <v>19</v>
      </c>
      <c r="D26" t="s">
        <v>18</v>
      </c>
      <c r="E26">
        <v>35</v>
      </c>
      <c r="F26" t="s">
        <v>29</v>
      </c>
      <c r="G26" t="s">
        <v>28</v>
      </c>
      <c r="H26">
        <v>49</v>
      </c>
      <c r="I26">
        <v>1</v>
      </c>
    </row>
    <row r="27" spans="1:9" x14ac:dyDescent="0.3">
      <c r="A27">
        <v>2</v>
      </c>
      <c r="B27">
        <v>0</v>
      </c>
      <c r="C27" t="s">
        <v>19</v>
      </c>
      <c r="D27" t="s">
        <v>18</v>
      </c>
      <c r="E27">
        <v>64</v>
      </c>
      <c r="F27" t="s">
        <v>29</v>
      </c>
      <c r="G27" t="s">
        <v>28</v>
      </c>
      <c r="H27">
        <v>22</v>
      </c>
      <c r="I27">
        <v>0</v>
      </c>
    </row>
    <row r="28" spans="1:9" x14ac:dyDescent="0.3">
      <c r="A28">
        <v>2</v>
      </c>
      <c r="B28">
        <v>0</v>
      </c>
      <c r="C28" t="s">
        <v>19</v>
      </c>
      <c r="D28" t="s">
        <v>18</v>
      </c>
      <c r="E28">
        <v>61</v>
      </c>
      <c r="F28" t="s">
        <v>29</v>
      </c>
      <c r="G28" t="s">
        <v>28</v>
      </c>
      <c r="H28">
        <v>20</v>
      </c>
      <c r="I28">
        <v>0</v>
      </c>
    </row>
    <row r="29" spans="1:9" x14ac:dyDescent="0.3">
      <c r="A29">
        <v>2</v>
      </c>
      <c r="B29">
        <v>0</v>
      </c>
      <c r="C29" t="s">
        <v>19</v>
      </c>
      <c r="D29" t="s">
        <v>18</v>
      </c>
      <c r="E29">
        <v>37</v>
      </c>
      <c r="F29" t="s">
        <v>29</v>
      </c>
      <c r="G29" t="s">
        <v>28</v>
      </c>
      <c r="H29">
        <v>37</v>
      </c>
      <c r="I29">
        <v>0</v>
      </c>
    </row>
    <row r="30" spans="1:9" x14ac:dyDescent="0.3">
      <c r="A30">
        <v>2</v>
      </c>
      <c r="B30">
        <v>0</v>
      </c>
      <c r="C30" t="s">
        <v>19</v>
      </c>
      <c r="D30" t="s">
        <v>18</v>
      </c>
      <c r="E30">
        <v>39</v>
      </c>
      <c r="F30" t="s">
        <v>29</v>
      </c>
      <c r="G30" t="s">
        <v>28</v>
      </c>
      <c r="H30">
        <v>15</v>
      </c>
      <c r="I30">
        <v>0</v>
      </c>
    </row>
    <row r="31" spans="1:9" x14ac:dyDescent="0.3">
      <c r="A31">
        <v>2</v>
      </c>
      <c r="B31">
        <v>0</v>
      </c>
      <c r="C31" t="s">
        <v>19</v>
      </c>
      <c r="D31" t="s">
        <v>18</v>
      </c>
      <c r="E31">
        <v>41</v>
      </c>
      <c r="F31" t="s">
        <v>29</v>
      </c>
      <c r="G31" t="s">
        <v>28</v>
      </c>
      <c r="H31">
        <v>39</v>
      </c>
      <c r="I31">
        <v>0</v>
      </c>
    </row>
    <row r="32" spans="1:9" x14ac:dyDescent="0.3">
      <c r="A32">
        <v>2</v>
      </c>
      <c r="B32">
        <v>0</v>
      </c>
      <c r="C32" t="s">
        <v>19</v>
      </c>
      <c r="D32" t="s">
        <v>18</v>
      </c>
      <c r="E32">
        <v>53</v>
      </c>
      <c r="F32" t="s">
        <v>29</v>
      </c>
      <c r="G32" t="s">
        <v>28</v>
      </c>
      <c r="H32">
        <v>40</v>
      </c>
      <c r="I32">
        <v>0</v>
      </c>
    </row>
    <row r="33" spans="1:9" x14ac:dyDescent="0.3">
      <c r="A33">
        <v>2</v>
      </c>
      <c r="B33">
        <v>0</v>
      </c>
      <c r="C33" t="s">
        <v>19</v>
      </c>
      <c r="D33" t="s">
        <v>18</v>
      </c>
      <c r="E33">
        <v>68</v>
      </c>
      <c r="F33" t="s">
        <v>29</v>
      </c>
      <c r="G33" t="s">
        <v>28</v>
      </c>
      <c r="H33">
        <v>34</v>
      </c>
      <c r="I33">
        <v>0</v>
      </c>
    </row>
    <row r="34" spans="1:9" x14ac:dyDescent="0.3">
      <c r="A34">
        <v>2</v>
      </c>
      <c r="B34">
        <v>0</v>
      </c>
      <c r="C34" t="s">
        <v>19</v>
      </c>
      <c r="D34" t="s">
        <v>18</v>
      </c>
      <c r="E34">
        <v>50</v>
      </c>
      <c r="F34" t="s">
        <v>29</v>
      </c>
      <c r="G34" t="s">
        <v>28</v>
      </c>
      <c r="H34">
        <v>13</v>
      </c>
      <c r="I34">
        <v>0</v>
      </c>
    </row>
    <row r="35" spans="1:9" x14ac:dyDescent="0.3">
      <c r="A35">
        <v>2</v>
      </c>
      <c r="B35">
        <v>0</v>
      </c>
      <c r="C35" t="s">
        <v>19</v>
      </c>
      <c r="D35" t="s">
        <v>18</v>
      </c>
      <c r="E35">
        <v>61</v>
      </c>
      <c r="F35" t="s">
        <v>29</v>
      </c>
      <c r="G35" t="s">
        <v>28</v>
      </c>
      <c r="H35">
        <v>37</v>
      </c>
      <c r="I35">
        <v>0</v>
      </c>
    </row>
    <row r="36" spans="1:9" x14ac:dyDescent="0.3">
      <c r="A36">
        <v>2</v>
      </c>
      <c r="B36">
        <v>0</v>
      </c>
      <c r="C36" t="s">
        <v>19</v>
      </c>
      <c r="D36" t="s">
        <v>18</v>
      </c>
      <c r="E36">
        <v>70</v>
      </c>
      <c r="F36" t="s">
        <v>29</v>
      </c>
      <c r="G36" t="s">
        <v>28</v>
      </c>
      <c r="H36">
        <v>33</v>
      </c>
      <c r="I36">
        <v>0</v>
      </c>
    </row>
    <row r="37" spans="1:9" x14ac:dyDescent="0.3">
      <c r="A37">
        <v>2</v>
      </c>
      <c r="B37">
        <v>0</v>
      </c>
      <c r="C37" t="s">
        <v>19</v>
      </c>
      <c r="D37" t="s">
        <v>18</v>
      </c>
      <c r="E37">
        <v>52</v>
      </c>
      <c r="F37" t="s">
        <v>29</v>
      </c>
      <c r="G37" t="s">
        <v>28</v>
      </c>
      <c r="H37">
        <v>23</v>
      </c>
      <c r="I37">
        <v>0</v>
      </c>
    </row>
    <row r="38" spans="1:9" x14ac:dyDescent="0.3">
      <c r="A38">
        <v>2</v>
      </c>
      <c r="B38">
        <v>0</v>
      </c>
      <c r="C38" t="s">
        <v>19</v>
      </c>
      <c r="D38" t="s">
        <v>18</v>
      </c>
      <c r="E38">
        <v>88</v>
      </c>
      <c r="F38" t="s">
        <v>29</v>
      </c>
      <c r="G38" t="s">
        <v>28</v>
      </c>
      <c r="H38">
        <v>34</v>
      </c>
      <c r="I38">
        <v>0</v>
      </c>
    </row>
    <row r="39" spans="1:9" x14ac:dyDescent="0.3">
      <c r="A39">
        <v>2</v>
      </c>
      <c r="B39">
        <v>0</v>
      </c>
      <c r="C39" t="s">
        <v>19</v>
      </c>
      <c r="D39" t="s">
        <v>18</v>
      </c>
      <c r="E39">
        <v>51</v>
      </c>
      <c r="F39" t="s">
        <v>29</v>
      </c>
      <c r="G39" t="s">
        <v>28</v>
      </c>
      <c r="H39">
        <v>31</v>
      </c>
      <c r="I39">
        <v>0</v>
      </c>
    </row>
    <row r="40" spans="1:9" x14ac:dyDescent="0.3">
      <c r="A40">
        <v>2</v>
      </c>
      <c r="B40">
        <v>0</v>
      </c>
      <c r="C40" t="s">
        <v>19</v>
      </c>
      <c r="D40" t="s">
        <v>18</v>
      </c>
      <c r="E40">
        <v>61</v>
      </c>
      <c r="F40" t="s">
        <v>29</v>
      </c>
      <c r="G40" t="s">
        <v>28</v>
      </c>
      <c r="H40">
        <v>30</v>
      </c>
      <c r="I40">
        <v>0</v>
      </c>
    </row>
    <row r="41" spans="1:9" x14ac:dyDescent="0.3">
      <c r="A41">
        <v>2</v>
      </c>
      <c r="B41">
        <v>0</v>
      </c>
      <c r="C41" t="s">
        <v>19</v>
      </c>
      <c r="D41" t="s">
        <v>18</v>
      </c>
      <c r="E41">
        <v>64</v>
      </c>
      <c r="F41" t="s">
        <v>29</v>
      </c>
      <c r="G41" t="s">
        <v>28</v>
      </c>
      <c r="H41">
        <v>8</v>
      </c>
      <c r="I41">
        <v>0</v>
      </c>
    </row>
    <row r="42" spans="1:9" x14ac:dyDescent="0.3">
      <c r="A42">
        <v>2</v>
      </c>
      <c r="B42">
        <v>0</v>
      </c>
      <c r="C42" t="s">
        <v>19</v>
      </c>
      <c r="D42" t="s">
        <v>18</v>
      </c>
      <c r="E42">
        <v>52</v>
      </c>
      <c r="F42" t="s">
        <v>29</v>
      </c>
      <c r="G42" t="s">
        <v>28</v>
      </c>
      <c r="H42">
        <v>19</v>
      </c>
      <c r="I42">
        <v>0</v>
      </c>
    </row>
    <row r="43" spans="1:9" x14ac:dyDescent="0.3">
      <c r="A43">
        <v>2</v>
      </c>
      <c r="B43">
        <v>0</v>
      </c>
      <c r="C43" t="s">
        <v>19</v>
      </c>
      <c r="D43" t="s">
        <v>18</v>
      </c>
      <c r="E43">
        <v>60</v>
      </c>
      <c r="F43" t="s">
        <v>29</v>
      </c>
      <c r="G43" t="s">
        <v>28</v>
      </c>
      <c r="H43">
        <v>36</v>
      </c>
      <c r="I43">
        <v>0</v>
      </c>
    </row>
    <row r="44" spans="1:9" x14ac:dyDescent="0.3">
      <c r="A44">
        <v>2</v>
      </c>
      <c r="B44">
        <v>0</v>
      </c>
      <c r="C44" t="s">
        <v>19</v>
      </c>
      <c r="D44" t="s">
        <v>18</v>
      </c>
      <c r="E44">
        <v>53</v>
      </c>
      <c r="F44" t="s">
        <v>29</v>
      </c>
      <c r="G44" t="s">
        <v>28</v>
      </c>
      <c r="H44">
        <v>14</v>
      </c>
      <c r="I44">
        <v>0</v>
      </c>
    </row>
    <row r="45" spans="1:9" x14ac:dyDescent="0.3">
      <c r="A45">
        <v>2</v>
      </c>
      <c r="B45">
        <v>0</v>
      </c>
      <c r="C45" t="s">
        <v>19</v>
      </c>
      <c r="D45" t="s">
        <v>18</v>
      </c>
      <c r="E45">
        <v>59</v>
      </c>
      <c r="F45" t="s">
        <v>29</v>
      </c>
      <c r="G45" t="s">
        <v>28</v>
      </c>
      <c r="H45">
        <v>55</v>
      </c>
      <c r="I45">
        <v>0</v>
      </c>
    </row>
    <row r="46" spans="1:9" x14ac:dyDescent="0.3">
      <c r="A46">
        <v>2</v>
      </c>
      <c r="B46">
        <v>0</v>
      </c>
      <c r="C46" t="s">
        <v>19</v>
      </c>
      <c r="D46" t="s">
        <v>18</v>
      </c>
      <c r="E46">
        <v>84</v>
      </c>
      <c r="F46" t="s">
        <v>29</v>
      </c>
      <c r="G46" t="s">
        <v>28</v>
      </c>
      <c r="H46">
        <v>39</v>
      </c>
      <c r="I46">
        <v>0</v>
      </c>
    </row>
    <row r="47" spans="1:9" x14ac:dyDescent="0.3">
      <c r="A47">
        <v>2</v>
      </c>
      <c r="B47">
        <v>0</v>
      </c>
      <c r="C47" t="s">
        <v>19</v>
      </c>
      <c r="D47" t="s">
        <v>18</v>
      </c>
      <c r="E47">
        <v>37</v>
      </c>
      <c r="F47" t="s">
        <v>29</v>
      </c>
      <c r="G47" t="s">
        <v>28</v>
      </c>
      <c r="H47">
        <v>15</v>
      </c>
      <c r="I47">
        <v>0</v>
      </c>
    </row>
    <row r="48" spans="1:9" x14ac:dyDescent="0.3">
      <c r="A48">
        <v>2</v>
      </c>
      <c r="B48">
        <v>0</v>
      </c>
      <c r="C48" t="s">
        <v>19</v>
      </c>
      <c r="D48" t="s">
        <v>18</v>
      </c>
      <c r="E48">
        <v>56</v>
      </c>
      <c r="F48" t="s">
        <v>29</v>
      </c>
      <c r="G48" t="s">
        <v>28</v>
      </c>
      <c r="H48">
        <v>30</v>
      </c>
      <c r="I48">
        <v>0</v>
      </c>
    </row>
    <row r="49" spans="1:9" x14ac:dyDescent="0.3">
      <c r="A49">
        <v>2</v>
      </c>
      <c r="B49">
        <v>0</v>
      </c>
      <c r="C49" t="s">
        <v>19</v>
      </c>
      <c r="D49" t="s">
        <v>18</v>
      </c>
      <c r="E49">
        <v>59</v>
      </c>
      <c r="F49" t="s">
        <v>29</v>
      </c>
      <c r="G49" t="s">
        <v>28</v>
      </c>
      <c r="H49">
        <v>7</v>
      </c>
      <c r="I49">
        <v>0</v>
      </c>
    </row>
    <row r="50" spans="1:9" x14ac:dyDescent="0.3">
      <c r="A50">
        <v>2</v>
      </c>
      <c r="B50">
        <v>0</v>
      </c>
      <c r="C50" t="s">
        <v>19</v>
      </c>
      <c r="D50" t="s">
        <v>18</v>
      </c>
      <c r="E50">
        <v>69</v>
      </c>
      <c r="F50" t="s">
        <v>29</v>
      </c>
      <c r="G50" t="s">
        <v>28</v>
      </c>
      <c r="H50">
        <v>36</v>
      </c>
      <c r="I50">
        <v>0</v>
      </c>
    </row>
    <row r="51" spans="1:9" x14ac:dyDescent="0.3">
      <c r="A51">
        <v>2</v>
      </c>
      <c r="B51">
        <v>1</v>
      </c>
      <c r="C51" t="s">
        <v>19</v>
      </c>
      <c r="D51" t="s">
        <v>18</v>
      </c>
      <c r="E51">
        <v>67</v>
      </c>
      <c r="F51" t="s">
        <v>29</v>
      </c>
      <c r="G51" t="s">
        <v>28</v>
      </c>
      <c r="H51">
        <v>74</v>
      </c>
      <c r="I51">
        <v>1</v>
      </c>
    </row>
    <row r="52" spans="1:9" x14ac:dyDescent="0.3">
      <c r="A52">
        <v>2</v>
      </c>
      <c r="B52">
        <v>1</v>
      </c>
      <c r="C52" t="s">
        <v>19</v>
      </c>
      <c r="D52" t="s">
        <v>18</v>
      </c>
      <c r="E52">
        <v>43</v>
      </c>
      <c r="F52" t="s">
        <v>29</v>
      </c>
      <c r="G52" t="s">
        <v>28</v>
      </c>
      <c r="H52">
        <v>30</v>
      </c>
      <c r="I52">
        <v>0</v>
      </c>
    </row>
    <row r="53" spans="1:9" x14ac:dyDescent="0.3">
      <c r="A53">
        <v>2</v>
      </c>
      <c r="B53">
        <v>1</v>
      </c>
      <c r="C53" t="s">
        <v>19</v>
      </c>
      <c r="D53" t="s">
        <v>18</v>
      </c>
      <c r="E53">
        <v>54</v>
      </c>
      <c r="F53" t="s">
        <v>29</v>
      </c>
      <c r="G53" t="s">
        <v>28</v>
      </c>
      <c r="H53">
        <v>19</v>
      </c>
      <c r="I53">
        <v>0</v>
      </c>
    </row>
    <row r="54" spans="1:9" x14ac:dyDescent="0.3">
      <c r="A54">
        <v>2</v>
      </c>
      <c r="B54">
        <v>1</v>
      </c>
      <c r="C54" t="s">
        <v>19</v>
      </c>
      <c r="D54" t="s">
        <v>18</v>
      </c>
      <c r="E54">
        <v>37</v>
      </c>
      <c r="F54" t="s">
        <v>29</v>
      </c>
      <c r="G54" t="s">
        <v>28</v>
      </c>
      <c r="H54">
        <v>24</v>
      </c>
      <c r="I54">
        <v>0</v>
      </c>
    </row>
    <row r="55" spans="1:9" x14ac:dyDescent="0.3">
      <c r="A55">
        <v>2</v>
      </c>
      <c r="B55">
        <v>1</v>
      </c>
      <c r="C55" t="s">
        <v>19</v>
      </c>
      <c r="D55" t="s">
        <v>18</v>
      </c>
      <c r="E55">
        <v>46</v>
      </c>
      <c r="F55" t="s">
        <v>29</v>
      </c>
      <c r="G55" t="s">
        <v>28</v>
      </c>
      <c r="H55">
        <v>11</v>
      </c>
      <c r="I55">
        <v>0</v>
      </c>
    </row>
    <row r="56" spans="1:9" x14ac:dyDescent="0.3">
      <c r="A56">
        <v>2</v>
      </c>
      <c r="B56">
        <v>1</v>
      </c>
      <c r="C56" t="s">
        <v>19</v>
      </c>
      <c r="D56" t="s">
        <v>18</v>
      </c>
      <c r="E56">
        <v>67</v>
      </c>
      <c r="F56" t="s">
        <v>29</v>
      </c>
      <c r="G56" t="s">
        <v>28</v>
      </c>
      <c r="H56">
        <v>31</v>
      </c>
      <c r="I56">
        <v>0</v>
      </c>
    </row>
    <row r="57" spans="1:9" x14ac:dyDescent="0.3">
      <c r="A57">
        <v>2</v>
      </c>
      <c r="B57">
        <v>1</v>
      </c>
      <c r="C57" t="s">
        <v>19</v>
      </c>
      <c r="D57" t="s">
        <v>18</v>
      </c>
      <c r="E57">
        <v>78</v>
      </c>
      <c r="F57" t="s">
        <v>29</v>
      </c>
      <c r="G57" t="s">
        <v>28</v>
      </c>
      <c r="H57">
        <v>29</v>
      </c>
      <c r="I57">
        <v>0</v>
      </c>
    </row>
    <row r="58" spans="1:9" x14ac:dyDescent="0.3">
      <c r="A58">
        <v>2</v>
      </c>
      <c r="B58">
        <v>1</v>
      </c>
      <c r="C58" t="s">
        <v>19</v>
      </c>
      <c r="D58" t="s">
        <v>18</v>
      </c>
      <c r="E58">
        <v>64</v>
      </c>
      <c r="F58" t="s">
        <v>29</v>
      </c>
      <c r="G58" t="s">
        <v>28</v>
      </c>
      <c r="H58">
        <v>12</v>
      </c>
      <c r="I58">
        <v>0</v>
      </c>
    </row>
    <row r="59" spans="1:9" x14ac:dyDescent="0.3">
      <c r="A59">
        <v>2</v>
      </c>
      <c r="B59">
        <v>1</v>
      </c>
      <c r="C59" t="s">
        <v>19</v>
      </c>
      <c r="D59" t="s">
        <v>18</v>
      </c>
      <c r="E59">
        <v>45</v>
      </c>
      <c r="F59" t="s">
        <v>29</v>
      </c>
      <c r="G59" t="s">
        <v>28</v>
      </c>
      <c r="H59">
        <v>6</v>
      </c>
      <c r="I59">
        <v>0</v>
      </c>
    </row>
    <row r="60" spans="1:9" x14ac:dyDescent="0.3">
      <c r="A60">
        <v>2</v>
      </c>
      <c r="B60">
        <v>1</v>
      </c>
      <c r="C60" t="s">
        <v>19</v>
      </c>
      <c r="D60" t="s">
        <v>18</v>
      </c>
      <c r="E60">
        <v>77</v>
      </c>
      <c r="F60" t="s">
        <v>29</v>
      </c>
      <c r="G60" t="s">
        <v>28</v>
      </c>
      <c r="H60">
        <v>19</v>
      </c>
      <c r="I60">
        <v>0</v>
      </c>
    </row>
    <row r="61" spans="1:9" x14ac:dyDescent="0.3">
      <c r="A61">
        <v>2</v>
      </c>
      <c r="B61">
        <v>1</v>
      </c>
      <c r="C61" t="s">
        <v>19</v>
      </c>
      <c r="D61" t="s">
        <v>18</v>
      </c>
      <c r="E61">
        <v>39</v>
      </c>
      <c r="F61" t="s">
        <v>29</v>
      </c>
      <c r="G61" t="s">
        <v>28</v>
      </c>
      <c r="H61">
        <v>23</v>
      </c>
      <c r="I61">
        <v>0</v>
      </c>
    </row>
    <row r="62" spans="1:9" x14ac:dyDescent="0.3">
      <c r="A62">
        <v>2</v>
      </c>
      <c r="B62">
        <v>1</v>
      </c>
      <c r="C62" t="s">
        <v>19</v>
      </c>
      <c r="D62" t="s">
        <v>18</v>
      </c>
      <c r="E62">
        <v>59</v>
      </c>
      <c r="F62" t="s">
        <v>29</v>
      </c>
      <c r="G62" t="s">
        <v>28</v>
      </c>
      <c r="H62">
        <v>21</v>
      </c>
      <c r="I62">
        <v>0</v>
      </c>
    </row>
    <row r="63" spans="1:9" x14ac:dyDescent="0.3">
      <c r="A63">
        <v>2</v>
      </c>
      <c r="B63">
        <v>1</v>
      </c>
      <c r="C63" t="s">
        <v>19</v>
      </c>
      <c r="D63" t="s">
        <v>18</v>
      </c>
      <c r="E63">
        <v>55</v>
      </c>
      <c r="F63" t="s">
        <v>29</v>
      </c>
      <c r="G63" t="s">
        <v>28</v>
      </c>
      <c r="H63">
        <v>20</v>
      </c>
      <c r="I63">
        <v>0</v>
      </c>
    </row>
    <row r="64" spans="1:9" x14ac:dyDescent="0.3">
      <c r="A64">
        <v>2</v>
      </c>
      <c r="B64">
        <v>1</v>
      </c>
      <c r="C64" t="s">
        <v>19</v>
      </c>
      <c r="D64" t="s">
        <v>18</v>
      </c>
      <c r="E64">
        <v>60</v>
      </c>
      <c r="F64" t="s">
        <v>29</v>
      </c>
      <c r="G64" t="s">
        <v>28</v>
      </c>
      <c r="H64">
        <v>43</v>
      </c>
      <c r="I64">
        <v>0</v>
      </c>
    </row>
    <row r="65" spans="1:9" x14ac:dyDescent="0.3">
      <c r="A65">
        <v>2</v>
      </c>
      <c r="B65">
        <v>1</v>
      </c>
      <c r="C65" t="s">
        <v>19</v>
      </c>
      <c r="D65" t="s">
        <v>18</v>
      </c>
      <c r="E65">
        <v>68</v>
      </c>
      <c r="F65" t="s">
        <v>29</v>
      </c>
      <c r="G65" t="s">
        <v>28</v>
      </c>
      <c r="H65">
        <v>24</v>
      </c>
      <c r="I65">
        <v>0</v>
      </c>
    </row>
    <row r="66" spans="1:9" x14ac:dyDescent="0.3">
      <c r="A66">
        <v>2</v>
      </c>
      <c r="B66">
        <v>1</v>
      </c>
      <c r="C66" t="s">
        <v>19</v>
      </c>
      <c r="D66" t="s">
        <v>18</v>
      </c>
      <c r="E66">
        <v>65</v>
      </c>
      <c r="F66" t="s">
        <v>29</v>
      </c>
      <c r="G66" t="s">
        <v>28</v>
      </c>
      <c r="H66">
        <v>15</v>
      </c>
      <c r="I66">
        <v>0</v>
      </c>
    </row>
    <row r="67" spans="1:9" x14ac:dyDescent="0.3">
      <c r="A67">
        <v>2</v>
      </c>
      <c r="B67">
        <v>1</v>
      </c>
      <c r="C67" t="s">
        <v>19</v>
      </c>
      <c r="D67" t="s">
        <v>18</v>
      </c>
      <c r="E67">
        <v>51</v>
      </c>
      <c r="F67" t="s">
        <v>29</v>
      </c>
      <c r="G67" t="s">
        <v>28</v>
      </c>
      <c r="H67">
        <v>35</v>
      </c>
      <c r="I67">
        <v>0</v>
      </c>
    </row>
    <row r="68" spans="1:9" x14ac:dyDescent="0.3">
      <c r="A68">
        <v>2</v>
      </c>
      <c r="B68">
        <v>1</v>
      </c>
      <c r="C68" t="s">
        <v>19</v>
      </c>
      <c r="D68" t="s">
        <v>18</v>
      </c>
      <c r="E68">
        <v>82</v>
      </c>
      <c r="F68" t="s">
        <v>29</v>
      </c>
      <c r="G68" t="s">
        <v>28</v>
      </c>
      <c r="H68">
        <v>56</v>
      </c>
      <c r="I68">
        <v>0</v>
      </c>
    </row>
    <row r="69" spans="1:9" x14ac:dyDescent="0.3">
      <c r="A69">
        <v>2</v>
      </c>
      <c r="B69">
        <v>1</v>
      </c>
      <c r="C69" t="s">
        <v>19</v>
      </c>
      <c r="D69" t="s">
        <v>18</v>
      </c>
      <c r="E69">
        <v>36</v>
      </c>
      <c r="F69" t="s">
        <v>29</v>
      </c>
      <c r="G69" t="s">
        <v>28</v>
      </c>
      <c r="H69">
        <v>30</v>
      </c>
      <c r="I69">
        <v>0</v>
      </c>
    </row>
    <row r="70" spans="1:9" x14ac:dyDescent="0.3">
      <c r="A70">
        <v>2</v>
      </c>
      <c r="B70">
        <v>1</v>
      </c>
      <c r="C70" t="s">
        <v>19</v>
      </c>
      <c r="D70" t="s">
        <v>18</v>
      </c>
      <c r="E70">
        <v>60</v>
      </c>
      <c r="F70" t="s">
        <v>29</v>
      </c>
      <c r="G70" t="s">
        <v>28</v>
      </c>
      <c r="H70">
        <v>34</v>
      </c>
      <c r="I70">
        <v>0</v>
      </c>
    </row>
    <row r="71" spans="1:9" x14ac:dyDescent="0.3">
      <c r="A71">
        <v>2</v>
      </c>
      <c r="B71">
        <v>1</v>
      </c>
      <c r="C71" t="s">
        <v>19</v>
      </c>
      <c r="D71" t="s">
        <v>18</v>
      </c>
      <c r="E71">
        <v>69</v>
      </c>
      <c r="F71" t="s">
        <v>29</v>
      </c>
      <c r="G71" t="s">
        <v>28</v>
      </c>
      <c r="H71">
        <v>43</v>
      </c>
      <c r="I71">
        <v>0</v>
      </c>
    </row>
    <row r="72" spans="1:9" x14ac:dyDescent="0.3">
      <c r="A72">
        <v>2</v>
      </c>
      <c r="B72">
        <v>1</v>
      </c>
      <c r="C72" t="s">
        <v>19</v>
      </c>
      <c r="D72" t="s">
        <v>18</v>
      </c>
      <c r="E72">
        <v>60</v>
      </c>
      <c r="F72" t="s">
        <v>29</v>
      </c>
      <c r="G72" t="s">
        <v>28</v>
      </c>
      <c r="H72">
        <v>31</v>
      </c>
      <c r="I72">
        <v>0</v>
      </c>
    </row>
    <row r="73" spans="1:9" x14ac:dyDescent="0.3">
      <c r="A73">
        <v>2</v>
      </c>
      <c r="B73">
        <v>1</v>
      </c>
      <c r="C73" t="s">
        <v>19</v>
      </c>
      <c r="D73" t="s">
        <v>18</v>
      </c>
      <c r="E73">
        <v>52</v>
      </c>
      <c r="F73" t="s">
        <v>29</v>
      </c>
      <c r="G73" t="s">
        <v>28</v>
      </c>
      <c r="H73">
        <v>25</v>
      </c>
      <c r="I73">
        <v>0</v>
      </c>
    </row>
    <row r="74" spans="1:9" x14ac:dyDescent="0.3">
      <c r="A74">
        <v>2</v>
      </c>
      <c r="B74">
        <v>1</v>
      </c>
      <c r="C74" t="s">
        <v>19</v>
      </c>
      <c r="D74" t="s">
        <v>18</v>
      </c>
      <c r="E74">
        <v>64</v>
      </c>
      <c r="F74" t="s">
        <v>29</v>
      </c>
      <c r="G74" t="s">
        <v>28</v>
      </c>
      <c r="H74">
        <v>48</v>
      </c>
      <c r="I74">
        <v>0</v>
      </c>
    </row>
    <row r="75" spans="1:9" x14ac:dyDescent="0.3">
      <c r="A75">
        <v>2</v>
      </c>
      <c r="B75">
        <v>1</v>
      </c>
      <c r="C75" t="s">
        <v>19</v>
      </c>
      <c r="D75" t="s">
        <v>18</v>
      </c>
      <c r="E75">
        <v>42</v>
      </c>
      <c r="F75" t="s">
        <v>29</v>
      </c>
      <c r="G75" t="s">
        <v>28</v>
      </c>
      <c r="H75">
        <v>9</v>
      </c>
      <c r="I75">
        <v>0</v>
      </c>
    </row>
    <row r="76" spans="1:9" x14ac:dyDescent="0.3">
      <c r="A76">
        <v>2</v>
      </c>
      <c r="B76">
        <v>1</v>
      </c>
      <c r="C76" t="s">
        <v>19</v>
      </c>
      <c r="D76" t="s">
        <v>18</v>
      </c>
      <c r="E76">
        <v>61</v>
      </c>
      <c r="F76" t="s">
        <v>29</v>
      </c>
      <c r="G76" t="s">
        <v>28</v>
      </c>
      <c r="H76">
        <v>11</v>
      </c>
      <c r="I76">
        <v>0</v>
      </c>
    </row>
    <row r="77" spans="1:9" x14ac:dyDescent="0.3">
      <c r="A77">
        <v>2</v>
      </c>
      <c r="B77">
        <v>1</v>
      </c>
      <c r="C77" t="s">
        <v>19</v>
      </c>
      <c r="D77" t="s">
        <v>18</v>
      </c>
      <c r="E77">
        <v>53</v>
      </c>
      <c r="F77" t="s">
        <v>29</v>
      </c>
      <c r="G77" t="s">
        <v>28</v>
      </c>
      <c r="H77">
        <v>27</v>
      </c>
      <c r="I77">
        <v>0</v>
      </c>
    </row>
    <row r="78" spans="1:9" x14ac:dyDescent="0.3">
      <c r="A78">
        <v>2</v>
      </c>
      <c r="B78">
        <v>1</v>
      </c>
      <c r="C78" t="s">
        <v>19</v>
      </c>
      <c r="D78" t="s">
        <v>18</v>
      </c>
      <c r="E78">
        <v>34</v>
      </c>
      <c r="F78" t="s">
        <v>29</v>
      </c>
      <c r="G78" t="s">
        <v>28</v>
      </c>
      <c r="H78">
        <v>47</v>
      </c>
      <c r="I78">
        <v>1</v>
      </c>
    </row>
    <row r="79" spans="1:9" x14ac:dyDescent="0.3">
      <c r="A79">
        <v>2</v>
      </c>
      <c r="B79">
        <v>1</v>
      </c>
      <c r="C79" t="s">
        <v>19</v>
      </c>
      <c r="D79" t="s">
        <v>18</v>
      </c>
      <c r="E79">
        <v>73</v>
      </c>
      <c r="F79" t="s">
        <v>29</v>
      </c>
      <c r="G79" t="s">
        <v>28</v>
      </c>
      <c r="H79">
        <v>36</v>
      </c>
      <c r="I79">
        <v>0</v>
      </c>
    </row>
    <row r="80" spans="1:9" x14ac:dyDescent="0.3">
      <c r="A80">
        <v>2</v>
      </c>
      <c r="B80">
        <v>1</v>
      </c>
      <c r="C80" t="s">
        <v>19</v>
      </c>
      <c r="D80" t="s">
        <v>18</v>
      </c>
      <c r="E80">
        <v>82</v>
      </c>
      <c r="F80" t="s">
        <v>29</v>
      </c>
      <c r="G80" t="s">
        <v>28</v>
      </c>
      <c r="H80">
        <v>31</v>
      </c>
      <c r="I80">
        <v>0</v>
      </c>
    </row>
    <row r="81" spans="1:9" x14ac:dyDescent="0.3">
      <c r="A81">
        <v>2</v>
      </c>
      <c r="B81">
        <v>1</v>
      </c>
      <c r="C81" t="s">
        <v>19</v>
      </c>
      <c r="D81" t="s">
        <v>18</v>
      </c>
      <c r="E81">
        <v>87</v>
      </c>
      <c r="F81" t="s">
        <v>29</v>
      </c>
      <c r="G81" t="s">
        <v>28</v>
      </c>
      <c r="H81">
        <v>18</v>
      </c>
      <c r="I81">
        <v>0</v>
      </c>
    </row>
    <row r="82" spans="1:9" x14ac:dyDescent="0.3">
      <c r="A82">
        <v>2</v>
      </c>
      <c r="B82">
        <v>1</v>
      </c>
      <c r="C82" t="s">
        <v>19</v>
      </c>
      <c r="D82" t="s">
        <v>18</v>
      </c>
      <c r="E82">
        <v>68</v>
      </c>
      <c r="F82" t="s">
        <v>29</v>
      </c>
      <c r="G82" t="s">
        <v>28</v>
      </c>
      <c r="H82">
        <v>22</v>
      </c>
      <c r="I82">
        <v>0</v>
      </c>
    </row>
    <row r="83" spans="1:9" x14ac:dyDescent="0.3">
      <c r="A83">
        <v>2</v>
      </c>
      <c r="B83">
        <v>1</v>
      </c>
      <c r="C83" t="s">
        <v>19</v>
      </c>
      <c r="D83" t="s">
        <v>18</v>
      </c>
      <c r="E83">
        <v>68</v>
      </c>
      <c r="F83" t="s">
        <v>29</v>
      </c>
      <c r="G83" t="s">
        <v>28</v>
      </c>
      <c r="H83">
        <v>7</v>
      </c>
      <c r="I83">
        <v>0</v>
      </c>
    </row>
    <row r="84" spans="1:9" x14ac:dyDescent="0.3">
      <c r="A84">
        <v>2</v>
      </c>
      <c r="B84">
        <v>1</v>
      </c>
      <c r="C84" t="s">
        <v>19</v>
      </c>
      <c r="D84" t="s">
        <v>18</v>
      </c>
      <c r="E84">
        <v>26</v>
      </c>
      <c r="F84" t="s">
        <v>29</v>
      </c>
      <c r="G84" t="s">
        <v>28</v>
      </c>
      <c r="H84">
        <v>26</v>
      </c>
      <c r="I84">
        <v>0</v>
      </c>
    </row>
    <row r="85" spans="1:9" x14ac:dyDescent="0.3">
      <c r="A85">
        <v>2</v>
      </c>
      <c r="B85">
        <v>1</v>
      </c>
      <c r="C85" t="s">
        <v>19</v>
      </c>
      <c r="D85" t="s">
        <v>18</v>
      </c>
      <c r="E85">
        <v>55</v>
      </c>
      <c r="F85" t="s">
        <v>29</v>
      </c>
      <c r="G85" t="s">
        <v>28</v>
      </c>
      <c r="H85">
        <v>55</v>
      </c>
      <c r="I85">
        <v>0</v>
      </c>
    </row>
    <row r="86" spans="1:9" x14ac:dyDescent="0.3">
      <c r="A86">
        <v>2</v>
      </c>
      <c r="B86">
        <v>1</v>
      </c>
      <c r="C86" t="s">
        <v>19</v>
      </c>
      <c r="D86" t="s">
        <v>18</v>
      </c>
      <c r="E86">
        <v>68</v>
      </c>
      <c r="F86" t="s">
        <v>29</v>
      </c>
      <c r="G86" t="s">
        <v>28</v>
      </c>
      <c r="H86">
        <v>22</v>
      </c>
      <c r="I86">
        <v>0</v>
      </c>
    </row>
    <row r="87" spans="1:9" x14ac:dyDescent="0.3">
      <c r="A87">
        <v>2</v>
      </c>
      <c r="B87">
        <v>1</v>
      </c>
      <c r="C87" t="s">
        <v>19</v>
      </c>
      <c r="D87" t="s">
        <v>18</v>
      </c>
      <c r="E87">
        <v>81</v>
      </c>
      <c r="F87" t="s">
        <v>29</v>
      </c>
      <c r="G87" t="s">
        <v>28</v>
      </c>
      <c r="H87">
        <v>28</v>
      </c>
      <c r="I87">
        <v>0</v>
      </c>
    </row>
    <row r="88" spans="1:9" x14ac:dyDescent="0.3">
      <c r="A88">
        <v>2</v>
      </c>
      <c r="B88">
        <v>1</v>
      </c>
      <c r="C88" t="s">
        <v>19</v>
      </c>
      <c r="D88" t="s">
        <v>18</v>
      </c>
      <c r="E88">
        <v>54</v>
      </c>
      <c r="F88" t="s">
        <v>29</v>
      </c>
      <c r="G88" t="s">
        <v>28</v>
      </c>
      <c r="H88">
        <v>16</v>
      </c>
      <c r="I88">
        <v>0</v>
      </c>
    </row>
    <row r="89" spans="1:9" x14ac:dyDescent="0.3">
      <c r="A89">
        <v>2</v>
      </c>
      <c r="B89">
        <v>1</v>
      </c>
      <c r="C89" t="s">
        <v>19</v>
      </c>
      <c r="D89" t="s">
        <v>18</v>
      </c>
      <c r="E89">
        <v>47</v>
      </c>
      <c r="F89" t="s">
        <v>29</v>
      </c>
      <c r="G89" t="s">
        <v>28</v>
      </c>
      <c r="H89">
        <v>18</v>
      </c>
      <c r="I89">
        <v>0</v>
      </c>
    </row>
    <row r="90" spans="1:9" x14ac:dyDescent="0.3">
      <c r="A90">
        <v>2</v>
      </c>
      <c r="B90">
        <v>1</v>
      </c>
      <c r="C90" t="s">
        <v>19</v>
      </c>
      <c r="D90" t="s">
        <v>18</v>
      </c>
      <c r="E90">
        <v>57</v>
      </c>
      <c r="F90" t="s">
        <v>29</v>
      </c>
      <c r="G90" t="s">
        <v>28</v>
      </c>
      <c r="H90">
        <v>25</v>
      </c>
      <c r="I90">
        <v>0</v>
      </c>
    </row>
    <row r="91" spans="1:9" x14ac:dyDescent="0.3">
      <c r="A91">
        <v>2</v>
      </c>
      <c r="B91">
        <v>1</v>
      </c>
      <c r="C91" t="s">
        <v>19</v>
      </c>
      <c r="D91" t="s">
        <v>18</v>
      </c>
      <c r="E91">
        <v>45</v>
      </c>
      <c r="F91" t="s">
        <v>29</v>
      </c>
      <c r="G91" t="s">
        <v>28</v>
      </c>
      <c r="H91">
        <v>24</v>
      </c>
      <c r="I91">
        <v>0</v>
      </c>
    </row>
    <row r="92" spans="1:9" x14ac:dyDescent="0.3">
      <c r="A92">
        <v>2</v>
      </c>
      <c r="B92">
        <v>1</v>
      </c>
      <c r="C92" t="s">
        <v>19</v>
      </c>
      <c r="D92" t="s">
        <v>18</v>
      </c>
      <c r="E92">
        <v>42</v>
      </c>
      <c r="F92" t="s">
        <v>29</v>
      </c>
      <c r="G92" t="s">
        <v>28</v>
      </c>
      <c r="H92">
        <v>16</v>
      </c>
      <c r="I92">
        <v>0</v>
      </c>
    </row>
    <row r="93" spans="1:9" x14ac:dyDescent="0.3">
      <c r="A93">
        <v>2</v>
      </c>
      <c r="B93">
        <v>1</v>
      </c>
      <c r="C93" t="s">
        <v>19</v>
      </c>
      <c r="D93" t="s">
        <v>18</v>
      </c>
      <c r="E93">
        <v>66</v>
      </c>
      <c r="F93" t="s">
        <v>29</v>
      </c>
      <c r="G93" t="s">
        <v>28</v>
      </c>
      <c r="H93">
        <v>9</v>
      </c>
      <c r="I93">
        <v>0</v>
      </c>
    </row>
    <row r="94" spans="1:9" x14ac:dyDescent="0.3">
      <c r="A94">
        <v>2</v>
      </c>
      <c r="B94">
        <v>1</v>
      </c>
      <c r="C94" t="s">
        <v>19</v>
      </c>
      <c r="D94" t="s">
        <v>18</v>
      </c>
      <c r="E94">
        <v>50</v>
      </c>
      <c r="F94" t="s">
        <v>29</v>
      </c>
      <c r="G94" t="s">
        <v>28</v>
      </c>
      <c r="H94">
        <v>31</v>
      </c>
      <c r="I94">
        <v>0</v>
      </c>
    </row>
    <row r="95" spans="1:9" x14ac:dyDescent="0.3">
      <c r="A95">
        <v>2</v>
      </c>
      <c r="B95">
        <v>1</v>
      </c>
      <c r="C95" t="s">
        <v>19</v>
      </c>
      <c r="D95" t="s">
        <v>18</v>
      </c>
      <c r="E95">
        <v>74</v>
      </c>
      <c r="F95" t="s">
        <v>29</v>
      </c>
      <c r="G95" t="s">
        <v>28</v>
      </c>
      <c r="H95">
        <v>37</v>
      </c>
      <c r="I95">
        <v>0</v>
      </c>
    </row>
    <row r="96" spans="1:9" x14ac:dyDescent="0.3">
      <c r="A96">
        <v>2</v>
      </c>
      <c r="B96">
        <v>1</v>
      </c>
      <c r="C96" t="s">
        <v>19</v>
      </c>
      <c r="D96" t="s">
        <v>18</v>
      </c>
      <c r="E96">
        <v>39</v>
      </c>
      <c r="F96" t="s">
        <v>29</v>
      </c>
      <c r="G96" t="s">
        <v>28</v>
      </c>
      <c r="H96">
        <v>26</v>
      </c>
      <c r="I96">
        <v>0</v>
      </c>
    </row>
    <row r="97" spans="1:9" x14ac:dyDescent="0.3">
      <c r="A97">
        <v>2</v>
      </c>
      <c r="B97">
        <v>1</v>
      </c>
      <c r="C97" t="s">
        <v>19</v>
      </c>
      <c r="D97" t="s">
        <v>18</v>
      </c>
      <c r="E97">
        <v>58</v>
      </c>
      <c r="F97" t="s">
        <v>29</v>
      </c>
      <c r="G97" t="s">
        <v>28</v>
      </c>
      <c r="H97">
        <v>39</v>
      </c>
      <c r="I97">
        <v>0</v>
      </c>
    </row>
    <row r="98" spans="1:9" x14ac:dyDescent="0.3">
      <c r="A98">
        <v>2</v>
      </c>
      <c r="B98">
        <v>1</v>
      </c>
      <c r="C98" t="s">
        <v>19</v>
      </c>
      <c r="D98" t="s">
        <v>18</v>
      </c>
      <c r="E98">
        <v>46</v>
      </c>
      <c r="F98" t="s">
        <v>29</v>
      </c>
      <c r="G98" t="s">
        <v>28</v>
      </c>
      <c r="H98">
        <v>24</v>
      </c>
      <c r="I98">
        <v>0</v>
      </c>
    </row>
    <row r="99" spans="1:9" x14ac:dyDescent="0.3">
      <c r="A99">
        <v>2</v>
      </c>
      <c r="B99">
        <v>1</v>
      </c>
      <c r="C99" t="s">
        <v>19</v>
      </c>
      <c r="D99" t="s">
        <v>18</v>
      </c>
      <c r="E99">
        <v>40</v>
      </c>
      <c r="F99" t="s">
        <v>29</v>
      </c>
      <c r="G99" t="s">
        <v>28</v>
      </c>
      <c r="H99">
        <v>26</v>
      </c>
      <c r="I99">
        <v>0</v>
      </c>
    </row>
    <row r="100" spans="1:9" x14ac:dyDescent="0.3">
      <c r="A100">
        <v>2</v>
      </c>
      <c r="B100">
        <v>1</v>
      </c>
      <c r="C100" t="s">
        <v>19</v>
      </c>
      <c r="D100" t="s">
        <v>18</v>
      </c>
      <c r="E100">
        <v>66</v>
      </c>
      <c r="F100" t="s">
        <v>29</v>
      </c>
      <c r="G100" t="s">
        <v>28</v>
      </c>
      <c r="H100">
        <v>36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4E59-3782-4971-B867-47159D918128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21</v>
      </c>
      <c r="D1" t="s">
        <v>20</v>
      </c>
      <c r="E1">
        <v>31</v>
      </c>
      <c r="F1" t="s">
        <v>23</v>
      </c>
      <c r="G1" t="s">
        <v>22</v>
      </c>
      <c r="H1">
        <v>50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21</v>
      </c>
      <c r="D2" t="s">
        <v>20</v>
      </c>
      <c r="E2">
        <v>35</v>
      </c>
      <c r="F2" t="s">
        <v>23</v>
      </c>
      <c r="G2" t="s">
        <v>22</v>
      </c>
      <c r="H2">
        <v>25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21</v>
      </c>
      <c r="D3" t="s">
        <v>20</v>
      </c>
      <c r="E3">
        <v>29</v>
      </c>
      <c r="F3" t="s">
        <v>23</v>
      </c>
      <c r="G3" t="s">
        <v>22</v>
      </c>
      <c r="H3">
        <v>20</v>
      </c>
      <c r="I3">
        <v>0</v>
      </c>
      <c r="K3" s="8" t="s">
        <v>11</v>
      </c>
      <c r="L3" s="8"/>
      <c r="M3" s="10">
        <f>COUNTIF($I$1:$I$100, 0)</f>
        <v>48</v>
      </c>
      <c r="N3" s="10"/>
      <c r="O3" s="10">
        <f>COUNTIFS($I$1:$I$100, 0, $B$1:$B$100, 0)</f>
        <v>24</v>
      </c>
      <c r="P3" s="10"/>
      <c r="Q3" s="11">
        <f>COUNTIFS($I$1:$I$100, 0, $B$1:$B$100, 1)</f>
        <v>24</v>
      </c>
      <c r="R3" s="12"/>
      <c r="T3" cm="1">
        <f t="array" ref="T3">SUMPRODUCT(--($E$1:$E$100=$H$1:$H$100))</f>
        <v>4</v>
      </c>
    </row>
    <row r="4" spans="1:20" x14ac:dyDescent="0.3">
      <c r="A4">
        <v>2</v>
      </c>
      <c r="B4">
        <v>0</v>
      </c>
      <c r="C4" t="s">
        <v>21</v>
      </c>
      <c r="D4" t="s">
        <v>20</v>
      </c>
      <c r="E4">
        <v>24</v>
      </c>
      <c r="F4" t="s">
        <v>23</v>
      </c>
      <c r="G4" t="s">
        <v>22</v>
      </c>
      <c r="H4">
        <v>35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21</v>
      </c>
      <c r="D5" t="s">
        <v>20</v>
      </c>
      <c r="E5">
        <v>35</v>
      </c>
      <c r="F5" t="s">
        <v>23</v>
      </c>
      <c r="G5" t="s">
        <v>22</v>
      </c>
      <c r="H5">
        <v>27</v>
      </c>
      <c r="I5">
        <v>0</v>
      </c>
      <c r="K5" s="8" t="s">
        <v>10</v>
      </c>
      <c r="L5" s="8"/>
      <c r="M5" s="14">
        <f>COUNTIF($I$1:$I$100, 1)</f>
        <v>52</v>
      </c>
      <c r="N5" s="10"/>
      <c r="O5" s="10">
        <f>COUNTIFS($I$1:$I$100, 1, $B$1:$B$100, 0)</f>
        <v>26</v>
      </c>
      <c r="P5" s="10"/>
      <c r="Q5" s="10">
        <f>COUNTIFS($I$1:$I$100, 1, $B$1:$B$100, 1)</f>
        <v>26</v>
      </c>
      <c r="R5" s="13"/>
    </row>
    <row r="6" spans="1:20" x14ac:dyDescent="0.3">
      <c r="A6">
        <v>2</v>
      </c>
      <c r="B6">
        <v>0</v>
      </c>
      <c r="C6" t="s">
        <v>21</v>
      </c>
      <c r="D6" t="s">
        <v>20</v>
      </c>
      <c r="E6">
        <v>70</v>
      </c>
      <c r="F6" t="s">
        <v>23</v>
      </c>
      <c r="G6" t="s">
        <v>22</v>
      </c>
      <c r="H6">
        <v>49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21</v>
      </c>
      <c r="D7" t="s">
        <v>20</v>
      </c>
      <c r="E7">
        <v>47</v>
      </c>
      <c r="F7" t="s">
        <v>23</v>
      </c>
      <c r="G7" t="s">
        <v>22</v>
      </c>
      <c r="H7">
        <v>63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21</v>
      </c>
      <c r="D8" t="s">
        <v>20</v>
      </c>
      <c r="E8">
        <v>33</v>
      </c>
      <c r="F8" t="s">
        <v>23</v>
      </c>
      <c r="G8" t="s">
        <v>22</v>
      </c>
      <c r="H8">
        <v>29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21</v>
      </c>
      <c r="D9" t="s">
        <v>20</v>
      </c>
      <c r="E9">
        <v>35</v>
      </c>
      <c r="F9" t="s">
        <v>23</v>
      </c>
      <c r="G9" t="s">
        <v>22</v>
      </c>
      <c r="H9">
        <v>40</v>
      </c>
      <c r="I9">
        <v>1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21</v>
      </c>
      <c r="D10" t="s">
        <v>20</v>
      </c>
      <c r="E10">
        <v>46</v>
      </c>
      <c r="F10" t="s">
        <v>23</v>
      </c>
      <c r="G10" t="s">
        <v>22</v>
      </c>
      <c r="H10">
        <v>50</v>
      </c>
      <c r="I10">
        <v>1</v>
      </c>
      <c r="K10" s="8" t="s">
        <v>6</v>
      </c>
      <c r="L10" s="8"/>
      <c r="M10" s="10">
        <f>AVERAGE($E$1:$E$100,)</f>
        <v>33.544554455445542</v>
      </c>
      <c r="N10" s="10"/>
      <c r="O10" s="10" cm="1">
        <f t="array" ref="O10">AVERAGE(_xlfn._xlws.FILTER($E$1:$E$100,$I$1:$I$100 = 0))</f>
        <v>43.395833333333336</v>
      </c>
      <c r="P10" s="10"/>
      <c r="Q10" s="11" cm="1">
        <f t="array" ref="Q10">AVERAGE(_xlfn._xlws.FILTER($E$1:$E$100,$I$1:$I$100 = 1))</f>
        <v>25.096153846153847</v>
      </c>
      <c r="R10" s="12"/>
    </row>
    <row r="11" spans="1:20" x14ac:dyDescent="0.3">
      <c r="A11">
        <v>2</v>
      </c>
      <c r="B11">
        <v>0</v>
      </c>
      <c r="C11" t="s">
        <v>21</v>
      </c>
      <c r="D11" t="s">
        <v>20</v>
      </c>
      <c r="E11">
        <v>51</v>
      </c>
      <c r="F11" t="s">
        <v>23</v>
      </c>
      <c r="G11" t="s">
        <v>22</v>
      </c>
      <c r="H11">
        <v>64</v>
      </c>
      <c r="I11">
        <v>1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21</v>
      </c>
      <c r="D12" t="s">
        <v>20</v>
      </c>
      <c r="E12">
        <v>49</v>
      </c>
      <c r="F12" t="s">
        <v>23</v>
      </c>
      <c r="G12" t="s">
        <v>22</v>
      </c>
      <c r="H12">
        <v>29</v>
      </c>
      <c r="I12">
        <v>0</v>
      </c>
      <c r="K12" s="8" t="s">
        <v>5</v>
      </c>
      <c r="L12" s="8"/>
      <c r="M12" s="10">
        <f>AVERAGE($H$1:$H$100,)</f>
        <v>34.732673267326732</v>
      </c>
      <c r="N12" s="10"/>
      <c r="O12" s="10" cm="1">
        <f t="array" ref="O12">AVERAGE(_xlfn._xlws.FILTER($H$1:$H$100,$I$1:$I$100 = 0))</f>
        <v>27.791666666666668</v>
      </c>
      <c r="P12" s="10"/>
      <c r="Q12" s="10" cm="1">
        <f t="array" ref="Q12">AVERAGE(_xlfn._xlws.FILTER($H$1:$H$100,$I$1:$I$100 = 1))</f>
        <v>41.807692307692307</v>
      </c>
      <c r="R12" s="13"/>
    </row>
    <row r="13" spans="1:20" x14ac:dyDescent="0.3">
      <c r="A13">
        <v>2</v>
      </c>
      <c r="B13">
        <v>0</v>
      </c>
      <c r="C13" t="s">
        <v>21</v>
      </c>
      <c r="D13" t="s">
        <v>20</v>
      </c>
      <c r="E13">
        <v>43</v>
      </c>
      <c r="F13" t="s">
        <v>23</v>
      </c>
      <c r="G13" t="s">
        <v>22</v>
      </c>
      <c r="H13">
        <v>45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21</v>
      </c>
      <c r="D14" t="s">
        <v>20</v>
      </c>
      <c r="E14">
        <v>5</v>
      </c>
      <c r="F14" t="s">
        <v>23</v>
      </c>
      <c r="G14" t="s">
        <v>22</v>
      </c>
      <c r="H14">
        <v>50</v>
      </c>
      <c r="I14">
        <v>1</v>
      </c>
      <c r="K14" s="19" t="s">
        <v>4</v>
      </c>
      <c r="L14" s="12"/>
      <c r="M14" s="20" cm="1">
        <f t="array" ref="M14">AVERAGE($E$1:$E$100 - $H$1:$H$100)</f>
        <v>-1.2</v>
      </c>
      <c r="N14" s="20"/>
      <c r="O14" s="20" cm="1">
        <f t="array" ref="O14">AVERAGE(_xlfn._xlws.FILTER($E$1:$E$100 - $H$1:$H$100, I$1:I$100 = 0))</f>
        <v>15.604166666666666</v>
      </c>
      <c r="P14" s="20"/>
      <c r="Q14" s="20" cm="1">
        <f t="array" ref="Q14">AVERAGE(_xlfn._xlws.FILTER($E$1:$E$100 - $H$1:$H$100, I$1:I$100 = 1))</f>
        <v>-16.71153846153846</v>
      </c>
      <c r="R14" s="22"/>
    </row>
    <row r="15" spans="1:20" x14ac:dyDescent="0.3">
      <c r="A15">
        <v>2</v>
      </c>
      <c r="B15">
        <v>0</v>
      </c>
      <c r="C15" t="s">
        <v>21</v>
      </c>
      <c r="D15" t="s">
        <v>20</v>
      </c>
      <c r="E15">
        <v>41</v>
      </c>
      <c r="F15" t="s">
        <v>23</v>
      </c>
      <c r="G15" t="s">
        <v>22</v>
      </c>
      <c r="H15">
        <v>21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21</v>
      </c>
      <c r="D16" t="s">
        <v>20</v>
      </c>
      <c r="E16">
        <v>25</v>
      </c>
      <c r="F16" t="s">
        <v>23</v>
      </c>
      <c r="G16" t="s">
        <v>22</v>
      </c>
      <c r="H16">
        <v>43</v>
      </c>
      <c r="I16">
        <v>1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21</v>
      </c>
      <c r="D17" t="s">
        <v>20</v>
      </c>
      <c r="E17">
        <v>37</v>
      </c>
      <c r="F17" t="s">
        <v>23</v>
      </c>
      <c r="G17" t="s">
        <v>22</v>
      </c>
      <c r="H17">
        <v>26</v>
      </c>
      <c r="I17">
        <v>0</v>
      </c>
    </row>
    <row r="18" spans="1:9" x14ac:dyDescent="0.3">
      <c r="A18">
        <v>2</v>
      </c>
      <c r="B18">
        <v>0</v>
      </c>
      <c r="C18" t="s">
        <v>21</v>
      </c>
      <c r="D18" t="s">
        <v>20</v>
      </c>
      <c r="E18">
        <v>43</v>
      </c>
      <c r="F18" t="s">
        <v>23</v>
      </c>
      <c r="G18" t="s">
        <v>22</v>
      </c>
      <c r="H18">
        <v>23</v>
      </c>
      <c r="I18">
        <v>0</v>
      </c>
    </row>
    <row r="19" spans="1:9" x14ac:dyDescent="0.3">
      <c r="A19">
        <v>2</v>
      </c>
      <c r="B19">
        <v>0</v>
      </c>
      <c r="C19" t="s">
        <v>21</v>
      </c>
      <c r="D19" t="s">
        <v>20</v>
      </c>
      <c r="E19">
        <v>31</v>
      </c>
      <c r="F19" t="s">
        <v>23</v>
      </c>
      <c r="G19" t="s">
        <v>22</v>
      </c>
      <c r="H19">
        <v>54</v>
      </c>
      <c r="I19">
        <v>1</v>
      </c>
    </row>
    <row r="20" spans="1:9" x14ac:dyDescent="0.3">
      <c r="A20">
        <v>2</v>
      </c>
      <c r="B20">
        <v>0</v>
      </c>
      <c r="C20" t="s">
        <v>21</v>
      </c>
      <c r="D20" t="s">
        <v>20</v>
      </c>
      <c r="E20">
        <v>51</v>
      </c>
      <c r="F20" t="s">
        <v>23</v>
      </c>
      <c r="G20" t="s">
        <v>22</v>
      </c>
      <c r="H20">
        <v>24</v>
      </c>
      <c r="I20">
        <v>0</v>
      </c>
    </row>
    <row r="21" spans="1:9" x14ac:dyDescent="0.3">
      <c r="A21">
        <v>2</v>
      </c>
      <c r="B21">
        <v>0</v>
      </c>
      <c r="C21" t="s">
        <v>21</v>
      </c>
      <c r="D21" t="s">
        <v>20</v>
      </c>
      <c r="E21">
        <v>47</v>
      </c>
      <c r="F21" t="s">
        <v>23</v>
      </c>
      <c r="G21" t="s">
        <v>22</v>
      </c>
      <c r="H21">
        <v>16</v>
      </c>
      <c r="I21">
        <v>0</v>
      </c>
    </row>
    <row r="22" spans="1:9" x14ac:dyDescent="0.3">
      <c r="A22">
        <v>2</v>
      </c>
      <c r="B22">
        <v>0</v>
      </c>
      <c r="C22" t="s">
        <v>21</v>
      </c>
      <c r="D22" t="s">
        <v>20</v>
      </c>
      <c r="E22">
        <v>50</v>
      </c>
      <c r="F22" t="s">
        <v>23</v>
      </c>
      <c r="G22" t="s">
        <v>22</v>
      </c>
      <c r="H22">
        <v>32</v>
      </c>
      <c r="I22">
        <v>0</v>
      </c>
    </row>
    <row r="23" spans="1:9" x14ac:dyDescent="0.3">
      <c r="A23">
        <v>2</v>
      </c>
      <c r="B23">
        <v>0</v>
      </c>
      <c r="C23" t="s">
        <v>21</v>
      </c>
      <c r="D23" t="s">
        <v>20</v>
      </c>
      <c r="E23">
        <v>37</v>
      </c>
      <c r="F23" t="s">
        <v>23</v>
      </c>
      <c r="G23" t="s">
        <v>22</v>
      </c>
      <c r="H23">
        <v>29</v>
      </c>
      <c r="I23">
        <v>0</v>
      </c>
    </row>
    <row r="24" spans="1:9" x14ac:dyDescent="0.3">
      <c r="A24">
        <v>2</v>
      </c>
      <c r="B24">
        <v>0</v>
      </c>
      <c r="C24" t="s">
        <v>21</v>
      </c>
      <c r="D24" t="s">
        <v>20</v>
      </c>
      <c r="E24">
        <v>28</v>
      </c>
      <c r="F24" t="s">
        <v>23</v>
      </c>
      <c r="G24" t="s">
        <v>22</v>
      </c>
      <c r="H24">
        <v>20</v>
      </c>
      <c r="I24">
        <v>0</v>
      </c>
    </row>
    <row r="25" spans="1:9" x14ac:dyDescent="0.3">
      <c r="A25">
        <v>2</v>
      </c>
      <c r="B25">
        <v>0</v>
      </c>
      <c r="C25" t="s">
        <v>21</v>
      </c>
      <c r="D25" t="s">
        <v>20</v>
      </c>
      <c r="E25">
        <v>26</v>
      </c>
      <c r="F25" t="s">
        <v>23</v>
      </c>
      <c r="G25" t="s">
        <v>22</v>
      </c>
      <c r="H25">
        <v>49</v>
      </c>
      <c r="I25">
        <v>1</v>
      </c>
    </row>
    <row r="26" spans="1:9" x14ac:dyDescent="0.3">
      <c r="A26">
        <v>2</v>
      </c>
      <c r="B26">
        <v>0</v>
      </c>
      <c r="C26" t="s">
        <v>21</v>
      </c>
      <c r="D26" t="s">
        <v>20</v>
      </c>
      <c r="E26">
        <v>29</v>
      </c>
      <c r="F26" t="s">
        <v>23</v>
      </c>
      <c r="G26" t="s">
        <v>22</v>
      </c>
      <c r="H26">
        <v>37</v>
      </c>
      <c r="I26">
        <v>1</v>
      </c>
    </row>
    <row r="27" spans="1:9" x14ac:dyDescent="0.3">
      <c r="A27">
        <v>2</v>
      </c>
      <c r="B27">
        <v>0</v>
      </c>
      <c r="C27" t="s">
        <v>21</v>
      </c>
      <c r="D27" t="s">
        <v>20</v>
      </c>
      <c r="E27">
        <v>44</v>
      </c>
      <c r="F27" t="s">
        <v>23</v>
      </c>
      <c r="G27" t="s">
        <v>22</v>
      </c>
      <c r="H27">
        <v>29</v>
      </c>
      <c r="I27">
        <v>0</v>
      </c>
    </row>
    <row r="28" spans="1:9" x14ac:dyDescent="0.3">
      <c r="A28">
        <v>2</v>
      </c>
      <c r="B28">
        <v>0</v>
      </c>
      <c r="C28" t="s">
        <v>21</v>
      </c>
      <c r="D28" t="s">
        <v>20</v>
      </c>
      <c r="E28">
        <v>40</v>
      </c>
      <c r="F28" t="s">
        <v>23</v>
      </c>
      <c r="G28" t="s">
        <v>22</v>
      </c>
      <c r="H28">
        <v>50</v>
      </c>
      <c r="I28">
        <v>1</v>
      </c>
    </row>
    <row r="29" spans="1:9" x14ac:dyDescent="0.3">
      <c r="A29">
        <v>2</v>
      </c>
      <c r="B29">
        <v>0</v>
      </c>
      <c r="C29" t="s">
        <v>21</v>
      </c>
      <c r="D29" t="s">
        <v>20</v>
      </c>
      <c r="E29">
        <v>30</v>
      </c>
      <c r="F29" t="s">
        <v>23</v>
      </c>
      <c r="G29" t="s">
        <v>22</v>
      </c>
      <c r="H29">
        <v>34</v>
      </c>
      <c r="I29">
        <v>1</v>
      </c>
    </row>
    <row r="30" spans="1:9" x14ac:dyDescent="0.3">
      <c r="A30">
        <v>2</v>
      </c>
      <c r="B30">
        <v>0</v>
      </c>
      <c r="C30" t="s">
        <v>21</v>
      </c>
      <c r="D30" t="s">
        <v>20</v>
      </c>
      <c r="E30">
        <v>15</v>
      </c>
      <c r="F30" t="s">
        <v>23</v>
      </c>
      <c r="G30" t="s">
        <v>22</v>
      </c>
      <c r="H30">
        <v>27</v>
      </c>
      <c r="I30">
        <v>1</v>
      </c>
    </row>
    <row r="31" spans="1:9" x14ac:dyDescent="0.3">
      <c r="A31">
        <v>2</v>
      </c>
      <c r="B31">
        <v>0</v>
      </c>
      <c r="C31" t="s">
        <v>21</v>
      </c>
      <c r="D31" t="s">
        <v>20</v>
      </c>
      <c r="E31">
        <v>37</v>
      </c>
      <c r="F31" t="s">
        <v>23</v>
      </c>
      <c r="G31" t="s">
        <v>22</v>
      </c>
      <c r="H31">
        <v>49</v>
      </c>
      <c r="I31">
        <v>1</v>
      </c>
    </row>
    <row r="32" spans="1:9" x14ac:dyDescent="0.3">
      <c r="A32">
        <v>2</v>
      </c>
      <c r="B32">
        <v>0</v>
      </c>
      <c r="C32" t="s">
        <v>21</v>
      </c>
      <c r="D32" t="s">
        <v>20</v>
      </c>
      <c r="E32">
        <v>44</v>
      </c>
      <c r="F32" t="s">
        <v>23</v>
      </c>
      <c r="G32" t="s">
        <v>22</v>
      </c>
      <c r="H32">
        <v>65</v>
      </c>
      <c r="I32">
        <v>1</v>
      </c>
    </row>
    <row r="33" spans="1:9" x14ac:dyDescent="0.3">
      <c r="A33">
        <v>2</v>
      </c>
      <c r="B33">
        <v>0</v>
      </c>
      <c r="C33" t="s">
        <v>21</v>
      </c>
      <c r="D33" t="s">
        <v>20</v>
      </c>
      <c r="E33">
        <v>11</v>
      </c>
      <c r="F33" t="s">
        <v>23</v>
      </c>
      <c r="G33" t="s">
        <v>22</v>
      </c>
      <c r="H33">
        <v>31</v>
      </c>
      <c r="I33">
        <v>1</v>
      </c>
    </row>
    <row r="34" spans="1:9" x14ac:dyDescent="0.3">
      <c r="A34">
        <v>2</v>
      </c>
      <c r="B34">
        <v>0</v>
      </c>
      <c r="C34" t="s">
        <v>21</v>
      </c>
      <c r="D34" t="s">
        <v>20</v>
      </c>
      <c r="E34">
        <v>38</v>
      </c>
      <c r="F34" t="s">
        <v>23</v>
      </c>
      <c r="G34" t="s">
        <v>22</v>
      </c>
      <c r="H34">
        <v>28</v>
      </c>
      <c r="I34">
        <v>0</v>
      </c>
    </row>
    <row r="35" spans="1:9" x14ac:dyDescent="0.3">
      <c r="A35">
        <v>2</v>
      </c>
      <c r="B35">
        <v>0</v>
      </c>
      <c r="C35" t="s">
        <v>21</v>
      </c>
      <c r="D35" t="s">
        <v>20</v>
      </c>
      <c r="E35">
        <v>32</v>
      </c>
      <c r="F35" t="s">
        <v>23</v>
      </c>
      <c r="G35" t="s">
        <v>22</v>
      </c>
      <c r="H35">
        <v>35</v>
      </c>
      <c r="I35">
        <v>1</v>
      </c>
    </row>
    <row r="36" spans="1:9" x14ac:dyDescent="0.3">
      <c r="A36">
        <v>2</v>
      </c>
      <c r="B36">
        <v>0</v>
      </c>
      <c r="C36" t="s">
        <v>21</v>
      </c>
      <c r="D36" t="s">
        <v>20</v>
      </c>
      <c r="E36">
        <v>42</v>
      </c>
      <c r="F36" t="s">
        <v>23</v>
      </c>
      <c r="G36" t="s">
        <v>22</v>
      </c>
      <c r="H36">
        <v>70</v>
      </c>
      <c r="I36">
        <v>1</v>
      </c>
    </row>
    <row r="37" spans="1:9" x14ac:dyDescent="0.3">
      <c r="A37">
        <v>2</v>
      </c>
      <c r="B37">
        <v>0</v>
      </c>
      <c r="C37" t="s">
        <v>21</v>
      </c>
      <c r="D37" t="s">
        <v>20</v>
      </c>
      <c r="E37">
        <v>31</v>
      </c>
      <c r="F37" t="s">
        <v>23</v>
      </c>
      <c r="G37" t="s">
        <v>22</v>
      </c>
      <c r="H37">
        <v>23</v>
      </c>
      <c r="I37">
        <v>0</v>
      </c>
    </row>
    <row r="38" spans="1:9" x14ac:dyDescent="0.3">
      <c r="A38">
        <v>2</v>
      </c>
      <c r="B38">
        <v>0</v>
      </c>
      <c r="C38" t="s">
        <v>21</v>
      </c>
      <c r="D38" t="s">
        <v>20</v>
      </c>
      <c r="E38">
        <v>47</v>
      </c>
      <c r="F38" t="s">
        <v>23</v>
      </c>
      <c r="G38" t="s">
        <v>22</v>
      </c>
      <c r="H38">
        <v>38</v>
      </c>
      <c r="I38">
        <v>0</v>
      </c>
    </row>
    <row r="39" spans="1:9" x14ac:dyDescent="0.3">
      <c r="A39">
        <v>2</v>
      </c>
      <c r="B39">
        <v>0</v>
      </c>
      <c r="C39" t="s">
        <v>21</v>
      </c>
      <c r="D39" t="s">
        <v>20</v>
      </c>
      <c r="E39">
        <v>4</v>
      </c>
      <c r="F39" t="s">
        <v>23</v>
      </c>
      <c r="G39" t="s">
        <v>22</v>
      </c>
      <c r="H39">
        <v>46</v>
      </c>
      <c r="I39">
        <v>1</v>
      </c>
    </row>
    <row r="40" spans="1:9" x14ac:dyDescent="0.3">
      <c r="A40">
        <v>2</v>
      </c>
      <c r="B40">
        <v>0</v>
      </c>
      <c r="C40" t="s">
        <v>21</v>
      </c>
      <c r="D40" t="s">
        <v>20</v>
      </c>
      <c r="E40">
        <v>32</v>
      </c>
      <c r="F40" t="s">
        <v>23</v>
      </c>
      <c r="G40" t="s">
        <v>22</v>
      </c>
      <c r="H40">
        <v>41</v>
      </c>
      <c r="I40">
        <v>1</v>
      </c>
    </row>
    <row r="41" spans="1:9" x14ac:dyDescent="0.3">
      <c r="A41">
        <v>2</v>
      </c>
      <c r="B41">
        <v>0</v>
      </c>
      <c r="C41" t="s">
        <v>21</v>
      </c>
      <c r="D41" t="s">
        <v>20</v>
      </c>
      <c r="E41">
        <v>22</v>
      </c>
      <c r="F41" t="s">
        <v>23</v>
      </c>
      <c r="G41" t="s">
        <v>22</v>
      </c>
      <c r="H41">
        <v>49</v>
      </c>
      <c r="I41">
        <v>1</v>
      </c>
    </row>
    <row r="42" spans="1:9" x14ac:dyDescent="0.3">
      <c r="A42">
        <v>2</v>
      </c>
      <c r="B42">
        <v>0</v>
      </c>
      <c r="C42" t="s">
        <v>21</v>
      </c>
      <c r="D42" t="s">
        <v>20</v>
      </c>
      <c r="E42">
        <v>41</v>
      </c>
      <c r="F42" t="s">
        <v>23</v>
      </c>
      <c r="G42" t="s">
        <v>22</v>
      </c>
      <c r="H42">
        <v>28</v>
      </c>
      <c r="I42">
        <v>0</v>
      </c>
    </row>
    <row r="43" spans="1:9" x14ac:dyDescent="0.3">
      <c r="A43">
        <v>2</v>
      </c>
      <c r="B43">
        <v>0</v>
      </c>
      <c r="C43" t="s">
        <v>21</v>
      </c>
      <c r="D43" t="s">
        <v>20</v>
      </c>
      <c r="E43">
        <v>53</v>
      </c>
      <c r="F43" t="s">
        <v>23</v>
      </c>
      <c r="G43" t="s">
        <v>22</v>
      </c>
      <c r="H43">
        <v>26</v>
      </c>
      <c r="I43">
        <v>0</v>
      </c>
    </row>
    <row r="44" spans="1:9" x14ac:dyDescent="0.3">
      <c r="A44">
        <v>2</v>
      </c>
      <c r="B44">
        <v>0</v>
      </c>
      <c r="C44" t="s">
        <v>21</v>
      </c>
      <c r="D44" t="s">
        <v>20</v>
      </c>
      <c r="E44">
        <v>50</v>
      </c>
      <c r="F44" t="s">
        <v>23</v>
      </c>
      <c r="G44" t="s">
        <v>22</v>
      </c>
      <c r="H44">
        <v>39</v>
      </c>
      <c r="I44">
        <v>0</v>
      </c>
    </row>
    <row r="45" spans="1:9" x14ac:dyDescent="0.3">
      <c r="A45">
        <v>2</v>
      </c>
      <c r="B45">
        <v>0</v>
      </c>
      <c r="C45" t="s">
        <v>21</v>
      </c>
      <c r="D45" t="s">
        <v>20</v>
      </c>
      <c r="E45">
        <v>57</v>
      </c>
      <c r="F45" t="s">
        <v>23</v>
      </c>
      <c r="G45" t="s">
        <v>22</v>
      </c>
      <c r="H45">
        <v>40</v>
      </c>
      <c r="I45">
        <v>0</v>
      </c>
    </row>
    <row r="46" spans="1:9" x14ac:dyDescent="0.3">
      <c r="A46">
        <v>2</v>
      </c>
      <c r="B46">
        <v>0</v>
      </c>
      <c r="C46" t="s">
        <v>21</v>
      </c>
      <c r="D46" t="s">
        <v>20</v>
      </c>
      <c r="E46">
        <v>22</v>
      </c>
      <c r="F46" t="s">
        <v>23</v>
      </c>
      <c r="G46" t="s">
        <v>22</v>
      </c>
      <c r="H46">
        <v>6</v>
      </c>
      <c r="I46">
        <v>0</v>
      </c>
    </row>
    <row r="47" spans="1:9" x14ac:dyDescent="0.3">
      <c r="A47">
        <v>2</v>
      </c>
      <c r="B47">
        <v>0</v>
      </c>
      <c r="C47" t="s">
        <v>21</v>
      </c>
      <c r="D47" t="s">
        <v>20</v>
      </c>
      <c r="E47">
        <v>33</v>
      </c>
      <c r="F47" t="s">
        <v>23</v>
      </c>
      <c r="G47" t="s">
        <v>22</v>
      </c>
      <c r="H47">
        <v>38</v>
      </c>
      <c r="I47">
        <v>1</v>
      </c>
    </row>
    <row r="48" spans="1:9" x14ac:dyDescent="0.3">
      <c r="A48">
        <v>2</v>
      </c>
      <c r="B48">
        <v>0</v>
      </c>
      <c r="C48" t="s">
        <v>21</v>
      </c>
      <c r="D48" t="s">
        <v>20</v>
      </c>
      <c r="E48">
        <v>26</v>
      </c>
      <c r="F48" t="s">
        <v>23</v>
      </c>
      <c r="G48" t="s">
        <v>22</v>
      </c>
      <c r="H48">
        <v>41</v>
      </c>
      <c r="I48">
        <v>1</v>
      </c>
    </row>
    <row r="49" spans="1:9" x14ac:dyDescent="0.3">
      <c r="A49">
        <v>2</v>
      </c>
      <c r="B49">
        <v>0</v>
      </c>
      <c r="C49" t="s">
        <v>21</v>
      </c>
      <c r="D49" t="s">
        <v>20</v>
      </c>
      <c r="E49">
        <v>3</v>
      </c>
      <c r="F49" t="s">
        <v>23</v>
      </c>
      <c r="G49" t="s">
        <v>22</v>
      </c>
      <c r="H49">
        <v>42</v>
      </c>
      <c r="I49">
        <v>1</v>
      </c>
    </row>
    <row r="50" spans="1:9" x14ac:dyDescent="0.3">
      <c r="A50">
        <v>2</v>
      </c>
      <c r="B50">
        <v>0</v>
      </c>
      <c r="C50" t="s">
        <v>21</v>
      </c>
      <c r="D50" t="s">
        <v>20</v>
      </c>
      <c r="E50">
        <v>35</v>
      </c>
      <c r="F50" t="s">
        <v>23</v>
      </c>
      <c r="G50" t="s">
        <v>22</v>
      </c>
      <c r="H50">
        <v>31</v>
      </c>
      <c r="I50">
        <v>0</v>
      </c>
    </row>
    <row r="51" spans="1:9" x14ac:dyDescent="0.3">
      <c r="A51">
        <v>2</v>
      </c>
      <c r="B51">
        <v>1</v>
      </c>
      <c r="C51" t="s">
        <v>21</v>
      </c>
      <c r="D51" t="s">
        <v>20</v>
      </c>
      <c r="E51">
        <v>0</v>
      </c>
      <c r="F51" t="s">
        <v>23</v>
      </c>
      <c r="G51" t="s">
        <v>22</v>
      </c>
      <c r="H51">
        <v>28</v>
      </c>
      <c r="I51">
        <v>1</v>
      </c>
    </row>
    <row r="52" spans="1:9" x14ac:dyDescent="0.3">
      <c r="A52">
        <v>2</v>
      </c>
      <c r="B52">
        <v>1</v>
      </c>
      <c r="C52" t="s">
        <v>21</v>
      </c>
      <c r="D52" t="s">
        <v>20</v>
      </c>
      <c r="E52">
        <v>37</v>
      </c>
      <c r="F52" t="s">
        <v>23</v>
      </c>
      <c r="G52" t="s">
        <v>22</v>
      </c>
      <c r="H52">
        <v>5</v>
      </c>
      <c r="I52">
        <v>0</v>
      </c>
    </row>
    <row r="53" spans="1:9" x14ac:dyDescent="0.3">
      <c r="A53">
        <v>2</v>
      </c>
      <c r="B53">
        <v>1</v>
      </c>
      <c r="C53" t="s">
        <v>21</v>
      </c>
      <c r="D53" t="s">
        <v>20</v>
      </c>
      <c r="E53">
        <v>32</v>
      </c>
      <c r="F53" t="s">
        <v>23</v>
      </c>
      <c r="G53" t="s">
        <v>22</v>
      </c>
      <c r="H53">
        <v>32</v>
      </c>
      <c r="I53">
        <v>0</v>
      </c>
    </row>
    <row r="54" spans="1:9" x14ac:dyDescent="0.3">
      <c r="A54">
        <v>2</v>
      </c>
      <c r="B54">
        <v>1</v>
      </c>
      <c r="C54" t="s">
        <v>21</v>
      </c>
      <c r="D54" t="s">
        <v>20</v>
      </c>
      <c r="E54">
        <v>54</v>
      </c>
      <c r="F54" t="s">
        <v>23</v>
      </c>
      <c r="G54" t="s">
        <v>22</v>
      </c>
      <c r="H54">
        <v>20</v>
      </c>
      <c r="I54">
        <v>0</v>
      </c>
    </row>
    <row r="55" spans="1:9" x14ac:dyDescent="0.3">
      <c r="A55">
        <v>2</v>
      </c>
      <c r="B55">
        <v>1</v>
      </c>
      <c r="C55" t="s">
        <v>21</v>
      </c>
      <c r="D55" t="s">
        <v>20</v>
      </c>
      <c r="E55">
        <v>32</v>
      </c>
      <c r="F55" t="s">
        <v>23</v>
      </c>
      <c r="G55" t="s">
        <v>22</v>
      </c>
      <c r="H55">
        <v>42</v>
      </c>
      <c r="I55">
        <v>1</v>
      </c>
    </row>
    <row r="56" spans="1:9" x14ac:dyDescent="0.3">
      <c r="A56">
        <v>2</v>
      </c>
      <c r="B56">
        <v>1</v>
      </c>
      <c r="C56" t="s">
        <v>21</v>
      </c>
      <c r="D56" t="s">
        <v>20</v>
      </c>
      <c r="E56">
        <v>60</v>
      </c>
      <c r="F56" t="s">
        <v>23</v>
      </c>
      <c r="G56" t="s">
        <v>22</v>
      </c>
      <c r="H56">
        <v>37</v>
      </c>
      <c r="I56">
        <v>0</v>
      </c>
    </row>
    <row r="57" spans="1:9" x14ac:dyDescent="0.3">
      <c r="A57">
        <v>2</v>
      </c>
      <c r="B57">
        <v>1</v>
      </c>
      <c r="C57" t="s">
        <v>21</v>
      </c>
      <c r="D57" t="s">
        <v>20</v>
      </c>
      <c r="E57">
        <v>51</v>
      </c>
      <c r="F57" t="s">
        <v>23</v>
      </c>
      <c r="G57" t="s">
        <v>22</v>
      </c>
      <c r="H57">
        <v>25</v>
      </c>
      <c r="I57">
        <v>0</v>
      </c>
    </row>
    <row r="58" spans="1:9" x14ac:dyDescent="0.3">
      <c r="A58">
        <v>2</v>
      </c>
      <c r="B58">
        <v>1</v>
      </c>
      <c r="C58" t="s">
        <v>21</v>
      </c>
      <c r="D58" t="s">
        <v>20</v>
      </c>
      <c r="E58">
        <v>32</v>
      </c>
      <c r="F58" t="s">
        <v>23</v>
      </c>
      <c r="G58" t="s">
        <v>22</v>
      </c>
      <c r="H58">
        <v>34</v>
      </c>
      <c r="I58">
        <v>1</v>
      </c>
    </row>
    <row r="59" spans="1:9" x14ac:dyDescent="0.3">
      <c r="A59">
        <v>2</v>
      </c>
      <c r="B59">
        <v>1</v>
      </c>
      <c r="C59" t="s">
        <v>21</v>
      </c>
      <c r="D59" t="s">
        <v>20</v>
      </c>
      <c r="E59">
        <v>32</v>
      </c>
      <c r="F59" t="s">
        <v>23</v>
      </c>
      <c r="G59" t="s">
        <v>22</v>
      </c>
      <c r="H59">
        <v>32</v>
      </c>
      <c r="I59">
        <v>0</v>
      </c>
    </row>
    <row r="60" spans="1:9" x14ac:dyDescent="0.3">
      <c r="A60">
        <v>2</v>
      </c>
      <c r="B60">
        <v>1</v>
      </c>
      <c r="C60" t="s">
        <v>21</v>
      </c>
      <c r="D60" t="s">
        <v>20</v>
      </c>
      <c r="E60">
        <v>46</v>
      </c>
      <c r="F60" t="s">
        <v>23</v>
      </c>
      <c r="G60" t="s">
        <v>22</v>
      </c>
      <c r="H60">
        <v>22</v>
      </c>
      <c r="I60">
        <v>0</v>
      </c>
    </row>
    <row r="61" spans="1:9" x14ac:dyDescent="0.3">
      <c r="A61">
        <v>2</v>
      </c>
      <c r="B61">
        <v>1</v>
      </c>
      <c r="C61" t="s">
        <v>21</v>
      </c>
      <c r="D61" t="s">
        <v>20</v>
      </c>
      <c r="E61">
        <v>25</v>
      </c>
      <c r="F61" t="s">
        <v>23</v>
      </c>
      <c r="G61" t="s">
        <v>22</v>
      </c>
      <c r="H61">
        <v>28</v>
      </c>
      <c r="I61">
        <v>1</v>
      </c>
    </row>
    <row r="62" spans="1:9" x14ac:dyDescent="0.3">
      <c r="A62">
        <v>2</v>
      </c>
      <c r="B62">
        <v>1</v>
      </c>
      <c r="C62" t="s">
        <v>21</v>
      </c>
      <c r="D62" t="s">
        <v>20</v>
      </c>
      <c r="E62">
        <v>3</v>
      </c>
      <c r="F62" t="s">
        <v>23</v>
      </c>
      <c r="G62" t="s">
        <v>22</v>
      </c>
      <c r="H62">
        <v>24</v>
      </c>
      <c r="I62">
        <v>1</v>
      </c>
    </row>
    <row r="63" spans="1:9" x14ac:dyDescent="0.3">
      <c r="A63">
        <v>2</v>
      </c>
      <c r="B63">
        <v>1</v>
      </c>
      <c r="C63" t="s">
        <v>21</v>
      </c>
      <c r="D63" t="s">
        <v>20</v>
      </c>
      <c r="E63">
        <v>25</v>
      </c>
      <c r="F63" t="s">
        <v>23</v>
      </c>
      <c r="G63" t="s">
        <v>22</v>
      </c>
      <c r="H63">
        <v>30</v>
      </c>
      <c r="I63">
        <v>1</v>
      </c>
    </row>
    <row r="64" spans="1:9" x14ac:dyDescent="0.3">
      <c r="A64">
        <v>2</v>
      </c>
      <c r="B64">
        <v>1</v>
      </c>
      <c r="C64" t="s">
        <v>21</v>
      </c>
      <c r="D64" t="s">
        <v>20</v>
      </c>
      <c r="E64">
        <v>22</v>
      </c>
      <c r="F64" t="s">
        <v>23</v>
      </c>
      <c r="G64" t="s">
        <v>22</v>
      </c>
      <c r="H64">
        <v>56</v>
      </c>
      <c r="I64">
        <v>1</v>
      </c>
    </row>
    <row r="65" spans="1:9" x14ac:dyDescent="0.3">
      <c r="A65">
        <v>2</v>
      </c>
      <c r="B65">
        <v>1</v>
      </c>
      <c r="C65" t="s">
        <v>21</v>
      </c>
      <c r="D65" t="s">
        <v>20</v>
      </c>
      <c r="E65">
        <v>24</v>
      </c>
      <c r="F65" t="s">
        <v>23</v>
      </c>
      <c r="G65" t="s">
        <v>22</v>
      </c>
      <c r="H65">
        <v>52</v>
      </c>
      <c r="I65">
        <v>1</v>
      </c>
    </row>
    <row r="66" spans="1:9" x14ac:dyDescent="0.3">
      <c r="A66">
        <v>2</v>
      </c>
      <c r="B66">
        <v>1</v>
      </c>
      <c r="C66" t="s">
        <v>21</v>
      </c>
      <c r="D66" t="s">
        <v>20</v>
      </c>
      <c r="E66">
        <v>55</v>
      </c>
      <c r="F66" t="s">
        <v>23</v>
      </c>
      <c r="G66" t="s">
        <v>22</v>
      </c>
      <c r="H66">
        <v>48</v>
      </c>
      <c r="I66">
        <v>0</v>
      </c>
    </row>
    <row r="67" spans="1:9" x14ac:dyDescent="0.3">
      <c r="A67">
        <v>2</v>
      </c>
      <c r="B67">
        <v>1</v>
      </c>
      <c r="C67" t="s">
        <v>21</v>
      </c>
      <c r="D67" t="s">
        <v>20</v>
      </c>
      <c r="E67">
        <v>39</v>
      </c>
      <c r="F67" t="s">
        <v>23</v>
      </c>
      <c r="G67" t="s">
        <v>22</v>
      </c>
      <c r="H67">
        <v>45</v>
      </c>
      <c r="I67">
        <v>1</v>
      </c>
    </row>
    <row r="68" spans="1:9" x14ac:dyDescent="0.3">
      <c r="A68">
        <v>2</v>
      </c>
      <c r="B68">
        <v>1</v>
      </c>
      <c r="C68" t="s">
        <v>21</v>
      </c>
      <c r="D68" t="s">
        <v>20</v>
      </c>
      <c r="E68">
        <v>30</v>
      </c>
      <c r="F68" t="s">
        <v>23</v>
      </c>
      <c r="G68" t="s">
        <v>22</v>
      </c>
      <c r="H68">
        <v>40</v>
      </c>
      <c r="I68">
        <v>1</v>
      </c>
    </row>
    <row r="69" spans="1:9" x14ac:dyDescent="0.3">
      <c r="A69">
        <v>2</v>
      </c>
      <c r="B69">
        <v>1</v>
      </c>
      <c r="C69" t="s">
        <v>21</v>
      </c>
      <c r="D69" t="s">
        <v>20</v>
      </c>
      <c r="E69">
        <v>46</v>
      </c>
      <c r="F69" t="s">
        <v>23</v>
      </c>
      <c r="G69" t="s">
        <v>22</v>
      </c>
      <c r="H69">
        <v>44</v>
      </c>
      <c r="I69">
        <v>0</v>
      </c>
    </row>
    <row r="70" spans="1:9" x14ac:dyDescent="0.3">
      <c r="A70">
        <v>2</v>
      </c>
      <c r="B70">
        <v>1</v>
      </c>
      <c r="C70" t="s">
        <v>21</v>
      </c>
      <c r="D70" t="s">
        <v>20</v>
      </c>
      <c r="E70">
        <v>54</v>
      </c>
      <c r="F70" t="s">
        <v>23</v>
      </c>
      <c r="G70" t="s">
        <v>22</v>
      </c>
      <c r="H70">
        <v>36</v>
      </c>
      <c r="I70">
        <v>0</v>
      </c>
    </row>
    <row r="71" spans="1:9" x14ac:dyDescent="0.3">
      <c r="A71">
        <v>2</v>
      </c>
      <c r="B71">
        <v>1</v>
      </c>
      <c r="C71" t="s">
        <v>21</v>
      </c>
      <c r="D71" t="s">
        <v>20</v>
      </c>
      <c r="E71">
        <v>38</v>
      </c>
      <c r="F71" t="s">
        <v>23</v>
      </c>
      <c r="G71" t="s">
        <v>22</v>
      </c>
      <c r="H71">
        <v>32</v>
      </c>
      <c r="I71">
        <v>0</v>
      </c>
    </row>
    <row r="72" spans="1:9" x14ac:dyDescent="0.3">
      <c r="A72">
        <v>2</v>
      </c>
      <c r="B72">
        <v>1</v>
      </c>
      <c r="C72" t="s">
        <v>21</v>
      </c>
      <c r="D72" t="s">
        <v>20</v>
      </c>
      <c r="E72">
        <v>18</v>
      </c>
      <c r="F72" t="s">
        <v>23</v>
      </c>
      <c r="G72" t="s">
        <v>22</v>
      </c>
      <c r="H72">
        <v>42</v>
      </c>
      <c r="I72">
        <v>1</v>
      </c>
    </row>
    <row r="73" spans="1:9" x14ac:dyDescent="0.3">
      <c r="A73">
        <v>2</v>
      </c>
      <c r="B73">
        <v>1</v>
      </c>
      <c r="C73" t="s">
        <v>21</v>
      </c>
      <c r="D73" t="s">
        <v>20</v>
      </c>
      <c r="E73">
        <v>2</v>
      </c>
      <c r="F73" t="s">
        <v>23</v>
      </c>
      <c r="G73" t="s">
        <v>22</v>
      </c>
      <c r="H73">
        <v>7</v>
      </c>
      <c r="I73">
        <v>1</v>
      </c>
    </row>
    <row r="74" spans="1:9" x14ac:dyDescent="0.3">
      <c r="A74">
        <v>2</v>
      </c>
      <c r="B74">
        <v>1</v>
      </c>
      <c r="C74" t="s">
        <v>21</v>
      </c>
      <c r="D74" t="s">
        <v>20</v>
      </c>
      <c r="E74">
        <v>42</v>
      </c>
      <c r="F74" t="s">
        <v>23</v>
      </c>
      <c r="G74" t="s">
        <v>22</v>
      </c>
      <c r="H74">
        <v>44</v>
      </c>
      <c r="I74">
        <v>1</v>
      </c>
    </row>
    <row r="75" spans="1:9" x14ac:dyDescent="0.3">
      <c r="A75">
        <v>2</v>
      </c>
      <c r="B75">
        <v>1</v>
      </c>
      <c r="C75" t="s">
        <v>21</v>
      </c>
      <c r="D75" t="s">
        <v>20</v>
      </c>
      <c r="E75">
        <v>0</v>
      </c>
      <c r="F75" t="s">
        <v>23</v>
      </c>
      <c r="G75" t="s">
        <v>22</v>
      </c>
      <c r="H75">
        <v>17</v>
      </c>
      <c r="I75">
        <v>1</v>
      </c>
    </row>
    <row r="76" spans="1:9" x14ac:dyDescent="0.3">
      <c r="A76">
        <v>2</v>
      </c>
      <c r="B76">
        <v>1</v>
      </c>
      <c r="C76" t="s">
        <v>21</v>
      </c>
      <c r="D76" t="s">
        <v>20</v>
      </c>
      <c r="E76">
        <v>67</v>
      </c>
      <c r="F76" t="s">
        <v>23</v>
      </c>
      <c r="G76" t="s">
        <v>22</v>
      </c>
      <c r="H76">
        <v>19</v>
      </c>
      <c r="I76">
        <v>0</v>
      </c>
    </row>
    <row r="77" spans="1:9" x14ac:dyDescent="0.3">
      <c r="A77">
        <v>2</v>
      </c>
      <c r="B77">
        <v>1</v>
      </c>
      <c r="C77" t="s">
        <v>21</v>
      </c>
      <c r="D77" t="s">
        <v>20</v>
      </c>
      <c r="E77">
        <v>60</v>
      </c>
      <c r="F77" t="s">
        <v>23</v>
      </c>
      <c r="G77" t="s">
        <v>22</v>
      </c>
      <c r="H77">
        <v>32</v>
      </c>
      <c r="I77">
        <v>0</v>
      </c>
    </row>
    <row r="78" spans="1:9" x14ac:dyDescent="0.3">
      <c r="A78">
        <v>2</v>
      </c>
      <c r="B78">
        <v>1</v>
      </c>
      <c r="C78" t="s">
        <v>21</v>
      </c>
      <c r="D78" t="s">
        <v>20</v>
      </c>
      <c r="E78">
        <v>39</v>
      </c>
      <c r="F78" t="s">
        <v>23</v>
      </c>
      <c r="G78" t="s">
        <v>22</v>
      </c>
      <c r="H78">
        <v>41</v>
      </c>
      <c r="I78">
        <v>1</v>
      </c>
    </row>
    <row r="79" spans="1:9" x14ac:dyDescent="0.3">
      <c r="A79">
        <v>2</v>
      </c>
      <c r="B79">
        <v>1</v>
      </c>
      <c r="C79" t="s">
        <v>21</v>
      </c>
      <c r="D79" t="s">
        <v>20</v>
      </c>
      <c r="E79">
        <v>10</v>
      </c>
      <c r="F79" t="s">
        <v>23</v>
      </c>
      <c r="G79" t="s">
        <v>22</v>
      </c>
      <c r="H79">
        <v>14</v>
      </c>
      <c r="I79">
        <v>1</v>
      </c>
    </row>
    <row r="80" spans="1:9" x14ac:dyDescent="0.3">
      <c r="A80">
        <v>2</v>
      </c>
      <c r="B80">
        <v>1</v>
      </c>
      <c r="C80" t="s">
        <v>21</v>
      </c>
      <c r="D80" t="s">
        <v>20</v>
      </c>
      <c r="E80">
        <v>29</v>
      </c>
      <c r="F80" t="s">
        <v>23</v>
      </c>
      <c r="G80" t="s">
        <v>22</v>
      </c>
      <c r="H80">
        <v>2</v>
      </c>
      <c r="I80">
        <v>0</v>
      </c>
    </row>
    <row r="81" spans="1:9" x14ac:dyDescent="0.3">
      <c r="A81">
        <v>2</v>
      </c>
      <c r="B81">
        <v>1</v>
      </c>
      <c r="C81" t="s">
        <v>21</v>
      </c>
      <c r="D81" t="s">
        <v>20</v>
      </c>
      <c r="E81">
        <v>52</v>
      </c>
      <c r="F81" t="s">
        <v>23</v>
      </c>
      <c r="G81" t="s">
        <v>22</v>
      </c>
      <c r="H81">
        <v>28</v>
      </c>
      <c r="I81">
        <v>0</v>
      </c>
    </row>
    <row r="82" spans="1:9" x14ac:dyDescent="0.3">
      <c r="A82">
        <v>2</v>
      </c>
      <c r="B82">
        <v>1</v>
      </c>
      <c r="C82" t="s">
        <v>21</v>
      </c>
      <c r="D82" t="s">
        <v>20</v>
      </c>
      <c r="E82">
        <v>85</v>
      </c>
      <c r="F82" t="s">
        <v>23</v>
      </c>
      <c r="G82" t="s">
        <v>22</v>
      </c>
      <c r="H82">
        <v>54</v>
      </c>
      <c r="I82">
        <v>0</v>
      </c>
    </row>
    <row r="83" spans="1:9" x14ac:dyDescent="0.3">
      <c r="A83">
        <v>2</v>
      </c>
      <c r="B83">
        <v>1</v>
      </c>
      <c r="C83" t="s">
        <v>21</v>
      </c>
      <c r="D83" t="s">
        <v>20</v>
      </c>
      <c r="E83">
        <v>21</v>
      </c>
      <c r="F83" t="s">
        <v>23</v>
      </c>
      <c r="G83" t="s">
        <v>22</v>
      </c>
      <c r="H83">
        <v>37</v>
      </c>
      <c r="I83">
        <v>1</v>
      </c>
    </row>
    <row r="84" spans="1:9" x14ac:dyDescent="0.3">
      <c r="A84">
        <v>2</v>
      </c>
      <c r="B84">
        <v>1</v>
      </c>
      <c r="C84" t="s">
        <v>21</v>
      </c>
      <c r="D84" t="s">
        <v>20</v>
      </c>
      <c r="E84">
        <v>30</v>
      </c>
      <c r="F84" t="s">
        <v>23</v>
      </c>
      <c r="G84" t="s">
        <v>22</v>
      </c>
      <c r="H84">
        <v>30</v>
      </c>
      <c r="I84">
        <v>0</v>
      </c>
    </row>
    <row r="85" spans="1:9" x14ac:dyDescent="0.3">
      <c r="A85">
        <v>2</v>
      </c>
      <c r="B85">
        <v>1</v>
      </c>
      <c r="C85" t="s">
        <v>21</v>
      </c>
      <c r="D85" t="s">
        <v>20</v>
      </c>
      <c r="E85">
        <v>58</v>
      </c>
      <c r="F85" t="s">
        <v>23</v>
      </c>
      <c r="G85" t="s">
        <v>22</v>
      </c>
      <c r="H85">
        <v>34</v>
      </c>
      <c r="I85">
        <v>0</v>
      </c>
    </row>
    <row r="86" spans="1:9" x14ac:dyDescent="0.3">
      <c r="A86">
        <v>2</v>
      </c>
      <c r="B86">
        <v>1</v>
      </c>
      <c r="C86" t="s">
        <v>21</v>
      </c>
      <c r="D86" t="s">
        <v>20</v>
      </c>
      <c r="E86">
        <v>34</v>
      </c>
      <c r="F86" t="s">
        <v>23</v>
      </c>
      <c r="G86" t="s">
        <v>22</v>
      </c>
      <c r="H86">
        <v>31</v>
      </c>
      <c r="I86">
        <v>0</v>
      </c>
    </row>
    <row r="87" spans="1:9" x14ac:dyDescent="0.3">
      <c r="A87">
        <v>2</v>
      </c>
      <c r="B87">
        <v>1</v>
      </c>
      <c r="C87" t="s">
        <v>21</v>
      </c>
      <c r="D87" t="s">
        <v>20</v>
      </c>
      <c r="E87">
        <v>13</v>
      </c>
      <c r="F87" t="s">
        <v>23</v>
      </c>
      <c r="G87" t="s">
        <v>22</v>
      </c>
      <c r="H87">
        <v>7</v>
      </c>
      <c r="I87">
        <v>0</v>
      </c>
    </row>
    <row r="88" spans="1:9" x14ac:dyDescent="0.3">
      <c r="A88">
        <v>2</v>
      </c>
      <c r="B88">
        <v>1</v>
      </c>
      <c r="C88" t="s">
        <v>21</v>
      </c>
      <c r="D88" t="s">
        <v>20</v>
      </c>
      <c r="E88">
        <v>28</v>
      </c>
      <c r="F88" t="s">
        <v>23</v>
      </c>
      <c r="G88" t="s">
        <v>22</v>
      </c>
      <c r="H88">
        <v>32</v>
      </c>
      <c r="I88">
        <v>1</v>
      </c>
    </row>
    <row r="89" spans="1:9" x14ac:dyDescent="0.3">
      <c r="A89">
        <v>2</v>
      </c>
      <c r="B89">
        <v>1</v>
      </c>
      <c r="C89" t="s">
        <v>21</v>
      </c>
      <c r="D89" t="s">
        <v>20</v>
      </c>
      <c r="E89">
        <v>29</v>
      </c>
      <c r="F89" t="s">
        <v>23</v>
      </c>
      <c r="G89" t="s">
        <v>22</v>
      </c>
      <c r="H89">
        <v>34</v>
      </c>
      <c r="I89">
        <v>1</v>
      </c>
    </row>
    <row r="90" spans="1:9" x14ac:dyDescent="0.3">
      <c r="A90">
        <v>2</v>
      </c>
      <c r="B90">
        <v>1</v>
      </c>
      <c r="C90" t="s">
        <v>21</v>
      </c>
      <c r="D90" t="s">
        <v>20</v>
      </c>
      <c r="E90">
        <v>39</v>
      </c>
      <c r="F90" t="s">
        <v>23</v>
      </c>
      <c r="G90" t="s">
        <v>22</v>
      </c>
      <c r="H90">
        <v>8</v>
      </c>
      <c r="I90">
        <v>0</v>
      </c>
    </row>
    <row r="91" spans="1:9" x14ac:dyDescent="0.3">
      <c r="A91">
        <v>2</v>
      </c>
      <c r="B91">
        <v>1</v>
      </c>
      <c r="C91" t="s">
        <v>21</v>
      </c>
      <c r="D91" t="s">
        <v>20</v>
      </c>
      <c r="E91">
        <v>38</v>
      </c>
      <c r="F91" t="s">
        <v>23</v>
      </c>
      <c r="G91" t="s">
        <v>22</v>
      </c>
      <c r="H91">
        <v>43</v>
      </c>
      <c r="I91">
        <v>1</v>
      </c>
    </row>
    <row r="92" spans="1:9" x14ac:dyDescent="0.3">
      <c r="A92">
        <v>2</v>
      </c>
      <c r="B92">
        <v>1</v>
      </c>
      <c r="C92" t="s">
        <v>21</v>
      </c>
      <c r="D92" t="s">
        <v>20</v>
      </c>
      <c r="E92">
        <v>9</v>
      </c>
      <c r="F92" t="s">
        <v>23</v>
      </c>
      <c r="G92" t="s">
        <v>22</v>
      </c>
      <c r="H92">
        <v>35</v>
      </c>
      <c r="I92">
        <v>1</v>
      </c>
    </row>
    <row r="93" spans="1:9" x14ac:dyDescent="0.3">
      <c r="A93">
        <v>2</v>
      </c>
      <c r="B93">
        <v>1</v>
      </c>
      <c r="C93" t="s">
        <v>21</v>
      </c>
      <c r="D93" t="s">
        <v>20</v>
      </c>
      <c r="E93">
        <v>34</v>
      </c>
      <c r="F93" t="s">
        <v>23</v>
      </c>
      <c r="G93" t="s">
        <v>22</v>
      </c>
      <c r="H93">
        <v>34</v>
      </c>
      <c r="I93">
        <v>0</v>
      </c>
    </row>
    <row r="94" spans="1:9" x14ac:dyDescent="0.3">
      <c r="A94">
        <v>2</v>
      </c>
      <c r="B94">
        <v>1</v>
      </c>
      <c r="C94" t="s">
        <v>21</v>
      </c>
      <c r="D94" t="s">
        <v>20</v>
      </c>
      <c r="E94">
        <v>0</v>
      </c>
      <c r="F94" t="s">
        <v>23</v>
      </c>
      <c r="G94" t="s">
        <v>22</v>
      </c>
      <c r="H94">
        <v>37</v>
      </c>
      <c r="I94">
        <v>1</v>
      </c>
    </row>
    <row r="95" spans="1:9" x14ac:dyDescent="0.3">
      <c r="A95">
        <v>2</v>
      </c>
      <c r="B95">
        <v>1</v>
      </c>
      <c r="C95" t="s">
        <v>21</v>
      </c>
      <c r="D95" t="s">
        <v>20</v>
      </c>
      <c r="E95">
        <v>47</v>
      </c>
      <c r="F95" t="s">
        <v>23</v>
      </c>
      <c r="G95" t="s">
        <v>22</v>
      </c>
      <c r="H95">
        <v>40</v>
      </c>
      <c r="I95">
        <v>0</v>
      </c>
    </row>
    <row r="96" spans="1:9" x14ac:dyDescent="0.3">
      <c r="A96">
        <v>2</v>
      </c>
      <c r="B96">
        <v>1</v>
      </c>
      <c r="C96" t="s">
        <v>21</v>
      </c>
      <c r="D96" t="s">
        <v>20</v>
      </c>
      <c r="E96">
        <v>25</v>
      </c>
      <c r="F96" t="s">
        <v>23</v>
      </c>
      <c r="G96" t="s">
        <v>22</v>
      </c>
      <c r="H96">
        <v>38</v>
      </c>
      <c r="I96">
        <v>1</v>
      </c>
    </row>
    <row r="97" spans="1:9" x14ac:dyDescent="0.3">
      <c r="A97">
        <v>2</v>
      </c>
      <c r="B97">
        <v>1</v>
      </c>
      <c r="C97" t="s">
        <v>21</v>
      </c>
      <c r="D97" t="s">
        <v>20</v>
      </c>
      <c r="E97">
        <v>9</v>
      </c>
      <c r="F97" t="s">
        <v>23</v>
      </c>
      <c r="G97" t="s">
        <v>22</v>
      </c>
      <c r="H97">
        <v>62</v>
      </c>
      <c r="I97">
        <v>1</v>
      </c>
    </row>
    <row r="98" spans="1:9" x14ac:dyDescent="0.3">
      <c r="A98">
        <v>2</v>
      </c>
      <c r="B98">
        <v>1</v>
      </c>
      <c r="C98" t="s">
        <v>21</v>
      </c>
      <c r="D98" t="s">
        <v>20</v>
      </c>
      <c r="E98">
        <v>21</v>
      </c>
      <c r="F98" t="s">
        <v>23</v>
      </c>
      <c r="G98" t="s">
        <v>22</v>
      </c>
      <c r="H98">
        <v>61</v>
      </c>
      <c r="I98">
        <v>1</v>
      </c>
    </row>
    <row r="99" spans="1:9" x14ac:dyDescent="0.3">
      <c r="A99">
        <v>2</v>
      </c>
      <c r="B99">
        <v>1</v>
      </c>
      <c r="C99" t="s">
        <v>21</v>
      </c>
      <c r="D99" t="s">
        <v>20</v>
      </c>
      <c r="E99">
        <v>27</v>
      </c>
      <c r="F99" t="s">
        <v>23</v>
      </c>
      <c r="G99" t="s">
        <v>22</v>
      </c>
      <c r="H99">
        <v>24</v>
      </c>
      <c r="I99">
        <v>0</v>
      </c>
    </row>
    <row r="100" spans="1:9" x14ac:dyDescent="0.3">
      <c r="A100">
        <v>2</v>
      </c>
      <c r="B100">
        <v>1</v>
      </c>
      <c r="C100" t="s">
        <v>21</v>
      </c>
      <c r="D100" t="s">
        <v>20</v>
      </c>
      <c r="E100">
        <v>18</v>
      </c>
      <c r="F100" t="s">
        <v>23</v>
      </c>
      <c r="G100" t="s">
        <v>22</v>
      </c>
      <c r="H100">
        <v>53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A6DD1-261B-45A9-9AB1-2275069316C5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21</v>
      </c>
      <c r="D1" t="s">
        <v>20</v>
      </c>
      <c r="E1">
        <v>71</v>
      </c>
      <c r="F1" t="s">
        <v>25</v>
      </c>
      <c r="G1" t="s">
        <v>24</v>
      </c>
      <c r="H1">
        <v>0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21</v>
      </c>
      <c r="D2" t="s">
        <v>20</v>
      </c>
      <c r="E2">
        <v>29</v>
      </c>
      <c r="F2" t="s">
        <v>25</v>
      </c>
      <c r="G2" t="s">
        <v>24</v>
      </c>
      <c r="H2">
        <v>2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21</v>
      </c>
      <c r="D3" t="s">
        <v>20</v>
      </c>
      <c r="E3">
        <v>85</v>
      </c>
      <c r="F3" t="s">
        <v>25</v>
      </c>
      <c r="G3" t="s">
        <v>24</v>
      </c>
      <c r="H3">
        <v>3</v>
      </c>
      <c r="I3">
        <v>0</v>
      </c>
      <c r="K3" s="8" t="s">
        <v>11</v>
      </c>
      <c r="L3" s="8"/>
      <c r="M3" s="10">
        <f>COUNTIF($I$1:$I$100, 0)</f>
        <v>94</v>
      </c>
      <c r="N3" s="10"/>
      <c r="O3" s="10">
        <f>COUNTIFS($I$1:$I$100, 0, $B$1:$B$100, 0)</f>
        <v>48</v>
      </c>
      <c r="P3" s="10"/>
      <c r="Q3" s="11">
        <f>COUNTIFS($I$1:$I$100, 0, $B$1:$B$100, 1)</f>
        <v>46</v>
      </c>
      <c r="R3" s="12"/>
      <c r="T3" cm="1">
        <f t="array" ref="T3">SUMPRODUCT(--($E$1:$E$100=$H$1:$H$100))</f>
        <v>0</v>
      </c>
    </row>
    <row r="4" spans="1:20" x14ac:dyDescent="0.3">
      <c r="A4">
        <v>2</v>
      </c>
      <c r="B4">
        <v>0</v>
      </c>
      <c r="C4" t="s">
        <v>21</v>
      </c>
      <c r="D4" t="s">
        <v>20</v>
      </c>
      <c r="E4">
        <v>51</v>
      </c>
      <c r="F4" t="s">
        <v>25</v>
      </c>
      <c r="G4" t="s">
        <v>24</v>
      </c>
      <c r="H4">
        <v>0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21</v>
      </c>
      <c r="D5" t="s">
        <v>20</v>
      </c>
      <c r="E5">
        <v>57</v>
      </c>
      <c r="F5" t="s">
        <v>25</v>
      </c>
      <c r="G5" t="s">
        <v>24</v>
      </c>
      <c r="H5">
        <v>0</v>
      </c>
      <c r="I5">
        <v>0</v>
      </c>
      <c r="K5" s="8" t="s">
        <v>10</v>
      </c>
      <c r="L5" s="8"/>
      <c r="M5" s="14">
        <f>COUNTIF($I$1:$I$100, 1)</f>
        <v>6</v>
      </c>
      <c r="N5" s="10"/>
      <c r="O5" s="10">
        <f>COUNTIFS($I$1:$I$100, 1, $B$1:$B$100, 0)</f>
        <v>2</v>
      </c>
      <c r="P5" s="10"/>
      <c r="Q5" s="10">
        <f>COUNTIFS($I$1:$I$100, 1, $B$1:$B$100, 1)</f>
        <v>4</v>
      </c>
      <c r="R5" s="13"/>
    </row>
    <row r="6" spans="1:20" x14ac:dyDescent="0.3">
      <c r="A6">
        <v>2</v>
      </c>
      <c r="B6">
        <v>0</v>
      </c>
      <c r="C6" t="s">
        <v>21</v>
      </c>
      <c r="D6" t="s">
        <v>20</v>
      </c>
      <c r="E6">
        <v>73</v>
      </c>
      <c r="F6" t="s">
        <v>25</v>
      </c>
      <c r="G6" t="s">
        <v>24</v>
      </c>
      <c r="H6">
        <v>2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21</v>
      </c>
      <c r="D7" t="s">
        <v>20</v>
      </c>
      <c r="E7">
        <v>41</v>
      </c>
      <c r="F7" t="s">
        <v>25</v>
      </c>
      <c r="G7" t="s">
        <v>24</v>
      </c>
      <c r="H7">
        <v>2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21</v>
      </c>
      <c r="D8" t="s">
        <v>20</v>
      </c>
      <c r="E8">
        <v>55</v>
      </c>
      <c r="F8" t="s">
        <v>25</v>
      </c>
      <c r="G8" t="s">
        <v>24</v>
      </c>
      <c r="H8">
        <v>0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21</v>
      </c>
      <c r="D9" t="s">
        <v>20</v>
      </c>
      <c r="E9">
        <v>51</v>
      </c>
      <c r="F9" t="s">
        <v>25</v>
      </c>
      <c r="G9" t="s">
        <v>24</v>
      </c>
      <c r="H9">
        <v>0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21</v>
      </c>
      <c r="D10" t="s">
        <v>20</v>
      </c>
      <c r="E10">
        <v>75</v>
      </c>
      <c r="F10" t="s">
        <v>25</v>
      </c>
      <c r="G10" t="s">
        <v>24</v>
      </c>
      <c r="H10">
        <v>8</v>
      </c>
      <c r="I10">
        <v>0</v>
      </c>
      <c r="K10" s="8" t="s">
        <v>6</v>
      </c>
      <c r="L10" s="8"/>
      <c r="M10" s="10">
        <f>AVERAGE($E$1:$E$100,)</f>
        <v>39.227722772277225</v>
      </c>
      <c r="N10" s="10"/>
      <c r="O10" s="10" cm="1">
        <f t="array" ref="O10">AVERAGE(_xlfn._xlws.FILTER($E$1:$E$100,$I$1:$I$100 = 0))</f>
        <v>41.202127659574465</v>
      </c>
      <c r="P10" s="10"/>
      <c r="Q10" s="11" cm="1">
        <f t="array" ref="Q10">AVERAGE(_xlfn._xlws.FILTER($E$1:$E$100,$I$1:$I$100 = 1))</f>
        <v>14.833333333333334</v>
      </c>
      <c r="R10" s="12"/>
    </row>
    <row r="11" spans="1:20" x14ac:dyDescent="0.3">
      <c r="A11">
        <v>2</v>
      </c>
      <c r="B11">
        <v>0</v>
      </c>
      <c r="C11" t="s">
        <v>21</v>
      </c>
      <c r="D11" t="s">
        <v>20</v>
      </c>
      <c r="E11">
        <v>26</v>
      </c>
      <c r="F11" t="s">
        <v>25</v>
      </c>
      <c r="G11" t="s">
        <v>24</v>
      </c>
      <c r="H11">
        <v>0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21</v>
      </c>
      <c r="D12" t="s">
        <v>20</v>
      </c>
      <c r="E12">
        <v>23</v>
      </c>
      <c r="F12" t="s">
        <v>25</v>
      </c>
      <c r="G12" t="s">
        <v>24</v>
      </c>
      <c r="H12">
        <v>5</v>
      </c>
      <c r="I12">
        <v>0</v>
      </c>
      <c r="K12" s="8" t="s">
        <v>5</v>
      </c>
      <c r="L12" s="8"/>
      <c r="M12" s="10">
        <f>AVERAGE($H$1:$H$100,)</f>
        <v>7.1386138613861387</v>
      </c>
      <c r="N12" s="10"/>
      <c r="O12" s="10" cm="1">
        <f t="array" ref="O12">AVERAGE(_xlfn._xlws.FILTER($H$1:$H$100,$I$1:$I$100 = 0))</f>
        <v>5.3936170212765955</v>
      </c>
      <c r="P12" s="10"/>
      <c r="Q12" s="10" cm="1">
        <f t="array" ref="Q12">AVERAGE(_xlfn._xlws.FILTER($H$1:$H$100,$I$1:$I$100 = 1))</f>
        <v>35.666666666666664</v>
      </c>
      <c r="R12" s="13"/>
    </row>
    <row r="13" spans="1:20" x14ac:dyDescent="0.3">
      <c r="A13">
        <v>2</v>
      </c>
      <c r="B13">
        <v>0</v>
      </c>
      <c r="C13" t="s">
        <v>21</v>
      </c>
      <c r="D13" t="s">
        <v>20</v>
      </c>
      <c r="E13">
        <v>37</v>
      </c>
      <c r="F13" t="s">
        <v>25</v>
      </c>
      <c r="G13" t="s">
        <v>24</v>
      </c>
      <c r="H13">
        <v>0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21</v>
      </c>
      <c r="D14" t="s">
        <v>20</v>
      </c>
      <c r="E14">
        <v>45</v>
      </c>
      <c r="F14" t="s">
        <v>25</v>
      </c>
      <c r="G14" t="s">
        <v>24</v>
      </c>
      <c r="H14">
        <v>20</v>
      </c>
      <c r="I14">
        <v>0</v>
      </c>
      <c r="K14" s="19" t="s">
        <v>4</v>
      </c>
      <c r="L14" s="12"/>
      <c r="M14" s="20" cm="1">
        <f t="array" ref="M14">AVERAGE($E$1:$E$100 - $H$1:$H$100)</f>
        <v>32.409999999999997</v>
      </c>
      <c r="N14" s="20"/>
      <c r="O14" s="20" cm="1">
        <f t="array" ref="O14">AVERAGE(_xlfn._xlws.FILTER($E$1:$E$100 - $H$1:$H$100, I$1:I$100 = 0))</f>
        <v>35.808510638297875</v>
      </c>
      <c r="P14" s="20"/>
      <c r="Q14" s="20" cm="1">
        <f t="array" ref="Q14">AVERAGE(_xlfn._xlws.FILTER($E$1:$E$100 - $H$1:$H$100, I$1:I$100 = 1))</f>
        <v>-20.833333333333332</v>
      </c>
      <c r="R14" s="22"/>
    </row>
    <row r="15" spans="1:20" x14ac:dyDescent="0.3">
      <c r="A15">
        <v>2</v>
      </c>
      <c r="B15">
        <v>0</v>
      </c>
      <c r="C15" t="s">
        <v>21</v>
      </c>
      <c r="D15" t="s">
        <v>20</v>
      </c>
      <c r="E15">
        <v>58</v>
      </c>
      <c r="F15" t="s">
        <v>25</v>
      </c>
      <c r="G15" t="s">
        <v>24</v>
      </c>
      <c r="H15">
        <v>2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21</v>
      </c>
      <c r="D16" t="s">
        <v>20</v>
      </c>
      <c r="E16">
        <v>80</v>
      </c>
      <c r="F16" t="s">
        <v>25</v>
      </c>
      <c r="G16" t="s">
        <v>24</v>
      </c>
      <c r="H16">
        <v>2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21</v>
      </c>
      <c r="D17" t="s">
        <v>20</v>
      </c>
      <c r="E17">
        <v>36</v>
      </c>
      <c r="F17" t="s">
        <v>25</v>
      </c>
      <c r="G17" t="s">
        <v>24</v>
      </c>
      <c r="H17">
        <v>0</v>
      </c>
      <c r="I17">
        <v>0</v>
      </c>
    </row>
    <row r="18" spans="1:9" x14ac:dyDescent="0.3">
      <c r="A18">
        <v>2</v>
      </c>
      <c r="B18">
        <v>0</v>
      </c>
      <c r="C18" t="s">
        <v>21</v>
      </c>
      <c r="D18" t="s">
        <v>20</v>
      </c>
      <c r="E18">
        <v>48</v>
      </c>
      <c r="F18" t="s">
        <v>25</v>
      </c>
      <c r="G18" t="s">
        <v>24</v>
      </c>
      <c r="H18">
        <v>12</v>
      </c>
      <c r="I18">
        <v>0</v>
      </c>
    </row>
    <row r="19" spans="1:9" x14ac:dyDescent="0.3">
      <c r="A19">
        <v>2</v>
      </c>
      <c r="B19">
        <v>0</v>
      </c>
      <c r="C19" t="s">
        <v>21</v>
      </c>
      <c r="D19" t="s">
        <v>20</v>
      </c>
      <c r="E19">
        <v>68</v>
      </c>
      <c r="F19" t="s">
        <v>25</v>
      </c>
      <c r="G19" t="s">
        <v>24</v>
      </c>
      <c r="H19">
        <v>0</v>
      </c>
      <c r="I19">
        <v>0</v>
      </c>
    </row>
    <row r="20" spans="1:9" x14ac:dyDescent="0.3">
      <c r="A20">
        <v>2</v>
      </c>
      <c r="B20">
        <v>0</v>
      </c>
      <c r="C20" t="s">
        <v>21</v>
      </c>
      <c r="D20" t="s">
        <v>20</v>
      </c>
      <c r="E20">
        <v>42</v>
      </c>
      <c r="F20" t="s">
        <v>25</v>
      </c>
      <c r="G20" t="s">
        <v>24</v>
      </c>
      <c r="H20">
        <v>14</v>
      </c>
      <c r="I20">
        <v>0</v>
      </c>
    </row>
    <row r="21" spans="1:9" x14ac:dyDescent="0.3">
      <c r="A21">
        <v>2</v>
      </c>
      <c r="B21">
        <v>0</v>
      </c>
      <c r="C21" t="s">
        <v>21</v>
      </c>
      <c r="D21" t="s">
        <v>20</v>
      </c>
      <c r="E21">
        <v>42</v>
      </c>
      <c r="F21" t="s">
        <v>25</v>
      </c>
      <c r="G21" t="s">
        <v>24</v>
      </c>
      <c r="H21">
        <v>9</v>
      </c>
      <c r="I21">
        <v>0</v>
      </c>
    </row>
    <row r="22" spans="1:9" x14ac:dyDescent="0.3">
      <c r="A22">
        <v>2</v>
      </c>
      <c r="B22">
        <v>0</v>
      </c>
      <c r="C22" t="s">
        <v>21</v>
      </c>
      <c r="D22" t="s">
        <v>20</v>
      </c>
      <c r="E22">
        <v>25</v>
      </c>
      <c r="F22" t="s">
        <v>25</v>
      </c>
      <c r="G22" t="s">
        <v>24</v>
      </c>
      <c r="H22">
        <v>20</v>
      </c>
      <c r="I22">
        <v>0</v>
      </c>
    </row>
    <row r="23" spans="1:9" x14ac:dyDescent="0.3">
      <c r="A23">
        <v>2</v>
      </c>
      <c r="B23">
        <v>0</v>
      </c>
      <c r="C23" t="s">
        <v>21</v>
      </c>
      <c r="D23" t="s">
        <v>20</v>
      </c>
      <c r="E23">
        <v>21</v>
      </c>
      <c r="F23" t="s">
        <v>25</v>
      </c>
      <c r="G23" t="s">
        <v>24</v>
      </c>
      <c r="H23">
        <v>18</v>
      </c>
      <c r="I23">
        <v>0</v>
      </c>
    </row>
    <row r="24" spans="1:9" x14ac:dyDescent="0.3">
      <c r="A24">
        <v>2</v>
      </c>
      <c r="B24">
        <v>0</v>
      </c>
      <c r="C24" t="s">
        <v>21</v>
      </c>
      <c r="D24" t="s">
        <v>20</v>
      </c>
      <c r="E24">
        <v>15</v>
      </c>
      <c r="F24" t="s">
        <v>25</v>
      </c>
      <c r="G24" t="s">
        <v>24</v>
      </c>
      <c r="H24">
        <v>4</v>
      </c>
      <c r="I24">
        <v>0</v>
      </c>
    </row>
    <row r="25" spans="1:9" x14ac:dyDescent="0.3">
      <c r="A25">
        <v>2</v>
      </c>
      <c r="B25">
        <v>0</v>
      </c>
      <c r="C25" t="s">
        <v>21</v>
      </c>
      <c r="D25" t="s">
        <v>20</v>
      </c>
      <c r="E25">
        <v>35</v>
      </c>
      <c r="F25" t="s">
        <v>25</v>
      </c>
      <c r="G25" t="s">
        <v>24</v>
      </c>
      <c r="H25">
        <v>0</v>
      </c>
      <c r="I25">
        <v>0</v>
      </c>
    </row>
    <row r="26" spans="1:9" x14ac:dyDescent="0.3">
      <c r="A26">
        <v>2</v>
      </c>
      <c r="B26">
        <v>0</v>
      </c>
      <c r="C26" t="s">
        <v>21</v>
      </c>
      <c r="D26" t="s">
        <v>20</v>
      </c>
      <c r="E26">
        <v>38</v>
      </c>
      <c r="F26" t="s">
        <v>25</v>
      </c>
      <c r="G26" t="s">
        <v>24</v>
      </c>
      <c r="H26">
        <v>0</v>
      </c>
      <c r="I26">
        <v>0</v>
      </c>
    </row>
    <row r="27" spans="1:9" x14ac:dyDescent="0.3">
      <c r="A27">
        <v>2</v>
      </c>
      <c r="B27">
        <v>0</v>
      </c>
      <c r="C27" t="s">
        <v>21</v>
      </c>
      <c r="D27" t="s">
        <v>20</v>
      </c>
      <c r="E27">
        <v>76</v>
      </c>
      <c r="F27" t="s">
        <v>25</v>
      </c>
      <c r="G27" t="s">
        <v>24</v>
      </c>
      <c r="H27">
        <v>5</v>
      </c>
      <c r="I27">
        <v>0</v>
      </c>
    </row>
    <row r="28" spans="1:9" x14ac:dyDescent="0.3">
      <c r="A28">
        <v>2</v>
      </c>
      <c r="B28">
        <v>0</v>
      </c>
      <c r="C28" t="s">
        <v>21</v>
      </c>
      <c r="D28" t="s">
        <v>20</v>
      </c>
      <c r="E28">
        <v>35</v>
      </c>
      <c r="F28" t="s">
        <v>25</v>
      </c>
      <c r="G28" t="s">
        <v>24</v>
      </c>
      <c r="H28">
        <v>7</v>
      </c>
      <c r="I28">
        <v>0</v>
      </c>
    </row>
    <row r="29" spans="1:9" x14ac:dyDescent="0.3">
      <c r="A29">
        <v>2</v>
      </c>
      <c r="B29">
        <v>0</v>
      </c>
      <c r="C29" t="s">
        <v>21</v>
      </c>
      <c r="D29" t="s">
        <v>20</v>
      </c>
      <c r="E29">
        <v>34</v>
      </c>
      <c r="F29" t="s">
        <v>25</v>
      </c>
      <c r="G29" t="s">
        <v>24</v>
      </c>
      <c r="H29">
        <v>7</v>
      </c>
      <c r="I29">
        <v>0</v>
      </c>
    </row>
    <row r="30" spans="1:9" x14ac:dyDescent="0.3">
      <c r="A30">
        <v>2</v>
      </c>
      <c r="B30">
        <v>0</v>
      </c>
      <c r="C30" t="s">
        <v>21</v>
      </c>
      <c r="D30" t="s">
        <v>20</v>
      </c>
      <c r="E30">
        <v>16</v>
      </c>
      <c r="F30" t="s">
        <v>25</v>
      </c>
      <c r="G30" t="s">
        <v>24</v>
      </c>
      <c r="H30">
        <v>2</v>
      </c>
      <c r="I30">
        <v>0</v>
      </c>
    </row>
    <row r="31" spans="1:9" x14ac:dyDescent="0.3">
      <c r="A31">
        <v>2</v>
      </c>
      <c r="B31">
        <v>0</v>
      </c>
      <c r="C31" t="s">
        <v>21</v>
      </c>
      <c r="D31" t="s">
        <v>20</v>
      </c>
      <c r="E31">
        <v>44</v>
      </c>
      <c r="F31" t="s">
        <v>25</v>
      </c>
      <c r="G31" t="s">
        <v>24</v>
      </c>
      <c r="H31">
        <v>8</v>
      </c>
      <c r="I31">
        <v>0</v>
      </c>
    </row>
    <row r="32" spans="1:9" x14ac:dyDescent="0.3">
      <c r="A32">
        <v>2</v>
      </c>
      <c r="B32">
        <v>0</v>
      </c>
      <c r="C32" t="s">
        <v>21</v>
      </c>
      <c r="D32" t="s">
        <v>20</v>
      </c>
      <c r="E32">
        <v>38</v>
      </c>
      <c r="F32" t="s">
        <v>25</v>
      </c>
      <c r="G32" t="s">
        <v>24</v>
      </c>
      <c r="H32">
        <v>23</v>
      </c>
      <c r="I32">
        <v>0</v>
      </c>
    </row>
    <row r="33" spans="1:9" x14ac:dyDescent="0.3">
      <c r="A33">
        <v>2</v>
      </c>
      <c r="B33">
        <v>0</v>
      </c>
      <c r="C33" t="s">
        <v>21</v>
      </c>
      <c r="D33" t="s">
        <v>20</v>
      </c>
      <c r="E33">
        <v>43</v>
      </c>
      <c r="F33" t="s">
        <v>25</v>
      </c>
      <c r="G33" t="s">
        <v>24</v>
      </c>
      <c r="H33">
        <v>0</v>
      </c>
      <c r="I33">
        <v>0</v>
      </c>
    </row>
    <row r="34" spans="1:9" x14ac:dyDescent="0.3">
      <c r="A34">
        <v>2</v>
      </c>
      <c r="B34">
        <v>0</v>
      </c>
      <c r="C34" t="s">
        <v>21</v>
      </c>
      <c r="D34" t="s">
        <v>20</v>
      </c>
      <c r="E34">
        <v>12</v>
      </c>
      <c r="F34" t="s">
        <v>25</v>
      </c>
      <c r="G34" t="s">
        <v>24</v>
      </c>
      <c r="H34">
        <v>3</v>
      </c>
      <c r="I34">
        <v>0</v>
      </c>
    </row>
    <row r="35" spans="1:9" x14ac:dyDescent="0.3">
      <c r="A35">
        <v>2</v>
      </c>
      <c r="B35">
        <v>0</v>
      </c>
      <c r="C35" t="s">
        <v>21</v>
      </c>
      <c r="D35" t="s">
        <v>20</v>
      </c>
      <c r="E35">
        <v>55</v>
      </c>
      <c r="F35" t="s">
        <v>25</v>
      </c>
      <c r="G35" t="s">
        <v>24</v>
      </c>
      <c r="H35">
        <v>8</v>
      </c>
      <c r="I35">
        <v>0</v>
      </c>
    </row>
    <row r="36" spans="1:9" x14ac:dyDescent="0.3">
      <c r="A36">
        <v>2</v>
      </c>
      <c r="B36">
        <v>0</v>
      </c>
      <c r="C36" t="s">
        <v>21</v>
      </c>
      <c r="D36" t="s">
        <v>20</v>
      </c>
      <c r="E36">
        <v>46</v>
      </c>
      <c r="F36" t="s">
        <v>25</v>
      </c>
      <c r="G36" t="s">
        <v>24</v>
      </c>
      <c r="H36">
        <v>2</v>
      </c>
      <c r="I36">
        <v>0</v>
      </c>
    </row>
    <row r="37" spans="1:9" x14ac:dyDescent="0.3">
      <c r="A37">
        <v>2</v>
      </c>
      <c r="B37">
        <v>0</v>
      </c>
      <c r="C37" t="s">
        <v>21</v>
      </c>
      <c r="D37" t="s">
        <v>20</v>
      </c>
      <c r="E37">
        <v>39</v>
      </c>
      <c r="F37" t="s">
        <v>25</v>
      </c>
      <c r="G37" t="s">
        <v>24</v>
      </c>
      <c r="H37">
        <v>2</v>
      </c>
      <c r="I37">
        <v>0</v>
      </c>
    </row>
    <row r="38" spans="1:9" x14ac:dyDescent="0.3">
      <c r="A38">
        <v>2</v>
      </c>
      <c r="B38">
        <v>0</v>
      </c>
      <c r="C38" t="s">
        <v>21</v>
      </c>
      <c r="D38" t="s">
        <v>20</v>
      </c>
      <c r="E38">
        <v>31</v>
      </c>
      <c r="F38" t="s">
        <v>25</v>
      </c>
      <c r="G38" t="s">
        <v>24</v>
      </c>
      <c r="H38">
        <v>5</v>
      </c>
      <c r="I38">
        <v>0</v>
      </c>
    </row>
    <row r="39" spans="1:9" x14ac:dyDescent="0.3">
      <c r="A39">
        <v>2</v>
      </c>
      <c r="B39">
        <v>0</v>
      </c>
      <c r="C39" t="s">
        <v>21</v>
      </c>
      <c r="D39" t="s">
        <v>20</v>
      </c>
      <c r="E39">
        <v>9</v>
      </c>
      <c r="F39" t="s">
        <v>25</v>
      </c>
      <c r="G39" t="s">
        <v>24</v>
      </c>
      <c r="H39">
        <v>5</v>
      </c>
      <c r="I39">
        <v>0</v>
      </c>
    </row>
    <row r="40" spans="1:9" x14ac:dyDescent="0.3">
      <c r="A40">
        <v>2</v>
      </c>
      <c r="B40">
        <v>0</v>
      </c>
      <c r="C40" t="s">
        <v>21</v>
      </c>
      <c r="D40" t="s">
        <v>20</v>
      </c>
      <c r="E40">
        <v>26</v>
      </c>
      <c r="F40" t="s">
        <v>25</v>
      </c>
      <c r="G40" t="s">
        <v>24</v>
      </c>
      <c r="H40">
        <v>3</v>
      </c>
      <c r="I40">
        <v>0</v>
      </c>
    </row>
    <row r="41" spans="1:9" x14ac:dyDescent="0.3">
      <c r="A41">
        <v>2</v>
      </c>
      <c r="B41">
        <v>0</v>
      </c>
      <c r="C41" t="s">
        <v>21</v>
      </c>
      <c r="D41" t="s">
        <v>20</v>
      </c>
      <c r="E41">
        <v>29</v>
      </c>
      <c r="F41" t="s">
        <v>25</v>
      </c>
      <c r="G41" t="s">
        <v>24</v>
      </c>
      <c r="H41">
        <v>8</v>
      </c>
      <c r="I41">
        <v>0</v>
      </c>
    </row>
    <row r="42" spans="1:9" x14ac:dyDescent="0.3">
      <c r="A42">
        <v>2</v>
      </c>
      <c r="B42">
        <v>0</v>
      </c>
      <c r="C42" t="s">
        <v>21</v>
      </c>
      <c r="D42" t="s">
        <v>20</v>
      </c>
      <c r="E42">
        <v>19</v>
      </c>
      <c r="F42" t="s">
        <v>25</v>
      </c>
      <c r="G42" t="s">
        <v>24</v>
      </c>
      <c r="H42">
        <v>41</v>
      </c>
      <c r="I42">
        <v>1</v>
      </c>
    </row>
    <row r="43" spans="1:9" x14ac:dyDescent="0.3">
      <c r="A43">
        <v>2</v>
      </c>
      <c r="B43">
        <v>0</v>
      </c>
      <c r="C43" t="s">
        <v>21</v>
      </c>
      <c r="D43" t="s">
        <v>20</v>
      </c>
      <c r="E43">
        <v>49</v>
      </c>
      <c r="F43" t="s">
        <v>25</v>
      </c>
      <c r="G43" t="s">
        <v>24</v>
      </c>
      <c r="H43">
        <v>0</v>
      </c>
      <c r="I43">
        <v>0</v>
      </c>
    </row>
    <row r="44" spans="1:9" x14ac:dyDescent="0.3">
      <c r="A44">
        <v>2</v>
      </c>
      <c r="B44">
        <v>0</v>
      </c>
      <c r="C44" t="s">
        <v>21</v>
      </c>
      <c r="D44" t="s">
        <v>20</v>
      </c>
      <c r="E44">
        <v>54</v>
      </c>
      <c r="F44" t="s">
        <v>25</v>
      </c>
      <c r="G44" t="s">
        <v>24</v>
      </c>
      <c r="H44">
        <v>0</v>
      </c>
      <c r="I44">
        <v>0</v>
      </c>
    </row>
    <row r="45" spans="1:9" x14ac:dyDescent="0.3">
      <c r="A45">
        <v>2</v>
      </c>
      <c r="B45">
        <v>0</v>
      </c>
      <c r="C45" t="s">
        <v>21</v>
      </c>
      <c r="D45" t="s">
        <v>20</v>
      </c>
      <c r="E45">
        <v>49</v>
      </c>
      <c r="F45" t="s">
        <v>25</v>
      </c>
      <c r="G45" t="s">
        <v>24</v>
      </c>
      <c r="H45">
        <v>4</v>
      </c>
      <c r="I45">
        <v>0</v>
      </c>
    </row>
    <row r="46" spans="1:9" x14ac:dyDescent="0.3">
      <c r="A46">
        <v>2</v>
      </c>
      <c r="B46">
        <v>0</v>
      </c>
      <c r="C46" t="s">
        <v>21</v>
      </c>
      <c r="D46" t="s">
        <v>20</v>
      </c>
      <c r="E46">
        <v>34</v>
      </c>
      <c r="F46" t="s">
        <v>25</v>
      </c>
      <c r="G46" t="s">
        <v>24</v>
      </c>
      <c r="H46">
        <v>2</v>
      </c>
      <c r="I46">
        <v>0</v>
      </c>
    </row>
    <row r="47" spans="1:9" x14ac:dyDescent="0.3">
      <c r="A47">
        <v>2</v>
      </c>
      <c r="B47">
        <v>0</v>
      </c>
      <c r="C47" t="s">
        <v>21</v>
      </c>
      <c r="D47" t="s">
        <v>20</v>
      </c>
      <c r="E47">
        <v>0</v>
      </c>
      <c r="F47" t="s">
        <v>25</v>
      </c>
      <c r="G47" t="s">
        <v>24</v>
      </c>
      <c r="H47">
        <v>30</v>
      </c>
      <c r="I47">
        <v>1</v>
      </c>
    </row>
    <row r="48" spans="1:9" x14ac:dyDescent="0.3">
      <c r="A48">
        <v>2</v>
      </c>
      <c r="B48">
        <v>0</v>
      </c>
      <c r="C48" t="s">
        <v>21</v>
      </c>
      <c r="D48" t="s">
        <v>20</v>
      </c>
      <c r="E48">
        <v>13</v>
      </c>
      <c r="F48" t="s">
        <v>25</v>
      </c>
      <c r="G48" t="s">
        <v>24</v>
      </c>
      <c r="H48">
        <v>7</v>
      </c>
      <c r="I48">
        <v>0</v>
      </c>
    </row>
    <row r="49" spans="1:9" x14ac:dyDescent="0.3">
      <c r="A49">
        <v>2</v>
      </c>
      <c r="B49">
        <v>0</v>
      </c>
      <c r="C49" t="s">
        <v>21</v>
      </c>
      <c r="D49" t="s">
        <v>20</v>
      </c>
      <c r="E49">
        <v>42</v>
      </c>
      <c r="F49" t="s">
        <v>25</v>
      </c>
      <c r="G49" t="s">
        <v>24</v>
      </c>
      <c r="H49">
        <v>10</v>
      </c>
      <c r="I49">
        <v>0</v>
      </c>
    </row>
    <row r="50" spans="1:9" x14ac:dyDescent="0.3">
      <c r="A50">
        <v>2</v>
      </c>
      <c r="B50">
        <v>0</v>
      </c>
      <c r="C50" t="s">
        <v>21</v>
      </c>
      <c r="D50" t="s">
        <v>20</v>
      </c>
      <c r="E50">
        <v>52</v>
      </c>
      <c r="F50" t="s">
        <v>25</v>
      </c>
      <c r="G50" t="s">
        <v>24</v>
      </c>
      <c r="H50">
        <v>0</v>
      </c>
      <c r="I50">
        <v>0</v>
      </c>
    </row>
    <row r="51" spans="1:9" x14ac:dyDescent="0.3">
      <c r="A51">
        <v>2</v>
      </c>
      <c r="B51">
        <v>1</v>
      </c>
      <c r="C51" t="s">
        <v>21</v>
      </c>
      <c r="D51" t="s">
        <v>20</v>
      </c>
      <c r="E51">
        <v>21</v>
      </c>
      <c r="F51" t="s">
        <v>25</v>
      </c>
      <c r="G51" t="s">
        <v>24</v>
      </c>
      <c r="H51">
        <v>13</v>
      </c>
      <c r="I51">
        <v>0</v>
      </c>
    </row>
    <row r="52" spans="1:9" x14ac:dyDescent="0.3">
      <c r="A52">
        <v>2</v>
      </c>
      <c r="B52">
        <v>1</v>
      </c>
      <c r="C52" t="s">
        <v>21</v>
      </c>
      <c r="D52" t="s">
        <v>20</v>
      </c>
      <c r="E52">
        <v>23</v>
      </c>
      <c r="F52" t="s">
        <v>25</v>
      </c>
      <c r="G52" t="s">
        <v>24</v>
      </c>
      <c r="H52">
        <v>9</v>
      </c>
      <c r="I52">
        <v>0</v>
      </c>
    </row>
    <row r="53" spans="1:9" x14ac:dyDescent="0.3">
      <c r="A53">
        <v>2</v>
      </c>
      <c r="B53">
        <v>1</v>
      </c>
      <c r="C53" t="s">
        <v>21</v>
      </c>
      <c r="D53" t="s">
        <v>20</v>
      </c>
      <c r="E53">
        <v>34</v>
      </c>
      <c r="F53" t="s">
        <v>25</v>
      </c>
      <c r="G53" t="s">
        <v>24</v>
      </c>
      <c r="H53">
        <v>2</v>
      </c>
      <c r="I53">
        <v>0</v>
      </c>
    </row>
    <row r="54" spans="1:9" x14ac:dyDescent="0.3">
      <c r="A54">
        <v>2</v>
      </c>
      <c r="B54">
        <v>1</v>
      </c>
      <c r="C54" t="s">
        <v>21</v>
      </c>
      <c r="D54" t="s">
        <v>20</v>
      </c>
      <c r="E54">
        <v>10</v>
      </c>
      <c r="F54" t="s">
        <v>25</v>
      </c>
      <c r="G54" t="s">
        <v>24</v>
      </c>
      <c r="H54">
        <v>7</v>
      </c>
      <c r="I54">
        <v>0</v>
      </c>
    </row>
    <row r="55" spans="1:9" x14ac:dyDescent="0.3">
      <c r="A55">
        <v>2</v>
      </c>
      <c r="B55">
        <v>1</v>
      </c>
      <c r="C55" t="s">
        <v>21</v>
      </c>
      <c r="D55" t="s">
        <v>20</v>
      </c>
      <c r="E55">
        <v>45</v>
      </c>
      <c r="F55" t="s">
        <v>25</v>
      </c>
      <c r="G55" t="s">
        <v>24</v>
      </c>
      <c r="H55">
        <v>0</v>
      </c>
      <c r="I55">
        <v>0</v>
      </c>
    </row>
    <row r="56" spans="1:9" x14ac:dyDescent="0.3">
      <c r="A56">
        <v>2</v>
      </c>
      <c r="B56">
        <v>1</v>
      </c>
      <c r="C56" t="s">
        <v>21</v>
      </c>
      <c r="D56" t="s">
        <v>20</v>
      </c>
      <c r="E56">
        <v>52</v>
      </c>
      <c r="F56" t="s">
        <v>25</v>
      </c>
      <c r="G56" t="s">
        <v>24</v>
      </c>
      <c r="H56">
        <v>7</v>
      </c>
      <c r="I56">
        <v>0</v>
      </c>
    </row>
    <row r="57" spans="1:9" x14ac:dyDescent="0.3">
      <c r="A57">
        <v>2</v>
      </c>
      <c r="B57">
        <v>1</v>
      </c>
      <c r="C57" t="s">
        <v>21</v>
      </c>
      <c r="D57" t="s">
        <v>20</v>
      </c>
      <c r="E57">
        <v>46</v>
      </c>
      <c r="F57" t="s">
        <v>25</v>
      </c>
      <c r="G57" t="s">
        <v>24</v>
      </c>
      <c r="H57">
        <v>11</v>
      </c>
      <c r="I57">
        <v>0</v>
      </c>
    </row>
    <row r="58" spans="1:9" x14ac:dyDescent="0.3">
      <c r="A58">
        <v>2</v>
      </c>
      <c r="B58">
        <v>1</v>
      </c>
      <c r="C58" t="s">
        <v>21</v>
      </c>
      <c r="D58" t="s">
        <v>20</v>
      </c>
      <c r="E58">
        <v>35</v>
      </c>
      <c r="F58" t="s">
        <v>25</v>
      </c>
      <c r="G58" t="s">
        <v>24</v>
      </c>
      <c r="H58">
        <v>5</v>
      </c>
      <c r="I58">
        <v>0</v>
      </c>
    </row>
    <row r="59" spans="1:9" x14ac:dyDescent="0.3">
      <c r="A59">
        <v>2</v>
      </c>
      <c r="B59">
        <v>1</v>
      </c>
      <c r="C59" t="s">
        <v>21</v>
      </c>
      <c r="D59" t="s">
        <v>20</v>
      </c>
      <c r="E59">
        <v>35</v>
      </c>
      <c r="F59" t="s">
        <v>25</v>
      </c>
      <c r="G59" t="s">
        <v>24</v>
      </c>
      <c r="H59">
        <v>45</v>
      </c>
      <c r="I59">
        <v>1</v>
      </c>
    </row>
    <row r="60" spans="1:9" x14ac:dyDescent="0.3">
      <c r="A60">
        <v>2</v>
      </c>
      <c r="B60">
        <v>1</v>
      </c>
      <c r="C60" t="s">
        <v>21</v>
      </c>
      <c r="D60" t="s">
        <v>20</v>
      </c>
      <c r="E60">
        <v>35</v>
      </c>
      <c r="F60" t="s">
        <v>25</v>
      </c>
      <c r="G60" t="s">
        <v>24</v>
      </c>
      <c r="H60">
        <v>3</v>
      </c>
      <c r="I60">
        <v>0</v>
      </c>
    </row>
    <row r="61" spans="1:9" x14ac:dyDescent="0.3">
      <c r="A61">
        <v>2</v>
      </c>
      <c r="B61">
        <v>1</v>
      </c>
      <c r="C61" t="s">
        <v>21</v>
      </c>
      <c r="D61" t="s">
        <v>20</v>
      </c>
      <c r="E61">
        <v>81</v>
      </c>
      <c r="F61" t="s">
        <v>25</v>
      </c>
      <c r="G61" t="s">
        <v>24</v>
      </c>
      <c r="H61">
        <v>17</v>
      </c>
      <c r="I61">
        <v>0</v>
      </c>
    </row>
    <row r="62" spans="1:9" x14ac:dyDescent="0.3">
      <c r="A62">
        <v>2</v>
      </c>
      <c r="B62">
        <v>1</v>
      </c>
      <c r="C62" t="s">
        <v>21</v>
      </c>
      <c r="D62" t="s">
        <v>20</v>
      </c>
      <c r="E62">
        <v>7</v>
      </c>
      <c r="F62" t="s">
        <v>25</v>
      </c>
      <c r="G62" t="s">
        <v>24</v>
      </c>
      <c r="H62">
        <v>27</v>
      </c>
      <c r="I62">
        <v>1</v>
      </c>
    </row>
    <row r="63" spans="1:9" x14ac:dyDescent="0.3">
      <c r="A63">
        <v>2</v>
      </c>
      <c r="B63">
        <v>1</v>
      </c>
      <c r="C63" t="s">
        <v>21</v>
      </c>
      <c r="D63" t="s">
        <v>20</v>
      </c>
      <c r="E63">
        <v>19</v>
      </c>
      <c r="F63" t="s">
        <v>25</v>
      </c>
      <c r="G63" t="s">
        <v>24</v>
      </c>
      <c r="H63">
        <v>29</v>
      </c>
      <c r="I63">
        <v>1</v>
      </c>
    </row>
    <row r="64" spans="1:9" x14ac:dyDescent="0.3">
      <c r="A64">
        <v>2</v>
      </c>
      <c r="B64">
        <v>1</v>
      </c>
      <c r="C64" t="s">
        <v>21</v>
      </c>
      <c r="D64" t="s">
        <v>20</v>
      </c>
      <c r="E64">
        <v>59</v>
      </c>
      <c r="F64" t="s">
        <v>25</v>
      </c>
      <c r="G64" t="s">
        <v>24</v>
      </c>
      <c r="H64">
        <v>23</v>
      </c>
      <c r="I64">
        <v>0</v>
      </c>
    </row>
    <row r="65" spans="1:9" x14ac:dyDescent="0.3">
      <c r="A65">
        <v>2</v>
      </c>
      <c r="B65">
        <v>1</v>
      </c>
      <c r="C65" t="s">
        <v>21</v>
      </c>
      <c r="D65" t="s">
        <v>20</v>
      </c>
      <c r="E65">
        <v>31</v>
      </c>
      <c r="F65" t="s">
        <v>25</v>
      </c>
      <c r="G65" t="s">
        <v>24</v>
      </c>
      <c r="H65">
        <v>0</v>
      </c>
      <c r="I65">
        <v>0</v>
      </c>
    </row>
    <row r="66" spans="1:9" x14ac:dyDescent="0.3">
      <c r="A66">
        <v>2</v>
      </c>
      <c r="B66">
        <v>1</v>
      </c>
      <c r="C66" t="s">
        <v>21</v>
      </c>
      <c r="D66" t="s">
        <v>20</v>
      </c>
      <c r="E66">
        <v>49</v>
      </c>
      <c r="F66" t="s">
        <v>25</v>
      </c>
      <c r="G66" t="s">
        <v>24</v>
      </c>
      <c r="H66">
        <v>0</v>
      </c>
      <c r="I66">
        <v>0</v>
      </c>
    </row>
    <row r="67" spans="1:9" x14ac:dyDescent="0.3">
      <c r="A67">
        <v>2</v>
      </c>
      <c r="B67">
        <v>1</v>
      </c>
      <c r="C67" t="s">
        <v>21</v>
      </c>
      <c r="D67" t="s">
        <v>20</v>
      </c>
      <c r="E67">
        <v>52</v>
      </c>
      <c r="F67" t="s">
        <v>25</v>
      </c>
      <c r="G67" t="s">
        <v>24</v>
      </c>
      <c r="H67">
        <v>0</v>
      </c>
      <c r="I67">
        <v>0</v>
      </c>
    </row>
    <row r="68" spans="1:9" x14ac:dyDescent="0.3">
      <c r="A68">
        <v>2</v>
      </c>
      <c r="B68">
        <v>1</v>
      </c>
      <c r="C68" t="s">
        <v>21</v>
      </c>
      <c r="D68" t="s">
        <v>20</v>
      </c>
      <c r="E68">
        <v>22</v>
      </c>
      <c r="F68" t="s">
        <v>25</v>
      </c>
      <c r="G68" t="s">
        <v>24</v>
      </c>
      <c r="H68">
        <v>7</v>
      </c>
      <c r="I68">
        <v>0</v>
      </c>
    </row>
    <row r="69" spans="1:9" x14ac:dyDescent="0.3">
      <c r="A69">
        <v>2</v>
      </c>
      <c r="B69">
        <v>1</v>
      </c>
      <c r="C69" t="s">
        <v>21</v>
      </c>
      <c r="D69" t="s">
        <v>20</v>
      </c>
      <c r="E69">
        <v>27</v>
      </c>
      <c r="F69" t="s">
        <v>25</v>
      </c>
      <c r="G69" t="s">
        <v>24</v>
      </c>
      <c r="H69">
        <v>13</v>
      </c>
      <c r="I69">
        <v>0</v>
      </c>
    </row>
    <row r="70" spans="1:9" x14ac:dyDescent="0.3">
      <c r="A70">
        <v>2</v>
      </c>
      <c r="B70">
        <v>1</v>
      </c>
      <c r="C70" t="s">
        <v>21</v>
      </c>
      <c r="D70" t="s">
        <v>20</v>
      </c>
      <c r="E70">
        <v>44</v>
      </c>
      <c r="F70" t="s">
        <v>25</v>
      </c>
      <c r="G70" t="s">
        <v>24</v>
      </c>
      <c r="H70">
        <v>2</v>
      </c>
      <c r="I70">
        <v>0</v>
      </c>
    </row>
    <row r="71" spans="1:9" x14ac:dyDescent="0.3">
      <c r="A71">
        <v>2</v>
      </c>
      <c r="B71">
        <v>1</v>
      </c>
      <c r="C71" t="s">
        <v>21</v>
      </c>
      <c r="D71" t="s">
        <v>20</v>
      </c>
      <c r="E71">
        <v>64</v>
      </c>
      <c r="F71" t="s">
        <v>25</v>
      </c>
      <c r="G71" t="s">
        <v>24</v>
      </c>
      <c r="H71">
        <v>15</v>
      </c>
      <c r="I71">
        <v>0</v>
      </c>
    </row>
    <row r="72" spans="1:9" x14ac:dyDescent="0.3">
      <c r="A72">
        <v>2</v>
      </c>
      <c r="B72">
        <v>1</v>
      </c>
      <c r="C72" t="s">
        <v>21</v>
      </c>
      <c r="D72" t="s">
        <v>20</v>
      </c>
      <c r="E72">
        <v>24</v>
      </c>
      <c r="F72" t="s">
        <v>25</v>
      </c>
      <c r="G72" t="s">
        <v>24</v>
      </c>
      <c r="H72">
        <v>0</v>
      </c>
      <c r="I72">
        <v>0</v>
      </c>
    </row>
    <row r="73" spans="1:9" x14ac:dyDescent="0.3">
      <c r="A73">
        <v>2</v>
      </c>
      <c r="B73">
        <v>1</v>
      </c>
      <c r="C73" t="s">
        <v>21</v>
      </c>
      <c r="D73" t="s">
        <v>20</v>
      </c>
      <c r="E73">
        <v>32</v>
      </c>
      <c r="F73" t="s">
        <v>25</v>
      </c>
      <c r="G73" t="s">
        <v>24</v>
      </c>
      <c r="H73">
        <v>0</v>
      </c>
      <c r="I73">
        <v>0</v>
      </c>
    </row>
    <row r="74" spans="1:9" x14ac:dyDescent="0.3">
      <c r="A74">
        <v>2</v>
      </c>
      <c r="B74">
        <v>1</v>
      </c>
      <c r="C74" t="s">
        <v>21</v>
      </c>
      <c r="D74" t="s">
        <v>20</v>
      </c>
      <c r="E74">
        <v>23</v>
      </c>
      <c r="F74" t="s">
        <v>25</v>
      </c>
      <c r="G74" t="s">
        <v>24</v>
      </c>
      <c r="H74">
        <v>6</v>
      </c>
      <c r="I74">
        <v>0</v>
      </c>
    </row>
    <row r="75" spans="1:9" x14ac:dyDescent="0.3">
      <c r="A75">
        <v>2</v>
      </c>
      <c r="B75">
        <v>1</v>
      </c>
      <c r="C75" t="s">
        <v>21</v>
      </c>
      <c r="D75" t="s">
        <v>20</v>
      </c>
      <c r="E75">
        <v>50</v>
      </c>
      <c r="F75" t="s">
        <v>25</v>
      </c>
      <c r="G75" t="s">
        <v>24</v>
      </c>
      <c r="H75">
        <v>0</v>
      </c>
      <c r="I75">
        <v>0</v>
      </c>
    </row>
    <row r="76" spans="1:9" x14ac:dyDescent="0.3">
      <c r="A76">
        <v>2</v>
      </c>
      <c r="B76">
        <v>1</v>
      </c>
      <c r="C76" t="s">
        <v>21</v>
      </c>
      <c r="D76" t="s">
        <v>20</v>
      </c>
      <c r="E76">
        <v>34</v>
      </c>
      <c r="F76" t="s">
        <v>25</v>
      </c>
      <c r="G76" t="s">
        <v>24</v>
      </c>
      <c r="H76">
        <v>2</v>
      </c>
      <c r="I76">
        <v>0</v>
      </c>
    </row>
    <row r="77" spans="1:9" x14ac:dyDescent="0.3">
      <c r="A77">
        <v>2</v>
      </c>
      <c r="B77">
        <v>1</v>
      </c>
      <c r="C77" t="s">
        <v>21</v>
      </c>
      <c r="D77" t="s">
        <v>20</v>
      </c>
      <c r="E77">
        <v>27</v>
      </c>
      <c r="F77" t="s">
        <v>25</v>
      </c>
      <c r="G77" t="s">
        <v>24</v>
      </c>
      <c r="H77">
        <v>4</v>
      </c>
      <c r="I77">
        <v>0</v>
      </c>
    </row>
    <row r="78" spans="1:9" x14ac:dyDescent="0.3">
      <c r="A78">
        <v>2</v>
      </c>
      <c r="B78">
        <v>1</v>
      </c>
      <c r="C78" t="s">
        <v>21</v>
      </c>
      <c r="D78" t="s">
        <v>20</v>
      </c>
      <c r="E78">
        <v>37</v>
      </c>
      <c r="F78" t="s">
        <v>25</v>
      </c>
      <c r="G78" t="s">
        <v>24</v>
      </c>
      <c r="H78">
        <v>2</v>
      </c>
      <c r="I78">
        <v>0</v>
      </c>
    </row>
    <row r="79" spans="1:9" x14ac:dyDescent="0.3">
      <c r="A79">
        <v>2</v>
      </c>
      <c r="B79">
        <v>1</v>
      </c>
      <c r="C79" t="s">
        <v>21</v>
      </c>
      <c r="D79" t="s">
        <v>20</v>
      </c>
      <c r="E79">
        <v>41</v>
      </c>
      <c r="F79" t="s">
        <v>25</v>
      </c>
      <c r="G79" t="s">
        <v>24</v>
      </c>
      <c r="H79">
        <v>14</v>
      </c>
      <c r="I79">
        <v>0</v>
      </c>
    </row>
    <row r="80" spans="1:9" x14ac:dyDescent="0.3">
      <c r="A80">
        <v>2</v>
      </c>
      <c r="B80">
        <v>1</v>
      </c>
      <c r="C80" t="s">
        <v>21</v>
      </c>
      <c r="D80" t="s">
        <v>20</v>
      </c>
      <c r="E80">
        <v>49</v>
      </c>
      <c r="F80" t="s">
        <v>25</v>
      </c>
      <c r="G80" t="s">
        <v>24</v>
      </c>
      <c r="H80">
        <v>2</v>
      </c>
      <c r="I80">
        <v>0</v>
      </c>
    </row>
    <row r="81" spans="1:9" x14ac:dyDescent="0.3">
      <c r="A81">
        <v>2</v>
      </c>
      <c r="B81">
        <v>1</v>
      </c>
      <c r="C81" t="s">
        <v>21</v>
      </c>
      <c r="D81" t="s">
        <v>20</v>
      </c>
      <c r="E81">
        <v>54</v>
      </c>
      <c r="F81" t="s">
        <v>25</v>
      </c>
      <c r="G81" t="s">
        <v>24</v>
      </c>
      <c r="H81">
        <v>0</v>
      </c>
      <c r="I81">
        <v>0</v>
      </c>
    </row>
    <row r="82" spans="1:9" x14ac:dyDescent="0.3">
      <c r="A82">
        <v>2</v>
      </c>
      <c r="B82">
        <v>1</v>
      </c>
      <c r="C82" t="s">
        <v>21</v>
      </c>
      <c r="D82" t="s">
        <v>20</v>
      </c>
      <c r="E82">
        <v>40</v>
      </c>
      <c r="F82" t="s">
        <v>25</v>
      </c>
      <c r="G82" t="s">
        <v>24</v>
      </c>
      <c r="H82">
        <v>7</v>
      </c>
      <c r="I82">
        <v>0</v>
      </c>
    </row>
    <row r="83" spans="1:9" x14ac:dyDescent="0.3">
      <c r="A83">
        <v>2</v>
      </c>
      <c r="B83">
        <v>1</v>
      </c>
      <c r="C83" t="s">
        <v>21</v>
      </c>
      <c r="D83" t="s">
        <v>20</v>
      </c>
      <c r="E83">
        <v>51</v>
      </c>
      <c r="F83" t="s">
        <v>25</v>
      </c>
      <c r="G83" t="s">
        <v>24</v>
      </c>
      <c r="H83">
        <v>0</v>
      </c>
      <c r="I83">
        <v>0</v>
      </c>
    </row>
    <row r="84" spans="1:9" x14ac:dyDescent="0.3">
      <c r="A84">
        <v>2</v>
      </c>
      <c r="B84">
        <v>1</v>
      </c>
      <c r="C84" t="s">
        <v>21</v>
      </c>
      <c r="D84" t="s">
        <v>20</v>
      </c>
      <c r="E84">
        <v>57</v>
      </c>
      <c r="F84" t="s">
        <v>25</v>
      </c>
      <c r="G84" t="s">
        <v>24</v>
      </c>
      <c r="H84">
        <v>2</v>
      </c>
      <c r="I84">
        <v>0</v>
      </c>
    </row>
    <row r="85" spans="1:9" x14ac:dyDescent="0.3">
      <c r="A85">
        <v>2</v>
      </c>
      <c r="B85">
        <v>1</v>
      </c>
      <c r="C85" t="s">
        <v>21</v>
      </c>
      <c r="D85" t="s">
        <v>20</v>
      </c>
      <c r="E85">
        <v>26</v>
      </c>
      <c r="F85" t="s">
        <v>25</v>
      </c>
      <c r="G85" t="s">
        <v>24</v>
      </c>
      <c r="H85">
        <v>8</v>
      </c>
      <c r="I85">
        <v>0</v>
      </c>
    </row>
    <row r="86" spans="1:9" x14ac:dyDescent="0.3">
      <c r="A86">
        <v>2</v>
      </c>
      <c r="B86">
        <v>1</v>
      </c>
      <c r="C86" t="s">
        <v>21</v>
      </c>
      <c r="D86" t="s">
        <v>20</v>
      </c>
      <c r="E86">
        <v>29</v>
      </c>
      <c r="F86" t="s">
        <v>25</v>
      </c>
      <c r="G86" t="s">
        <v>24</v>
      </c>
      <c r="H86">
        <v>0</v>
      </c>
      <c r="I86">
        <v>0</v>
      </c>
    </row>
    <row r="87" spans="1:9" x14ac:dyDescent="0.3">
      <c r="A87">
        <v>2</v>
      </c>
      <c r="B87">
        <v>1</v>
      </c>
      <c r="C87" t="s">
        <v>21</v>
      </c>
      <c r="D87" t="s">
        <v>20</v>
      </c>
      <c r="E87">
        <v>16</v>
      </c>
      <c r="F87" t="s">
        <v>25</v>
      </c>
      <c r="G87" t="s">
        <v>24</v>
      </c>
      <c r="H87">
        <v>0</v>
      </c>
      <c r="I87">
        <v>0</v>
      </c>
    </row>
    <row r="88" spans="1:9" x14ac:dyDescent="0.3">
      <c r="A88">
        <v>2</v>
      </c>
      <c r="B88">
        <v>1</v>
      </c>
      <c r="C88" t="s">
        <v>21</v>
      </c>
      <c r="D88" t="s">
        <v>20</v>
      </c>
      <c r="E88">
        <v>9</v>
      </c>
      <c r="F88" t="s">
        <v>25</v>
      </c>
      <c r="G88" t="s">
        <v>24</v>
      </c>
      <c r="H88">
        <v>42</v>
      </c>
      <c r="I88">
        <v>1</v>
      </c>
    </row>
    <row r="89" spans="1:9" x14ac:dyDescent="0.3">
      <c r="A89">
        <v>2</v>
      </c>
      <c r="B89">
        <v>1</v>
      </c>
      <c r="C89" t="s">
        <v>21</v>
      </c>
      <c r="D89" t="s">
        <v>20</v>
      </c>
      <c r="E89">
        <v>57</v>
      </c>
      <c r="F89" t="s">
        <v>25</v>
      </c>
      <c r="G89" t="s">
        <v>24</v>
      </c>
      <c r="H89">
        <v>2</v>
      </c>
      <c r="I89">
        <v>0</v>
      </c>
    </row>
    <row r="90" spans="1:9" x14ac:dyDescent="0.3">
      <c r="A90">
        <v>2</v>
      </c>
      <c r="B90">
        <v>1</v>
      </c>
      <c r="C90" t="s">
        <v>21</v>
      </c>
      <c r="D90" t="s">
        <v>20</v>
      </c>
      <c r="E90">
        <v>9</v>
      </c>
      <c r="F90" t="s">
        <v>25</v>
      </c>
      <c r="G90" t="s">
        <v>24</v>
      </c>
      <c r="H90">
        <v>0</v>
      </c>
      <c r="I90">
        <v>0</v>
      </c>
    </row>
    <row r="91" spans="1:9" x14ac:dyDescent="0.3">
      <c r="A91">
        <v>2</v>
      </c>
      <c r="B91">
        <v>1</v>
      </c>
      <c r="C91" t="s">
        <v>21</v>
      </c>
      <c r="D91" t="s">
        <v>20</v>
      </c>
      <c r="E91">
        <v>30</v>
      </c>
      <c r="F91" t="s">
        <v>25</v>
      </c>
      <c r="G91" t="s">
        <v>24</v>
      </c>
      <c r="H91">
        <v>21</v>
      </c>
      <c r="I91">
        <v>0</v>
      </c>
    </row>
    <row r="92" spans="1:9" x14ac:dyDescent="0.3">
      <c r="A92">
        <v>2</v>
      </c>
      <c r="B92">
        <v>1</v>
      </c>
      <c r="C92" t="s">
        <v>21</v>
      </c>
      <c r="D92" t="s">
        <v>20</v>
      </c>
      <c r="E92">
        <v>50</v>
      </c>
      <c r="F92" t="s">
        <v>25</v>
      </c>
      <c r="G92" t="s">
        <v>24</v>
      </c>
      <c r="H92">
        <v>14</v>
      </c>
      <c r="I92">
        <v>0</v>
      </c>
    </row>
    <row r="93" spans="1:9" x14ac:dyDescent="0.3">
      <c r="A93">
        <v>2</v>
      </c>
      <c r="B93">
        <v>1</v>
      </c>
      <c r="C93" t="s">
        <v>21</v>
      </c>
      <c r="D93" t="s">
        <v>20</v>
      </c>
      <c r="E93">
        <v>64</v>
      </c>
      <c r="F93" t="s">
        <v>25</v>
      </c>
      <c r="G93" t="s">
        <v>24</v>
      </c>
      <c r="H93">
        <v>15</v>
      </c>
      <c r="I93">
        <v>0</v>
      </c>
    </row>
    <row r="94" spans="1:9" x14ac:dyDescent="0.3">
      <c r="A94">
        <v>2</v>
      </c>
      <c r="B94">
        <v>1</v>
      </c>
      <c r="C94" t="s">
        <v>21</v>
      </c>
      <c r="D94" t="s">
        <v>20</v>
      </c>
      <c r="E94">
        <v>77</v>
      </c>
      <c r="F94" t="s">
        <v>25</v>
      </c>
      <c r="G94" t="s">
        <v>24</v>
      </c>
      <c r="H94">
        <v>12</v>
      </c>
      <c r="I94">
        <v>0</v>
      </c>
    </row>
    <row r="95" spans="1:9" x14ac:dyDescent="0.3">
      <c r="A95">
        <v>2</v>
      </c>
      <c r="B95">
        <v>1</v>
      </c>
      <c r="C95" t="s">
        <v>21</v>
      </c>
      <c r="D95" t="s">
        <v>20</v>
      </c>
      <c r="E95">
        <v>26</v>
      </c>
      <c r="F95" t="s">
        <v>25</v>
      </c>
      <c r="G95" t="s">
        <v>24</v>
      </c>
      <c r="H95">
        <v>10</v>
      </c>
      <c r="I95">
        <v>0</v>
      </c>
    </row>
    <row r="96" spans="1:9" x14ac:dyDescent="0.3">
      <c r="A96">
        <v>2</v>
      </c>
      <c r="B96">
        <v>1</v>
      </c>
      <c r="C96" t="s">
        <v>21</v>
      </c>
      <c r="D96" t="s">
        <v>20</v>
      </c>
      <c r="E96">
        <v>33</v>
      </c>
      <c r="F96" t="s">
        <v>25</v>
      </c>
      <c r="G96" t="s">
        <v>24</v>
      </c>
      <c r="H96">
        <v>13</v>
      </c>
      <c r="I96">
        <v>0</v>
      </c>
    </row>
    <row r="97" spans="1:9" x14ac:dyDescent="0.3">
      <c r="A97">
        <v>2</v>
      </c>
      <c r="B97">
        <v>1</v>
      </c>
      <c r="C97" t="s">
        <v>21</v>
      </c>
      <c r="D97" t="s">
        <v>20</v>
      </c>
      <c r="E97">
        <v>43</v>
      </c>
      <c r="F97" t="s">
        <v>25</v>
      </c>
      <c r="G97" t="s">
        <v>24</v>
      </c>
      <c r="H97">
        <v>0</v>
      </c>
      <c r="I97">
        <v>0</v>
      </c>
    </row>
    <row r="98" spans="1:9" x14ac:dyDescent="0.3">
      <c r="A98">
        <v>2</v>
      </c>
      <c r="B98">
        <v>1</v>
      </c>
      <c r="C98" t="s">
        <v>21</v>
      </c>
      <c r="D98" t="s">
        <v>20</v>
      </c>
      <c r="E98">
        <v>27</v>
      </c>
      <c r="F98" t="s">
        <v>25</v>
      </c>
      <c r="G98" t="s">
        <v>24</v>
      </c>
      <c r="H98">
        <v>0</v>
      </c>
      <c r="I98">
        <v>0</v>
      </c>
    </row>
    <row r="99" spans="1:9" x14ac:dyDescent="0.3">
      <c r="A99">
        <v>2</v>
      </c>
      <c r="B99">
        <v>1</v>
      </c>
      <c r="C99" t="s">
        <v>21</v>
      </c>
      <c r="D99" t="s">
        <v>20</v>
      </c>
      <c r="E99">
        <v>53</v>
      </c>
      <c r="F99" t="s">
        <v>25</v>
      </c>
      <c r="G99" t="s">
        <v>24</v>
      </c>
      <c r="H99">
        <v>0</v>
      </c>
      <c r="I99">
        <v>0</v>
      </c>
    </row>
    <row r="100" spans="1:9" x14ac:dyDescent="0.3">
      <c r="A100">
        <v>2</v>
      </c>
      <c r="B100">
        <v>1</v>
      </c>
      <c r="C100" t="s">
        <v>21</v>
      </c>
      <c r="D100" t="s">
        <v>20</v>
      </c>
      <c r="E100">
        <v>31</v>
      </c>
      <c r="F100" t="s">
        <v>25</v>
      </c>
      <c r="G100" t="s">
        <v>24</v>
      </c>
      <c r="H100">
        <v>5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FED9D-CF79-4C20-B7B8-DD4CE9A186FF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21</v>
      </c>
      <c r="D1" t="s">
        <v>20</v>
      </c>
      <c r="E1">
        <v>49</v>
      </c>
      <c r="F1" t="s">
        <v>27</v>
      </c>
      <c r="G1" t="s">
        <v>26</v>
      </c>
      <c r="H1">
        <v>2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21</v>
      </c>
      <c r="D2" t="s">
        <v>20</v>
      </c>
      <c r="E2">
        <v>46</v>
      </c>
      <c r="F2" t="s">
        <v>27</v>
      </c>
      <c r="G2" t="s">
        <v>26</v>
      </c>
      <c r="H2">
        <v>16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21</v>
      </c>
      <c r="D3" t="s">
        <v>20</v>
      </c>
      <c r="E3">
        <v>46</v>
      </c>
      <c r="F3" t="s">
        <v>27</v>
      </c>
      <c r="G3" t="s">
        <v>26</v>
      </c>
      <c r="H3">
        <v>21</v>
      </c>
      <c r="I3">
        <v>0</v>
      </c>
      <c r="K3" s="8" t="s">
        <v>11</v>
      </c>
      <c r="L3" s="8"/>
      <c r="M3" s="10">
        <f>COUNTIF($I$1:$I$100, 0)</f>
        <v>82</v>
      </c>
      <c r="N3" s="10"/>
      <c r="O3" s="10">
        <f>COUNTIFS($I$1:$I$100, 0, $B$1:$B$100, 0)</f>
        <v>42</v>
      </c>
      <c r="P3" s="10"/>
      <c r="Q3" s="11">
        <f>COUNTIFS($I$1:$I$100, 0, $B$1:$B$100, 1)</f>
        <v>40</v>
      </c>
      <c r="R3" s="12"/>
      <c r="T3" cm="1">
        <f t="array" ref="T3">SUMPRODUCT(--($E$1:$E$100=$H$1:$H$100))</f>
        <v>1</v>
      </c>
    </row>
    <row r="4" spans="1:20" x14ac:dyDescent="0.3">
      <c r="A4">
        <v>2</v>
      </c>
      <c r="B4">
        <v>0</v>
      </c>
      <c r="C4" t="s">
        <v>21</v>
      </c>
      <c r="D4" t="s">
        <v>20</v>
      </c>
      <c r="E4">
        <v>21</v>
      </c>
      <c r="F4" t="s">
        <v>27</v>
      </c>
      <c r="G4" t="s">
        <v>26</v>
      </c>
      <c r="H4">
        <v>8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21</v>
      </c>
      <c r="D5" t="s">
        <v>20</v>
      </c>
      <c r="E5">
        <v>49</v>
      </c>
      <c r="F5" t="s">
        <v>27</v>
      </c>
      <c r="G5" t="s">
        <v>26</v>
      </c>
      <c r="H5">
        <v>12</v>
      </c>
      <c r="I5">
        <v>0</v>
      </c>
      <c r="K5" s="8" t="s">
        <v>10</v>
      </c>
      <c r="L5" s="8"/>
      <c r="M5" s="14">
        <f>COUNTIF($I$1:$I$100, 1)</f>
        <v>18</v>
      </c>
      <c r="N5" s="10"/>
      <c r="O5" s="10">
        <f>COUNTIFS($I$1:$I$100, 1, $B$1:$B$100, 0)</f>
        <v>8</v>
      </c>
      <c r="P5" s="10"/>
      <c r="Q5" s="10">
        <f>COUNTIFS($I$1:$I$100, 1, $B$1:$B$100, 1)</f>
        <v>10</v>
      </c>
      <c r="R5" s="13"/>
    </row>
    <row r="6" spans="1:20" x14ac:dyDescent="0.3">
      <c r="A6">
        <v>2</v>
      </c>
      <c r="B6">
        <v>0</v>
      </c>
      <c r="C6" t="s">
        <v>21</v>
      </c>
      <c r="D6" t="s">
        <v>20</v>
      </c>
      <c r="E6">
        <v>32</v>
      </c>
      <c r="F6" t="s">
        <v>27</v>
      </c>
      <c r="G6" t="s">
        <v>26</v>
      </c>
      <c r="H6">
        <v>20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21</v>
      </c>
      <c r="D7" t="s">
        <v>20</v>
      </c>
      <c r="E7">
        <v>47</v>
      </c>
      <c r="F7" t="s">
        <v>27</v>
      </c>
      <c r="G7" t="s">
        <v>26</v>
      </c>
      <c r="H7">
        <v>1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21</v>
      </c>
      <c r="D8" t="s">
        <v>20</v>
      </c>
      <c r="E8">
        <v>35</v>
      </c>
      <c r="F8" t="s">
        <v>27</v>
      </c>
      <c r="G8" t="s">
        <v>26</v>
      </c>
      <c r="H8">
        <v>6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21</v>
      </c>
      <c r="D9" t="s">
        <v>20</v>
      </c>
      <c r="E9">
        <v>46</v>
      </c>
      <c r="F9" t="s">
        <v>27</v>
      </c>
      <c r="G9" t="s">
        <v>26</v>
      </c>
      <c r="H9">
        <v>16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21</v>
      </c>
      <c r="D10" t="s">
        <v>20</v>
      </c>
      <c r="E10">
        <v>55</v>
      </c>
      <c r="F10" t="s">
        <v>27</v>
      </c>
      <c r="G10" t="s">
        <v>26</v>
      </c>
      <c r="H10">
        <v>15</v>
      </c>
      <c r="I10">
        <v>0</v>
      </c>
      <c r="K10" s="8" t="s">
        <v>6</v>
      </c>
      <c r="L10" s="8"/>
      <c r="M10" s="10">
        <f>AVERAGE($E$1:$E$100,)</f>
        <v>35.792079207920793</v>
      </c>
      <c r="N10" s="10"/>
      <c r="O10" s="10" cm="1">
        <f t="array" ref="O10">AVERAGE(_xlfn._xlws.FILTER($E$1:$E$100,$I$1:$I$100 = 0))</f>
        <v>40.329268292682926</v>
      </c>
      <c r="P10" s="10"/>
      <c r="Q10" s="11" cm="1">
        <f t="array" ref="Q10">AVERAGE(_xlfn._xlws.FILTER($E$1:$E$100,$I$1:$I$100 = 1))</f>
        <v>17.111111111111111</v>
      </c>
      <c r="R10" s="12"/>
    </row>
    <row r="11" spans="1:20" x14ac:dyDescent="0.3">
      <c r="A11">
        <v>2</v>
      </c>
      <c r="B11">
        <v>0</v>
      </c>
      <c r="C11" t="s">
        <v>21</v>
      </c>
      <c r="D11" t="s">
        <v>20</v>
      </c>
      <c r="E11">
        <v>30</v>
      </c>
      <c r="F11" t="s">
        <v>27</v>
      </c>
      <c r="G11" t="s">
        <v>26</v>
      </c>
      <c r="H11">
        <v>17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21</v>
      </c>
      <c r="D12" t="s">
        <v>20</v>
      </c>
      <c r="E12">
        <v>48</v>
      </c>
      <c r="F12" t="s">
        <v>27</v>
      </c>
      <c r="G12" t="s">
        <v>26</v>
      </c>
      <c r="H12">
        <v>11</v>
      </c>
      <c r="I12">
        <v>0</v>
      </c>
      <c r="K12" s="8" t="s">
        <v>5</v>
      </c>
      <c r="L12" s="8"/>
      <c r="M12" s="10">
        <f>AVERAGE($H$1:$H$100,)</f>
        <v>19.158415841584159</v>
      </c>
      <c r="N12" s="10"/>
      <c r="O12" s="10" cm="1">
        <f t="array" ref="O12">AVERAGE(_xlfn._xlws.FILTER($H$1:$H$100,$I$1:$I$100 = 0))</f>
        <v>16.414634146341463</v>
      </c>
      <c r="P12" s="10"/>
      <c r="Q12" s="10" cm="1">
        <f t="array" ref="Q12">AVERAGE(_xlfn._xlws.FILTER($H$1:$H$100,$I$1:$I$100 = 1))</f>
        <v>32.722222222222221</v>
      </c>
      <c r="R12" s="13"/>
    </row>
    <row r="13" spans="1:20" x14ac:dyDescent="0.3">
      <c r="A13">
        <v>2</v>
      </c>
      <c r="B13">
        <v>0</v>
      </c>
      <c r="C13" t="s">
        <v>21</v>
      </c>
      <c r="D13" t="s">
        <v>20</v>
      </c>
      <c r="E13">
        <v>49</v>
      </c>
      <c r="F13" t="s">
        <v>27</v>
      </c>
      <c r="G13" t="s">
        <v>26</v>
      </c>
      <c r="H13">
        <v>15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21</v>
      </c>
      <c r="D14" t="s">
        <v>20</v>
      </c>
      <c r="E14">
        <v>28</v>
      </c>
      <c r="F14" t="s">
        <v>27</v>
      </c>
      <c r="G14" t="s">
        <v>26</v>
      </c>
      <c r="H14">
        <v>14</v>
      </c>
      <c r="I14">
        <v>0</v>
      </c>
      <c r="K14" s="19" t="s">
        <v>4</v>
      </c>
      <c r="L14" s="12"/>
      <c r="M14" s="20" cm="1">
        <f t="array" ref="M14">AVERAGE($E$1:$E$100 - $H$1:$H$100)</f>
        <v>16.8</v>
      </c>
      <c r="N14" s="20"/>
      <c r="O14" s="20" cm="1">
        <f t="array" ref="O14">AVERAGE(_xlfn._xlws.FILTER($E$1:$E$100 - $H$1:$H$100, I$1:I$100 = 0))</f>
        <v>23.914634146341463</v>
      </c>
      <c r="P14" s="20"/>
      <c r="Q14" s="20" cm="1">
        <f t="array" ref="Q14">AVERAGE(_xlfn._xlws.FILTER($E$1:$E$100 - $H$1:$H$100, I$1:I$100 = 1))</f>
        <v>-15.611111111111111</v>
      </c>
      <c r="R14" s="22"/>
    </row>
    <row r="15" spans="1:20" x14ac:dyDescent="0.3">
      <c r="A15">
        <v>2</v>
      </c>
      <c r="B15">
        <v>0</v>
      </c>
      <c r="C15" t="s">
        <v>21</v>
      </c>
      <c r="D15" t="s">
        <v>20</v>
      </c>
      <c r="E15">
        <v>47</v>
      </c>
      <c r="F15" t="s">
        <v>27</v>
      </c>
      <c r="G15" t="s">
        <v>26</v>
      </c>
      <c r="H15">
        <v>2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21</v>
      </c>
      <c r="D16" t="s">
        <v>20</v>
      </c>
      <c r="E16">
        <v>7</v>
      </c>
      <c r="F16" t="s">
        <v>27</v>
      </c>
      <c r="G16" t="s">
        <v>26</v>
      </c>
      <c r="H16">
        <v>11</v>
      </c>
      <c r="I16">
        <v>1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21</v>
      </c>
      <c r="D17" t="s">
        <v>20</v>
      </c>
      <c r="E17">
        <v>31</v>
      </c>
      <c r="F17" t="s">
        <v>27</v>
      </c>
      <c r="G17" t="s">
        <v>26</v>
      </c>
      <c r="H17">
        <v>38</v>
      </c>
      <c r="I17">
        <v>1</v>
      </c>
    </row>
    <row r="18" spans="1:9" x14ac:dyDescent="0.3">
      <c r="A18">
        <v>2</v>
      </c>
      <c r="B18">
        <v>0</v>
      </c>
      <c r="C18" t="s">
        <v>21</v>
      </c>
      <c r="D18" t="s">
        <v>20</v>
      </c>
      <c r="E18">
        <v>67</v>
      </c>
      <c r="F18" t="s">
        <v>27</v>
      </c>
      <c r="G18" t="s">
        <v>26</v>
      </c>
      <c r="H18">
        <v>26</v>
      </c>
      <c r="I18">
        <v>0</v>
      </c>
    </row>
    <row r="19" spans="1:9" x14ac:dyDescent="0.3">
      <c r="A19">
        <v>2</v>
      </c>
      <c r="B19">
        <v>0</v>
      </c>
      <c r="C19" t="s">
        <v>21</v>
      </c>
      <c r="D19" t="s">
        <v>20</v>
      </c>
      <c r="E19">
        <v>26</v>
      </c>
      <c r="F19" t="s">
        <v>27</v>
      </c>
      <c r="G19" t="s">
        <v>26</v>
      </c>
      <c r="H19">
        <v>16</v>
      </c>
      <c r="I19">
        <v>0</v>
      </c>
    </row>
    <row r="20" spans="1:9" x14ac:dyDescent="0.3">
      <c r="A20">
        <v>2</v>
      </c>
      <c r="B20">
        <v>0</v>
      </c>
      <c r="C20" t="s">
        <v>21</v>
      </c>
      <c r="D20" t="s">
        <v>20</v>
      </c>
      <c r="E20">
        <v>47</v>
      </c>
      <c r="F20" t="s">
        <v>27</v>
      </c>
      <c r="G20" t="s">
        <v>26</v>
      </c>
      <c r="H20">
        <v>2</v>
      </c>
      <c r="I20">
        <v>0</v>
      </c>
    </row>
    <row r="21" spans="1:9" x14ac:dyDescent="0.3">
      <c r="A21">
        <v>2</v>
      </c>
      <c r="B21">
        <v>0</v>
      </c>
      <c r="C21" t="s">
        <v>21</v>
      </c>
      <c r="D21" t="s">
        <v>20</v>
      </c>
      <c r="E21">
        <v>44</v>
      </c>
      <c r="F21" t="s">
        <v>27</v>
      </c>
      <c r="G21" t="s">
        <v>26</v>
      </c>
      <c r="H21">
        <v>0</v>
      </c>
      <c r="I21">
        <v>0</v>
      </c>
    </row>
    <row r="22" spans="1:9" x14ac:dyDescent="0.3">
      <c r="A22">
        <v>2</v>
      </c>
      <c r="B22">
        <v>0</v>
      </c>
      <c r="C22" t="s">
        <v>21</v>
      </c>
      <c r="D22" t="s">
        <v>20</v>
      </c>
      <c r="E22">
        <v>16</v>
      </c>
      <c r="F22" t="s">
        <v>27</v>
      </c>
      <c r="G22" t="s">
        <v>26</v>
      </c>
      <c r="H22">
        <v>36</v>
      </c>
      <c r="I22">
        <v>1</v>
      </c>
    </row>
    <row r="23" spans="1:9" x14ac:dyDescent="0.3">
      <c r="A23">
        <v>2</v>
      </c>
      <c r="B23">
        <v>0</v>
      </c>
      <c r="C23" t="s">
        <v>21</v>
      </c>
      <c r="D23" t="s">
        <v>20</v>
      </c>
      <c r="E23">
        <v>49</v>
      </c>
      <c r="F23" t="s">
        <v>27</v>
      </c>
      <c r="G23" t="s">
        <v>26</v>
      </c>
      <c r="H23">
        <v>25</v>
      </c>
      <c r="I23">
        <v>0</v>
      </c>
    </row>
    <row r="24" spans="1:9" x14ac:dyDescent="0.3">
      <c r="A24">
        <v>2</v>
      </c>
      <c r="B24">
        <v>0</v>
      </c>
      <c r="C24" t="s">
        <v>21</v>
      </c>
      <c r="D24" t="s">
        <v>20</v>
      </c>
      <c r="E24">
        <v>22</v>
      </c>
      <c r="F24" t="s">
        <v>27</v>
      </c>
      <c r="G24" t="s">
        <v>26</v>
      </c>
      <c r="H24">
        <v>11</v>
      </c>
      <c r="I24">
        <v>0</v>
      </c>
    </row>
    <row r="25" spans="1:9" x14ac:dyDescent="0.3">
      <c r="A25">
        <v>2</v>
      </c>
      <c r="B25">
        <v>0</v>
      </c>
      <c r="C25" t="s">
        <v>21</v>
      </c>
      <c r="D25" t="s">
        <v>20</v>
      </c>
      <c r="E25">
        <v>44</v>
      </c>
      <c r="F25" t="s">
        <v>27</v>
      </c>
      <c r="G25" t="s">
        <v>26</v>
      </c>
      <c r="H25">
        <v>16</v>
      </c>
      <c r="I25">
        <v>0</v>
      </c>
    </row>
    <row r="26" spans="1:9" x14ac:dyDescent="0.3">
      <c r="A26">
        <v>2</v>
      </c>
      <c r="B26">
        <v>0</v>
      </c>
      <c r="C26" t="s">
        <v>21</v>
      </c>
      <c r="D26" t="s">
        <v>20</v>
      </c>
      <c r="E26">
        <v>50</v>
      </c>
      <c r="F26" t="s">
        <v>27</v>
      </c>
      <c r="G26" t="s">
        <v>26</v>
      </c>
      <c r="H26">
        <v>0</v>
      </c>
      <c r="I26">
        <v>0</v>
      </c>
    </row>
    <row r="27" spans="1:9" x14ac:dyDescent="0.3">
      <c r="A27">
        <v>2</v>
      </c>
      <c r="B27">
        <v>0</v>
      </c>
      <c r="C27" t="s">
        <v>21</v>
      </c>
      <c r="D27" t="s">
        <v>20</v>
      </c>
      <c r="E27">
        <v>25</v>
      </c>
      <c r="F27" t="s">
        <v>27</v>
      </c>
      <c r="G27" t="s">
        <v>26</v>
      </c>
      <c r="H27">
        <v>34</v>
      </c>
      <c r="I27">
        <v>1</v>
      </c>
    </row>
    <row r="28" spans="1:9" x14ac:dyDescent="0.3">
      <c r="A28">
        <v>2</v>
      </c>
      <c r="B28">
        <v>0</v>
      </c>
      <c r="C28" t="s">
        <v>21</v>
      </c>
      <c r="D28" t="s">
        <v>20</v>
      </c>
      <c r="E28">
        <v>20</v>
      </c>
      <c r="F28" t="s">
        <v>27</v>
      </c>
      <c r="G28" t="s">
        <v>26</v>
      </c>
      <c r="H28">
        <v>16</v>
      </c>
      <c r="I28">
        <v>0</v>
      </c>
    </row>
    <row r="29" spans="1:9" x14ac:dyDescent="0.3">
      <c r="A29">
        <v>2</v>
      </c>
      <c r="B29">
        <v>0</v>
      </c>
      <c r="C29" t="s">
        <v>21</v>
      </c>
      <c r="D29" t="s">
        <v>20</v>
      </c>
      <c r="E29">
        <v>15</v>
      </c>
      <c r="F29" t="s">
        <v>27</v>
      </c>
      <c r="G29" t="s">
        <v>26</v>
      </c>
      <c r="H29">
        <v>8</v>
      </c>
      <c r="I29">
        <v>0</v>
      </c>
    </row>
    <row r="30" spans="1:9" x14ac:dyDescent="0.3">
      <c r="A30">
        <v>2</v>
      </c>
      <c r="B30">
        <v>0</v>
      </c>
      <c r="C30" t="s">
        <v>21</v>
      </c>
      <c r="D30" t="s">
        <v>20</v>
      </c>
      <c r="E30">
        <v>24</v>
      </c>
      <c r="F30" t="s">
        <v>27</v>
      </c>
      <c r="G30" t="s">
        <v>26</v>
      </c>
      <c r="H30">
        <v>5</v>
      </c>
      <c r="I30">
        <v>0</v>
      </c>
    </row>
    <row r="31" spans="1:9" x14ac:dyDescent="0.3">
      <c r="A31">
        <v>2</v>
      </c>
      <c r="B31">
        <v>0</v>
      </c>
      <c r="C31" t="s">
        <v>21</v>
      </c>
      <c r="D31" t="s">
        <v>20</v>
      </c>
      <c r="E31">
        <v>42</v>
      </c>
      <c r="F31" t="s">
        <v>27</v>
      </c>
      <c r="G31" t="s">
        <v>26</v>
      </c>
      <c r="H31">
        <v>17</v>
      </c>
      <c r="I31">
        <v>0</v>
      </c>
    </row>
    <row r="32" spans="1:9" x14ac:dyDescent="0.3">
      <c r="A32">
        <v>2</v>
      </c>
      <c r="B32">
        <v>0</v>
      </c>
      <c r="C32" t="s">
        <v>21</v>
      </c>
      <c r="D32" t="s">
        <v>20</v>
      </c>
      <c r="E32">
        <v>27</v>
      </c>
      <c r="F32" t="s">
        <v>27</v>
      </c>
      <c r="G32" t="s">
        <v>26</v>
      </c>
      <c r="H32">
        <v>2</v>
      </c>
      <c r="I32">
        <v>0</v>
      </c>
    </row>
    <row r="33" spans="1:9" x14ac:dyDescent="0.3">
      <c r="A33">
        <v>2</v>
      </c>
      <c r="B33">
        <v>0</v>
      </c>
      <c r="C33" t="s">
        <v>21</v>
      </c>
      <c r="D33" t="s">
        <v>20</v>
      </c>
      <c r="E33">
        <v>43</v>
      </c>
      <c r="F33" t="s">
        <v>27</v>
      </c>
      <c r="G33" t="s">
        <v>26</v>
      </c>
      <c r="H33">
        <v>27</v>
      </c>
      <c r="I33">
        <v>0</v>
      </c>
    </row>
    <row r="34" spans="1:9" x14ac:dyDescent="0.3">
      <c r="A34">
        <v>2</v>
      </c>
      <c r="B34">
        <v>0</v>
      </c>
      <c r="C34" t="s">
        <v>21</v>
      </c>
      <c r="D34" t="s">
        <v>20</v>
      </c>
      <c r="E34">
        <v>26</v>
      </c>
      <c r="F34" t="s">
        <v>27</v>
      </c>
      <c r="G34" t="s">
        <v>26</v>
      </c>
      <c r="H34">
        <v>31</v>
      </c>
      <c r="I34">
        <v>1</v>
      </c>
    </row>
    <row r="35" spans="1:9" x14ac:dyDescent="0.3">
      <c r="A35">
        <v>2</v>
      </c>
      <c r="B35">
        <v>0</v>
      </c>
      <c r="C35" t="s">
        <v>21</v>
      </c>
      <c r="D35" t="s">
        <v>20</v>
      </c>
      <c r="E35">
        <v>27</v>
      </c>
      <c r="F35" t="s">
        <v>27</v>
      </c>
      <c r="G35" t="s">
        <v>26</v>
      </c>
      <c r="H35">
        <v>43</v>
      </c>
      <c r="I35">
        <v>1</v>
      </c>
    </row>
    <row r="36" spans="1:9" x14ac:dyDescent="0.3">
      <c r="A36">
        <v>2</v>
      </c>
      <c r="B36">
        <v>0</v>
      </c>
      <c r="C36" t="s">
        <v>21</v>
      </c>
      <c r="D36" t="s">
        <v>20</v>
      </c>
      <c r="E36">
        <v>27</v>
      </c>
      <c r="F36" t="s">
        <v>27</v>
      </c>
      <c r="G36" t="s">
        <v>26</v>
      </c>
      <c r="H36">
        <v>3</v>
      </c>
      <c r="I36">
        <v>0</v>
      </c>
    </row>
    <row r="37" spans="1:9" x14ac:dyDescent="0.3">
      <c r="A37">
        <v>2</v>
      </c>
      <c r="B37">
        <v>0</v>
      </c>
      <c r="C37" t="s">
        <v>21</v>
      </c>
      <c r="D37" t="s">
        <v>20</v>
      </c>
      <c r="E37">
        <v>49</v>
      </c>
      <c r="F37" t="s">
        <v>27</v>
      </c>
      <c r="G37" t="s">
        <v>26</v>
      </c>
      <c r="H37">
        <v>0</v>
      </c>
      <c r="I37">
        <v>0</v>
      </c>
    </row>
    <row r="38" spans="1:9" x14ac:dyDescent="0.3">
      <c r="A38">
        <v>2</v>
      </c>
      <c r="B38">
        <v>0</v>
      </c>
      <c r="C38" t="s">
        <v>21</v>
      </c>
      <c r="D38" t="s">
        <v>20</v>
      </c>
      <c r="E38">
        <v>47</v>
      </c>
      <c r="F38" t="s">
        <v>27</v>
      </c>
      <c r="G38" t="s">
        <v>26</v>
      </c>
      <c r="H38">
        <v>43</v>
      </c>
      <c r="I38">
        <v>0</v>
      </c>
    </row>
    <row r="39" spans="1:9" x14ac:dyDescent="0.3">
      <c r="A39">
        <v>2</v>
      </c>
      <c r="B39">
        <v>0</v>
      </c>
      <c r="C39" t="s">
        <v>21</v>
      </c>
      <c r="D39" t="s">
        <v>20</v>
      </c>
      <c r="E39">
        <v>46</v>
      </c>
      <c r="F39" t="s">
        <v>27</v>
      </c>
      <c r="G39" t="s">
        <v>26</v>
      </c>
      <c r="H39">
        <v>27</v>
      </c>
      <c r="I39">
        <v>0</v>
      </c>
    </row>
    <row r="40" spans="1:9" x14ac:dyDescent="0.3">
      <c r="A40">
        <v>2</v>
      </c>
      <c r="B40">
        <v>0</v>
      </c>
      <c r="C40" t="s">
        <v>21</v>
      </c>
      <c r="D40" t="s">
        <v>20</v>
      </c>
      <c r="E40">
        <v>34</v>
      </c>
      <c r="F40" t="s">
        <v>27</v>
      </c>
      <c r="G40" t="s">
        <v>26</v>
      </c>
      <c r="H40">
        <v>12</v>
      </c>
      <c r="I40">
        <v>0</v>
      </c>
    </row>
    <row r="41" spans="1:9" x14ac:dyDescent="0.3">
      <c r="A41">
        <v>2</v>
      </c>
      <c r="B41">
        <v>0</v>
      </c>
      <c r="C41" t="s">
        <v>21</v>
      </c>
      <c r="D41" t="s">
        <v>20</v>
      </c>
      <c r="E41">
        <v>54</v>
      </c>
      <c r="F41" t="s">
        <v>27</v>
      </c>
      <c r="G41" t="s">
        <v>26</v>
      </c>
      <c r="H41">
        <v>5</v>
      </c>
      <c r="I41">
        <v>0</v>
      </c>
    </row>
    <row r="42" spans="1:9" x14ac:dyDescent="0.3">
      <c r="A42">
        <v>2</v>
      </c>
      <c r="B42">
        <v>0</v>
      </c>
      <c r="C42" t="s">
        <v>21</v>
      </c>
      <c r="D42" t="s">
        <v>20</v>
      </c>
      <c r="E42">
        <v>51</v>
      </c>
      <c r="F42" t="s">
        <v>27</v>
      </c>
      <c r="G42" t="s">
        <v>26</v>
      </c>
      <c r="H42">
        <v>39</v>
      </c>
      <c r="I42">
        <v>0</v>
      </c>
    </row>
    <row r="43" spans="1:9" x14ac:dyDescent="0.3">
      <c r="A43">
        <v>2</v>
      </c>
      <c r="B43">
        <v>0</v>
      </c>
      <c r="C43" t="s">
        <v>21</v>
      </c>
      <c r="D43" t="s">
        <v>20</v>
      </c>
      <c r="E43">
        <v>33</v>
      </c>
      <c r="F43" t="s">
        <v>27</v>
      </c>
      <c r="G43" t="s">
        <v>26</v>
      </c>
      <c r="H43">
        <v>52</v>
      </c>
      <c r="I43">
        <v>1</v>
      </c>
    </row>
    <row r="44" spans="1:9" x14ac:dyDescent="0.3">
      <c r="A44">
        <v>2</v>
      </c>
      <c r="B44">
        <v>0</v>
      </c>
      <c r="C44" t="s">
        <v>21</v>
      </c>
      <c r="D44" t="s">
        <v>20</v>
      </c>
      <c r="E44">
        <v>2</v>
      </c>
      <c r="F44" t="s">
        <v>27</v>
      </c>
      <c r="G44" t="s">
        <v>26</v>
      </c>
      <c r="H44">
        <v>28</v>
      </c>
      <c r="I44">
        <v>1</v>
      </c>
    </row>
    <row r="45" spans="1:9" x14ac:dyDescent="0.3">
      <c r="A45">
        <v>2</v>
      </c>
      <c r="B45">
        <v>0</v>
      </c>
      <c r="C45" t="s">
        <v>21</v>
      </c>
      <c r="D45" t="s">
        <v>20</v>
      </c>
      <c r="E45">
        <v>30</v>
      </c>
      <c r="F45" t="s">
        <v>27</v>
      </c>
      <c r="G45" t="s">
        <v>26</v>
      </c>
      <c r="H45">
        <v>15</v>
      </c>
      <c r="I45">
        <v>0</v>
      </c>
    </row>
    <row r="46" spans="1:9" x14ac:dyDescent="0.3">
      <c r="A46">
        <v>2</v>
      </c>
      <c r="B46">
        <v>0</v>
      </c>
      <c r="C46" t="s">
        <v>21</v>
      </c>
      <c r="D46" t="s">
        <v>20</v>
      </c>
      <c r="E46">
        <v>47</v>
      </c>
      <c r="F46" t="s">
        <v>27</v>
      </c>
      <c r="G46" t="s">
        <v>26</v>
      </c>
      <c r="H46">
        <v>31</v>
      </c>
      <c r="I46">
        <v>0</v>
      </c>
    </row>
    <row r="47" spans="1:9" x14ac:dyDescent="0.3">
      <c r="A47">
        <v>2</v>
      </c>
      <c r="B47">
        <v>0</v>
      </c>
      <c r="C47" t="s">
        <v>21</v>
      </c>
      <c r="D47" t="s">
        <v>20</v>
      </c>
      <c r="E47">
        <v>14</v>
      </c>
      <c r="F47" t="s">
        <v>27</v>
      </c>
      <c r="G47" t="s">
        <v>26</v>
      </c>
      <c r="H47">
        <v>0</v>
      </c>
      <c r="I47">
        <v>0</v>
      </c>
    </row>
    <row r="48" spans="1:9" x14ac:dyDescent="0.3">
      <c r="A48">
        <v>2</v>
      </c>
      <c r="B48">
        <v>0</v>
      </c>
      <c r="C48" t="s">
        <v>21</v>
      </c>
      <c r="D48" t="s">
        <v>20</v>
      </c>
      <c r="E48">
        <v>31</v>
      </c>
      <c r="F48" t="s">
        <v>27</v>
      </c>
      <c r="G48" t="s">
        <v>26</v>
      </c>
      <c r="H48">
        <v>2</v>
      </c>
      <c r="I48">
        <v>0</v>
      </c>
    </row>
    <row r="49" spans="1:9" x14ac:dyDescent="0.3">
      <c r="A49">
        <v>2</v>
      </c>
      <c r="B49">
        <v>0</v>
      </c>
      <c r="C49" t="s">
        <v>21</v>
      </c>
      <c r="D49" t="s">
        <v>20</v>
      </c>
      <c r="E49">
        <v>75</v>
      </c>
      <c r="F49" t="s">
        <v>27</v>
      </c>
      <c r="G49" t="s">
        <v>26</v>
      </c>
      <c r="H49">
        <v>27</v>
      </c>
      <c r="I49">
        <v>0</v>
      </c>
    </row>
    <row r="50" spans="1:9" x14ac:dyDescent="0.3">
      <c r="A50">
        <v>2</v>
      </c>
      <c r="B50">
        <v>0</v>
      </c>
      <c r="C50" t="s">
        <v>21</v>
      </c>
      <c r="D50" t="s">
        <v>20</v>
      </c>
      <c r="E50">
        <v>20</v>
      </c>
      <c r="F50" t="s">
        <v>27</v>
      </c>
      <c r="G50" t="s">
        <v>26</v>
      </c>
      <c r="H50">
        <v>3</v>
      </c>
      <c r="I50">
        <v>0</v>
      </c>
    </row>
    <row r="51" spans="1:9" x14ac:dyDescent="0.3">
      <c r="A51">
        <v>2</v>
      </c>
      <c r="B51">
        <v>1</v>
      </c>
      <c r="C51" t="s">
        <v>21</v>
      </c>
      <c r="D51" t="s">
        <v>20</v>
      </c>
      <c r="E51">
        <v>33</v>
      </c>
      <c r="F51" t="s">
        <v>27</v>
      </c>
      <c r="G51" t="s">
        <v>26</v>
      </c>
      <c r="H51">
        <v>29</v>
      </c>
      <c r="I51">
        <v>0</v>
      </c>
    </row>
    <row r="52" spans="1:9" x14ac:dyDescent="0.3">
      <c r="A52">
        <v>2</v>
      </c>
      <c r="B52">
        <v>1</v>
      </c>
      <c r="C52" t="s">
        <v>21</v>
      </c>
      <c r="D52" t="s">
        <v>20</v>
      </c>
      <c r="E52">
        <v>52</v>
      </c>
      <c r="F52" t="s">
        <v>27</v>
      </c>
      <c r="G52" t="s">
        <v>26</v>
      </c>
      <c r="H52">
        <v>34</v>
      </c>
      <c r="I52">
        <v>0</v>
      </c>
    </row>
    <row r="53" spans="1:9" x14ac:dyDescent="0.3">
      <c r="A53">
        <v>2</v>
      </c>
      <c r="B53">
        <v>1</v>
      </c>
      <c r="C53" t="s">
        <v>21</v>
      </c>
      <c r="D53" t="s">
        <v>20</v>
      </c>
      <c r="E53">
        <v>72</v>
      </c>
      <c r="F53" t="s">
        <v>27</v>
      </c>
      <c r="G53" t="s">
        <v>26</v>
      </c>
      <c r="H53">
        <v>21</v>
      </c>
      <c r="I53">
        <v>0</v>
      </c>
    </row>
    <row r="54" spans="1:9" x14ac:dyDescent="0.3">
      <c r="A54">
        <v>2</v>
      </c>
      <c r="B54">
        <v>1</v>
      </c>
      <c r="C54" t="s">
        <v>21</v>
      </c>
      <c r="D54" t="s">
        <v>20</v>
      </c>
      <c r="E54">
        <v>49</v>
      </c>
      <c r="F54" t="s">
        <v>27</v>
      </c>
      <c r="G54" t="s">
        <v>26</v>
      </c>
      <c r="H54">
        <v>19</v>
      </c>
      <c r="I54">
        <v>0</v>
      </c>
    </row>
    <row r="55" spans="1:9" x14ac:dyDescent="0.3">
      <c r="A55">
        <v>2</v>
      </c>
      <c r="B55">
        <v>1</v>
      </c>
      <c r="C55" t="s">
        <v>21</v>
      </c>
      <c r="D55" t="s">
        <v>20</v>
      </c>
      <c r="E55">
        <v>55</v>
      </c>
      <c r="F55" t="s">
        <v>27</v>
      </c>
      <c r="G55" t="s">
        <v>26</v>
      </c>
      <c r="H55">
        <v>20</v>
      </c>
      <c r="I55">
        <v>0</v>
      </c>
    </row>
    <row r="56" spans="1:9" x14ac:dyDescent="0.3">
      <c r="A56">
        <v>2</v>
      </c>
      <c r="B56">
        <v>1</v>
      </c>
      <c r="C56" t="s">
        <v>21</v>
      </c>
      <c r="D56" t="s">
        <v>20</v>
      </c>
      <c r="E56">
        <v>37</v>
      </c>
      <c r="F56" t="s">
        <v>27</v>
      </c>
      <c r="G56" t="s">
        <v>26</v>
      </c>
      <c r="H56">
        <v>28</v>
      </c>
      <c r="I56">
        <v>0</v>
      </c>
    </row>
    <row r="57" spans="1:9" x14ac:dyDescent="0.3">
      <c r="A57">
        <v>2</v>
      </c>
      <c r="B57">
        <v>1</v>
      </c>
      <c r="C57" t="s">
        <v>21</v>
      </c>
      <c r="D57" t="s">
        <v>20</v>
      </c>
      <c r="E57">
        <v>29</v>
      </c>
      <c r="F57" t="s">
        <v>27</v>
      </c>
      <c r="G57" t="s">
        <v>26</v>
      </c>
      <c r="H57">
        <v>23</v>
      </c>
      <c r="I57">
        <v>0</v>
      </c>
    </row>
    <row r="58" spans="1:9" x14ac:dyDescent="0.3">
      <c r="A58">
        <v>2</v>
      </c>
      <c r="B58">
        <v>1</v>
      </c>
      <c r="C58" t="s">
        <v>21</v>
      </c>
      <c r="D58" t="s">
        <v>20</v>
      </c>
      <c r="E58">
        <v>40</v>
      </c>
      <c r="F58" t="s">
        <v>27</v>
      </c>
      <c r="G58" t="s">
        <v>26</v>
      </c>
      <c r="H58">
        <v>16</v>
      </c>
      <c r="I58">
        <v>0</v>
      </c>
    </row>
    <row r="59" spans="1:9" x14ac:dyDescent="0.3">
      <c r="A59">
        <v>2</v>
      </c>
      <c r="B59">
        <v>1</v>
      </c>
      <c r="C59" t="s">
        <v>21</v>
      </c>
      <c r="D59" t="s">
        <v>20</v>
      </c>
      <c r="E59">
        <v>37</v>
      </c>
      <c r="F59" t="s">
        <v>27</v>
      </c>
      <c r="G59" t="s">
        <v>26</v>
      </c>
      <c r="H59">
        <v>26</v>
      </c>
      <c r="I59">
        <v>0</v>
      </c>
    </row>
    <row r="60" spans="1:9" x14ac:dyDescent="0.3">
      <c r="A60">
        <v>2</v>
      </c>
      <c r="B60">
        <v>1</v>
      </c>
      <c r="C60" t="s">
        <v>21</v>
      </c>
      <c r="D60" t="s">
        <v>20</v>
      </c>
      <c r="E60">
        <v>49</v>
      </c>
      <c r="F60" t="s">
        <v>27</v>
      </c>
      <c r="G60" t="s">
        <v>26</v>
      </c>
      <c r="H60">
        <v>16</v>
      </c>
      <c r="I60">
        <v>0</v>
      </c>
    </row>
    <row r="61" spans="1:9" x14ac:dyDescent="0.3">
      <c r="A61">
        <v>2</v>
      </c>
      <c r="B61">
        <v>1</v>
      </c>
      <c r="C61" t="s">
        <v>21</v>
      </c>
      <c r="D61" t="s">
        <v>20</v>
      </c>
      <c r="E61">
        <v>56</v>
      </c>
      <c r="F61" t="s">
        <v>27</v>
      </c>
      <c r="G61" t="s">
        <v>26</v>
      </c>
      <c r="H61">
        <v>27</v>
      </c>
      <c r="I61">
        <v>0</v>
      </c>
    </row>
    <row r="62" spans="1:9" x14ac:dyDescent="0.3">
      <c r="A62">
        <v>2</v>
      </c>
      <c r="B62">
        <v>1</v>
      </c>
      <c r="C62" t="s">
        <v>21</v>
      </c>
      <c r="D62" t="s">
        <v>20</v>
      </c>
      <c r="E62">
        <v>28</v>
      </c>
      <c r="F62" t="s">
        <v>27</v>
      </c>
      <c r="G62" t="s">
        <v>26</v>
      </c>
      <c r="H62">
        <v>38</v>
      </c>
      <c r="I62">
        <v>1</v>
      </c>
    </row>
    <row r="63" spans="1:9" x14ac:dyDescent="0.3">
      <c r="A63">
        <v>2</v>
      </c>
      <c r="B63">
        <v>1</v>
      </c>
      <c r="C63" t="s">
        <v>21</v>
      </c>
      <c r="D63" t="s">
        <v>20</v>
      </c>
      <c r="E63">
        <v>0</v>
      </c>
      <c r="F63" t="s">
        <v>27</v>
      </c>
      <c r="G63" t="s">
        <v>26</v>
      </c>
      <c r="H63">
        <v>12</v>
      </c>
      <c r="I63">
        <v>1</v>
      </c>
    </row>
    <row r="64" spans="1:9" x14ac:dyDescent="0.3">
      <c r="A64">
        <v>2</v>
      </c>
      <c r="B64">
        <v>1</v>
      </c>
      <c r="C64" t="s">
        <v>21</v>
      </c>
      <c r="D64" t="s">
        <v>20</v>
      </c>
      <c r="E64">
        <v>28</v>
      </c>
      <c r="F64" t="s">
        <v>27</v>
      </c>
      <c r="G64" t="s">
        <v>26</v>
      </c>
      <c r="H64">
        <v>9</v>
      </c>
      <c r="I64">
        <v>0</v>
      </c>
    </row>
    <row r="65" spans="1:9" x14ac:dyDescent="0.3">
      <c r="A65">
        <v>2</v>
      </c>
      <c r="B65">
        <v>1</v>
      </c>
      <c r="C65" t="s">
        <v>21</v>
      </c>
      <c r="D65" t="s">
        <v>20</v>
      </c>
      <c r="E65">
        <v>35</v>
      </c>
      <c r="F65" t="s">
        <v>27</v>
      </c>
      <c r="G65" t="s">
        <v>26</v>
      </c>
      <c r="H65">
        <v>0</v>
      </c>
      <c r="I65">
        <v>0</v>
      </c>
    </row>
    <row r="66" spans="1:9" x14ac:dyDescent="0.3">
      <c r="A66">
        <v>2</v>
      </c>
      <c r="B66">
        <v>1</v>
      </c>
      <c r="C66" t="s">
        <v>21</v>
      </c>
      <c r="D66" t="s">
        <v>20</v>
      </c>
      <c r="E66">
        <v>20</v>
      </c>
      <c r="F66" t="s">
        <v>27</v>
      </c>
      <c r="G66" t="s">
        <v>26</v>
      </c>
      <c r="H66">
        <v>11</v>
      </c>
      <c r="I66">
        <v>0</v>
      </c>
    </row>
    <row r="67" spans="1:9" x14ac:dyDescent="0.3">
      <c r="A67">
        <v>2</v>
      </c>
      <c r="B67">
        <v>1</v>
      </c>
      <c r="C67" t="s">
        <v>21</v>
      </c>
      <c r="D67" t="s">
        <v>20</v>
      </c>
      <c r="E67">
        <v>37</v>
      </c>
      <c r="F67" t="s">
        <v>27</v>
      </c>
      <c r="G67" t="s">
        <v>26</v>
      </c>
      <c r="H67">
        <v>5</v>
      </c>
      <c r="I67">
        <v>0</v>
      </c>
    </row>
    <row r="68" spans="1:9" x14ac:dyDescent="0.3">
      <c r="A68">
        <v>2</v>
      </c>
      <c r="B68">
        <v>1</v>
      </c>
      <c r="C68" t="s">
        <v>21</v>
      </c>
      <c r="D68" t="s">
        <v>20</v>
      </c>
      <c r="E68">
        <v>50</v>
      </c>
      <c r="F68" t="s">
        <v>27</v>
      </c>
      <c r="G68" t="s">
        <v>26</v>
      </c>
      <c r="H68">
        <v>32</v>
      </c>
      <c r="I68">
        <v>0</v>
      </c>
    </row>
    <row r="69" spans="1:9" x14ac:dyDescent="0.3">
      <c r="A69">
        <v>2</v>
      </c>
      <c r="B69">
        <v>1</v>
      </c>
      <c r="C69" t="s">
        <v>21</v>
      </c>
      <c r="D69" t="s">
        <v>20</v>
      </c>
      <c r="E69">
        <v>38</v>
      </c>
      <c r="F69" t="s">
        <v>27</v>
      </c>
      <c r="G69" t="s">
        <v>26</v>
      </c>
      <c r="H69">
        <v>24</v>
      </c>
      <c r="I69">
        <v>0</v>
      </c>
    </row>
    <row r="70" spans="1:9" x14ac:dyDescent="0.3">
      <c r="A70">
        <v>2</v>
      </c>
      <c r="B70">
        <v>1</v>
      </c>
      <c r="C70" t="s">
        <v>21</v>
      </c>
      <c r="D70" t="s">
        <v>20</v>
      </c>
      <c r="E70">
        <v>16</v>
      </c>
      <c r="F70" t="s">
        <v>27</v>
      </c>
      <c r="G70" t="s">
        <v>26</v>
      </c>
      <c r="H70">
        <v>7</v>
      </c>
      <c r="I70">
        <v>0</v>
      </c>
    </row>
    <row r="71" spans="1:9" x14ac:dyDescent="0.3">
      <c r="A71">
        <v>2</v>
      </c>
      <c r="B71">
        <v>1</v>
      </c>
      <c r="C71" t="s">
        <v>21</v>
      </c>
      <c r="D71" t="s">
        <v>20</v>
      </c>
      <c r="E71">
        <v>45</v>
      </c>
      <c r="F71" t="s">
        <v>27</v>
      </c>
      <c r="G71" t="s">
        <v>26</v>
      </c>
      <c r="H71">
        <v>6</v>
      </c>
      <c r="I71">
        <v>0</v>
      </c>
    </row>
    <row r="72" spans="1:9" x14ac:dyDescent="0.3">
      <c r="A72">
        <v>2</v>
      </c>
      <c r="B72">
        <v>1</v>
      </c>
      <c r="C72" t="s">
        <v>21</v>
      </c>
      <c r="D72" t="s">
        <v>20</v>
      </c>
      <c r="E72">
        <v>28</v>
      </c>
      <c r="F72" t="s">
        <v>27</v>
      </c>
      <c r="G72" t="s">
        <v>26</v>
      </c>
      <c r="H72">
        <v>21</v>
      </c>
      <c r="I72">
        <v>0</v>
      </c>
    </row>
    <row r="73" spans="1:9" x14ac:dyDescent="0.3">
      <c r="A73">
        <v>2</v>
      </c>
      <c r="B73">
        <v>1</v>
      </c>
      <c r="C73" t="s">
        <v>21</v>
      </c>
      <c r="D73" t="s">
        <v>20</v>
      </c>
      <c r="E73">
        <v>49</v>
      </c>
      <c r="F73" t="s">
        <v>27</v>
      </c>
      <c r="G73" t="s">
        <v>26</v>
      </c>
      <c r="H73">
        <v>37</v>
      </c>
      <c r="I73">
        <v>0</v>
      </c>
    </row>
    <row r="74" spans="1:9" x14ac:dyDescent="0.3">
      <c r="A74">
        <v>2</v>
      </c>
      <c r="B74">
        <v>1</v>
      </c>
      <c r="C74" t="s">
        <v>21</v>
      </c>
      <c r="D74" t="s">
        <v>20</v>
      </c>
      <c r="E74">
        <v>54</v>
      </c>
      <c r="F74" t="s">
        <v>27</v>
      </c>
      <c r="G74" t="s">
        <v>26</v>
      </c>
      <c r="H74">
        <v>54</v>
      </c>
      <c r="I74">
        <v>0</v>
      </c>
    </row>
    <row r="75" spans="1:9" x14ac:dyDescent="0.3">
      <c r="A75">
        <v>2</v>
      </c>
      <c r="B75">
        <v>1</v>
      </c>
      <c r="C75" t="s">
        <v>21</v>
      </c>
      <c r="D75" t="s">
        <v>20</v>
      </c>
      <c r="E75">
        <v>36</v>
      </c>
      <c r="F75" t="s">
        <v>27</v>
      </c>
      <c r="G75" t="s">
        <v>26</v>
      </c>
      <c r="H75">
        <v>2</v>
      </c>
      <c r="I75">
        <v>0</v>
      </c>
    </row>
    <row r="76" spans="1:9" x14ac:dyDescent="0.3">
      <c r="A76">
        <v>2</v>
      </c>
      <c r="B76">
        <v>1</v>
      </c>
      <c r="C76" t="s">
        <v>21</v>
      </c>
      <c r="D76" t="s">
        <v>20</v>
      </c>
      <c r="E76">
        <v>28</v>
      </c>
      <c r="F76" t="s">
        <v>27</v>
      </c>
      <c r="G76" t="s">
        <v>26</v>
      </c>
      <c r="H76">
        <v>34</v>
      </c>
      <c r="I76">
        <v>1</v>
      </c>
    </row>
    <row r="77" spans="1:9" x14ac:dyDescent="0.3">
      <c r="A77">
        <v>2</v>
      </c>
      <c r="B77">
        <v>1</v>
      </c>
      <c r="C77" t="s">
        <v>21</v>
      </c>
      <c r="D77" t="s">
        <v>20</v>
      </c>
      <c r="E77">
        <v>15</v>
      </c>
      <c r="F77" t="s">
        <v>27</v>
      </c>
      <c r="G77" t="s">
        <v>26</v>
      </c>
      <c r="H77">
        <v>35</v>
      </c>
      <c r="I77">
        <v>1</v>
      </c>
    </row>
    <row r="78" spans="1:9" x14ac:dyDescent="0.3">
      <c r="A78">
        <v>2</v>
      </c>
      <c r="B78">
        <v>1</v>
      </c>
      <c r="C78" t="s">
        <v>21</v>
      </c>
      <c r="D78" t="s">
        <v>20</v>
      </c>
      <c r="E78">
        <v>29</v>
      </c>
      <c r="F78" t="s">
        <v>27</v>
      </c>
      <c r="G78" t="s">
        <v>26</v>
      </c>
      <c r="H78">
        <v>20</v>
      </c>
      <c r="I78">
        <v>0</v>
      </c>
    </row>
    <row r="79" spans="1:9" x14ac:dyDescent="0.3">
      <c r="A79">
        <v>2</v>
      </c>
      <c r="B79">
        <v>1</v>
      </c>
      <c r="C79" t="s">
        <v>21</v>
      </c>
      <c r="D79" t="s">
        <v>20</v>
      </c>
      <c r="E79">
        <v>48</v>
      </c>
      <c r="F79" t="s">
        <v>27</v>
      </c>
      <c r="G79" t="s">
        <v>26</v>
      </c>
      <c r="H79">
        <v>37</v>
      </c>
      <c r="I79">
        <v>0</v>
      </c>
    </row>
    <row r="80" spans="1:9" x14ac:dyDescent="0.3">
      <c r="A80">
        <v>2</v>
      </c>
      <c r="B80">
        <v>1</v>
      </c>
      <c r="C80" t="s">
        <v>21</v>
      </c>
      <c r="D80" t="s">
        <v>20</v>
      </c>
      <c r="E80">
        <v>60</v>
      </c>
      <c r="F80" t="s">
        <v>27</v>
      </c>
      <c r="G80" t="s">
        <v>26</v>
      </c>
      <c r="H80">
        <v>30</v>
      </c>
      <c r="I80">
        <v>0</v>
      </c>
    </row>
    <row r="81" spans="1:9" x14ac:dyDescent="0.3">
      <c r="A81">
        <v>2</v>
      </c>
      <c r="B81">
        <v>1</v>
      </c>
      <c r="C81" t="s">
        <v>21</v>
      </c>
      <c r="D81" t="s">
        <v>20</v>
      </c>
      <c r="E81">
        <v>37</v>
      </c>
      <c r="F81" t="s">
        <v>27</v>
      </c>
      <c r="G81" t="s">
        <v>26</v>
      </c>
      <c r="H81">
        <v>5</v>
      </c>
      <c r="I81">
        <v>0</v>
      </c>
    </row>
    <row r="82" spans="1:9" x14ac:dyDescent="0.3">
      <c r="A82">
        <v>2</v>
      </c>
      <c r="B82">
        <v>1</v>
      </c>
      <c r="C82" t="s">
        <v>21</v>
      </c>
      <c r="D82" t="s">
        <v>20</v>
      </c>
      <c r="E82">
        <v>30</v>
      </c>
      <c r="F82" t="s">
        <v>27</v>
      </c>
      <c r="G82" t="s">
        <v>26</v>
      </c>
      <c r="H82">
        <v>59</v>
      </c>
      <c r="I82">
        <v>1</v>
      </c>
    </row>
    <row r="83" spans="1:9" x14ac:dyDescent="0.3">
      <c r="A83">
        <v>2</v>
      </c>
      <c r="B83">
        <v>1</v>
      </c>
      <c r="C83" t="s">
        <v>21</v>
      </c>
      <c r="D83" t="s">
        <v>20</v>
      </c>
      <c r="E83">
        <v>39</v>
      </c>
      <c r="F83" t="s">
        <v>27</v>
      </c>
      <c r="G83" t="s">
        <v>26</v>
      </c>
      <c r="H83">
        <v>33</v>
      </c>
      <c r="I83">
        <v>0</v>
      </c>
    </row>
    <row r="84" spans="1:9" x14ac:dyDescent="0.3">
      <c r="A84">
        <v>2</v>
      </c>
      <c r="B84">
        <v>1</v>
      </c>
      <c r="C84" t="s">
        <v>21</v>
      </c>
      <c r="D84" t="s">
        <v>20</v>
      </c>
      <c r="E84">
        <v>39</v>
      </c>
      <c r="F84" t="s">
        <v>27</v>
      </c>
      <c r="G84" t="s">
        <v>26</v>
      </c>
      <c r="H84">
        <v>0</v>
      </c>
      <c r="I84">
        <v>0</v>
      </c>
    </row>
    <row r="85" spans="1:9" x14ac:dyDescent="0.3">
      <c r="A85">
        <v>2</v>
      </c>
      <c r="B85">
        <v>1</v>
      </c>
      <c r="C85" t="s">
        <v>21</v>
      </c>
      <c r="D85" t="s">
        <v>20</v>
      </c>
      <c r="E85">
        <v>54</v>
      </c>
      <c r="F85" t="s">
        <v>27</v>
      </c>
      <c r="G85" t="s">
        <v>26</v>
      </c>
      <c r="H85">
        <v>22</v>
      </c>
      <c r="I85">
        <v>0</v>
      </c>
    </row>
    <row r="86" spans="1:9" x14ac:dyDescent="0.3">
      <c r="A86">
        <v>2</v>
      </c>
      <c r="B86">
        <v>1</v>
      </c>
      <c r="C86" t="s">
        <v>21</v>
      </c>
      <c r="D86" t="s">
        <v>20</v>
      </c>
      <c r="E86">
        <v>40</v>
      </c>
      <c r="F86" t="s">
        <v>27</v>
      </c>
      <c r="G86" t="s">
        <v>26</v>
      </c>
      <c r="H86">
        <v>25</v>
      </c>
      <c r="I86">
        <v>0</v>
      </c>
    </row>
    <row r="87" spans="1:9" x14ac:dyDescent="0.3">
      <c r="A87">
        <v>2</v>
      </c>
      <c r="B87">
        <v>1</v>
      </c>
      <c r="C87" t="s">
        <v>21</v>
      </c>
      <c r="D87" t="s">
        <v>20</v>
      </c>
      <c r="E87">
        <v>34</v>
      </c>
      <c r="F87" t="s">
        <v>27</v>
      </c>
      <c r="G87" t="s">
        <v>26</v>
      </c>
      <c r="H87">
        <v>4</v>
      </c>
      <c r="I87">
        <v>0</v>
      </c>
    </row>
    <row r="88" spans="1:9" x14ac:dyDescent="0.3">
      <c r="A88">
        <v>2</v>
      </c>
      <c r="B88">
        <v>1</v>
      </c>
      <c r="C88" t="s">
        <v>21</v>
      </c>
      <c r="D88" t="s">
        <v>20</v>
      </c>
      <c r="E88">
        <v>2</v>
      </c>
      <c r="F88" t="s">
        <v>27</v>
      </c>
      <c r="G88" t="s">
        <v>26</v>
      </c>
      <c r="H88">
        <v>5</v>
      </c>
      <c r="I88">
        <v>1</v>
      </c>
    </row>
    <row r="89" spans="1:9" x14ac:dyDescent="0.3">
      <c r="A89">
        <v>2</v>
      </c>
      <c r="B89">
        <v>1</v>
      </c>
      <c r="C89" t="s">
        <v>21</v>
      </c>
      <c r="D89" t="s">
        <v>20</v>
      </c>
      <c r="E89">
        <v>31</v>
      </c>
      <c r="F89" t="s">
        <v>27</v>
      </c>
      <c r="G89" t="s">
        <v>26</v>
      </c>
      <c r="H89">
        <v>18</v>
      </c>
      <c r="I89">
        <v>0</v>
      </c>
    </row>
    <row r="90" spans="1:9" x14ac:dyDescent="0.3">
      <c r="A90">
        <v>2</v>
      </c>
      <c r="B90">
        <v>1</v>
      </c>
      <c r="C90" t="s">
        <v>21</v>
      </c>
      <c r="D90" t="s">
        <v>20</v>
      </c>
      <c r="E90">
        <v>38</v>
      </c>
      <c r="F90" t="s">
        <v>27</v>
      </c>
      <c r="G90" t="s">
        <v>26</v>
      </c>
      <c r="H90">
        <v>19</v>
      </c>
      <c r="I90">
        <v>0</v>
      </c>
    </row>
    <row r="91" spans="1:9" x14ac:dyDescent="0.3">
      <c r="A91">
        <v>2</v>
      </c>
      <c r="B91">
        <v>1</v>
      </c>
      <c r="C91" t="s">
        <v>21</v>
      </c>
      <c r="D91" t="s">
        <v>20</v>
      </c>
      <c r="E91">
        <v>43</v>
      </c>
      <c r="F91" t="s">
        <v>27</v>
      </c>
      <c r="G91" t="s">
        <v>26</v>
      </c>
      <c r="H91">
        <v>27</v>
      </c>
      <c r="I91">
        <v>0</v>
      </c>
    </row>
    <row r="92" spans="1:9" x14ac:dyDescent="0.3">
      <c r="A92">
        <v>2</v>
      </c>
      <c r="B92">
        <v>1</v>
      </c>
      <c r="C92" t="s">
        <v>21</v>
      </c>
      <c r="D92" t="s">
        <v>20</v>
      </c>
      <c r="E92">
        <v>29</v>
      </c>
      <c r="F92" t="s">
        <v>27</v>
      </c>
      <c r="G92" t="s">
        <v>26</v>
      </c>
      <c r="H92">
        <v>16</v>
      </c>
      <c r="I92">
        <v>0</v>
      </c>
    </row>
    <row r="93" spans="1:9" x14ac:dyDescent="0.3">
      <c r="A93">
        <v>2</v>
      </c>
      <c r="B93">
        <v>1</v>
      </c>
      <c r="C93" t="s">
        <v>21</v>
      </c>
      <c r="D93" t="s">
        <v>20</v>
      </c>
      <c r="E93">
        <v>5</v>
      </c>
      <c r="F93" t="s">
        <v>27</v>
      </c>
      <c r="G93" t="s">
        <v>26</v>
      </c>
      <c r="H93">
        <v>14</v>
      </c>
      <c r="I93">
        <v>1</v>
      </c>
    </row>
    <row r="94" spans="1:9" x14ac:dyDescent="0.3">
      <c r="A94">
        <v>2</v>
      </c>
      <c r="B94">
        <v>1</v>
      </c>
      <c r="C94" t="s">
        <v>21</v>
      </c>
      <c r="D94" t="s">
        <v>20</v>
      </c>
      <c r="E94">
        <v>24</v>
      </c>
      <c r="F94" t="s">
        <v>27</v>
      </c>
      <c r="G94" t="s">
        <v>26</v>
      </c>
      <c r="H94">
        <v>22</v>
      </c>
      <c r="I94">
        <v>0</v>
      </c>
    </row>
    <row r="95" spans="1:9" x14ac:dyDescent="0.3">
      <c r="A95">
        <v>2</v>
      </c>
      <c r="B95">
        <v>1</v>
      </c>
      <c r="C95" t="s">
        <v>21</v>
      </c>
      <c r="D95" t="s">
        <v>20</v>
      </c>
      <c r="E95">
        <v>51</v>
      </c>
      <c r="F95" t="s">
        <v>27</v>
      </c>
      <c r="G95" t="s">
        <v>26</v>
      </c>
      <c r="H95">
        <v>13</v>
      </c>
      <c r="I95">
        <v>0</v>
      </c>
    </row>
    <row r="96" spans="1:9" x14ac:dyDescent="0.3">
      <c r="A96">
        <v>2</v>
      </c>
      <c r="B96">
        <v>1</v>
      </c>
      <c r="C96" t="s">
        <v>21</v>
      </c>
      <c r="D96" t="s">
        <v>20</v>
      </c>
      <c r="E96">
        <v>10</v>
      </c>
      <c r="F96" t="s">
        <v>27</v>
      </c>
      <c r="G96" t="s">
        <v>26</v>
      </c>
      <c r="H96">
        <v>31</v>
      </c>
      <c r="I96">
        <v>1</v>
      </c>
    </row>
    <row r="97" spans="1:9" x14ac:dyDescent="0.3">
      <c r="A97">
        <v>2</v>
      </c>
      <c r="B97">
        <v>1</v>
      </c>
      <c r="C97" t="s">
        <v>21</v>
      </c>
      <c r="D97" t="s">
        <v>20</v>
      </c>
      <c r="E97">
        <v>37</v>
      </c>
      <c r="F97" t="s">
        <v>27</v>
      </c>
      <c r="G97" t="s">
        <v>26</v>
      </c>
      <c r="H97">
        <v>2</v>
      </c>
      <c r="I97">
        <v>0</v>
      </c>
    </row>
    <row r="98" spans="1:9" x14ac:dyDescent="0.3">
      <c r="A98">
        <v>2</v>
      </c>
      <c r="B98">
        <v>1</v>
      </c>
      <c r="C98" t="s">
        <v>21</v>
      </c>
      <c r="D98" t="s">
        <v>20</v>
      </c>
      <c r="E98">
        <v>56</v>
      </c>
      <c r="F98" t="s">
        <v>27</v>
      </c>
      <c r="G98" t="s">
        <v>26</v>
      </c>
      <c r="H98">
        <v>32</v>
      </c>
      <c r="I98">
        <v>0</v>
      </c>
    </row>
    <row r="99" spans="1:9" x14ac:dyDescent="0.3">
      <c r="A99">
        <v>2</v>
      </c>
      <c r="B99">
        <v>1</v>
      </c>
      <c r="C99" t="s">
        <v>21</v>
      </c>
      <c r="D99" t="s">
        <v>20</v>
      </c>
      <c r="E99">
        <v>0</v>
      </c>
      <c r="F99" t="s">
        <v>27</v>
      </c>
      <c r="G99" t="s">
        <v>26</v>
      </c>
      <c r="H99">
        <v>41</v>
      </c>
      <c r="I99">
        <v>1</v>
      </c>
    </row>
    <row r="100" spans="1:9" x14ac:dyDescent="0.3">
      <c r="A100">
        <v>2</v>
      </c>
      <c r="B100">
        <v>1</v>
      </c>
      <c r="C100" t="s">
        <v>21</v>
      </c>
      <c r="D100" t="s">
        <v>20</v>
      </c>
      <c r="E100">
        <v>23</v>
      </c>
      <c r="F100" t="s">
        <v>27</v>
      </c>
      <c r="G100" t="s">
        <v>26</v>
      </c>
      <c r="H100">
        <v>47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AD94A-B087-44E1-82A0-EB9D8AC8C2B9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21</v>
      </c>
      <c r="D1" t="s">
        <v>20</v>
      </c>
      <c r="E1">
        <v>67</v>
      </c>
      <c r="F1" t="s">
        <v>29</v>
      </c>
      <c r="G1" t="s">
        <v>28</v>
      </c>
      <c r="H1">
        <v>16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21</v>
      </c>
      <c r="D2" t="s">
        <v>20</v>
      </c>
      <c r="E2">
        <v>53</v>
      </c>
      <c r="F2" t="s">
        <v>29</v>
      </c>
      <c r="G2" t="s">
        <v>28</v>
      </c>
      <c r="H2">
        <v>5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21</v>
      </c>
      <c r="D3" t="s">
        <v>20</v>
      </c>
      <c r="E3">
        <v>41</v>
      </c>
      <c r="F3" t="s">
        <v>29</v>
      </c>
      <c r="G3" t="s">
        <v>28</v>
      </c>
      <c r="H3">
        <v>14</v>
      </c>
      <c r="I3">
        <v>0</v>
      </c>
      <c r="K3" s="8" t="s">
        <v>11</v>
      </c>
      <c r="L3" s="8"/>
      <c r="M3" s="10">
        <f>COUNTIF($I$1:$I$100, 0)</f>
        <v>90</v>
      </c>
      <c r="N3" s="10"/>
      <c r="O3" s="10">
        <f>COUNTIFS($I$1:$I$100, 0, $B$1:$B$100, 0)</f>
        <v>45</v>
      </c>
      <c r="P3" s="10"/>
      <c r="Q3" s="11">
        <f>COUNTIFS($I$1:$I$100, 0, $B$1:$B$100, 1)</f>
        <v>45</v>
      </c>
      <c r="R3" s="12"/>
      <c r="T3" cm="1">
        <f t="array" ref="T3">SUMPRODUCT(--($E$1:$E$100=$H$1:$H$100))</f>
        <v>3</v>
      </c>
    </row>
    <row r="4" spans="1:20" x14ac:dyDescent="0.3">
      <c r="A4">
        <v>2</v>
      </c>
      <c r="B4">
        <v>0</v>
      </c>
      <c r="C4" t="s">
        <v>21</v>
      </c>
      <c r="D4" t="s">
        <v>20</v>
      </c>
      <c r="E4">
        <v>48</v>
      </c>
      <c r="F4" t="s">
        <v>29</v>
      </c>
      <c r="G4" t="s">
        <v>28</v>
      </c>
      <c r="H4">
        <v>3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21</v>
      </c>
      <c r="D5" t="s">
        <v>20</v>
      </c>
      <c r="E5">
        <v>34</v>
      </c>
      <c r="F5" t="s">
        <v>29</v>
      </c>
      <c r="G5" t="s">
        <v>28</v>
      </c>
      <c r="H5">
        <v>25</v>
      </c>
      <c r="I5">
        <v>0</v>
      </c>
      <c r="K5" s="8" t="s">
        <v>10</v>
      </c>
      <c r="L5" s="8"/>
      <c r="M5" s="14">
        <f>COUNTIF($I$1:$I$100, 1)</f>
        <v>10</v>
      </c>
      <c r="N5" s="10"/>
      <c r="O5" s="10">
        <f>COUNTIFS($I$1:$I$100, 1, $B$1:$B$100, 0)</f>
        <v>5</v>
      </c>
      <c r="P5" s="10"/>
      <c r="Q5" s="10">
        <f>COUNTIFS($I$1:$I$100, 1, $B$1:$B$100, 1)</f>
        <v>5</v>
      </c>
      <c r="R5" s="13"/>
    </row>
    <row r="6" spans="1:20" x14ac:dyDescent="0.3">
      <c r="A6">
        <v>2</v>
      </c>
      <c r="B6">
        <v>0</v>
      </c>
      <c r="C6" t="s">
        <v>21</v>
      </c>
      <c r="D6" t="s">
        <v>20</v>
      </c>
      <c r="E6">
        <v>21</v>
      </c>
      <c r="F6" t="s">
        <v>29</v>
      </c>
      <c r="G6" t="s">
        <v>28</v>
      </c>
      <c r="H6">
        <v>8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21</v>
      </c>
      <c r="D7" t="s">
        <v>20</v>
      </c>
      <c r="E7">
        <v>24</v>
      </c>
      <c r="F7" t="s">
        <v>29</v>
      </c>
      <c r="G7" t="s">
        <v>28</v>
      </c>
      <c r="H7">
        <v>33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21</v>
      </c>
      <c r="D8" t="s">
        <v>20</v>
      </c>
      <c r="E8">
        <v>38</v>
      </c>
      <c r="F8" t="s">
        <v>29</v>
      </c>
      <c r="G8" t="s">
        <v>28</v>
      </c>
      <c r="H8">
        <v>12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21</v>
      </c>
      <c r="D9" t="s">
        <v>20</v>
      </c>
      <c r="E9">
        <v>32</v>
      </c>
      <c r="F9" t="s">
        <v>29</v>
      </c>
      <c r="G9" t="s">
        <v>28</v>
      </c>
      <c r="H9">
        <v>12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21</v>
      </c>
      <c r="D10" t="s">
        <v>20</v>
      </c>
      <c r="E10">
        <v>20</v>
      </c>
      <c r="F10" t="s">
        <v>29</v>
      </c>
      <c r="G10" t="s">
        <v>28</v>
      </c>
      <c r="H10">
        <v>2</v>
      </c>
      <c r="I10">
        <v>0</v>
      </c>
      <c r="K10" s="8" t="s">
        <v>6</v>
      </c>
      <c r="L10" s="8"/>
      <c r="M10" s="10">
        <f>AVERAGE($E$1:$E$100,)</f>
        <v>39.801980198019805</v>
      </c>
      <c r="N10" s="10"/>
      <c r="O10" s="10" cm="1">
        <f t="array" ref="O10">AVERAGE(_xlfn._xlws.FILTER($E$1:$E$100,$I$1:$I$100 = 0))</f>
        <v>42.711111111111109</v>
      </c>
      <c r="P10" s="10"/>
      <c r="Q10" s="11" cm="1">
        <f t="array" ref="Q10">AVERAGE(_xlfn._xlws.FILTER($E$1:$E$100,$I$1:$I$100 = 1))</f>
        <v>17.600000000000001</v>
      </c>
      <c r="R10" s="12"/>
    </row>
    <row r="11" spans="1:20" x14ac:dyDescent="0.3">
      <c r="A11">
        <v>2</v>
      </c>
      <c r="B11">
        <v>0</v>
      </c>
      <c r="C11" t="s">
        <v>21</v>
      </c>
      <c r="D11" t="s">
        <v>20</v>
      </c>
      <c r="E11">
        <v>42</v>
      </c>
      <c r="F11" t="s">
        <v>29</v>
      </c>
      <c r="G11" t="s">
        <v>28</v>
      </c>
      <c r="H11">
        <v>3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21</v>
      </c>
      <c r="D12" t="s">
        <v>20</v>
      </c>
      <c r="E12">
        <v>25</v>
      </c>
      <c r="F12" t="s">
        <v>29</v>
      </c>
      <c r="G12" t="s">
        <v>28</v>
      </c>
      <c r="H12">
        <v>16</v>
      </c>
      <c r="I12">
        <v>0</v>
      </c>
      <c r="K12" s="8" t="s">
        <v>5</v>
      </c>
      <c r="L12" s="8"/>
      <c r="M12" s="10">
        <f>AVERAGE($H$1:$H$100,)</f>
        <v>16.425742574257427</v>
      </c>
      <c r="N12" s="10"/>
      <c r="O12" s="10" cm="1">
        <f t="array" ref="O12">AVERAGE(_xlfn._xlws.FILTER($H$1:$H$100,$I$1:$I$100 = 0))</f>
        <v>15.155555555555555</v>
      </c>
      <c r="P12" s="10"/>
      <c r="Q12" s="10" cm="1">
        <f t="array" ref="Q12">AVERAGE(_xlfn._xlws.FILTER($H$1:$H$100,$I$1:$I$100 = 1))</f>
        <v>29.5</v>
      </c>
      <c r="R12" s="13"/>
    </row>
    <row r="13" spans="1:20" x14ac:dyDescent="0.3">
      <c r="A13">
        <v>2</v>
      </c>
      <c r="B13">
        <v>0</v>
      </c>
      <c r="C13" t="s">
        <v>21</v>
      </c>
      <c r="D13" t="s">
        <v>20</v>
      </c>
      <c r="E13">
        <v>45</v>
      </c>
      <c r="F13" t="s">
        <v>29</v>
      </c>
      <c r="G13" t="s">
        <v>28</v>
      </c>
      <c r="H13">
        <v>3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21</v>
      </c>
      <c r="D14" t="s">
        <v>20</v>
      </c>
      <c r="E14">
        <v>53</v>
      </c>
      <c r="F14" t="s">
        <v>29</v>
      </c>
      <c r="G14" t="s">
        <v>28</v>
      </c>
      <c r="H14">
        <v>7</v>
      </c>
      <c r="I14">
        <v>0</v>
      </c>
      <c r="K14" s="19" t="s">
        <v>4</v>
      </c>
      <c r="L14" s="12"/>
      <c r="M14" s="20" cm="1">
        <f t="array" ref="M14">AVERAGE($E$1:$E$100 - $H$1:$H$100)</f>
        <v>23.61</v>
      </c>
      <c r="N14" s="20"/>
      <c r="O14" s="20" cm="1">
        <f t="array" ref="O14">AVERAGE(_xlfn._xlws.FILTER($E$1:$E$100 - $H$1:$H$100, I$1:I$100 = 0))</f>
        <v>27.555555555555557</v>
      </c>
      <c r="P14" s="20"/>
      <c r="Q14" s="20" cm="1">
        <f t="array" ref="Q14">AVERAGE(_xlfn._xlws.FILTER($E$1:$E$100 - $H$1:$H$100, I$1:I$100 = 1))</f>
        <v>-11.9</v>
      </c>
      <c r="R14" s="22"/>
    </row>
    <row r="15" spans="1:20" x14ac:dyDescent="0.3">
      <c r="A15">
        <v>2</v>
      </c>
      <c r="B15">
        <v>0</v>
      </c>
      <c r="C15" t="s">
        <v>21</v>
      </c>
      <c r="D15" t="s">
        <v>20</v>
      </c>
      <c r="E15">
        <v>45</v>
      </c>
      <c r="F15" t="s">
        <v>29</v>
      </c>
      <c r="G15" t="s">
        <v>28</v>
      </c>
      <c r="H15">
        <v>27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21</v>
      </c>
      <c r="D16" t="s">
        <v>20</v>
      </c>
      <c r="E16">
        <v>49</v>
      </c>
      <c r="F16" t="s">
        <v>29</v>
      </c>
      <c r="G16" t="s">
        <v>28</v>
      </c>
      <c r="H16">
        <v>30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21</v>
      </c>
      <c r="D17" t="s">
        <v>20</v>
      </c>
      <c r="E17">
        <v>31</v>
      </c>
      <c r="F17" t="s">
        <v>29</v>
      </c>
      <c r="G17" t="s">
        <v>28</v>
      </c>
      <c r="H17">
        <v>27</v>
      </c>
      <c r="I17">
        <v>0</v>
      </c>
    </row>
    <row r="18" spans="1:9" x14ac:dyDescent="0.3">
      <c r="A18">
        <v>2</v>
      </c>
      <c r="B18">
        <v>0</v>
      </c>
      <c r="C18" t="s">
        <v>21</v>
      </c>
      <c r="D18" t="s">
        <v>20</v>
      </c>
      <c r="E18">
        <v>45</v>
      </c>
      <c r="F18" t="s">
        <v>29</v>
      </c>
      <c r="G18" t="s">
        <v>28</v>
      </c>
      <c r="H18">
        <v>23</v>
      </c>
      <c r="I18">
        <v>0</v>
      </c>
    </row>
    <row r="19" spans="1:9" x14ac:dyDescent="0.3">
      <c r="A19">
        <v>2</v>
      </c>
      <c r="B19">
        <v>0</v>
      </c>
      <c r="C19" t="s">
        <v>21</v>
      </c>
      <c r="D19" t="s">
        <v>20</v>
      </c>
      <c r="E19">
        <v>62</v>
      </c>
      <c r="F19" t="s">
        <v>29</v>
      </c>
      <c r="G19" t="s">
        <v>28</v>
      </c>
      <c r="H19">
        <v>33</v>
      </c>
      <c r="I19">
        <v>0</v>
      </c>
    </row>
    <row r="20" spans="1:9" x14ac:dyDescent="0.3">
      <c r="A20">
        <v>2</v>
      </c>
      <c r="B20">
        <v>0</v>
      </c>
      <c r="C20" t="s">
        <v>21</v>
      </c>
      <c r="D20" t="s">
        <v>20</v>
      </c>
      <c r="E20">
        <v>29</v>
      </c>
      <c r="F20" t="s">
        <v>29</v>
      </c>
      <c r="G20" t="s">
        <v>28</v>
      </c>
      <c r="H20">
        <v>3</v>
      </c>
      <c r="I20">
        <v>0</v>
      </c>
    </row>
    <row r="21" spans="1:9" x14ac:dyDescent="0.3">
      <c r="A21">
        <v>2</v>
      </c>
      <c r="B21">
        <v>0</v>
      </c>
      <c r="C21" t="s">
        <v>21</v>
      </c>
      <c r="D21" t="s">
        <v>20</v>
      </c>
      <c r="E21">
        <v>19</v>
      </c>
      <c r="F21" t="s">
        <v>29</v>
      </c>
      <c r="G21" t="s">
        <v>28</v>
      </c>
      <c r="H21">
        <v>3</v>
      </c>
      <c r="I21">
        <v>0</v>
      </c>
    </row>
    <row r="22" spans="1:9" x14ac:dyDescent="0.3">
      <c r="A22">
        <v>2</v>
      </c>
      <c r="B22">
        <v>0</v>
      </c>
      <c r="C22" t="s">
        <v>21</v>
      </c>
      <c r="D22" t="s">
        <v>20</v>
      </c>
      <c r="E22">
        <v>71</v>
      </c>
      <c r="F22" t="s">
        <v>29</v>
      </c>
      <c r="G22" t="s">
        <v>28</v>
      </c>
      <c r="H22">
        <v>25</v>
      </c>
      <c r="I22">
        <v>0</v>
      </c>
    </row>
    <row r="23" spans="1:9" x14ac:dyDescent="0.3">
      <c r="A23">
        <v>2</v>
      </c>
      <c r="B23">
        <v>0</v>
      </c>
      <c r="C23" t="s">
        <v>21</v>
      </c>
      <c r="D23" t="s">
        <v>20</v>
      </c>
      <c r="E23">
        <v>16</v>
      </c>
      <c r="F23" t="s">
        <v>29</v>
      </c>
      <c r="G23" t="s">
        <v>28</v>
      </c>
      <c r="H23">
        <v>25</v>
      </c>
      <c r="I23">
        <v>1</v>
      </c>
    </row>
    <row r="24" spans="1:9" x14ac:dyDescent="0.3">
      <c r="A24">
        <v>2</v>
      </c>
      <c r="B24">
        <v>0</v>
      </c>
      <c r="C24" t="s">
        <v>21</v>
      </c>
      <c r="D24" t="s">
        <v>20</v>
      </c>
      <c r="E24">
        <v>21</v>
      </c>
      <c r="F24" t="s">
        <v>29</v>
      </c>
      <c r="G24" t="s">
        <v>28</v>
      </c>
      <c r="H24">
        <v>24</v>
      </c>
      <c r="I24">
        <v>1</v>
      </c>
    </row>
    <row r="25" spans="1:9" x14ac:dyDescent="0.3">
      <c r="A25">
        <v>2</v>
      </c>
      <c r="B25">
        <v>0</v>
      </c>
      <c r="C25" t="s">
        <v>21</v>
      </c>
      <c r="D25" t="s">
        <v>20</v>
      </c>
      <c r="E25">
        <v>43</v>
      </c>
      <c r="F25" t="s">
        <v>29</v>
      </c>
      <c r="G25" t="s">
        <v>28</v>
      </c>
      <c r="H25">
        <v>7</v>
      </c>
      <c r="I25">
        <v>0</v>
      </c>
    </row>
    <row r="26" spans="1:9" x14ac:dyDescent="0.3">
      <c r="A26">
        <v>2</v>
      </c>
      <c r="B26">
        <v>0</v>
      </c>
      <c r="C26" t="s">
        <v>21</v>
      </c>
      <c r="D26" t="s">
        <v>20</v>
      </c>
      <c r="E26">
        <v>63</v>
      </c>
      <c r="F26" t="s">
        <v>29</v>
      </c>
      <c r="G26" t="s">
        <v>28</v>
      </c>
      <c r="H26">
        <v>11</v>
      </c>
      <c r="I26">
        <v>0</v>
      </c>
    </row>
    <row r="27" spans="1:9" x14ac:dyDescent="0.3">
      <c r="A27">
        <v>2</v>
      </c>
      <c r="B27">
        <v>0</v>
      </c>
      <c r="C27" t="s">
        <v>21</v>
      </c>
      <c r="D27" t="s">
        <v>20</v>
      </c>
      <c r="E27">
        <v>35</v>
      </c>
      <c r="F27" t="s">
        <v>29</v>
      </c>
      <c r="G27" t="s">
        <v>28</v>
      </c>
      <c r="H27">
        <v>29</v>
      </c>
      <c r="I27">
        <v>0</v>
      </c>
    </row>
    <row r="28" spans="1:9" x14ac:dyDescent="0.3">
      <c r="A28">
        <v>2</v>
      </c>
      <c r="B28">
        <v>0</v>
      </c>
      <c r="C28" t="s">
        <v>21</v>
      </c>
      <c r="D28" t="s">
        <v>20</v>
      </c>
      <c r="E28">
        <v>63</v>
      </c>
      <c r="F28" t="s">
        <v>29</v>
      </c>
      <c r="G28" t="s">
        <v>28</v>
      </c>
      <c r="H28">
        <v>3</v>
      </c>
      <c r="I28">
        <v>0</v>
      </c>
    </row>
    <row r="29" spans="1:9" x14ac:dyDescent="0.3">
      <c r="A29">
        <v>2</v>
      </c>
      <c r="B29">
        <v>0</v>
      </c>
      <c r="C29" t="s">
        <v>21</v>
      </c>
      <c r="D29" t="s">
        <v>20</v>
      </c>
      <c r="E29">
        <v>21</v>
      </c>
      <c r="F29" t="s">
        <v>29</v>
      </c>
      <c r="G29" t="s">
        <v>28</v>
      </c>
      <c r="H29">
        <v>13</v>
      </c>
      <c r="I29">
        <v>0</v>
      </c>
    </row>
    <row r="30" spans="1:9" x14ac:dyDescent="0.3">
      <c r="A30">
        <v>2</v>
      </c>
      <c r="B30">
        <v>0</v>
      </c>
      <c r="C30" t="s">
        <v>21</v>
      </c>
      <c r="D30" t="s">
        <v>20</v>
      </c>
      <c r="E30">
        <v>33</v>
      </c>
      <c r="F30" t="s">
        <v>29</v>
      </c>
      <c r="G30" t="s">
        <v>28</v>
      </c>
      <c r="H30">
        <v>26</v>
      </c>
      <c r="I30">
        <v>0</v>
      </c>
    </row>
    <row r="31" spans="1:9" x14ac:dyDescent="0.3">
      <c r="A31">
        <v>2</v>
      </c>
      <c r="B31">
        <v>0</v>
      </c>
      <c r="C31" t="s">
        <v>21</v>
      </c>
      <c r="D31" t="s">
        <v>20</v>
      </c>
      <c r="E31">
        <v>50</v>
      </c>
      <c r="F31" t="s">
        <v>29</v>
      </c>
      <c r="G31" t="s">
        <v>28</v>
      </c>
      <c r="H31">
        <v>1</v>
      </c>
      <c r="I31">
        <v>0</v>
      </c>
    </row>
    <row r="32" spans="1:9" x14ac:dyDescent="0.3">
      <c r="A32">
        <v>2</v>
      </c>
      <c r="B32">
        <v>0</v>
      </c>
      <c r="C32" t="s">
        <v>21</v>
      </c>
      <c r="D32" t="s">
        <v>20</v>
      </c>
      <c r="E32">
        <v>61</v>
      </c>
      <c r="F32" t="s">
        <v>29</v>
      </c>
      <c r="G32" t="s">
        <v>28</v>
      </c>
      <c r="H32">
        <v>10</v>
      </c>
      <c r="I32">
        <v>0</v>
      </c>
    </row>
    <row r="33" spans="1:9" x14ac:dyDescent="0.3">
      <c r="A33">
        <v>2</v>
      </c>
      <c r="B33">
        <v>0</v>
      </c>
      <c r="C33" t="s">
        <v>21</v>
      </c>
      <c r="D33" t="s">
        <v>20</v>
      </c>
      <c r="E33">
        <v>37</v>
      </c>
      <c r="F33" t="s">
        <v>29</v>
      </c>
      <c r="G33" t="s">
        <v>28</v>
      </c>
      <c r="H33">
        <v>21</v>
      </c>
      <c r="I33">
        <v>0</v>
      </c>
    </row>
    <row r="34" spans="1:9" x14ac:dyDescent="0.3">
      <c r="A34">
        <v>2</v>
      </c>
      <c r="B34">
        <v>0</v>
      </c>
      <c r="C34" t="s">
        <v>21</v>
      </c>
      <c r="D34" t="s">
        <v>20</v>
      </c>
      <c r="E34">
        <v>41</v>
      </c>
      <c r="F34" t="s">
        <v>29</v>
      </c>
      <c r="G34" t="s">
        <v>28</v>
      </c>
      <c r="H34">
        <v>1</v>
      </c>
      <c r="I34">
        <v>0</v>
      </c>
    </row>
    <row r="35" spans="1:9" x14ac:dyDescent="0.3">
      <c r="A35">
        <v>2</v>
      </c>
      <c r="B35">
        <v>0</v>
      </c>
      <c r="C35" t="s">
        <v>21</v>
      </c>
      <c r="D35" t="s">
        <v>20</v>
      </c>
      <c r="E35">
        <v>56</v>
      </c>
      <c r="F35" t="s">
        <v>29</v>
      </c>
      <c r="G35" t="s">
        <v>28</v>
      </c>
      <c r="H35">
        <v>28</v>
      </c>
      <c r="I35">
        <v>0</v>
      </c>
    </row>
    <row r="36" spans="1:9" x14ac:dyDescent="0.3">
      <c r="A36">
        <v>2</v>
      </c>
      <c r="B36">
        <v>0</v>
      </c>
      <c r="C36" t="s">
        <v>21</v>
      </c>
      <c r="D36" t="s">
        <v>20</v>
      </c>
      <c r="E36">
        <v>38</v>
      </c>
      <c r="F36" t="s">
        <v>29</v>
      </c>
      <c r="G36" t="s">
        <v>28</v>
      </c>
      <c r="H36">
        <v>15</v>
      </c>
      <c r="I36">
        <v>0</v>
      </c>
    </row>
    <row r="37" spans="1:9" x14ac:dyDescent="0.3">
      <c r="A37">
        <v>2</v>
      </c>
      <c r="B37">
        <v>0</v>
      </c>
      <c r="C37" t="s">
        <v>21</v>
      </c>
      <c r="D37" t="s">
        <v>20</v>
      </c>
      <c r="E37">
        <v>28</v>
      </c>
      <c r="F37" t="s">
        <v>29</v>
      </c>
      <c r="G37" t="s">
        <v>28</v>
      </c>
      <c r="H37">
        <v>2</v>
      </c>
      <c r="I37">
        <v>0</v>
      </c>
    </row>
    <row r="38" spans="1:9" x14ac:dyDescent="0.3">
      <c r="A38">
        <v>2</v>
      </c>
      <c r="B38">
        <v>0</v>
      </c>
      <c r="C38" t="s">
        <v>21</v>
      </c>
      <c r="D38" t="s">
        <v>20</v>
      </c>
      <c r="E38">
        <v>45</v>
      </c>
      <c r="F38" t="s">
        <v>29</v>
      </c>
      <c r="G38" t="s">
        <v>28</v>
      </c>
      <c r="H38">
        <v>12</v>
      </c>
      <c r="I38">
        <v>0</v>
      </c>
    </row>
    <row r="39" spans="1:9" x14ac:dyDescent="0.3">
      <c r="A39">
        <v>2</v>
      </c>
      <c r="B39">
        <v>0</v>
      </c>
      <c r="C39" t="s">
        <v>21</v>
      </c>
      <c r="D39" t="s">
        <v>20</v>
      </c>
      <c r="E39">
        <v>12</v>
      </c>
      <c r="F39" t="s">
        <v>29</v>
      </c>
      <c r="G39" t="s">
        <v>28</v>
      </c>
      <c r="H39">
        <v>35</v>
      </c>
      <c r="I39">
        <v>1</v>
      </c>
    </row>
    <row r="40" spans="1:9" x14ac:dyDescent="0.3">
      <c r="A40">
        <v>2</v>
      </c>
      <c r="B40">
        <v>0</v>
      </c>
      <c r="C40" t="s">
        <v>21</v>
      </c>
      <c r="D40" t="s">
        <v>20</v>
      </c>
      <c r="E40">
        <v>37</v>
      </c>
      <c r="F40" t="s">
        <v>29</v>
      </c>
      <c r="G40" t="s">
        <v>28</v>
      </c>
      <c r="H40">
        <v>14</v>
      </c>
      <c r="I40">
        <v>0</v>
      </c>
    </row>
    <row r="41" spans="1:9" x14ac:dyDescent="0.3">
      <c r="A41">
        <v>2</v>
      </c>
      <c r="B41">
        <v>0</v>
      </c>
      <c r="C41" t="s">
        <v>21</v>
      </c>
      <c r="D41" t="s">
        <v>20</v>
      </c>
      <c r="E41">
        <v>29</v>
      </c>
      <c r="F41" t="s">
        <v>29</v>
      </c>
      <c r="G41" t="s">
        <v>28</v>
      </c>
      <c r="H41">
        <v>2</v>
      </c>
      <c r="I41">
        <v>0</v>
      </c>
    </row>
    <row r="42" spans="1:9" x14ac:dyDescent="0.3">
      <c r="A42">
        <v>2</v>
      </c>
      <c r="B42">
        <v>0</v>
      </c>
      <c r="C42" t="s">
        <v>21</v>
      </c>
      <c r="D42" t="s">
        <v>20</v>
      </c>
      <c r="E42">
        <v>21</v>
      </c>
      <c r="F42" t="s">
        <v>29</v>
      </c>
      <c r="G42" t="s">
        <v>28</v>
      </c>
      <c r="H42">
        <v>31</v>
      </c>
      <c r="I42">
        <v>1</v>
      </c>
    </row>
    <row r="43" spans="1:9" x14ac:dyDescent="0.3">
      <c r="A43">
        <v>2</v>
      </c>
      <c r="B43">
        <v>0</v>
      </c>
      <c r="C43" t="s">
        <v>21</v>
      </c>
      <c r="D43" t="s">
        <v>20</v>
      </c>
      <c r="E43">
        <v>20</v>
      </c>
      <c r="F43" t="s">
        <v>29</v>
      </c>
      <c r="G43" t="s">
        <v>28</v>
      </c>
      <c r="H43">
        <v>17</v>
      </c>
      <c r="I43">
        <v>0</v>
      </c>
    </row>
    <row r="44" spans="1:9" x14ac:dyDescent="0.3">
      <c r="A44">
        <v>2</v>
      </c>
      <c r="B44">
        <v>0</v>
      </c>
      <c r="C44" t="s">
        <v>21</v>
      </c>
      <c r="D44" t="s">
        <v>20</v>
      </c>
      <c r="E44">
        <v>60</v>
      </c>
      <c r="F44" t="s">
        <v>29</v>
      </c>
      <c r="G44" t="s">
        <v>28</v>
      </c>
      <c r="H44">
        <v>17</v>
      </c>
      <c r="I44">
        <v>0</v>
      </c>
    </row>
    <row r="45" spans="1:9" x14ac:dyDescent="0.3">
      <c r="A45">
        <v>2</v>
      </c>
      <c r="B45">
        <v>0</v>
      </c>
      <c r="C45" t="s">
        <v>21</v>
      </c>
      <c r="D45" t="s">
        <v>20</v>
      </c>
      <c r="E45">
        <v>57</v>
      </c>
      <c r="F45" t="s">
        <v>29</v>
      </c>
      <c r="G45" t="s">
        <v>28</v>
      </c>
      <c r="H45">
        <v>33</v>
      </c>
      <c r="I45">
        <v>0</v>
      </c>
    </row>
    <row r="46" spans="1:9" x14ac:dyDescent="0.3">
      <c r="A46">
        <v>2</v>
      </c>
      <c r="B46">
        <v>0</v>
      </c>
      <c r="C46" t="s">
        <v>21</v>
      </c>
      <c r="D46" t="s">
        <v>20</v>
      </c>
      <c r="E46">
        <v>46</v>
      </c>
      <c r="F46" t="s">
        <v>29</v>
      </c>
      <c r="G46" t="s">
        <v>28</v>
      </c>
      <c r="H46">
        <v>7</v>
      </c>
      <c r="I46">
        <v>0</v>
      </c>
    </row>
    <row r="47" spans="1:9" x14ac:dyDescent="0.3">
      <c r="A47">
        <v>2</v>
      </c>
      <c r="B47">
        <v>0</v>
      </c>
      <c r="C47" t="s">
        <v>21</v>
      </c>
      <c r="D47" t="s">
        <v>20</v>
      </c>
      <c r="E47">
        <v>26</v>
      </c>
      <c r="F47" t="s">
        <v>29</v>
      </c>
      <c r="G47" t="s">
        <v>28</v>
      </c>
      <c r="H47">
        <v>8</v>
      </c>
      <c r="I47">
        <v>0</v>
      </c>
    </row>
    <row r="48" spans="1:9" x14ac:dyDescent="0.3">
      <c r="A48">
        <v>2</v>
      </c>
      <c r="B48">
        <v>0</v>
      </c>
      <c r="C48" t="s">
        <v>21</v>
      </c>
      <c r="D48" t="s">
        <v>20</v>
      </c>
      <c r="E48">
        <v>55</v>
      </c>
      <c r="F48" t="s">
        <v>29</v>
      </c>
      <c r="G48" t="s">
        <v>28</v>
      </c>
      <c r="H48">
        <v>20</v>
      </c>
      <c r="I48">
        <v>0</v>
      </c>
    </row>
    <row r="49" spans="1:9" x14ac:dyDescent="0.3">
      <c r="A49">
        <v>2</v>
      </c>
      <c r="B49">
        <v>0</v>
      </c>
      <c r="C49" t="s">
        <v>21</v>
      </c>
      <c r="D49" t="s">
        <v>20</v>
      </c>
      <c r="E49">
        <v>43</v>
      </c>
      <c r="F49" t="s">
        <v>29</v>
      </c>
      <c r="G49" t="s">
        <v>28</v>
      </c>
      <c r="H49">
        <v>7</v>
      </c>
      <c r="I49">
        <v>0</v>
      </c>
    </row>
    <row r="50" spans="1:9" x14ac:dyDescent="0.3">
      <c r="A50">
        <v>2</v>
      </c>
      <c r="B50">
        <v>0</v>
      </c>
      <c r="C50" t="s">
        <v>21</v>
      </c>
      <c r="D50" t="s">
        <v>20</v>
      </c>
      <c r="E50">
        <v>61</v>
      </c>
      <c r="F50" t="s">
        <v>29</v>
      </c>
      <c r="G50" t="s">
        <v>28</v>
      </c>
      <c r="H50">
        <v>27</v>
      </c>
      <c r="I50">
        <v>0</v>
      </c>
    </row>
    <row r="51" spans="1:9" x14ac:dyDescent="0.3">
      <c r="A51">
        <v>2</v>
      </c>
      <c r="B51">
        <v>1</v>
      </c>
      <c r="C51" t="s">
        <v>21</v>
      </c>
      <c r="D51" t="s">
        <v>20</v>
      </c>
      <c r="E51">
        <v>58</v>
      </c>
      <c r="F51" t="s">
        <v>29</v>
      </c>
      <c r="G51" t="s">
        <v>28</v>
      </c>
      <c r="H51">
        <v>20</v>
      </c>
      <c r="I51">
        <v>0</v>
      </c>
    </row>
    <row r="52" spans="1:9" x14ac:dyDescent="0.3">
      <c r="A52">
        <v>2</v>
      </c>
      <c r="B52">
        <v>1</v>
      </c>
      <c r="C52" t="s">
        <v>21</v>
      </c>
      <c r="D52" t="s">
        <v>20</v>
      </c>
      <c r="E52">
        <v>36</v>
      </c>
      <c r="F52" t="s">
        <v>29</v>
      </c>
      <c r="G52" t="s">
        <v>28</v>
      </c>
      <c r="H52">
        <v>28</v>
      </c>
      <c r="I52">
        <v>0</v>
      </c>
    </row>
    <row r="53" spans="1:9" x14ac:dyDescent="0.3">
      <c r="A53">
        <v>2</v>
      </c>
      <c r="B53">
        <v>1</v>
      </c>
      <c r="C53" t="s">
        <v>21</v>
      </c>
      <c r="D53" t="s">
        <v>20</v>
      </c>
      <c r="E53">
        <v>41</v>
      </c>
      <c r="F53" t="s">
        <v>29</v>
      </c>
      <c r="G53" t="s">
        <v>28</v>
      </c>
      <c r="H53">
        <v>0</v>
      </c>
      <c r="I53">
        <v>0</v>
      </c>
    </row>
    <row r="54" spans="1:9" x14ac:dyDescent="0.3">
      <c r="A54">
        <v>2</v>
      </c>
      <c r="B54">
        <v>1</v>
      </c>
      <c r="C54" t="s">
        <v>21</v>
      </c>
      <c r="D54" t="s">
        <v>20</v>
      </c>
      <c r="E54">
        <v>27</v>
      </c>
      <c r="F54" t="s">
        <v>29</v>
      </c>
      <c r="G54" t="s">
        <v>28</v>
      </c>
      <c r="H54">
        <v>27</v>
      </c>
      <c r="I54">
        <v>0</v>
      </c>
    </row>
    <row r="55" spans="1:9" x14ac:dyDescent="0.3">
      <c r="A55">
        <v>2</v>
      </c>
      <c r="B55">
        <v>1</v>
      </c>
      <c r="C55" t="s">
        <v>21</v>
      </c>
      <c r="D55" t="s">
        <v>20</v>
      </c>
      <c r="E55">
        <v>36</v>
      </c>
      <c r="F55" t="s">
        <v>29</v>
      </c>
      <c r="G55" t="s">
        <v>28</v>
      </c>
      <c r="H55">
        <v>28</v>
      </c>
      <c r="I55">
        <v>0</v>
      </c>
    </row>
    <row r="56" spans="1:9" x14ac:dyDescent="0.3">
      <c r="A56">
        <v>2</v>
      </c>
      <c r="B56">
        <v>1</v>
      </c>
      <c r="C56" t="s">
        <v>21</v>
      </c>
      <c r="D56" t="s">
        <v>20</v>
      </c>
      <c r="E56">
        <v>46</v>
      </c>
      <c r="F56" t="s">
        <v>29</v>
      </c>
      <c r="G56" t="s">
        <v>28</v>
      </c>
      <c r="H56">
        <v>6</v>
      </c>
      <c r="I56">
        <v>0</v>
      </c>
    </row>
    <row r="57" spans="1:9" x14ac:dyDescent="0.3">
      <c r="A57">
        <v>2</v>
      </c>
      <c r="B57">
        <v>1</v>
      </c>
      <c r="C57" t="s">
        <v>21</v>
      </c>
      <c r="D57" t="s">
        <v>20</v>
      </c>
      <c r="E57">
        <v>19</v>
      </c>
      <c r="F57" t="s">
        <v>29</v>
      </c>
      <c r="G57" t="s">
        <v>28</v>
      </c>
      <c r="H57">
        <v>17</v>
      </c>
      <c r="I57">
        <v>0</v>
      </c>
    </row>
    <row r="58" spans="1:9" x14ac:dyDescent="0.3">
      <c r="A58">
        <v>2</v>
      </c>
      <c r="B58">
        <v>1</v>
      </c>
      <c r="C58" t="s">
        <v>21</v>
      </c>
      <c r="D58" t="s">
        <v>20</v>
      </c>
      <c r="E58">
        <v>76</v>
      </c>
      <c r="F58" t="s">
        <v>29</v>
      </c>
      <c r="G58" t="s">
        <v>28</v>
      </c>
      <c r="H58">
        <v>33</v>
      </c>
      <c r="I58">
        <v>0</v>
      </c>
    </row>
    <row r="59" spans="1:9" x14ac:dyDescent="0.3">
      <c r="A59">
        <v>2</v>
      </c>
      <c r="B59">
        <v>1</v>
      </c>
      <c r="C59" t="s">
        <v>21</v>
      </c>
      <c r="D59" t="s">
        <v>20</v>
      </c>
      <c r="E59">
        <v>43</v>
      </c>
      <c r="F59" t="s">
        <v>29</v>
      </c>
      <c r="G59" t="s">
        <v>28</v>
      </c>
      <c r="H59">
        <v>9</v>
      </c>
      <c r="I59">
        <v>0</v>
      </c>
    </row>
    <row r="60" spans="1:9" x14ac:dyDescent="0.3">
      <c r="A60">
        <v>2</v>
      </c>
      <c r="B60">
        <v>1</v>
      </c>
      <c r="C60" t="s">
        <v>21</v>
      </c>
      <c r="D60" t="s">
        <v>20</v>
      </c>
      <c r="E60">
        <v>59</v>
      </c>
      <c r="F60" t="s">
        <v>29</v>
      </c>
      <c r="G60" t="s">
        <v>28</v>
      </c>
      <c r="H60">
        <v>0</v>
      </c>
      <c r="I60">
        <v>0</v>
      </c>
    </row>
    <row r="61" spans="1:9" x14ac:dyDescent="0.3">
      <c r="A61">
        <v>2</v>
      </c>
      <c r="B61">
        <v>1</v>
      </c>
      <c r="C61" t="s">
        <v>21</v>
      </c>
      <c r="D61" t="s">
        <v>20</v>
      </c>
      <c r="E61">
        <v>35</v>
      </c>
      <c r="F61" t="s">
        <v>29</v>
      </c>
      <c r="G61" t="s">
        <v>28</v>
      </c>
      <c r="H61">
        <v>27</v>
      </c>
      <c r="I61">
        <v>0</v>
      </c>
    </row>
    <row r="62" spans="1:9" x14ac:dyDescent="0.3">
      <c r="A62">
        <v>2</v>
      </c>
      <c r="B62">
        <v>1</v>
      </c>
      <c r="C62" t="s">
        <v>21</v>
      </c>
      <c r="D62" t="s">
        <v>20</v>
      </c>
      <c r="E62">
        <v>62</v>
      </c>
      <c r="F62" t="s">
        <v>29</v>
      </c>
      <c r="G62" t="s">
        <v>28</v>
      </c>
      <c r="H62">
        <v>8</v>
      </c>
      <c r="I62">
        <v>0</v>
      </c>
    </row>
    <row r="63" spans="1:9" x14ac:dyDescent="0.3">
      <c r="A63">
        <v>2</v>
      </c>
      <c r="B63">
        <v>1</v>
      </c>
      <c r="C63" t="s">
        <v>21</v>
      </c>
      <c r="D63" t="s">
        <v>20</v>
      </c>
      <c r="E63">
        <v>44</v>
      </c>
      <c r="F63" t="s">
        <v>29</v>
      </c>
      <c r="G63" t="s">
        <v>28</v>
      </c>
      <c r="H63">
        <v>16</v>
      </c>
      <c r="I63">
        <v>0</v>
      </c>
    </row>
    <row r="64" spans="1:9" x14ac:dyDescent="0.3">
      <c r="A64">
        <v>2</v>
      </c>
      <c r="B64">
        <v>1</v>
      </c>
      <c r="C64" t="s">
        <v>21</v>
      </c>
      <c r="D64" t="s">
        <v>20</v>
      </c>
      <c r="E64">
        <v>36</v>
      </c>
      <c r="F64" t="s">
        <v>29</v>
      </c>
      <c r="G64" t="s">
        <v>28</v>
      </c>
      <c r="H64">
        <v>13</v>
      </c>
      <c r="I64">
        <v>0</v>
      </c>
    </row>
    <row r="65" spans="1:9" x14ac:dyDescent="0.3">
      <c r="A65">
        <v>2</v>
      </c>
      <c r="B65">
        <v>1</v>
      </c>
      <c r="C65" t="s">
        <v>21</v>
      </c>
      <c r="D65" t="s">
        <v>20</v>
      </c>
      <c r="E65">
        <v>41</v>
      </c>
      <c r="F65" t="s">
        <v>29</v>
      </c>
      <c r="G65" t="s">
        <v>28</v>
      </c>
      <c r="H65">
        <v>27</v>
      </c>
      <c r="I65">
        <v>0</v>
      </c>
    </row>
    <row r="66" spans="1:9" x14ac:dyDescent="0.3">
      <c r="A66">
        <v>2</v>
      </c>
      <c r="B66">
        <v>1</v>
      </c>
      <c r="C66" t="s">
        <v>21</v>
      </c>
      <c r="D66" t="s">
        <v>20</v>
      </c>
      <c r="E66">
        <v>47</v>
      </c>
      <c r="F66" t="s">
        <v>29</v>
      </c>
      <c r="G66" t="s">
        <v>28</v>
      </c>
      <c r="H66">
        <v>17</v>
      </c>
      <c r="I66">
        <v>0</v>
      </c>
    </row>
    <row r="67" spans="1:9" x14ac:dyDescent="0.3">
      <c r="A67">
        <v>2</v>
      </c>
      <c r="B67">
        <v>1</v>
      </c>
      <c r="C67" t="s">
        <v>21</v>
      </c>
      <c r="D67" t="s">
        <v>20</v>
      </c>
      <c r="E67">
        <v>17</v>
      </c>
      <c r="F67" t="s">
        <v>29</v>
      </c>
      <c r="G67" t="s">
        <v>28</v>
      </c>
      <c r="H67">
        <v>25</v>
      </c>
      <c r="I67">
        <v>1</v>
      </c>
    </row>
    <row r="68" spans="1:9" x14ac:dyDescent="0.3">
      <c r="A68">
        <v>2</v>
      </c>
      <c r="B68">
        <v>1</v>
      </c>
      <c r="C68" t="s">
        <v>21</v>
      </c>
      <c r="D68" t="s">
        <v>20</v>
      </c>
      <c r="E68">
        <v>36</v>
      </c>
      <c r="F68" t="s">
        <v>29</v>
      </c>
      <c r="G68" t="s">
        <v>28</v>
      </c>
      <c r="H68">
        <v>15</v>
      </c>
      <c r="I68">
        <v>0</v>
      </c>
    </row>
    <row r="69" spans="1:9" x14ac:dyDescent="0.3">
      <c r="A69">
        <v>2</v>
      </c>
      <c r="B69">
        <v>1</v>
      </c>
      <c r="C69" t="s">
        <v>21</v>
      </c>
      <c r="D69" t="s">
        <v>20</v>
      </c>
      <c r="E69">
        <v>61</v>
      </c>
      <c r="F69" t="s">
        <v>29</v>
      </c>
      <c r="G69" t="s">
        <v>28</v>
      </c>
      <c r="H69">
        <v>4</v>
      </c>
      <c r="I69">
        <v>0</v>
      </c>
    </row>
    <row r="70" spans="1:9" x14ac:dyDescent="0.3">
      <c r="A70">
        <v>2</v>
      </c>
      <c r="B70">
        <v>1</v>
      </c>
      <c r="C70" t="s">
        <v>21</v>
      </c>
      <c r="D70" t="s">
        <v>20</v>
      </c>
      <c r="E70">
        <v>47</v>
      </c>
      <c r="F70" t="s">
        <v>29</v>
      </c>
      <c r="G70" t="s">
        <v>28</v>
      </c>
      <c r="H70">
        <v>14</v>
      </c>
      <c r="I70">
        <v>0</v>
      </c>
    </row>
    <row r="71" spans="1:9" x14ac:dyDescent="0.3">
      <c r="A71">
        <v>2</v>
      </c>
      <c r="B71">
        <v>1</v>
      </c>
      <c r="C71" t="s">
        <v>21</v>
      </c>
      <c r="D71" t="s">
        <v>20</v>
      </c>
      <c r="E71">
        <v>23</v>
      </c>
      <c r="F71" t="s">
        <v>29</v>
      </c>
      <c r="G71" t="s">
        <v>28</v>
      </c>
      <c r="H71">
        <v>4</v>
      </c>
      <c r="I71">
        <v>0</v>
      </c>
    </row>
    <row r="72" spans="1:9" x14ac:dyDescent="0.3">
      <c r="A72">
        <v>2</v>
      </c>
      <c r="B72">
        <v>1</v>
      </c>
      <c r="C72" t="s">
        <v>21</v>
      </c>
      <c r="D72" t="s">
        <v>20</v>
      </c>
      <c r="E72">
        <v>51</v>
      </c>
      <c r="F72" t="s">
        <v>29</v>
      </c>
      <c r="G72" t="s">
        <v>28</v>
      </c>
      <c r="H72">
        <v>14</v>
      </c>
      <c r="I72">
        <v>0</v>
      </c>
    </row>
    <row r="73" spans="1:9" x14ac:dyDescent="0.3">
      <c r="A73">
        <v>2</v>
      </c>
      <c r="B73">
        <v>1</v>
      </c>
      <c r="C73" t="s">
        <v>21</v>
      </c>
      <c r="D73" t="s">
        <v>20</v>
      </c>
      <c r="E73">
        <v>73</v>
      </c>
      <c r="F73" t="s">
        <v>29</v>
      </c>
      <c r="G73" t="s">
        <v>28</v>
      </c>
      <c r="H73">
        <v>21</v>
      </c>
      <c r="I73">
        <v>0</v>
      </c>
    </row>
    <row r="74" spans="1:9" x14ac:dyDescent="0.3">
      <c r="A74">
        <v>2</v>
      </c>
      <c r="B74">
        <v>1</v>
      </c>
      <c r="C74" t="s">
        <v>21</v>
      </c>
      <c r="D74" t="s">
        <v>20</v>
      </c>
      <c r="E74">
        <v>9</v>
      </c>
      <c r="F74" t="s">
        <v>29</v>
      </c>
      <c r="G74" t="s">
        <v>28</v>
      </c>
      <c r="H74">
        <v>17</v>
      </c>
      <c r="I74">
        <v>1</v>
      </c>
    </row>
    <row r="75" spans="1:9" x14ac:dyDescent="0.3">
      <c r="A75">
        <v>2</v>
      </c>
      <c r="B75">
        <v>1</v>
      </c>
      <c r="C75" t="s">
        <v>21</v>
      </c>
      <c r="D75" t="s">
        <v>20</v>
      </c>
      <c r="E75">
        <v>63</v>
      </c>
      <c r="F75" t="s">
        <v>29</v>
      </c>
      <c r="G75" t="s">
        <v>28</v>
      </c>
      <c r="H75">
        <v>20</v>
      </c>
      <c r="I75">
        <v>0</v>
      </c>
    </row>
    <row r="76" spans="1:9" x14ac:dyDescent="0.3">
      <c r="A76">
        <v>2</v>
      </c>
      <c r="B76">
        <v>1</v>
      </c>
      <c r="C76" t="s">
        <v>21</v>
      </c>
      <c r="D76" t="s">
        <v>20</v>
      </c>
      <c r="E76">
        <v>58</v>
      </c>
      <c r="F76" t="s">
        <v>29</v>
      </c>
      <c r="G76" t="s">
        <v>28</v>
      </c>
      <c r="H76">
        <v>12</v>
      </c>
      <c r="I76">
        <v>0</v>
      </c>
    </row>
    <row r="77" spans="1:9" x14ac:dyDescent="0.3">
      <c r="A77">
        <v>2</v>
      </c>
      <c r="B77">
        <v>1</v>
      </c>
      <c r="C77" t="s">
        <v>21</v>
      </c>
      <c r="D77" t="s">
        <v>20</v>
      </c>
      <c r="E77">
        <v>41</v>
      </c>
      <c r="F77" t="s">
        <v>29</v>
      </c>
      <c r="G77" t="s">
        <v>28</v>
      </c>
      <c r="H77">
        <v>11</v>
      </c>
      <c r="I77">
        <v>0</v>
      </c>
    </row>
    <row r="78" spans="1:9" x14ac:dyDescent="0.3">
      <c r="A78">
        <v>2</v>
      </c>
      <c r="B78">
        <v>1</v>
      </c>
      <c r="C78" t="s">
        <v>21</v>
      </c>
      <c r="D78" t="s">
        <v>20</v>
      </c>
      <c r="E78">
        <v>50</v>
      </c>
      <c r="F78" t="s">
        <v>29</v>
      </c>
      <c r="G78" t="s">
        <v>28</v>
      </c>
      <c r="H78">
        <v>20</v>
      </c>
      <c r="I78">
        <v>0</v>
      </c>
    </row>
    <row r="79" spans="1:9" x14ac:dyDescent="0.3">
      <c r="A79">
        <v>2</v>
      </c>
      <c r="B79">
        <v>1</v>
      </c>
      <c r="C79" t="s">
        <v>21</v>
      </c>
      <c r="D79" t="s">
        <v>20</v>
      </c>
      <c r="E79">
        <v>27</v>
      </c>
      <c r="F79" t="s">
        <v>29</v>
      </c>
      <c r="G79" t="s">
        <v>28</v>
      </c>
      <c r="H79">
        <v>0</v>
      </c>
      <c r="I79">
        <v>0</v>
      </c>
    </row>
    <row r="80" spans="1:9" x14ac:dyDescent="0.3">
      <c r="A80">
        <v>2</v>
      </c>
      <c r="B80">
        <v>1</v>
      </c>
      <c r="C80" t="s">
        <v>21</v>
      </c>
      <c r="D80" t="s">
        <v>20</v>
      </c>
      <c r="E80">
        <v>40</v>
      </c>
      <c r="F80" t="s">
        <v>29</v>
      </c>
      <c r="G80" t="s">
        <v>28</v>
      </c>
      <c r="H80">
        <v>17</v>
      </c>
      <c r="I80">
        <v>0</v>
      </c>
    </row>
    <row r="81" spans="1:9" x14ac:dyDescent="0.3">
      <c r="A81">
        <v>2</v>
      </c>
      <c r="B81">
        <v>1</v>
      </c>
      <c r="C81" t="s">
        <v>21</v>
      </c>
      <c r="D81" t="s">
        <v>20</v>
      </c>
      <c r="E81">
        <v>25</v>
      </c>
      <c r="F81" t="s">
        <v>29</v>
      </c>
      <c r="G81" t="s">
        <v>28</v>
      </c>
      <c r="H81">
        <v>18</v>
      </c>
      <c r="I81">
        <v>0</v>
      </c>
    </row>
    <row r="82" spans="1:9" x14ac:dyDescent="0.3">
      <c r="A82">
        <v>2</v>
      </c>
      <c r="B82">
        <v>1</v>
      </c>
      <c r="C82" t="s">
        <v>21</v>
      </c>
      <c r="D82" t="s">
        <v>20</v>
      </c>
      <c r="E82">
        <v>39</v>
      </c>
      <c r="F82" t="s">
        <v>29</v>
      </c>
      <c r="G82" t="s">
        <v>28</v>
      </c>
      <c r="H82">
        <v>21</v>
      </c>
      <c r="I82">
        <v>0</v>
      </c>
    </row>
    <row r="83" spans="1:9" x14ac:dyDescent="0.3">
      <c r="A83">
        <v>2</v>
      </c>
      <c r="B83">
        <v>1</v>
      </c>
      <c r="C83" t="s">
        <v>21</v>
      </c>
      <c r="D83" t="s">
        <v>20</v>
      </c>
      <c r="E83">
        <v>69</v>
      </c>
      <c r="F83" t="s">
        <v>29</v>
      </c>
      <c r="G83" t="s">
        <v>28</v>
      </c>
      <c r="H83">
        <v>1</v>
      </c>
      <c r="I83">
        <v>0</v>
      </c>
    </row>
    <row r="84" spans="1:9" x14ac:dyDescent="0.3">
      <c r="A84">
        <v>2</v>
      </c>
      <c r="B84">
        <v>1</v>
      </c>
      <c r="C84" t="s">
        <v>21</v>
      </c>
      <c r="D84" t="s">
        <v>20</v>
      </c>
      <c r="E84">
        <v>46</v>
      </c>
      <c r="F84" t="s">
        <v>29</v>
      </c>
      <c r="G84" t="s">
        <v>28</v>
      </c>
      <c r="H84">
        <v>15</v>
      </c>
      <c r="I84">
        <v>0</v>
      </c>
    </row>
    <row r="85" spans="1:9" x14ac:dyDescent="0.3">
      <c r="A85">
        <v>2</v>
      </c>
      <c r="B85">
        <v>1</v>
      </c>
      <c r="C85" t="s">
        <v>21</v>
      </c>
      <c r="D85" t="s">
        <v>20</v>
      </c>
      <c r="E85">
        <v>51</v>
      </c>
      <c r="F85" t="s">
        <v>29</v>
      </c>
      <c r="G85" t="s">
        <v>28</v>
      </c>
      <c r="H85">
        <v>13</v>
      </c>
      <c r="I85">
        <v>0</v>
      </c>
    </row>
    <row r="86" spans="1:9" x14ac:dyDescent="0.3">
      <c r="A86">
        <v>2</v>
      </c>
      <c r="B86">
        <v>1</v>
      </c>
      <c r="C86" t="s">
        <v>21</v>
      </c>
      <c r="D86" t="s">
        <v>20</v>
      </c>
      <c r="E86">
        <v>36</v>
      </c>
      <c r="F86" t="s">
        <v>29</v>
      </c>
      <c r="G86" t="s">
        <v>28</v>
      </c>
      <c r="H86">
        <v>44</v>
      </c>
      <c r="I86">
        <v>1</v>
      </c>
    </row>
    <row r="87" spans="1:9" x14ac:dyDescent="0.3">
      <c r="A87">
        <v>2</v>
      </c>
      <c r="B87">
        <v>1</v>
      </c>
      <c r="C87" t="s">
        <v>21</v>
      </c>
      <c r="D87" t="s">
        <v>20</v>
      </c>
      <c r="E87">
        <v>25</v>
      </c>
      <c r="F87" t="s">
        <v>29</v>
      </c>
      <c r="G87" t="s">
        <v>28</v>
      </c>
      <c r="H87">
        <v>25</v>
      </c>
      <c r="I87">
        <v>0</v>
      </c>
    </row>
    <row r="88" spans="1:9" x14ac:dyDescent="0.3">
      <c r="A88">
        <v>2</v>
      </c>
      <c r="B88">
        <v>1</v>
      </c>
      <c r="C88" t="s">
        <v>21</v>
      </c>
      <c r="D88" t="s">
        <v>20</v>
      </c>
      <c r="E88">
        <v>52</v>
      </c>
      <c r="F88" t="s">
        <v>29</v>
      </c>
      <c r="G88" t="s">
        <v>28</v>
      </c>
      <c r="H88">
        <v>17</v>
      </c>
      <c r="I88">
        <v>0</v>
      </c>
    </row>
    <row r="89" spans="1:9" x14ac:dyDescent="0.3">
      <c r="A89">
        <v>2</v>
      </c>
      <c r="B89">
        <v>1</v>
      </c>
      <c r="C89" t="s">
        <v>21</v>
      </c>
      <c r="D89" t="s">
        <v>20</v>
      </c>
      <c r="E89">
        <v>23</v>
      </c>
      <c r="F89" t="s">
        <v>29</v>
      </c>
      <c r="G89" t="s">
        <v>28</v>
      </c>
      <c r="H89">
        <v>20</v>
      </c>
      <c r="I89">
        <v>0</v>
      </c>
    </row>
    <row r="90" spans="1:9" x14ac:dyDescent="0.3">
      <c r="A90">
        <v>2</v>
      </c>
      <c r="B90">
        <v>1</v>
      </c>
      <c r="C90" t="s">
        <v>21</v>
      </c>
      <c r="D90" t="s">
        <v>20</v>
      </c>
      <c r="E90">
        <v>38</v>
      </c>
      <c r="F90" t="s">
        <v>29</v>
      </c>
      <c r="G90" t="s">
        <v>28</v>
      </c>
      <c r="H90">
        <v>16</v>
      </c>
      <c r="I90">
        <v>0</v>
      </c>
    </row>
    <row r="91" spans="1:9" x14ac:dyDescent="0.3">
      <c r="A91">
        <v>2</v>
      </c>
      <c r="B91">
        <v>1</v>
      </c>
      <c r="C91" t="s">
        <v>21</v>
      </c>
      <c r="D91" t="s">
        <v>20</v>
      </c>
      <c r="E91">
        <v>29</v>
      </c>
      <c r="F91" t="s">
        <v>29</v>
      </c>
      <c r="G91" t="s">
        <v>28</v>
      </c>
      <c r="H91">
        <v>15</v>
      </c>
      <c r="I91">
        <v>0</v>
      </c>
    </row>
    <row r="92" spans="1:9" x14ac:dyDescent="0.3">
      <c r="A92">
        <v>2</v>
      </c>
      <c r="B92">
        <v>1</v>
      </c>
      <c r="C92" t="s">
        <v>21</v>
      </c>
      <c r="D92" t="s">
        <v>20</v>
      </c>
      <c r="E92">
        <v>12</v>
      </c>
      <c r="F92" t="s">
        <v>29</v>
      </c>
      <c r="G92" t="s">
        <v>28</v>
      </c>
      <c r="H92">
        <v>26</v>
      </c>
      <c r="I92">
        <v>1</v>
      </c>
    </row>
    <row r="93" spans="1:9" x14ac:dyDescent="0.3">
      <c r="A93">
        <v>2</v>
      </c>
      <c r="B93">
        <v>1</v>
      </c>
      <c r="C93" t="s">
        <v>21</v>
      </c>
      <c r="D93" t="s">
        <v>20</v>
      </c>
      <c r="E93">
        <v>31</v>
      </c>
      <c r="F93" t="s">
        <v>29</v>
      </c>
      <c r="G93" t="s">
        <v>28</v>
      </c>
      <c r="H93">
        <v>26</v>
      </c>
      <c r="I93">
        <v>0</v>
      </c>
    </row>
    <row r="94" spans="1:9" x14ac:dyDescent="0.3">
      <c r="A94">
        <v>2</v>
      </c>
      <c r="B94">
        <v>1</v>
      </c>
      <c r="C94" t="s">
        <v>21</v>
      </c>
      <c r="D94" t="s">
        <v>20</v>
      </c>
      <c r="E94">
        <v>37</v>
      </c>
      <c r="F94" t="s">
        <v>29</v>
      </c>
      <c r="G94" t="s">
        <v>28</v>
      </c>
      <c r="H94">
        <v>15</v>
      </c>
      <c r="I94">
        <v>0</v>
      </c>
    </row>
    <row r="95" spans="1:9" x14ac:dyDescent="0.3">
      <c r="A95">
        <v>2</v>
      </c>
      <c r="B95">
        <v>1</v>
      </c>
      <c r="C95" t="s">
        <v>21</v>
      </c>
      <c r="D95" t="s">
        <v>20</v>
      </c>
      <c r="E95">
        <v>8</v>
      </c>
      <c r="F95" t="s">
        <v>29</v>
      </c>
      <c r="G95" t="s">
        <v>28</v>
      </c>
      <c r="H95">
        <v>35</v>
      </c>
      <c r="I95">
        <v>1</v>
      </c>
    </row>
    <row r="96" spans="1:9" x14ac:dyDescent="0.3">
      <c r="A96">
        <v>2</v>
      </c>
      <c r="B96">
        <v>1</v>
      </c>
      <c r="C96" t="s">
        <v>21</v>
      </c>
      <c r="D96" t="s">
        <v>20</v>
      </c>
      <c r="E96">
        <v>55</v>
      </c>
      <c r="F96" t="s">
        <v>29</v>
      </c>
      <c r="G96" t="s">
        <v>28</v>
      </c>
      <c r="H96">
        <v>10</v>
      </c>
      <c r="I96">
        <v>0</v>
      </c>
    </row>
    <row r="97" spans="1:9" x14ac:dyDescent="0.3">
      <c r="A97">
        <v>2</v>
      </c>
      <c r="B97">
        <v>1</v>
      </c>
      <c r="C97" t="s">
        <v>21</v>
      </c>
      <c r="D97" t="s">
        <v>20</v>
      </c>
      <c r="E97">
        <v>43</v>
      </c>
      <c r="F97" t="s">
        <v>29</v>
      </c>
      <c r="G97" t="s">
        <v>28</v>
      </c>
      <c r="H97">
        <v>27</v>
      </c>
      <c r="I97">
        <v>0</v>
      </c>
    </row>
    <row r="98" spans="1:9" x14ac:dyDescent="0.3">
      <c r="A98">
        <v>2</v>
      </c>
      <c r="B98">
        <v>1</v>
      </c>
      <c r="C98" t="s">
        <v>21</v>
      </c>
      <c r="D98" t="s">
        <v>20</v>
      </c>
      <c r="E98">
        <v>32</v>
      </c>
      <c r="F98" t="s">
        <v>29</v>
      </c>
      <c r="G98" t="s">
        <v>28</v>
      </c>
      <c r="H98">
        <v>28</v>
      </c>
      <c r="I98">
        <v>0</v>
      </c>
    </row>
    <row r="99" spans="1:9" x14ac:dyDescent="0.3">
      <c r="A99">
        <v>2</v>
      </c>
      <c r="B99">
        <v>1</v>
      </c>
      <c r="C99" t="s">
        <v>21</v>
      </c>
      <c r="D99" t="s">
        <v>20</v>
      </c>
      <c r="E99">
        <v>22</v>
      </c>
      <c r="F99" t="s">
        <v>29</v>
      </c>
      <c r="G99" t="s">
        <v>28</v>
      </c>
      <c r="H99">
        <v>22</v>
      </c>
      <c r="I99">
        <v>0</v>
      </c>
    </row>
    <row r="100" spans="1:9" x14ac:dyDescent="0.3">
      <c r="A100">
        <v>2</v>
      </c>
      <c r="B100">
        <v>1</v>
      </c>
      <c r="C100" t="s">
        <v>21</v>
      </c>
      <c r="D100" t="s">
        <v>20</v>
      </c>
      <c r="E100">
        <v>33</v>
      </c>
      <c r="F100" t="s">
        <v>29</v>
      </c>
      <c r="G100" t="s">
        <v>28</v>
      </c>
      <c r="H100">
        <v>19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BD776-9050-47F3-9805-01B59140F9F6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23</v>
      </c>
      <c r="D1" t="s">
        <v>22</v>
      </c>
      <c r="E1">
        <v>52</v>
      </c>
      <c r="F1" t="s">
        <v>25</v>
      </c>
      <c r="G1" t="s">
        <v>24</v>
      </c>
      <c r="H1">
        <v>1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23</v>
      </c>
      <c r="D2" t="s">
        <v>22</v>
      </c>
      <c r="E2">
        <v>47</v>
      </c>
      <c r="F2" t="s">
        <v>25</v>
      </c>
      <c r="G2" t="s">
        <v>24</v>
      </c>
      <c r="H2">
        <v>16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23</v>
      </c>
      <c r="D3" t="s">
        <v>22</v>
      </c>
      <c r="E3">
        <v>55</v>
      </c>
      <c r="F3" t="s">
        <v>25</v>
      </c>
      <c r="G3" t="s">
        <v>24</v>
      </c>
      <c r="H3">
        <v>23</v>
      </c>
      <c r="I3">
        <v>0</v>
      </c>
      <c r="K3" s="8" t="s">
        <v>11</v>
      </c>
      <c r="L3" s="8"/>
      <c r="M3" s="10">
        <f>COUNTIF($I$1:$I$100, 0)</f>
        <v>95</v>
      </c>
      <c r="N3" s="10"/>
      <c r="O3" s="10">
        <f>COUNTIFS($I$1:$I$100, 0, $B$1:$B$100, 0)</f>
        <v>47</v>
      </c>
      <c r="P3" s="10"/>
      <c r="Q3" s="11">
        <f>COUNTIFS($I$1:$I$100, 0, $B$1:$B$100, 1)</f>
        <v>48</v>
      </c>
      <c r="R3" s="12"/>
      <c r="T3" cm="1">
        <f t="array" ref="T3">SUMPRODUCT(--($E$1:$E$100=$H$1:$H$100))</f>
        <v>1</v>
      </c>
    </row>
    <row r="4" spans="1:20" x14ac:dyDescent="0.3">
      <c r="A4">
        <v>2</v>
      </c>
      <c r="B4">
        <v>0</v>
      </c>
      <c r="C4" t="s">
        <v>23</v>
      </c>
      <c r="D4" t="s">
        <v>22</v>
      </c>
      <c r="E4">
        <v>43</v>
      </c>
      <c r="F4" t="s">
        <v>25</v>
      </c>
      <c r="G4" t="s">
        <v>24</v>
      </c>
      <c r="H4">
        <v>4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23</v>
      </c>
      <c r="D5" t="s">
        <v>22</v>
      </c>
      <c r="E5">
        <v>37</v>
      </c>
      <c r="F5" t="s">
        <v>25</v>
      </c>
      <c r="G5" t="s">
        <v>24</v>
      </c>
      <c r="H5">
        <v>35</v>
      </c>
      <c r="I5">
        <v>0</v>
      </c>
      <c r="K5" s="8" t="s">
        <v>10</v>
      </c>
      <c r="L5" s="8"/>
      <c r="M5" s="14">
        <f>COUNTIF($I$1:$I$100, 1)</f>
        <v>5</v>
      </c>
      <c r="N5" s="10"/>
      <c r="O5" s="10">
        <f>COUNTIFS($I$1:$I$100, 1, $B$1:$B$100, 0)</f>
        <v>3</v>
      </c>
      <c r="P5" s="10"/>
      <c r="Q5" s="10">
        <f>COUNTIFS($I$1:$I$100, 1, $B$1:$B$100, 1)</f>
        <v>2</v>
      </c>
      <c r="R5" s="13"/>
    </row>
    <row r="6" spans="1:20" x14ac:dyDescent="0.3">
      <c r="A6">
        <v>2</v>
      </c>
      <c r="B6">
        <v>0</v>
      </c>
      <c r="C6" t="s">
        <v>23</v>
      </c>
      <c r="D6" t="s">
        <v>22</v>
      </c>
      <c r="E6">
        <v>53</v>
      </c>
      <c r="F6" t="s">
        <v>25</v>
      </c>
      <c r="G6" t="s">
        <v>24</v>
      </c>
      <c r="H6">
        <v>5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23</v>
      </c>
      <c r="D7" t="s">
        <v>22</v>
      </c>
      <c r="E7">
        <v>54</v>
      </c>
      <c r="F7" t="s">
        <v>25</v>
      </c>
      <c r="G7" t="s">
        <v>24</v>
      </c>
      <c r="H7">
        <v>40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23</v>
      </c>
      <c r="D8" t="s">
        <v>22</v>
      </c>
      <c r="E8">
        <v>36</v>
      </c>
      <c r="F8" t="s">
        <v>25</v>
      </c>
      <c r="G8" t="s">
        <v>24</v>
      </c>
      <c r="H8">
        <v>11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23</v>
      </c>
      <c r="D9" t="s">
        <v>22</v>
      </c>
      <c r="E9">
        <v>45</v>
      </c>
      <c r="F9" t="s">
        <v>25</v>
      </c>
      <c r="G9" t="s">
        <v>24</v>
      </c>
      <c r="H9">
        <v>0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23</v>
      </c>
      <c r="D10" t="s">
        <v>22</v>
      </c>
      <c r="E10">
        <v>58</v>
      </c>
      <c r="F10" t="s">
        <v>25</v>
      </c>
      <c r="G10" t="s">
        <v>24</v>
      </c>
      <c r="H10">
        <v>3</v>
      </c>
      <c r="I10">
        <v>0</v>
      </c>
      <c r="K10" s="8" t="s">
        <v>6</v>
      </c>
      <c r="L10" s="8"/>
      <c r="M10" s="10">
        <f>AVERAGE($E$1:$E$100,)</f>
        <v>47.138613861386141</v>
      </c>
      <c r="N10" s="10"/>
      <c r="O10" s="10" cm="1">
        <f t="array" ref="O10">AVERAGE(_xlfn._xlws.FILTER($E$1:$E$100,$I$1:$I$100 = 0))</f>
        <v>48.336842105263159</v>
      </c>
      <c r="P10" s="10"/>
      <c r="Q10" s="11" cm="1">
        <f t="array" ref="Q10">AVERAGE(_xlfn._xlws.FILTER($E$1:$E$100,$I$1:$I$100 = 1))</f>
        <v>33.799999999999997</v>
      </c>
      <c r="R10" s="12"/>
    </row>
    <row r="11" spans="1:20" x14ac:dyDescent="0.3">
      <c r="A11">
        <v>2</v>
      </c>
      <c r="B11">
        <v>0</v>
      </c>
      <c r="C11" t="s">
        <v>23</v>
      </c>
      <c r="D11" t="s">
        <v>22</v>
      </c>
      <c r="E11">
        <v>28</v>
      </c>
      <c r="F11" t="s">
        <v>25</v>
      </c>
      <c r="G11" t="s">
        <v>24</v>
      </c>
      <c r="H11">
        <v>26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23</v>
      </c>
      <c r="D12" t="s">
        <v>22</v>
      </c>
      <c r="E12">
        <v>42</v>
      </c>
      <c r="F12" t="s">
        <v>25</v>
      </c>
      <c r="G12" t="s">
        <v>24</v>
      </c>
      <c r="H12">
        <v>43</v>
      </c>
      <c r="I12">
        <v>1</v>
      </c>
      <c r="K12" s="8" t="s">
        <v>5</v>
      </c>
      <c r="L12" s="8"/>
      <c r="M12" s="10">
        <f>AVERAGE($H$1:$H$100,)</f>
        <v>15.950495049504951</v>
      </c>
      <c r="N12" s="10"/>
      <c r="O12" s="10" cm="1">
        <f t="array" ref="O12">AVERAGE(_xlfn._xlws.FILTER($H$1:$H$100,$I$1:$I$100 = 0))</f>
        <v>14.831578947368421</v>
      </c>
      <c r="P12" s="10"/>
      <c r="Q12" s="10" cm="1">
        <f t="array" ref="Q12">AVERAGE(_xlfn._xlws.FILTER($H$1:$H$100,$I$1:$I$100 = 1))</f>
        <v>40.4</v>
      </c>
      <c r="R12" s="13"/>
    </row>
    <row r="13" spans="1:20" x14ac:dyDescent="0.3">
      <c r="A13">
        <v>2</v>
      </c>
      <c r="B13">
        <v>0</v>
      </c>
      <c r="C13" t="s">
        <v>23</v>
      </c>
      <c r="D13" t="s">
        <v>22</v>
      </c>
      <c r="E13">
        <v>47</v>
      </c>
      <c r="F13" t="s">
        <v>25</v>
      </c>
      <c r="G13" t="s">
        <v>24</v>
      </c>
      <c r="H13">
        <v>41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23</v>
      </c>
      <c r="D14" t="s">
        <v>22</v>
      </c>
      <c r="E14">
        <v>75</v>
      </c>
      <c r="F14" t="s">
        <v>25</v>
      </c>
      <c r="G14" t="s">
        <v>24</v>
      </c>
      <c r="H14">
        <v>31</v>
      </c>
      <c r="I14">
        <v>0</v>
      </c>
      <c r="K14" s="19" t="s">
        <v>4</v>
      </c>
      <c r="L14" s="12"/>
      <c r="M14" s="20" cm="1">
        <f t="array" ref="M14">AVERAGE($E$1:$E$100 - $H$1:$H$100)</f>
        <v>31.5</v>
      </c>
      <c r="N14" s="20"/>
      <c r="O14" s="20" cm="1">
        <f t="array" ref="O14">AVERAGE(_xlfn._xlws.FILTER($E$1:$E$100 - $H$1:$H$100, I$1:I$100 = 0))</f>
        <v>33.505263157894738</v>
      </c>
      <c r="P14" s="20"/>
      <c r="Q14" s="20" cm="1">
        <f t="array" ref="Q14">AVERAGE(_xlfn._xlws.FILTER($E$1:$E$100 - $H$1:$H$100, I$1:I$100 = 1))</f>
        <v>-6.6</v>
      </c>
      <c r="R14" s="22"/>
    </row>
    <row r="15" spans="1:20" x14ac:dyDescent="0.3">
      <c r="A15">
        <v>2</v>
      </c>
      <c r="B15">
        <v>0</v>
      </c>
      <c r="C15" t="s">
        <v>23</v>
      </c>
      <c r="D15" t="s">
        <v>22</v>
      </c>
      <c r="E15">
        <v>77</v>
      </c>
      <c r="F15" t="s">
        <v>25</v>
      </c>
      <c r="G15" t="s">
        <v>24</v>
      </c>
      <c r="H15">
        <v>2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23</v>
      </c>
      <c r="D16" t="s">
        <v>22</v>
      </c>
      <c r="E16">
        <v>42</v>
      </c>
      <c r="F16" t="s">
        <v>25</v>
      </c>
      <c r="G16" t="s">
        <v>24</v>
      </c>
      <c r="H16">
        <v>38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23</v>
      </c>
      <c r="D17" t="s">
        <v>22</v>
      </c>
      <c r="E17">
        <v>46</v>
      </c>
      <c r="F17" t="s">
        <v>25</v>
      </c>
      <c r="G17" t="s">
        <v>24</v>
      </c>
      <c r="H17">
        <v>0</v>
      </c>
      <c r="I17">
        <v>0</v>
      </c>
    </row>
    <row r="18" spans="1:9" x14ac:dyDescent="0.3">
      <c r="A18">
        <v>2</v>
      </c>
      <c r="B18">
        <v>0</v>
      </c>
      <c r="C18" t="s">
        <v>23</v>
      </c>
      <c r="D18" t="s">
        <v>22</v>
      </c>
      <c r="E18">
        <v>38</v>
      </c>
      <c r="F18" t="s">
        <v>25</v>
      </c>
      <c r="G18" t="s">
        <v>24</v>
      </c>
      <c r="H18">
        <v>41</v>
      </c>
      <c r="I18">
        <v>1</v>
      </c>
    </row>
    <row r="19" spans="1:9" x14ac:dyDescent="0.3">
      <c r="A19">
        <v>2</v>
      </c>
      <c r="B19">
        <v>0</v>
      </c>
      <c r="C19" t="s">
        <v>23</v>
      </c>
      <c r="D19" t="s">
        <v>22</v>
      </c>
      <c r="E19">
        <v>120</v>
      </c>
      <c r="F19" t="s">
        <v>25</v>
      </c>
      <c r="G19" t="s">
        <v>24</v>
      </c>
      <c r="H19">
        <v>8</v>
      </c>
      <c r="I19">
        <v>0</v>
      </c>
    </row>
    <row r="20" spans="1:9" x14ac:dyDescent="0.3">
      <c r="A20">
        <v>2</v>
      </c>
      <c r="B20">
        <v>0</v>
      </c>
      <c r="C20" t="s">
        <v>23</v>
      </c>
      <c r="D20" t="s">
        <v>22</v>
      </c>
      <c r="E20">
        <v>45</v>
      </c>
      <c r="F20" t="s">
        <v>25</v>
      </c>
      <c r="G20" t="s">
        <v>24</v>
      </c>
      <c r="H20">
        <v>20</v>
      </c>
      <c r="I20">
        <v>0</v>
      </c>
    </row>
    <row r="21" spans="1:9" x14ac:dyDescent="0.3">
      <c r="A21">
        <v>2</v>
      </c>
      <c r="B21">
        <v>0</v>
      </c>
      <c r="C21" t="s">
        <v>23</v>
      </c>
      <c r="D21" t="s">
        <v>22</v>
      </c>
      <c r="E21">
        <v>49</v>
      </c>
      <c r="F21" t="s">
        <v>25</v>
      </c>
      <c r="G21" t="s">
        <v>24</v>
      </c>
      <c r="H21">
        <v>9</v>
      </c>
      <c r="I21">
        <v>0</v>
      </c>
    </row>
    <row r="22" spans="1:9" x14ac:dyDescent="0.3">
      <c r="A22">
        <v>2</v>
      </c>
      <c r="B22">
        <v>0</v>
      </c>
      <c r="C22" t="s">
        <v>23</v>
      </c>
      <c r="D22" t="s">
        <v>22</v>
      </c>
      <c r="E22">
        <v>29</v>
      </c>
      <c r="F22" t="s">
        <v>25</v>
      </c>
      <c r="G22" t="s">
        <v>24</v>
      </c>
      <c r="H22">
        <v>3</v>
      </c>
      <c r="I22">
        <v>0</v>
      </c>
    </row>
    <row r="23" spans="1:9" x14ac:dyDescent="0.3">
      <c r="A23">
        <v>2</v>
      </c>
      <c r="B23">
        <v>0</v>
      </c>
      <c r="C23" t="s">
        <v>23</v>
      </c>
      <c r="D23" t="s">
        <v>22</v>
      </c>
      <c r="E23">
        <v>42</v>
      </c>
      <c r="F23" t="s">
        <v>25</v>
      </c>
      <c r="G23" t="s">
        <v>24</v>
      </c>
      <c r="H23">
        <v>11</v>
      </c>
      <c r="I23">
        <v>0</v>
      </c>
    </row>
    <row r="24" spans="1:9" x14ac:dyDescent="0.3">
      <c r="A24">
        <v>2</v>
      </c>
      <c r="B24">
        <v>0</v>
      </c>
      <c r="C24" t="s">
        <v>23</v>
      </c>
      <c r="D24" t="s">
        <v>22</v>
      </c>
      <c r="E24">
        <v>49</v>
      </c>
      <c r="F24" t="s">
        <v>25</v>
      </c>
      <c r="G24" t="s">
        <v>24</v>
      </c>
      <c r="H24">
        <v>15</v>
      </c>
      <c r="I24">
        <v>0</v>
      </c>
    </row>
    <row r="25" spans="1:9" x14ac:dyDescent="0.3">
      <c r="A25">
        <v>2</v>
      </c>
      <c r="B25">
        <v>0</v>
      </c>
      <c r="C25" t="s">
        <v>23</v>
      </c>
      <c r="D25" t="s">
        <v>22</v>
      </c>
      <c r="E25">
        <v>40</v>
      </c>
      <c r="F25" t="s">
        <v>25</v>
      </c>
      <c r="G25" t="s">
        <v>24</v>
      </c>
      <c r="H25">
        <v>22</v>
      </c>
      <c r="I25">
        <v>0</v>
      </c>
    </row>
    <row r="26" spans="1:9" x14ac:dyDescent="0.3">
      <c r="A26">
        <v>2</v>
      </c>
      <c r="B26">
        <v>0</v>
      </c>
      <c r="C26" t="s">
        <v>23</v>
      </c>
      <c r="D26" t="s">
        <v>22</v>
      </c>
      <c r="E26">
        <v>25</v>
      </c>
      <c r="F26" t="s">
        <v>25</v>
      </c>
      <c r="G26" t="s">
        <v>24</v>
      </c>
      <c r="H26">
        <v>19</v>
      </c>
      <c r="I26">
        <v>0</v>
      </c>
    </row>
    <row r="27" spans="1:9" x14ac:dyDescent="0.3">
      <c r="A27">
        <v>2</v>
      </c>
      <c r="B27">
        <v>0</v>
      </c>
      <c r="C27" t="s">
        <v>23</v>
      </c>
      <c r="D27" t="s">
        <v>22</v>
      </c>
      <c r="E27">
        <v>48</v>
      </c>
      <c r="F27" t="s">
        <v>25</v>
      </c>
      <c r="G27" t="s">
        <v>24</v>
      </c>
      <c r="H27">
        <v>12</v>
      </c>
      <c r="I27">
        <v>0</v>
      </c>
    </row>
    <row r="28" spans="1:9" x14ac:dyDescent="0.3">
      <c r="A28">
        <v>2</v>
      </c>
      <c r="B28">
        <v>0</v>
      </c>
      <c r="C28" t="s">
        <v>23</v>
      </c>
      <c r="D28" t="s">
        <v>22</v>
      </c>
      <c r="E28">
        <v>41</v>
      </c>
      <c r="F28" t="s">
        <v>25</v>
      </c>
      <c r="G28" t="s">
        <v>24</v>
      </c>
      <c r="H28">
        <v>13</v>
      </c>
      <c r="I28">
        <v>0</v>
      </c>
    </row>
    <row r="29" spans="1:9" x14ac:dyDescent="0.3">
      <c r="A29">
        <v>2</v>
      </c>
      <c r="B29">
        <v>0</v>
      </c>
      <c r="C29" t="s">
        <v>23</v>
      </c>
      <c r="D29" t="s">
        <v>22</v>
      </c>
      <c r="E29">
        <v>52</v>
      </c>
      <c r="F29" t="s">
        <v>25</v>
      </c>
      <c r="G29" t="s">
        <v>24</v>
      </c>
      <c r="H29">
        <v>30</v>
      </c>
      <c r="I29">
        <v>0</v>
      </c>
    </row>
    <row r="30" spans="1:9" x14ac:dyDescent="0.3">
      <c r="A30">
        <v>2</v>
      </c>
      <c r="B30">
        <v>0</v>
      </c>
      <c r="C30" t="s">
        <v>23</v>
      </c>
      <c r="D30" t="s">
        <v>22</v>
      </c>
      <c r="E30">
        <v>28</v>
      </c>
      <c r="F30" t="s">
        <v>25</v>
      </c>
      <c r="G30" t="s">
        <v>24</v>
      </c>
      <c r="H30">
        <v>5</v>
      </c>
      <c r="I30">
        <v>0</v>
      </c>
    </row>
    <row r="31" spans="1:9" x14ac:dyDescent="0.3">
      <c r="A31">
        <v>2</v>
      </c>
      <c r="B31">
        <v>0</v>
      </c>
      <c r="C31" t="s">
        <v>23</v>
      </c>
      <c r="D31" t="s">
        <v>22</v>
      </c>
      <c r="E31">
        <v>53</v>
      </c>
      <c r="F31" t="s">
        <v>25</v>
      </c>
      <c r="G31" t="s">
        <v>24</v>
      </c>
      <c r="H31">
        <v>20</v>
      </c>
      <c r="I31">
        <v>0</v>
      </c>
    </row>
    <row r="32" spans="1:9" x14ac:dyDescent="0.3">
      <c r="A32">
        <v>2</v>
      </c>
      <c r="B32">
        <v>0</v>
      </c>
      <c r="C32" t="s">
        <v>23</v>
      </c>
      <c r="D32" t="s">
        <v>22</v>
      </c>
      <c r="E32">
        <v>49</v>
      </c>
      <c r="F32" t="s">
        <v>25</v>
      </c>
      <c r="G32" t="s">
        <v>24</v>
      </c>
      <c r="H32">
        <v>36</v>
      </c>
      <c r="I32">
        <v>0</v>
      </c>
    </row>
    <row r="33" spans="1:9" x14ac:dyDescent="0.3">
      <c r="A33">
        <v>2</v>
      </c>
      <c r="B33">
        <v>0</v>
      </c>
      <c r="C33" t="s">
        <v>23</v>
      </c>
      <c r="D33" t="s">
        <v>22</v>
      </c>
      <c r="E33">
        <v>51</v>
      </c>
      <c r="F33" t="s">
        <v>25</v>
      </c>
      <c r="G33" t="s">
        <v>24</v>
      </c>
      <c r="H33">
        <v>33</v>
      </c>
      <c r="I33">
        <v>0</v>
      </c>
    </row>
    <row r="34" spans="1:9" x14ac:dyDescent="0.3">
      <c r="A34">
        <v>2</v>
      </c>
      <c r="B34">
        <v>0</v>
      </c>
      <c r="C34" t="s">
        <v>23</v>
      </c>
      <c r="D34" t="s">
        <v>22</v>
      </c>
      <c r="E34">
        <v>20</v>
      </c>
      <c r="F34" t="s">
        <v>25</v>
      </c>
      <c r="G34" t="s">
        <v>24</v>
      </c>
      <c r="H34">
        <v>14</v>
      </c>
      <c r="I34">
        <v>0</v>
      </c>
    </row>
    <row r="35" spans="1:9" x14ac:dyDescent="0.3">
      <c r="A35">
        <v>2</v>
      </c>
      <c r="B35">
        <v>0</v>
      </c>
      <c r="C35" t="s">
        <v>23</v>
      </c>
      <c r="D35" t="s">
        <v>22</v>
      </c>
      <c r="E35">
        <v>48</v>
      </c>
      <c r="F35" t="s">
        <v>25</v>
      </c>
      <c r="G35" t="s">
        <v>24</v>
      </c>
      <c r="H35">
        <v>30</v>
      </c>
      <c r="I35">
        <v>0</v>
      </c>
    </row>
    <row r="36" spans="1:9" x14ac:dyDescent="0.3">
      <c r="A36">
        <v>2</v>
      </c>
      <c r="B36">
        <v>0</v>
      </c>
      <c r="C36" t="s">
        <v>23</v>
      </c>
      <c r="D36" t="s">
        <v>22</v>
      </c>
      <c r="E36">
        <v>28</v>
      </c>
      <c r="F36" t="s">
        <v>25</v>
      </c>
      <c r="G36" t="s">
        <v>24</v>
      </c>
      <c r="H36">
        <v>26</v>
      </c>
      <c r="I36">
        <v>0</v>
      </c>
    </row>
    <row r="37" spans="1:9" x14ac:dyDescent="0.3">
      <c r="A37">
        <v>2</v>
      </c>
      <c r="B37">
        <v>0</v>
      </c>
      <c r="C37" t="s">
        <v>23</v>
      </c>
      <c r="D37" t="s">
        <v>22</v>
      </c>
      <c r="E37">
        <v>55</v>
      </c>
      <c r="F37" t="s">
        <v>25</v>
      </c>
      <c r="G37" t="s">
        <v>24</v>
      </c>
      <c r="H37">
        <v>21</v>
      </c>
      <c r="I37">
        <v>0</v>
      </c>
    </row>
    <row r="38" spans="1:9" x14ac:dyDescent="0.3">
      <c r="A38">
        <v>2</v>
      </c>
      <c r="B38">
        <v>0</v>
      </c>
      <c r="C38" t="s">
        <v>23</v>
      </c>
      <c r="D38" t="s">
        <v>22</v>
      </c>
      <c r="E38">
        <v>27</v>
      </c>
      <c r="F38" t="s">
        <v>25</v>
      </c>
      <c r="G38" t="s">
        <v>24</v>
      </c>
      <c r="H38">
        <v>42</v>
      </c>
      <c r="I38">
        <v>1</v>
      </c>
    </row>
    <row r="39" spans="1:9" x14ac:dyDescent="0.3">
      <c r="A39">
        <v>2</v>
      </c>
      <c r="B39">
        <v>0</v>
      </c>
      <c r="C39" t="s">
        <v>23</v>
      </c>
      <c r="D39" t="s">
        <v>22</v>
      </c>
      <c r="E39">
        <v>21</v>
      </c>
      <c r="F39" t="s">
        <v>25</v>
      </c>
      <c r="G39" t="s">
        <v>24</v>
      </c>
      <c r="H39">
        <v>19</v>
      </c>
      <c r="I39">
        <v>0</v>
      </c>
    </row>
    <row r="40" spans="1:9" x14ac:dyDescent="0.3">
      <c r="A40">
        <v>2</v>
      </c>
      <c r="B40">
        <v>0</v>
      </c>
      <c r="C40" t="s">
        <v>23</v>
      </c>
      <c r="D40" t="s">
        <v>22</v>
      </c>
      <c r="E40">
        <v>73</v>
      </c>
      <c r="F40" t="s">
        <v>25</v>
      </c>
      <c r="G40" t="s">
        <v>24</v>
      </c>
      <c r="H40">
        <v>6</v>
      </c>
      <c r="I40">
        <v>0</v>
      </c>
    </row>
    <row r="41" spans="1:9" x14ac:dyDescent="0.3">
      <c r="A41">
        <v>2</v>
      </c>
      <c r="B41">
        <v>0</v>
      </c>
      <c r="C41" t="s">
        <v>23</v>
      </c>
      <c r="D41" t="s">
        <v>22</v>
      </c>
      <c r="E41">
        <v>49</v>
      </c>
      <c r="F41" t="s">
        <v>25</v>
      </c>
      <c r="G41" t="s">
        <v>24</v>
      </c>
      <c r="H41">
        <v>5</v>
      </c>
      <c r="I41">
        <v>0</v>
      </c>
    </row>
    <row r="42" spans="1:9" x14ac:dyDescent="0.3">
      <c r="A42">
        <v>2</v>
      </c>
      <c r="B42">
        <v>0</v>
      </c>
      <c r="C42" t="s">
        <v>23</v>
      </c>
      <c r="D42" t="s">
        <v>22</v>
      </c>
      <c r="E42">
        <v>45</v>
      </c>
      <c r="F42" t="s">
        <v>25</v>
      </c>
      <c r="G42" t="s">
        <v>24</v>
      </c>
      <c r="H42">
        <v>17</v>
      </c>
      <c r="I42">
        <v>0</v>
      </c>
    </row>
    <row r="43" spans="1:9" x14ac:dyDescent="0.3">
      <c r="A43">
        <v>2</v>
      </c>
      <c r="B43">
        <v>0</v>
      </c>
      <c r="C43" t="s">
        <v>23</v>
      </c>
      <c r="D43" t="s">
        <v>22</v>
      </c>
      <c r="E43">
        <v>39</v>
      </c>
      <c r="F43" t="s">
        <v>25</v>
      </c>
      <c r="G43" t="s">
        <v>24</v>
      </c>
      <c r="H43">
        <v>6</v>
      </c>
      <c r="I43">
        <v>0</v>
      </c>
    </row>
    <row r="44" spans="1:9" x14ac:dyDescent="0.3">
      <c r="A44">
        <v>2</v>
      </c>
      <c r="B44">
        <v>0</v>
      </c>
      <c r="C44" t="s">
        <v>23</v>
      </c>
      <c r="D44" t="s">
        <v>22</v>
      </c>
      <c r="E44">
        <v>55</v>
      </c>
      <c r="F44" t="s">
        <v>25</v>
      </c>
      <c r="G44" t="s">
        <v>24</v>
      </c>
      <c r="H44">
        <v>4</v>
      </c>
      <c r="I44">
        <v>0</v>
      </c>
    </row>
    <row r="45" spans="1:9" x14ac:dyDescent="0.3">
      <c r="A45">
        <v>2</v>
      </c>
      <c r="B45">
        <v>0</v>
      </c>
      <c r="C45" t="s">
        <v>23</v>
      </c>
      <c r="D45" t="s">
        <v>22</v>
      </c>
      <c r="E45">
        <v>41</v>
      </c>
      <c r="F45" t="s">
        <v>25</v>
      </c>
      <c r="G45" t="s">
        <v>24</v>
      </c>
      <c r="H45">
        <v>0</v>
      </c>
      <c r="I45">
        <v>0</v>
      </c>
    </row>
    <row r="46" spans="1:9" x14ac:dyDescent="0.3">
      <c r="A46">
        <v>2</v>
      </c>
      <c r="B46">
        <v>0</v>
      </c>
      <c r="C46" t="s">
        <v>23</v>
      </c>
      <c r="D46" t="s">
        <v>22</v>
      </c>
      <c r="E46">
        <v>21</v>
      </c>
      <c r="F46" t="s">
        <v>25</v>
      </c>
      <c r="G46" t="s">
        <v>24</v>
      </c>
      <c r="H46">
        <v>15</v>
      </c>
      <c r="I46">
        <v>0</v>
      </c>
    </row>
    <row r="47" spans="1:9" x14ac:dyDescent="0.3">
      <c r="A47">
        <v>2</v>
      </c>
      <c r="B47">
        <v>0</v>
      </c>
      <c r="C47" t="s">
        <v>23</v>
      </c>
      <c r="D47" t="s">
        <v>22</v>
      </c>
      <c r="E47">
        <v>53</v>
      </c>
      <c r="F47" t="s">
        <v>25</v>
      </c>
      <c r="G47" t="s">
        <v>24</v>
      </c>
      <c r="H47">
        <v>2</v>
      </c>
      <c r="I47">
        <v>0</v>
      </c>
    </row>
    <row r="48" spans="1:9" x14ac:dyDescent="0.3">
      <c r="A48">
        <v>2</v>
      </c>
      <c r="B48">
        <v>0</v>
      </c>
      <c r="C48" t="s">
        <v>23</v>
      </c>
      <c r="D48" t="s">
        <v>22</v>
      </c>
      <c r="E48">
        <v>42</v>
      </c>
      <c r="F48" t="s">
        <v>25</v>
      </c>
      <c r="G48" t="s">
        <v>24</v>
      </c>
      <c r="H48">
        <v>0</v>
      </c>
      <c r="I48">
        <v>0</v>
      </c>
    </row>
    <row r="49" spans="1:9" x14ac:dyDescent="0.3">
      <c r="A49">
        <v>2</v>
      </c>
      <c r="B49">
        <v>0</v>
      </c>
      <c r="C49" t="s">
        <v>23</v>
      </c>
      <c r="D49" t="s">
        <v>22</v>
      </c>
      <c r="E49">
        <v>63</v>
      </c>
      <c r="F49" t="s">
        <v>25</v>
      </c>
      <c r="G49" t="s">
        <v>24</v>
      </c>
      <c r="H49">
        <v>14</v>
      </c>
      <c r="I49">
        <v>0</v>
      </c>
    </row>
    <row r="50" spans="1:9" x14ac:dyDescent="0.3">
      <c r="A50">
        <v>2</v>
      </c>
      <c r="B50">
        <v>0</v>
      </c>
      <c r="C50" t="s">
        <v>23</v>
      </c>
      <c r="D50" t="s">
        <v>22</v>
      </c>
      <c r="E50">
        <v>41</v>
      </c>
      <c r="F50" t="s">
        <v>25</v>
      </c>
      <c r="G50" t="s">
        <v>24</v>
      </c>
      <c r="H50">
        <v>0</v>
      </c>
      <c r="I50">
        <v>0</v>
      </c>
    </row>
    <row r="51" spans="1:9" x14ac:dyDescent="0.3">
      <c r="A51">
        <v>2</v>
      </c>
      <c r="B51">
        <v>1</v>
      </c>
      <c r="C51" t="s">
        <v>23</v>
      </c>
      <c r="D51" t="s">
        <v>22</v>
      </c>
      <c r="E51">
        <v>54</v>
      </c>
      <c r="F51" t="s">
        <v>25</v>
      </c>
      <c r="G51" t="s">
        <v>24</v>
      </c>
      <c r="H51">
        <v>0</v>
      </c>
      <c r="I51">
        <v>0</v>
      </c>
    </row>
    <row r="52" spans="1:9" x14ac:dyDescent="0.3">
      <c r="A52">
        <v>2</v>
      </c>
      <c r="B52">
        <v>1</v>
      </c>
      <c r="C52" t="s">
        <v>23</v>
      </c>
      <c r="D52" t="s">
        <v>22</v>
      </c>
      <c r="E52">
        <v>87</v>
      </c>
      <c r="F52" t="s">
        <v>25</v>
      </c>
      <c r="G52" t="s">
        <v>24</v>
      </c>
      <c r="H52">
        <v>0</v>
      </c>
      <c r="I52">
        <v>0</v>
      </c>
    </row>
    <row r="53" spans="1:9" x14ac:dyDescent="0.3">
      <c r="A53">
        <v>2</v>
      </c>
      <c r="B53">
        <v>1</v>
      </c>
      <c r="C53" t="s">
        <v>23</v>
      </c>
      <c r="D53" t="s">
        <v>22</v>
      </c>
      <c r="E53">
        <v>31</v>
      </c>
      <c r="F53" t="s">
        <v>25</v>
      </c>
      <c r="G53" t="s">
        <v>24</v>
      </c>
      <c r="H53">
        <v>19</v>
      </c>
      <c r="I53">
        <v>0</v>
      </c>
    </row>
    <row r="54" spans="1:9" x14ac:dyDescent="0.3">
      <c r="A54">
        <v>2</v>
      </c>
      <c r="B54">
        <v>1</v>
      </c>
      <c r="C54" t="s">
        <v>23</v>
      </c>
      <c r="D54" t="s">
        <v>22</v>
      </c>
      <c r="E54">
        <v>59</v>
      </c>
      <c r="F54" t="s">
        <v>25</v>
      </c>
      <c r="G54" t="s">
        <v>24</v>
      </c>
      <c r="H54">
        <v>0</v>
      </c>
      <c r="I54">
        <v>0</v>
      </c>
    </row>
    <row r="55" spans="1:9" x14ac:dyDescent="0.3">
      <c r="A55">
        <v>2</v>
      </c>
      <c r="B55">
        <v>1</v>
      </c>
      <c r="C55" t="s">
        <v>23</v>
      </c>
      <c r="D55" t="s">
        <v>22</v>
      </c>
      <c r="E55">
        <v>49</v>
      </c>
      <c r="F55" t="s">
        <v>25</v>
      </c>
      <c r="G55" t="s">
        <v>24</v>
      </c>
      <c r="H55">
        <v>2</v>
      </c>
      <c r="I55">
        <v>0</v>
      </c>
    </row>
    <row r="56" spans="1:9" x14ac:dyDescent="0.3">
      <c r="A56">
        <v>2</v>
      </c>
      <c r="B56">
        <v>1</v>
      </c>
      <c r="C56" t="s">
        <v>23</v>
      </c>
      <c r="D56" t="s">
        <v>22</v>
      </c>
      <c r="E56">
        <v>52</v>
      </c>
      <c r="F56" t="s">
        <v>25</v>
      </c>
      <c r="G56" t="s">
        <v>24</v>
      </c>
      <c r="H56">
        <v>26</v>
      </c>
      <c r="I56">
        <v>0</v>
      </c>
    </row>
    <row r="57" spans="1:9" x14ac:dyDescent="0.3">
      <c r="A57">
        <v>2</v>
      </c>
      <c r="B57">
        <v>1</v>
      </c>
      <c r="C57" t="s">
        <v>23</v>
      </c>
      <c r="D57" t="s">
        <v>22</v>
      </c>
      <c r="E57">
        <v>61</v>
      </c>
      <c r="F57" t="s">
        <v>25</v>
      </c>
      <c r="G57" t="s">
        <v>24</v>
      </c>
      <c r="H57">
        <v>41</v>
      </c>
      <c r="I57">
        <v>0</v>
      </c>
    </row>
    <row r="58" spans="1:9" x14ac:dyDescent="0.3">
      <c r="A58">
        <v>2</v>
      </c>
      <c r="B58">
        <v>1</v>
      </c>
      <c r="C58" t="s">
        <v>23</v>
      </c>
      <c r="D58" t="s">
        <v>22</v>
      </c>
      <c r="E58">
        <v>65</v>
      </c>
      <c r="F58" t="s">
        <v>25</v>
      </c>
      <c r="G58" t="s">
        <v>24</v>
      </c>
      <c r="H58">
        <v>25</v>
      </c>
      <c r="I58">
        <v>0</v>
      </c>
    </row>
    <row r="59" spans="1:9" x14ac:dyDescent="0.3">
      <c r="A59">
        <v>2</v>
      </c>
      <c r="B59">
        <v>1</v>
      </c>
      <c r="C59" t="s">
        <v>23</v>
      </c>
      <c r="D59" t="s">
        <v>22</v>
      </c>
      <c r="E59">
        <v>50</v>
      </c>
      <c r="F59" t="s">
        <v>25</v>
      </c>
      <c r="G59" t="s">
        <v>24</v>
      </c>
      <c r="H59">
        <v>9</v>
      </c>
      <c r="I59">
        <v>0</v>
      </c>
    </row>
    <row r="60" spans="1:9" x14ac:dyDescent="0.3">
      <c r="A60">
        <v>2</v>
      </c>
      <c r="B60">
        <v>1</v>
      </c>
      <c r="C60" t="s">
        <v>23</v>
      </c>
      <c r="D60" t="s">
        <v>22</v>
      </c>
      <c r="E60">
        <v>55</v>
      </c>
      <c r="F60" t="s">
        <v>25</v>
      </c>
      <c r="G60" t="s">
        <v>24</v>
      </c>
      <c r="H60">
        <v>0</v>
      </c>
      <c r="I60">
        <v>0</v>
      </c>
    </row>
    <row r="61" spans="1:9" x14ac:dyDescent="0.3">
      <c r="A61">
        <v>2</v>
      </c>
      <c r="B61">
        <v>1</v>
      </c>
      <c r="C61" t="s">
        <v>23</v>
      </c>
      <c r="D61" t="s">
        <v>22</v>
      </c>
      <c r="E61">
        <v>47</v>
      </c>
      <c r="F61" t="s">
        <v>25</v>
      </c>
      <c r="G61" t="s">
        <v>24</v>
      </c>
      <c r="H61">
        <v>0</v>
      </c>
      <c r="I61">
        <v>0</v>
      </c>
    </row>
    <row r="62" spans="1:9" x14ac:dyDescent="0.3">
      <c r="A62">
        <v>2</v>
      </c>
      <c r="B62">
        <v>1</v>
      </c>
      <c r="C62" t="s">
        <v>23</v>
      </c>
      <c r="D62" t="s">
        <v>22</v>
      </c>
      <c r="E62">
        <v>66</v>
      </c>
      <c r="F62" t="s">
        <v>25</v>
      </c>
      <c r="G62" t="s">
        <v>24</v>
      </c>
      <c r="H62">
        <v>0</v>
      </c>
      <c r="I62">
        <v>0</v>
      </c>
    </row>
    <row r="63" spans="1:9" x14ac:dyDescent="0.3">
      <c r="A63">
        <v>2</v>
      </c>
      <c r="B63">
        <v>1</v>
      </c>
      <c r="C63" t="s">
        <v>23</v>
      </c>
      <c r="D63" t="s">
        <v>22</v>
      </c>
      <c r="E63">
        <v>60</v>
      </c>
      <c r="F63" t="s">
        <v>25</v>
      </c>
      <c r="G63" t="s">
        <v>24</v>
      </c>
      <c r="H63">
        <v>0</v>
      </c>
      <c r="I63">
        <v>0</v>
      </c>
    </row>
    <row r="64" spans="1:9" x14ac:dyDescent="0.3">
      <c r="A64">
        <v>2</v>
      </c>
      <c r="B64">
        <v>1</v>
      </c>
      <c r="C64" t="s">
        <v>23</v>
      </c>
      <c r="D64" t="s">
        <v>22</v>
      </c>
      <c r="E64">
        <v>62</v>
      </c>
      <c r="F64" t="s">
        <v>25</v>
      </c>
      <c r="G64" t="s">
        <v>24</v>
      </c>
      <c r="H64">
        <v>12</v>
      </c>
      <c r="I64">
        <v>0</v>
      </c>
    </row>
    <row r="65" spans="1:9" x14ac:dyDescent="0.3">
      <c r="A65">
        <v>2</v>
      </c>
      <c r="B65">
        <v>1</v>
      </c>
      <c r="C65" t="s">
        <v>23</v>
      </c>
      <c r="D65" t="s">
        <v>22</v>
      </c>
      <c r="E65">
        <v>48</v>
      </c>
      <c r="F65" t="s">
        <v>25</v>
      </c>
      <c r="G65" t="s">
        <v>24</v>
      </c>
      <c r="H65">
        <v>15</v>
      </c>
      <c r="I65">
        <v>0</v>
      </c>
    </row>
    <row r="66" spans="1:9" x14ac:dyDescent="0.3">
      <c r="A66">
        <v>2</v>
      </c>
      <c r="B66">
        <v>1</v>
      </c>
      <c r="C66" t="s">
        <v>23</v>
      </c>
      <c r="D66" t="s">
        <v>22</v>
      </c>
      <c r="E66">
        <v>61</v>
      </c>
      <c r="F66" t="s">
        <v>25</v>
      </c>
      <c r="G66" t="s">
        <v>24</v>
      </c>
      <c r="H66">
        <v>0</v>
      </c>
      <c r="I66">
        <v>0</v>
      </c>
    </row>
    <row r="67" spans="1:9" x14ac:dyDescent="0.3">
      <c r="A67">
        <v>2</v>
      </c>
      <c r="B67">
        <v>1</v>
      </c>
      <c r="C67" t="s">
        <v>23</v>
      </c>
      <c r="D67" t="s">
        <v>22</v>
      </c>
      <c r="E67">
        <v>31</v>
      </c>
      <c r="F67" t="s">
        <v>25</v>
      </c>
      <c r="G67" t="s">
        <v>24</v>
      </c>
      <c r="H67">
        <v>24</v>
      </c>
      <c r="I67">
        <v>0</v>
      </c>
    </row>
    <row r="68" spans="1:9" x14ac:dyDescent="0.3">
      <c r="A68">
        <v>2</v>
      </c>
      <c r="B68">
        <v>1</v>
      </c>
      <c r="C68" t="s">
        <v>23</v>
      </c>
      <c r="D68" t="s">
        <v>22</v>
      </c>
      <c r="E68">
        <v>86</v>
      </c>
      <c r="F68" t="s">
        <v>25</v>
      </c>
      <c r="G68" t="s">
        <v>24</v>
      </c>
      <c r="H68">
        <v>42</v>
      </c>
      <c r="I68">
        <v>0</v>
      </c>
    </row>
    <row r="69" spans="1:9" x14ac:dyDescent="0.3">
      <c r="A69">
        <v>2</v>
      </c>
      <c r="B69">
        <v>1</v>
      </c>
      <c r="C69" t="s">
        <v>23</v>
      </c>
      <c r="D69" t="s">
        <v>22</v>
      </c>
      <c r="E69">
        <v>61</v>
      </c>
      <c r="F69" t="s">
        <v>25</v>
      </c>
      <c r="G69" t="s">
        <v>24</v>
      </c>
      <c r="H69">
        <v>28</v>
      </c>
      <c r="I69">
        <v>0</v>
      </c>
    </row>
    <row r="70" spans="1:9" x14ac:dyDescent="0.3">
      <c r="A70">
        <v>2</v>
      </c>
      <c r="B70">
        <v>1</v>
      </c>
      <c r="C70" t="s">
        <v>23</v>
      </c>
      <c r="D70" t="s">
        <v>22</v>
      </c>
      <c r="E70">
        <v>56</v>
      </c>
      <c r="F70" t="s">
        <v>25</v>
      </c>
      <c r="G70" t="s">
        <v>24</v>
      </c>
      <c r="H70">
        <v>2</v>
      </c>
      <c r="I70">
        <v>0</v>
      </c>
    </row>
    <row r="71" spans="1:9" x14ac:dyDescent="0.3">
      <c r="A71">
        <v>2</v>
      </c>
      <c r="B71">
        <v>1</v>
      </c>
      <c r="C71" t="s">
        <v>23</v>
      </c>
      <c r="D71" t="s">
        <v>22</v>
      </c>
      <c r="E71">
        <v>68</v>
      </c>
      <c r="F71" t="s">
        <v>25</v>
      </c>
      <c r="G71" t="s">
        <v>24</v>
      </c>
      <c r="H71">
        <v>10</v>
      </c>
      <c r="I71">
        <v>0</v>
      </c>
    </row>
    <row r="72" spans="1:9" x14ac:dyDescent="0.3">
      <c r="A72">
        <v>2</v>
      </c>
      <c r="B72">
        <v>1</v>
      </c>
      <c r="C72" t="s">
        <v>23</v>
      </c>
      <c r="D72" t="s">
        <v>22</v>
      </c>
      <c r="E72">
        <v>40</v>
      </c>
      <c r="F72" t="s">
        <v>25</v>
      </c>
      <c r="G72" t="s">
        <v>24</v>
      </c>
      <c r="H72">
        <v>37</v>
      </c>
      <c r="I72">
        <v>0</v>
      </c>
    </row>
    <row r="73" spans="1:9" x14ac:dyDescent="0.3">
      <c r="A73">
        <v>2</v>
      </c>
      <c r="B73">
        <v>1</v>
      </c>
      <c r="C73" t="s">
        <v>23</v>
      </c>
      <c r="D73" t="s">
        <v>22</v>
      </c>
      <c r="E73">
        <v>72</v>
      </c>
      <c r="F73" t="s">
        <v>25</v>
      </c>
      <c r="G73" t="s">
        <v>24</v>
      </c>
      <c r="H73">
        <v>7</v>
      </c>
      <c r="I73">
        <v>0</v>
      </c>
    </row>
    <row r="74" spans="1:9" x14ac:dyDescent="0.3">
      <c r="A74">
        <v>2</v>
      </c>
      <c r="B74">
        <v>1</v>
      </c>
      <c r="C74" t="s">
        <v>23</v>
      </c>
      <c r="D74" t="s">
        <v>22</v>
      </c>
      <c r="E74">
        <v>58</v>
      </c>
      <c r="F74" t="s">
        <v>25</v>
      </c>
      <c r="G74" t="s">
        <v>24</v>
      </c>
      <c r="H74">
        <v>43</v>
      </c>
      <c r="I74">
        <v>0</v>
      </c>
    </row>
    <row r="75" spans="1:9" x14ac:dyDescent="0.3">
      <c r="A75">
        <v>2</v>
      </c>
      <c r="B75">
        <v>1</v>
      </c>
      <c r="C75" t="s">
        <v>23</v>
      </c>
      <c r="D75" t="s">
        <v>22</v>
      </c>
      <c r="E75">
        <v>70</v>
      </c>
      <c r="F75" t="s">
        <v>25</v>
      </c>
      <c r="G75" t="s">
        <v>24</v>
      </c>
      <c r="H75">
        <v>0</v>
      </c>
      <c r="I75">
        <v>0</v>
      </c>
    </row>
    <row r="76" spans="1:9" x14ac:dyDescent="0.3">
      <c r="A76">
        <v>2</v>
      </c>
      <c r="B76">
        <v>1</v>
      </c>
      <c r="C76" t="s">
        <v>23</v>
      </c>
      <c r="D76" t="s">
        <v>22</v>
      </c>
      <c r="E76">
        <v>59</v>
      </c>
      <c r="F76" t="s">
        <v>25</v>
      </c>
      <c r="G76" t="s">
        <v>24</v>
      </c>
      <c r="H76">
        <v>8</v>
      </c>
      <c r="I76">
        <v>0</v>
      </c>
    </row>
    <row r="77" spans="1:9" x14ac:dyDescent="0.3">
      <c r="A77">
        <v>2</v>
      </c>
      <c r="B77">
        <v>1</v>
      </c>
      <c r="C77" t="s">
        <v>23</v>
      </c>
      <c r="D77" t="s">
        <v>22</v>
      </c>
      <c r="E77">
        <v>34</v>
      </c>
      <c r="F77" t="s">
        <v>25</v>
      </c>
      <c r="G77" t="s">
        <v>24</v>
      </c>
      <c r="H77">
        <v>11</v>
      </c>
      <c r="I77">
        <v>0</v>
      </c>
    </row>
    <row r="78" spans="1:9" x14ac:dyDescent="0.3">
      <c r="A78">
        <v>2</v>
      </c>
      <c r="B78">
        <v>1</v>
      </c>
      <c r="C78" t="s">
        <v>23</v>
      </c>
      <c r="D78" t="s">
        <v>22</v>
      </c>
      <c r="E78">
        <v>45</v>
      </c>
      <c r="F78" t="s">
        <v>25</v>
      </c>
      <c r="G78" t="s">
        <v>24</v>
      </c>
      <c r="H78">
        <v>45</v>
      </c>
      <c r="I78">
        <v>0</v>
      </c>
    </row>
    <row r="79" spans="1:9" x14ac:dyDescent="0.3">
      <c r="A79">
        <v>2</v>
      </c>
      <c r="B79">
        <v>1</v>
      </c>
      <c r="C79" t="s">
        <v>23</v>
      </c>
      <c r="D79" t="s">
        <v>22</v>
      </c>
      <c r="E79">
        <v>58</v>
      </c>
      <c r="F79" t="s">
        <v>25</v>
      </c>
      <c r="G79" t="s">
        <v>24</v>
      </c>
      <c r="H79">
        <v>0</v>
      </c>
      <c r="I79">
        <v>0</v>
      </c>
    </row>
    <row r="80" spans="1:9" x14ac:dyDescent="0.3">
      <c r="A80">
        <v>2</v>
      </c>
      <c r="B80">
        <v>1</v>
      </c>
      <c r="C80" t="s">
        <v>23</v>
      </c>
      <c r="D80" t="s">
        <v>22</v>
      </c>
      <c r="E80">
        <v>54</v>
      </c>
      <c r="F80" t="s">
        <v>25</v>
      </c>
      <c r="G80" t="s">
        <v>24</v>
      </c>
      <c r="H80">
        <v>8</v>
      </c>
      <c r="I80">
        <v>0</v>
      </c>
    </row>
    <row r="81" spans="1:9" x14ac:dyDescent="0.3">
      <c r="A81">
        <v>2</v>
      </c>
      <c r="B81">
        <v>1</v>
      </c>
      <c r="C81" t="s">
        <v>23</v>
      </c>
      <c r="D81" t="s">
        <v>22</v>
      </c>
      <c r="E81">
        <v>54</v>
      </c>
      <c r="F81" t="s">
        <v>25</v>
      </c>
      <c r="G81" t="s">
        <v>24</v>
      </c>
      <c r="H81">
        <v>21</v>
      </c>
      <c r="I81">
        <v>0</v>
      </c>
    </row>
    <row r="82" spans="1:9" x14ac:dyDescent="0.3">
      <c r="A82">
        <v>2</v>
      </c>
      <c r="B82">
        <v>1</v>
      </c>
      <c r="C82" t="s">
        <v>23</v>
      </c>
      <c r="D82" t="s">
        <v>22</v>
      </c>
      <c r="E82">
        <v>33</v>
      </c>
      <c r="F82" t="s">
        <v>25</v>
      </c>
      <c r="G82" t="s">
        <v>24</v>
      </c>
      <c r="H82">
        <v>37</v>
      </c>
      <c r="I82">
        <v>1</v>
      </c>
    </row>
    <row r="83" spans="1:9" x14ac:dyDescent="0.3">
      <c r="A83">
        <v>2</v>
      </c>
      <c r="B83">
        <v>1</v>
      </c>
      <c r="C83" t="s">
        <v>23</v>
      </c>
      <c r="D83" t="s">
        <v>22</v>
      </c>
      <c r="E83">
        <v>44</v>
      </c>
      <c r="F83" t="s">
        <v>25</v>
      </c>
      <c r="G83" t="s">
        <v>24</v>
      </c>
      <c r="H83">
        <v>24</v>
      </c>
      <c r="I83">
        <v>0</v>
      </c>
    </row>
    <row r="84" spans="1:9" x14ac:dyDescent="0.3">
      <c r="A84">
        <v>2</v>
      </c>
      <c r="B84">
        <v>1</v>
      </c>
      <c r="C84" t="s">
        <v>23</v>
      </c>
      <c r="D84" t="s">
        <v>22</v>
      </c>
      <c r="E84">
        <v>19</v>
      </c>
      <c r="F84" t="s">
        <v>25</v>
      </c>
      <c r="G84" t="s">
        <v>24</v>
      </c>
      <c r="H84">
        <v>15</v>
      </c>
      <c r="I84">
        <v>0</v>
      </c>
    </row>
    <row r="85" spans="1:9" x14ac:dyDescent="0.3">
      <c r="A85">
        <v>2</v>
      </c>
      <c r="B85">
        <v>1</v>
      </c>
      <c r="C85" t="s">
        <v>23</v>
      </c>
      <c r="D85" t="s">
        <v>22</v>
      </c>
      <c r="E85">
        <v>23</v>
      </c>
      <c r="F85" t="s">
        <v>25</v>
      </c>
      <c r="G85" t="s">
        <v>24</v>
      </c>
      <c r="H85">
        <v>2</v>
      </c>
      <c r="I85">
        <v>0</v>
      </c>
    </row>
    <row r="86" spans="1:9" x14ac:dyDescent="0.3">
      <c r="A86">
        <v>2</v>
      </c>
      <c r="B86">
        <v>1</v>
      </c>
      <c r="C86" t="s">
        <v>23</v>
      </c>
      <c r="D86" t="s">
        <v>22</v>
      </c>
      <c r="E86">
        <v>29</v>
      </c>
      <c r="F86" t="s">
        <v>25</v>
      </c>
      <c r="G86" t="s">
        <v>24</v>
      </c>
      <c r="H86">
        <v>39</v>
      </c>
      <c r="I86">
        <v>1</v>
      </c>
    </row>
    <row r="87" spans="1:9" x14ac:dyDescent="0.3">
      <c r="A87">
        <v>2</v>
      </c>
      <c r="B87">
        <v>1</v>
      </c>
      <c r="C87" t="s">
        <v>23</v>
      </c>
      <c r="D87" t="s">
        <v>22</v>
      </c>
      <c r="E87">
        <v>36</v>
      </c>
      <c r="F87" t="s">
        <v>25</v>
      </c>
      <c r="G87" t="s">
        <v>24</v>
      </c>
      <c r="H87">
        <v>17</v>
      </c>
      <c r="I87">
        <v>0</v>
      </c>
    </row>
    <row r="88" spans="1:9" x14ac:dyDescent="0.3">
      <c r="A88">
        <v>2</v>
      </c>
      <c r="B88">
        <v>1</v>
      </c>
      <c r="C88" t="s">
        <v>23</v>
      </c>
      <c r="D88" t="s">
        <v>22</v>
      </c>
      <c r="E88">
        <v>44</v>
      </c>
      <c r="F88" t="s">
        <v>25</v>
      </c>
      <c r="G88" t="s">
        <v>24</v>
      </c>
      <c r="H88">
        <v>4</v>
      </c>
      <c r="I88">
        <v>0</v>
      </c>
    </row>
    <row r="89" spans="1:9" x14ac:dyDescent="0.3">
      <c r="A89">
        <v>2</v>
      </c>
      <c r="B89">
        <v>1</v>
      </c>
      <c r="C89" t="s">
        <v>23</v>
      </c>
      <c r="D89" t="s">
        <v>22</v>
      </c>
      <c r="E89">
        <v>26</v>
      </c>
      <c r="F89" t="s">
        <v>25</v>
      </c>
      <c r="G89" t="s">
        <v>24</v>
      </c>
      <c r="H89">
        <v>2</v>
      </c>
      <c r="I89">
        <v>0</v>
      </c>
    </row>
    <row r="90" spans="1:9" x14ac:dyDescent="0.3">
      <c r="A90">
        <v>2</v>
      </c>
      <c r="B90">
        <v>1</v>
      </c>
      <c r="C90" t="s">
        <v>23</v>
      </c>
      <c r="D90" t="s">
        <v>22</v>
      </c>
      <c r="E90">
        <v>39</v>
      </c>
      <c r="F90" t="s">
        <v>25</v>
      </c>
      <c r="G90" t="s">
        <v>24</v>
      </c>
      <c r="H90">
        <v>31</v>
      </c>
      <c r="I90">
        <v>0</v>
      </c>
    </row>
    <row r="91" spans="1:9" x14ac:dyDescent="0.3">
      <c r="A91">
        <v>2</v>
      </c>
      <c r="B91">
        <v>1</v>
      </c>
      <c r="C91" t="s">
        <v>23</v>
      </c>
      <c r="D91" t="s">
        <v>22</v>
      </c>
      <c r="E91">
        <v>44</v>
      </c>
      <c r="F91" t="s">
        <v>25</v>
      </c>
      <c r="G91" t="s">
        <v>24</v>
      </c>
      <c r="H91">
        <v>0</v>
      </c>
      <c r="I91">
        <v>0</v>
      </c>
    </row>
    <row r="92" spans="1:9" x14ac:dyDescent="0.3">
      <c r="A92">
        <v>2</v>
      </c>
      <c r="B92">
        <v>1</v>
      </c>
      <c r="C92" t="s">
        <v>23</v>
      </c>
      <c r="D92" t="s">
        <v>22</v>
      </c>
      <c r="E92">
        <v>25</v>
      </c>
      <c r="F92" t="s">
        <v>25</v>
      </c>
      <c r="G92" t="s">
        <v>24</v>
      </c>
      <c r="H92">
        <v>16</v>
      </c>
      <c r="I92">
        <v>0</v>
      </c>
    </row>
    <row r="93" spans="1:9" x14ac:dyDescent="0.3">
      <c r="A93">
        <v>2</v>
      </c>
      <c r="B93">
        <v>1</v>
      </c>
      <c r="C93" t="s">
        <v>23</v>
      </c>
      <c r="D93" t="s">
        <v>22</v>
      </c>
      <c r="E93">
        <v>26</v>
      </c>
      <c r="F93" t="s">
        <v>25</v>
      </c>
      <c r="G93" t="s">
        <v>24</v>
      </c>
      <c r="H93">
        <v>12</v>
      </c>
      <c r="I93">
        <v>0</v>
      </c>
    </row>
    <row r="94" spans="1:9" x14ac:dyDescent="0.3">
      <c r="A94">
        <v>2</v>
      </c>
      <c r="B94">
        <v>1</v>
      </c>
      <c r="C94" t="s">
        <v>23</v>
      </c>
      <c r="D94" t="s">
        <v>22</v>
      </c>
      <c r="E94">
        <v>45</v>
      </c>
      <c r="F94" t="s">
        <v>25</v>
      </c>
      <c r="G94" t="s">
        <v>24</v>
      </c>
      <c r="H94">
        <v>5</v>
      </c>
      <c r="I94">
        <v>0</v>
      </c>
    </row>
    <row r="95" spans="1:9" x14ac:dyDescent="0.3">
      <c r="A95">
        <v>2</v>
      </c>
      <c r="B95">
        <v>1</v>
      </c>
      <c r="C95" t="s">
        <v>23</v>
      </c>
      <c r="D95" t="s">
        <v>22</v>
      </c>
      <c r="E95">
        <v>39</v>
      </c>
      <c r="F95" t="s">
        <v>25</v>
      </c>
      <c r="G95" t="s">
        <v>24</v>
      </c>
      <c r="H95">
        <v>20</v>
      </c>
      <c r="I95">
        <v>0</v>
      </c>
    </row>
    <row r="96" spans="1:9" x14ac:dyDescent="0.3">
      <c r="A96">
        <v>2</v>
      </c>
      <c r="B96">
        <v>1</v>
      </c>
      <c r="C96" t="s">
        <v>23</v>
      </c>
      <c r="D96" t="s">
        <v>22</v>
      </c>
      <c r="E96">
        <v>56</v>
      </c>
      <c r="F96" t="s">
        <v>25</v>
      </c>
      <c r="G96" t="s">
        <v>24</v>
      </c>
      <c r="H96">
        <v>29</v>
      </c>
      <c r="I96">
        <v>0</v>
      </c>
    </row>
    <row r="97" spans="1:9" x14ac:dyDescent="0.3">
      <c r="A97">
        <v>2</v>
      </c>
      <c r="B97">
        <v>1</v>
      </c>
      <c r="C97" t="s">
        <v>23</v>
      </c>
      <c r="D97" t="s">
        <v>22</v>
      </c>
      <c r="E97">
        <v>56</v>
      </c>
      <c r="F97" t="s">
        <v>25</v>
      </c>
      <c r="G97" t="s">
        <v>24</v>
      </c>
      <c r="H97">
        <v>16</v>
      </c>
      <c r="I97">
        <v>0</v>
      </c>
    </row>
    <row r="98" spans="1:9" x14ac:dyDescent="0.3">
      <c r="A98">
        <v>2</v>
      </c>
      <c r="B98">
        <v>1</v>
      </c>
      <c r="C98" t="s">
        <v>23</v>
      </c>
      <c r="D98" t="s">
        <v>22</v>
      </c>
      <c r="E98">
        <v>33</v>
      </c>
      <c r="F98" t="s">
        <v>25</v>
      </c>
      <c r="G98" t="s">
        <v>24</v>
      </c>
      <c r="H98">
        <v>32</v>
      </c>
      <c r="I98">
        <v>0</v>
      </c>
    </row>
    <row r="99" spans="1:9" x14ac:dyDescent="0.3">
      <c r="A99">
        <v>2</v>
      </c>
      <c r="B99">
        <v>1</v>
      </c>
      <c r="C99" t="s">
        <v>23</v>
      </c>
      <c r="D99" t="s">
        <v>22</v>
      </c>
      <c r="E99">
        <v>56</v>
      </c>
      <c r="F99" t="s">
        <v>25</v>
      </c>
      <c r="G99" t="s">
        <v>24</v>
      </c>
      <c r="H99">
        <v>32</v>
      </c>
      <c r="I99">
        <v>0</v>
      </c>
    </row>
    <row r="100" spans="1:9" x14ac:dyDescent="0.3">
      <c r="A100">
        <v>2</v>
      </c>
      <c r="B100">
        <v>1</v>
      </c>
      <c r="C100" t="s">
        <v>23</v>
      </c>
      <c r="D100" t="s">
        <v>22</v>
      </c>
      <c r="E100">
        <v>18</v>
      </c>
      <c r="F100" t="s">
        <v>25</v>
      </c>
      <c r="G100" t="s">
        <v>24</v>
      </c>
      <c r="H100">
        <v>6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39D-4BD5-4F18-9B89-2F5A42B1AED6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23</v>
      </c>
      <c r="D1" t="s">
        <v>22</v>
      </c>
      <c r="E1">
        <v>46</v>
      </c>
      <c r="F1" t="s">
        <v>27</v>
      </c>
      <c r="G1" t="s">
        <v>26</v>
      </c>
      <c r="H1">
        <v>54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23</v>
      </c>
      <c r="D2" t="s">
        <v>22</v>
      </c>
      <c r="E2">
        <v>65</v>
      </c>
      <c r="F2" t="s">
        <v>27</v>
      </c>
      <c r="G2" t="s">
        <v>26</v>
      </c>
      <c r="H2">
        <v>9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23</v>
      </c>
      <c r="D3" t="s">
        <v>22</v>
      </c>
      <c r="E3">
        <v>43</v>
      </c>
      <c r="F3" t="s">
        <v>27</v>
      </c>
      <c r="G3" t="s">
        <v>26</v>
      </c>
      <c r="H3">
        <v>17</v>
      </c>
      <c r="I3">
        <v>0</v>
      </c>
      <c r="K3" s="8" t="s">
        <v>11</v>
      </c>
      <c r="L3" s="8"/>
      <c r="M3" s="10">
        <f>COUNTIF($I$1:$I$100, 0)</f>
        <v>72</v>
      </c>
      <c r="N3" s="10"/>
      <c r="O3" s="10">
        <f>COUNTIFS($I$1:$I$100, 0, $B$1:$B$100, 0)</f>
        <v>37</v>
      </c>
      <c r="P3" s="10"/>
      <c r="Q3" s="11">
        <f>COUNTIFS($I$1:$I$100, 0, $B$1:$B$100, 1)</f>
        <v>35</v>
      </c>
      <c r="R3" s="12"/>
      <c r="T3" cm="1">
        <f t="array" ref="T3">SUMPRODUCT(--($E$1:$E$100=$H$1:$H$100))</f>
        <v>1</v>
      </c>
    </row>
    <row r="4" spans="1:20" x14ac:dyDescent="0.3">
      <c r="A4">
        <v>2</v>
      </c>
      <c r="B4">
        <v>0</v>
      </c>
      <c r="C4" t="s">
        <v>23</v>
      </c>
      <c r="D4" t="s">
        <v>22</v>
      </c>
      <c r="E4">
        <v>45</v>
      </c>
      <c r="F4" t="s">
        <v>27</v>
      </c>
      <c r="G4" t="s">
        <v>26</v>
      </c>
      <c r="H4">
        <v>49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23</v>
      </c>
      <c r="D5" t="s">
        <v>22</v>
      </c>
      <c r="E5">
        <v>49</v>
      </c>
      <c r="F5" t="s">
        <v>27</v>
      </c>
      <c r="G5" t="s">
        <v>26</v>
      </c>
      <c r="H5">
        <v>38</v>
      </c>
      <c r="I5">
        <v>0</v>
      </c>
      <c r="K5" s="8" t="s">
        <v>10</v>
      </c>
      <c r="L5" s="8"/>
      <c r="M5" s="14">
        <f>COUNTIF($I$1:$I$100, 1)</f>
        <v>28</v>
      </c>
      <c r="N5" s="10"/>
      <c r="O5" s="10">
        <f>COUNTIFS($I$1:$I$100, 1, $B$1:$B$100, 0)</f>
        <v>13</v>
      </c>
      <c r="P5" s="10"/>
      <c r="Q5" s="10">
        <f>COUNTIFS($I$1:$I$100, 1, $B$1:$B$100, 1)</f>
        <v>15</v>
      </c>
      <c r="R5" s="13"/>
    </row>
    <row r="6" spans="1:20" x14ac:dyDescent="0.3">
      <c r="A6">
        <v>2</v>
      </c>
      <c r="B6">
        <v>0</v>
      </c>
      <c r="C6" t="s">
        <v>23</v>
      </c>
      <c r="D6" t="s">
        <v>22</v>
      </c>
      <c r="E6">
        <v>55</v>
      </c>
      <c r="F6" t="s">
        <v>27</v>
      </c>
      <c r="G6" t="s">
        <v>26</v>
      </c>
      <c r="H6">
        <v>39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23</v>
      </c>
      <c r="D7" t="s">
        <v>22</v>
      </c>
      <c r="E7">
        <v>59</v>
      </c>
      <c r="F7" t="s">
        <v>27</v>
      </c>
      <c r="G7" t="s">
        <v>26</v>
      </c>
      <c r="H7">
        <v>52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23</v>
      </c>
      <c r="D8" t="s">
        <v>22</v>
      </c>
      <c r="E8">
        <v>49</v>
      </c>
      <c r="F8" t="s">
        <v>27</v>
      </c>
      <c r="G8" t="s">
        <v>26</v>
      </c>
      <c r="H8">
        <v>18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23</v>
      </c>
      <c r="D9" t="s">
        <v>22</v>
      </c>
      <c r="E9">
        <v>36</v>
      </c>
      <c r="F9" t="s">
        <v>27</v>
      </c>
      <c r="G9" t="s">
        <v>26</v>
      </c>
      <c r="H9">
        <v>47</v>
      </c>
      <c r="I9">
        <v>1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23</v>
      </c>
      <c r="D10" t="s">
        <v>22</v>
      </c>
      <c r="E10">
        <v>44</v>
      </c>
      <c r="F10" t="s">
        <v>27</v>
      </c>
      <c r="G10" t="s">
        <v>26</v>
      </c>
      <c r="H10">
        <v>36</v>
      </c>
      <c r="I10">
        <v>0</v>
      </c>
      <c r="K10" s="8" t="s">
        <v>6</v>
      </c>
      <c r="L10" s="8"/>
      <c r="M10" s="10">
        <f>AVERAGE($E$1:$E$100,)</f>
        <v>48.316831683168317</v>
      </c>
      <c r="N10" s="10"/>
      <c r="O10" s="10" cm="1">
        <f t="array" ref="O10">AVERAGE(_xlfn._xlws.FILTER($E$1:$E$100,$I$1:$I$100 = 0))</f>
        <v>52.555555555555557</v>
      </c>
      <c r="P10" s="10"/>
      <c r="Q10" s="11" cm="1">
        <f t="array" ref="Q10">AVERAGE(_xlfn._xlws.FILTER($E$1:$E$100,$I$1:$I$100 = 1))</f>
        <v>39.142857142857146</v>
      </c>
      <c r="R10" s="12"/>
    </row>
    <row r="11" spans="1:20" x14ac:dyDescent="0.3">
      <c r="A11">
        <v>2</v>
      </c>
      <c r="B11">
        <v>0</v>
      </c>
      <c r="C11" t="s">
        <v>23</v>
      </c>
      <c r="D11" t="s">
        <v>22</v>
      </c>
      <c r="E11">
        <v>52</v>
      </c>
      <c r="F11" t="s">
        <v>27</v>
      </c>
      <c r="G11" t="s">
        <v>26</v>
      </c>
      <c r="H11">
        <v>48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23</v>
      </c>
      <c r="D12" t="s">
        <v>22</v>
      </c>
      <c r="E12">
        <v>50</v>
      </c>
      <c r="F12" t="s">
        <v>27</v>
      </c>
      <c r="G12" t="s">
        <v>26</v>
      </c>
      <c r="H12">
        <v>44</v>
      </c>
      <c r="I12">
        <v>0</v>
      </c>
      <c r="K12" s="8" t="s">
        <v>5</v>
      </c>
      <c r="L12" s="8"/>
      <c r="M12" s="10">
        <f>AVERAGE($H$1:$H$100,)</f>
        <v>36.831683168316829</v>
      </c>
      <c r="N12" s="10"/>
      <c r="O12" s="10" cm="1">
        <f t="array" ref="O12">AVERAGE(_xlfn._xlws.FILTER($H$1:$H$100,$I$1:$I$100 = 0))</f>
        <v>31.416666666666668</v>
      </c>
      <c r="P12" s="10"/>
      <c r="Q12" s="10" cm="1">
        <f t="array" ref="Q12">AVERAGE(_xlfn._xlws.FILTER($H$1:$H$100,$I$1:$I$100 = 1))</f>
        <v>52.071428571428569</v>
      </c>
      <c r="R12" s="13"/>
    </row>
    <row r="13" spans="1:20" x14ac:dyDescent="0.3">
      <c r="A13">
        <v>2</v>
      </c>
      <c r="B13">
        <v>0</v>
      </c>
      <c r="C13" t="s">
        <v>23</v>
      </c>
      <c r="D13" t="s">
        <v>22</v>
      </c>
      <c r="E13">
        <v>73</v>
      </c>
      <c r="F13" t="s">
        <v>27</v>
      </c>
      <c r="G13" t="s">
        <v>26</v>
      </c>
      <c r="H13">
        <v>84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23</v>
      </c>
      <c r="D14" t="s">
        <v>22</v>
      </c>
      <c r="E14">
        <v>34</v>
      </c>
      <c r="F14" t="s">
        <v>27</v>
      </c>
      <c r="G14" t="s">
        <v>26</v>
      </c>
      <c r="H14">
        <v>37</v>
      </c>
      <c r="I14">
        <v>1</v>
      </c>
      <c r="K14" s="19" t="s">
        <v>4</v>
      </c>
      <c r="L14" s="12"/>
      <c r="M14" s="20" cm="1">
        <f t="array" ref="M14">AVERAGE($E$1:$E$100 - $H$1:$H$100)</f>
        <v>11.6</v>
      </c>
      <c r="N14" s="20"/>
      <c r="O14" s="20" cm="1">
        <f t="array" ref="O14">AVERAGE(_xlfn._xlws.FILTER($E$1:$E$100 - $H$1:$H$100, I$1:I$100 = 0))</f>
        <v>21.138888888888889</v>
      </c>
      <c r="P14" s="20"/>
      <c r="Q14" s="20" cm="1">
        <f t="array" ref="Q14">AVERAGE(_xlfn._xlws.FILTER($E$1:$E$100 - $H$1:$H$100, I$1:I$100 = 1))</f>
        <v>-12.928571428571429</v>
      </c>
      <c r="R14" s="22"/>
    </row>
    <row r="15" spans="1:20" x14ac:dyDescent="0.3">
      <c r="A15">
        <v>2</v>
      </c>
      <c r="B15">
        <v>0</v>
      </c>
      <c r="C15" t="s">
        <v>23</v>
      </c>
      <c r="D15" t="s">
        <v>22</v>
      </c>
      <c r="E15">
        <v>48</v>
      </c>
      <c r="F15" t="s">
        <v>27</v>
      </c>
      <c r="G15" t="s">
        <v>26</v>
      </c>
      <c r="H15">
        <v>32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23</v>
      </c>
      <c r="D16" t="s">
        <v>22</v>
      </c>
      <c r="E16">
        <v>48</v>
      </c>
      <c r="F16" t="s">
        <v>27</v>
      </c>
      <c r="G16" t="s">
        <v>26</v>
      </c>
      <c r="H16">
        <v>19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23</v>
      </c>
      <c r="D17" t="s">
        <v>22</v>
      </c>
      <c r="E17">
        <v>32</v>
      </c>
      <c r="F17" t="s">
        <v>27</v>
      </c>
      <c r="G17" t="s">
        <v>26</v>
      </c>
      <c r="H17">
        <v>6</v>
      </c>
      <c r="I17">
        <v>0</v>
      </c>
    </row>
    <row r="18" spans="1:9" x14ac:dyDescent="0.3">
      <c r="A18">
        <v>2</v>
      </c>
      <c r="B18">
        <v>0</v>
      </c>
      <c r="C18" t="s">
        <v>23</v>
      </c>
      <c r="D18" t="s">
        <v>22</v>
      </c>
      <c r="E18">
        <v>56</v>
      </c>
      <c r="F18" t="s">
        <v>27</v>
      </c>
      <c r="G18" t="s">
        <v>26</v>
      </c>
      <c r="H18">
        <v>47</v>
      </c>
      <c r="I18">
        <v>0</v>
      </c>
    </row>
    <row r="19" spans="1:9" x14ac:dyDescent="0.3">
      <c r="A19">
        <v>2</v>
      </c>
      <c r="B19">
        <v>0</v>
      </c>
      <c r="C19" t="s">
        <v>23</v>
      </c>
      <c r="D19" t="s">
        <v>22</v>
      </c>
      <c r="E19">
        <v>77</v>
      </c>
      <c r="F19" t="s">
        <v>27</v>
      </c>
      <c r="G19" t="s">
        <v>26</v>
      </c>
      <c r="H19">
        <v>21</v>
      </c>
      <c r="I19">
        <v>0</v>
      </c>
    </row>
    <row r="20" spans="1:9" x14ac:dyDescent="0.3">
      <c r="A20">
        <v>2</v>
      </c>
      <c r="B20">
        <v>0</v>
      </c>
      <c r="C20" t="s">
        <v>23</v>
      </c>
      <c r="D20" t="s">
        <v>22</v>
      </c>
      <c r="E20">
        <v>33</v>
      </c>
      <c r="F20" t="s">
        <v>27</v>
      </c>
      <c r="G20" t="s">
        <v>26</v>
      </c>
      <c r="H20">
        <v>49</v>
      </c>
      <c r="I20">
        <v>1</v>
      </c>
    </row>
    <row r="21" spans="1:9" x14ac:dyDescent="0.3">
      <c r="A21">
        <v>2</v>
      </c>
      <c r="B21">
        <v>0</v>
      </c>
      <c r="C21" t="s">
        <v>23</v>
      </c>
      <c r="D21" t="s">
        <v>22</v>
      </c>
      <c r="E21">
        <v>31</v>
      </c>
      <c r="F21" t="s">
        <v>27</v>
      </c>
      <c r="G21" t="s">
        <v>26</v>
      </c>
      <c r="H21">
        <v>21</v>
      </c>
      <c r="I21">
        <v>0</v>
      </c>
    </row>
    <row r="22" spans="1:9" x14ac:dyDescent="0.3">
      <c r="A22">
        <v>2</v>
      </c>
      <c r="B22">
        <v>0</v>
      </c>
      <c r="C22" t="s">
        <v>23</v>
      </c>
      <c r="D22" t="s">
        <v>22</v>
      </c>
      <c r="E22">
        <v>45</v>
      </c>
      <c r="F22" t="s">
        <v>27</v>
      </c>
      <c r="G22" t="s">
        <v>26</v>
      </c>
      <c r="H22">
        <v>51</v>
      </c>
      <c r="I22">
        <v>1</v>
      </c>
    </row>
    <row r="23" spans="1:9" x14ac:dyDescent="0.3">
      <c r="A23">
        <v>2</v>
      </c>
      <c r="B23">
        <v>0</v>
      </c>
      <c r="C23" t="s">
        <v>23</v>
      </c>
      <c r="D23" t="s">
        <v>22</v>
      </c>
      <c r="E23">
        <v>56</v>
      </c>
      <c r="F23" t="s">
        <v>27</v>
      </c>
      <c r="G23" t="s">
        <v>26</v>
      </c>
      <c r="H23">
        <v>54</v>
      </c>
      <c r="I23">
        <v>0</v>
      </c>
    </row>
    <row r="24" spans="1:9" x14ac:dyDescent="0.3">
      <c r="A24">
        <v>2</v>
      </c>
      <c r="B24">
        <v>0</v>
      </c>
      <c r="C24" t="s">
        <v>23</v>
      </c>
      <c r="D24" t="s">
        <v>22</v>
      </c>
      <c r="E24">
        <v>64</v>
      </c>
      <c r="F24" t="s">
        <v>27</v>
      </c>
      <c r="G24" t="s">
        <v>26</v>
      </c>
      <c r="H24">
        <v>37</v>
      </c>
      <c r="I24">
        <v>0</v>
      </c>
    </row>
    <row r="25" spans="1:9" x14ac:dyDescent="0.3">
      <c r="A25">
        <v>2</v>
      </c>
      <c r="B25">
        <v>0</v>
      </c>
      <c r="C25" t="s">
        <v>23</v>
      </c>
      <c r="D25" t="s">
        <v>22</v>
      </c>
      <c r="E25">
        <v>54</v>
      </c>
      <c r="F25" t="s">
        <v>27</v>
      </c>
      <c r="G25" t="s">
        <v>26</v>
      </c>
      <c r="H25">
        <v>28</v>
      </c>
      <c r="I25">
        <v>0</v>
      </c>
    </row>
    <row r="26" spans="1:9" x14ac:dyDescent="0.3">
      <c r="A26">
        <v>2</v>
      </c>
      <c r="B26">
        <v>0</v>
      </c>
      <c r="C26" t="s">
        <v>23</v>
      </c>
      <c r="D26" t="s">
        <v>22</v>
      </c>
      <c r="E26">
        <v>54</v>
      </c>
      <c r="F26" t="s">
        <v>27</v>
      </c>
      <c r="G26" t="s">
        <v>26</v>
      </c>
      <c r="H26">
        <v>46</v>
      </c>
      <c r="I26">
        <v>0</v>
      </c>
    </row>
    <row r="27" spans="1:9" x14ac:dyDescent="0.3">
      <c r="A27">
        <v>2</v>
      </c>
      <c r="B27">
        <v>0</v>
      </c>
      <c r="C27" t="s">
        <v>23</v>
      </c>
      <c r="D27" t="s">
        <v>22</v>
      </c>
      <c r="E27">
        <v>51</v>
      </c>
      <c r="F27" t="s">
        <v>27</v>
      </c>
      <c r="G27" t="s">
        <v>26</v>
      </c>
      <c r="H27">
        <v>23</v>
      </c>
      <c r="I27">
        <v>0</v>
      </c>
    </row>
    <row r="28" spans="1:9" x14ac:dyDescent="0.3">
      <c r="A28">
        <v>2</v>
      </c>
      <c r="B28">
        <v>0</v>
      </c>
      <c r="C28" t="s">
        <v>23</v>
      </c>
      <c r="D28" t="s">
        <v>22</v>
      </c>
      <c r="E28">
        <v>27</v>
      </c>
      <c r="F28" t="s">
        <v>27</v>
      </c>
      <c r="G28" t="s">
        <v>26</v>
      </c>
      <c r="H28">
        <v>29</v>
      </c>
      <c r="I28">
        <v>1</v>
      </c>
    </row>
    <row r="29" spans="1:9" x14ac:dyDescent="0.3">
      <c r="A29">
        <v>2</v>
      </c>
      <c r="B29">
        <v>0</v>
      </c>
      <c r="C29" t="s">
        <v>23</v>
      </c>
      <c r="D29" t="s">
        <v>22</v>
      </c>
      <c r="E29">
        <v>42</v>
      </c>
      <c r="F29" t="s">
        <v>27</v>
      </c>
      <c r="G29" t="s">
        <v>26</v>
      </c>
      <c r="H29">
        <v>64</v>
      </c>
      <c r="I29">
        <v>1</v>
      </c>
    </row>
    <row r="30" spans="1:9" x14ac:dyDescent="0.3">
      <c r="A30">
        <v>2</v>
      </c>
      <c r="B30">
        <v>0</v>
      </c>
      <c r="C30" t="s">
        <v>23</v>
      </c>
      <c r="D30" t="s">
        <v>22</v>
      </c>
      <c r="E30">
        <v>61</v>
      </c>
      <c r="F30" t="s">
        <v>27</v>
      </c>
      <c r="G30" t="s">
        <v>26</v>
      </c>
      <c r="H30">
        <v>19</v>
      </c>
      <c r="I30">
        <v>0</v>
      </c>
    </row>
    <row r="31" spans="1:9" x14ac:dyDescent="0.3">
      <c r="A31">
        <v>2</v>
      </c>
      <c r="B31">
        <v>0</v>
      </c>
      <c r="C31" t="s">
        <v>23</v>
      </c>
      <c r="D31" t="s">
        <v>22</v>
      </c>
      <c r="E31">
        <v>48</v>
      </c>
      <c r="F31" t="s">
        <v>27</v>
      </c>
      <c r="G31" t="s">
        <v>26</v>
      </c>
      <c r="H31">
        <v>50</v>
      </c>
      <c r="I31">
        <v>1</v>
      </c>
    </row>
    <row r="32" spans="1:9" x14ac:dyDescent="0.3">
      <c r="A32">
        <v>2</v>
      </c>
      <c r="B32">
        <v>0</v>
      </c>
      <c r="C32" t="s">
        <v>23</v>
      </c>
      <c r="D32" t="s">
        <v>22</v>
      </c>
      <c r="E32">
        <v>37</v>
      </c>
      <c r="F32" t="s">
        <v>27</v>
      </c>
      <c r="G32" t="s">
        <v>26</v>
      </c>
      <c r="H32">
        <v>9</v>
      </c>
      <c r="I32">
        <v>0</v>
      </c>
    </row>
    <row r="33" spans="1:9" x14ac:dyDescent="0.3">
      <c r="A33">
        <v>2</v>
      </c>
      <c r="B33">
        <v>0</v>
      </c>
      <c r="C33" t="s">
        <v>23</v>
      </c>
      <c r="D33" t="s">
        <v>22</v>
      </c>
      <c r="E33">
        <v>39</v>
      </c>
      <c r="F33" t="s">
        <v>27</v>
      </c>
      <c r="G33" t="s">
        <v>26</v>
      </c>
      <c r="H33">
        <v>38</v>
      </c>
      <c r="I33">
        <v>0</v>
      </c>
    </row>
    <row r="34" spans="1:9" x14ac:dyDescent="0.3">
      <c r="A34">
        <v>2</v>
      </c>
      <c r="B34">
        <v>0</v>
      </c>
      <c r="C34" t="s">
        <v>23</v>
      </c>
      <c r="D34" t="s">
        <v>22</v>
      </c>
      <c r="E34">
        <v>51</v>
      </c>
      <c r="F34" t="s">
        <v>27</v>
      </c>
      <c r="G34" t="s">
        <v>26</v>
      </c>
      <c r="H34">
        <v>4</v>
      </c>
      <c r="I34">
        <v>0</v>
      </c>
    </row>
    <row r="35" spans="1:9" x14ac:dyDescent="0.3">
      <c r="A35">
        <v>2</v>
      </c>
      <c r="B35">
        <v>0</v>
      </c>
      <c r="C35" t="s">
        <v>23</v>
      </c>
      <c r="D35" t="s">
        <v>22</v>
      </c>
      <c r="E35">
        <v>53</v>
      </c>
      <c r="F35" t="s">
        <v>27</v>
      </c>
      <c r="G35" t="s">
        <v>26</v>
      </c>
      <c r="H35">
        <v>22</v>
      </c>
      <c r="I35">
        <v>0</v>
      </c>
    </row>
    <row r="36" spans="1:9" x14ac:dyDescent="0.3">
      <c r="A36">
        <v>2</v>
      </c>
      <c r="B36">
        <v>0</v>
      </c>
      <c r="C36" t="s">
        <v>23</v>
      </c>
      <c r="D36" t="s">
        <v>22</v>
      </c>
      <c r="E36">
        <v>42</v>
      </c>
      <c r="F36" t="s">
        <v>27</v>
      </c>
      <c r="G36" t="s">
        <v>26</v>
      </c>
      <c r="H36">
        <v>57</v>
      </c>
      <c r="I36">
        <v>1</v>
      </c>
    </row>
    <row r="37" spans="1:9" x14ac:dyDescent="0.3">
      <c r="A37">
        <v>2</v>
      </c>
      <c r="B37">
        <v>0</v>
      </c>
      <c r="C37" t="s">
        <v>23</v>
      </c>
      <c r="D37" t="s">
        <v>22</v>
      </c>
      <c r="E37">
        <v>37</v>
      </c>
      <c r="F37" t="s">
        <v>27</v>
      </c>
      <c r="G37" t="s">
        <v>26</v>
      </c>
      <c r="H37">
        <v>42</v>
      </c>
      <c r="I37">
        <v>1</v>
      </c>
    </row>
    <row r="38" spans="1:9" x14ac:dyDescent="0.3">
      <c r="A38">
        <v>2</v>
      </c>
      <c r="B38">
        <v>0</v>
      </c>
      <c r="C38" t="s">
        <v>23</v>
      </c>
      <c r="D38" t="s">
        <v>22</v>
      </c>
      <c r="E38">
        <v>61</v>
      </c>
      <c r="F38" t="s">
        <v>27</v>
      </c>
      <c r="G38" t="s">
        <v>26</v>
      </c>
      <c r="H38">
        <v>38</v>
      </c>
      <c r="I38">
        <v>0</v>
      </c>
    </row>
    <row r="39" spans="1:9" x14ac:dyDescent="0.3">
      <c r="A39">
        <v>2</v>
      </c>
      <c r="B39">
        <v>0</v>
      </c>
      <c r="C39" t="s">
        <v>23</v>
      </c>
      <c r="D39" t="s">
        <v>22</v>
      </c>
      <c r="E39">
        <v>37</v>
      </c>
      <c r="F39" t="s">
        <v>27</v>
      </c>
      <c r="G39" t="s">
        <v>26</v>
      </c>
      <c r="H39">
        <v>24</v>
      </c>
      <c r="I39">
        <v>0</v>
      </c>
    </row>
    <row r="40" spans="1:9" x14ac:dyDescent="0.3">
      <c r="A40">
        <v>2</v>
      </c>
      <c r="B40">
        <v>0</v>
      </c>
      <c r="C40" t="s">
        <v>23</v>
      </c>
      <c r="D40" t="s">
        <v>22</v>
      </c>
      <c r="E40">
        <v>71</v>
      </c>
      <c r="F40" t="s">
        <v>27</v>
      </c>
      <c r="G40" t="s">
        <v>26</v>
      </c>
      <c r="H40">
        <v>28</v>
      </c>
      <c r="I40">
        <v>0</v>
      </c>
    </row>
    <row r="41" spans="1:9" x14ac:dyDescent="0.3">
      <c r="A41">
        <v>2</v>
      </c>
      <c r="B41">
        <v>0</v>
      </c>
      <c r="C41" t="s">
        <v>23</v>
      </c>
      <c r="D41" t="s">
        <v>22</v>
      </c>
      <c r="E41">
        <v>37</v>
      </c>
      <c r="F41" t="s">
        <v>27</v>
      </c>
      <c r="G41" t="s">
        <v>26</v>
      </c>
      <c r="H41">
        <v>25</v>
      </c>
      <c r="I41">
        <v>0</v>
      </c>
    </row>
    <row r="42" spans="1:9" x14ac:dyDescent="0.3">
      <c r="A42">
        <v>2</v>
      </c>
      <c r="B42">
        <v>0</v>
      </c>
      <c r="C42" t="s">
        <v>23</v>
      </c>
      <c r="D42" t="s">
        <v>22</v>
      </c>
      <c r="E42">
        <v>69</v>
      </c>
      <c r="F42" t="s">
        <v>27</v>
      </c>
      <c r="G42" t="s">
        <v>26</v>
      </c>
      <c r="H42">
        <v>52</v>
      </c>
      <c r="I42">
        <v>0</v>
      </c>
    </row>
    <row r="43" spans="1:9" x14ac:dyDescent="0.3">
      <c r="A43">
        <v>2</v>
      </c>
      <c r="B43">
        <v>0</v>
      </c>
      <c r="C43" t="s">
        <v>23</v>
      </c>
      <c r="D43" t="s">
        <v>22</v>
      </c>
      <c r="E43">
        <v>35</v>
      </c>
      <c r="F43" t="s">
        <v>27</v>
      </c>
      <c r="G43" t="s">
        <v>26</v>
      </c>
      <c r="H43">
        <v>41</v>
      </c>
      <c r="I43">
        <v>1</v>
      </c>
    </row>
    <row r="44" spans="1:9" x14ac:dyDescent="0.3">
      <c r="A44">
        <v>2</v>
      </c>
      <c r="B44">
        <v>0</v>
      </c>
      <c r="C44" t="s">
        <v>23</v>
      </c>
      <c r="D44" t="s">
        <v>22</v>
      </c>
      <c r="E44">
        <v>60</v>
      </c>
      <c r="F44" t="s">
        <v>27</v>
      </c>
      <c r="G44" t="s">
        <v>26</v>
      </c>
      <c r="H44">
        <v>40</v>
      </c>
      <c r="I44">
        <v>0</v>
      </c>
    </row>
    <row r="45" spans="1:9" x14ac:dyDescent="0.3">
      <c r="A45">
        <v>2</v>
      </c>
      <c r="B45">
        <v>0</v>
      </c>
      <c r="C45" t="s">
        <v>23</v>
      </c>
      <c r="D45" t="s">
        <v>22</v>
      </c>
      <c r="E45">
        <v>76</v>
      </c>
      <c r="F45" t="s">
        <v>27</v>
      </c>
      <c r="G45" t="s">
        <v>26</v>
      </c>
      <c r="H45">
        <v>26</v>
      </c>
      <c r="I45">
        <v>0</v>
      </c>
    </row>
    <row r="46" spans="1:9" x14ac:dyDescent="0.3">
      <c r="A46">
        <v>2</v>
      </c>
      <c r="B46">
        <v>0</v>
      </c>
      <c r="C46" t="s">
        <v>23</v>
      </c>
      <c r="D46" t="s">
        <v>22</v>
      </c>
      <c r="E46">
        <v>46</v>
      </c>
      <c r="F46" t="s">
        <v>27</v>
      </c>
      <c r="G46" t="s">
        <v>26</v>
      </c>
      <c r="H46">
        <v>26</v>
      </c>
      <c r="I46">
        <v>0</v>
      </c>
    </row>
    <row r="47" spans="1:9" x14ac:dyDescent="0.3">
      <c r="A47">
        <v>2</v>
      </c>
      <c r="B47">
        <v>0</v>
      </c>
      <c r="C47" t="s">
        <v>23</v>
      </c>
      <c r="D47" t="s">
        <v>22</v>
      </c>
      <c r="E47">
        <v>48</v>
      </c>
      <c r="F47" t="s">
        <v>27</v>
      </c>
      <c r="G47" t="s">
        <v>26</v>
      </c>
      <c r="H47">
        <v>32</v>
      </c>
      <c r="I47">
        <v>0</v>
      </c>
    </row>
    <row r="48" spans="1:9" x14ac:dyDescent="0.3">
      <c r="A48">
        <v>2</v>
      </c>
      <c r="B48">
        <v>0</v>
      </c>
      <c r="C48" t="s">
        <v>23</v>
      </c>
      <c r="D48" t="s">
        <v>22</v>
      </c>
      <c r="E48">
        <v>43</v>
      </c>
      <c r="F48" t="s">
        <v>27</v>
      </c>
      <c r="G48" t="s">
        <v>26</v>
      </c>
      <c r="H48">
        <v>8</v>
      </c>
      <c r="I48">
        <v>0</v>
      </c>
    </row>
    <row r="49" spans="1:9" x14ac:dyDescent="0.3">
      <c r="A49">
        <v>2</v>
      </c>
      <c r="B49">
        <v>0</v>
      </c>
      <c r="C49" t="s">
        <v>23</v>
      </c>
      <c r="D49" t="s">
        <v>22</v>
      </c>
      <c r="E49">
        <v>48</v>
      </c>
      <c r="F49" t="s">
        <v>27</v>
      </c>
      <c r="G49" t="s">
        <v>26</v>
      </c>
      <c r="H49">
        <v>38</v>
      </c>
      <c r="I49">
        <v>0</v>
      </c>
    </row>
    <row r="50" spans="1:9" x14ac:dyDescent="0.3">
      <c r="A50">
        <v>2</v>
      </c>
      <c r="B50">
        <v>0</v>
      </c>
      <c r="C50" t="s">
        <v>23</v>
      </c>
      <c r="D50" t="s">
        <v>22</v>
      </c>
      <c r="E50">
        <v>32</v>
      </c>
      <c r="F50" t="s">
        <v>27</v>
      </c>
      <c r="G50" t="s">
        <v>26</v>
      </c>
      <c r="H50">
        <v>32</v>
      </c>
      <c r="I50">
        <v>0</v>
      </c>
    </row>
    <row r="51" spans="1:9" x14ac:dyDescent="0.3">
      <c r="A51">
        <v>2</v>
      </c>
      <c r="B51">
        <v>1</v>
      </c>
      <c r="C51" t="s">
        <v>23</v>
      </c>
      <c r="D51" t="s">
        <v>22</v>
      </c>
      <c r="E51">
        <v>52</v>
      </c>
      <c r="F51" t="s">
        <v>27</v>
      </c>
      <c r="G51" t="s">
        <v>26</v>
      </c>
      <c r="H51">
        <v>47</v>
      </c>
      <c r="I51">
        <v>0</v>
      </c>
    </row>
    <row r="52" spans="1:9" x14ac:dyDescent="0.3">
      <c r="A52">
        <v>2</v>
      </c>
      <c r="B52">
        <v>1</v>
      </c>
      <c r="C52" t="s">
        <v>23</v>
      </c>
      <c r="D52" t="s">
        <v>22</v>
      </c>
      <c r="E52">
        <v>57</v>
      </c>
      <c r="F52" t="s">
        <v>27</v>
      </c>
      <c r="G52" t="s">
        <v>26</v>
      </c>
      <c r="H52">
        <v>24</v>
      </c>
      <c r="I52">
        <v>0</v>
      </c>
    </row>
    <row r="53" spans="1:9" x14ac:dyDescent="0.3">
      <c r="A53">
        <v>2</v>
      </c>
      <c r="B53">
        <v>1</v>
      </c>
      <c r="C53" t="s">
        <v>23</v>
      </c>
      <c r="D53" t="s">
        <v>22</v>
      </c>
      <c r="E53">
        <v>33</v>
      </c>
      <c r="F53" t="s">
        <v>27</v>
      </c>
      <c r="G53" t="s">
        <v>26</v>
      </c>
      <c r="H53">
        <v>42</v>
      </c>
      <c r="I53">
        <v>1</v>
      </c>
    </row>
    <row r="54" spans="1:9" x14ac:dyDescent="0.3">
      <c r="A54">
        <v>2</v>
      </c>
      <c r="B54">
        <v>1</v>
      </c>
      <c r="C54" t="s">
        <v>23</v>
      </c>
      <c r="D54" t="s">
        <v>22</v>
      </c>
      <c r="E54">
        <v>34</v>
      </c>
      <c r="F54" t="s">
        <v>27</v>
      </c>
      <c r="G54" t="s">
        <v>26</v>
      </c>
      <c r="H54">
        <v>63</v>
      </c>
      <c r="I54">
        <v>1</v>
      </c>
    </row>
    <row r="55" spans="1:9" x14ac:dyDescent="0.3">
      <c r="A55">
        <v>2</v>
      </c>
      <c r="B55">
        <v>1</v>
      </c>
      <c r="C55" t="s">
        <v>23</v>
      </c>
      <c r="D55" t="s">
        <v>22</v>
      </c>
      <c r="E55">
        <v>37</v>
      </c>
      <c r="F55" t="s">
        <v>27</v>
      </c>
      <c r="G55" t="s">
        <v>26</v>
      </c>
      <c r="H55">
        <v>17</v>
      </c>
      <c r="I55">
        <v>0</v>
      </c>
    </row>
    <row r="56" spans="1:9" x14ac:dyDescent="0.3">
      <c r="A56">
        <v>2</v>
      </c>
      <c r="B56">
        <v>1</v>
      </c>
      <c r="C56" t="s">
        <v>23</v>
      </c>
      <c r="D56" t="s">
        <v>22</v>
      </c>
      <c r="E56">
        <v>45</v>
      </c>
      <c r="F56" t="s">
        <v>27</v>
      </c>
      <c r="G56" t="s">
        <v>26</v>
      </c>
      <c r="H56">
        <v>14</v>
      </c>
      <c r="I56">
        <v>0</v>
      </c>
    </row>
    <row r="57" spans="1:9" x14ac:dyDescent="0.3">
      <c r="A57">
        <v>2</v>
      </c>
      <c r="B57">
        <v>1</v>
      </c>
      <c r="C57" t="s">
        <v>23</v>
      </c>
      <c r="D57" t="s">
        <v>22</v>
      </c>
      <c r="E57">
        <v>33</v>
      </c>
      <c r="F57" t="s">
        <v>27</v>
      </c>
      <c r="G57" t="s">
        <v>26</v>
      </c>
      <c r="H57">
        <v>47</v>
      </c>
      <c r="I57">
        <v>1</v>
      </c>
    </row>
    <row r="58" spans="1:9" x14ac:dyDescent="0.3">
      <c r="A58">
        <v>2</v>
      </c>
      <c r="B58">
        <v>1</v>
      </c>
      <c r="C58" t="s">
        <v>23</v>
      </c>
      <c r="D58" t="s">
        <v>22</v>
      </c>
      <c r="E58">
        <v>52</v>
      </c>
      <c r="F58" t="s">
        <v>27</v>
      </c>
      <c r="G58" t="s">
        <v>26</v>
      </c>
      <c r="H58">
        <v>27</v>
      </c>
      <c r="I58">
        <v>0</v>
      </c>
    </row>
    <row r="59" spans="1:9" x14ac:dyDescent="0.3">
      <c r="A59">
        <v>2</v>
      </c>
      <c r="B59">
        <v>1</v>
      </c>
      <c r="C59" t="s">
        <v>23</v>
      </c>
      <c r="D59" t="s">
        <v>22</v>
      </c>
      <c r="E59">
        <v>44</v>
      </c>
      <c r="F59" t="s">
        <v>27</v>
      </c>
      <c r="G59" t="s">
        <v>26</v>
      </c>
      <c r="H59">
        <v>35</v>
      </c>
      <c r="I59">
        <v>0</v>
      </c>
    </row>
    <row r="60" spans="1:9" x14ac:dyDescent="0.3">
      <c r="A60">
        <v>2</v>
      </c>
      <c r="B60">
        <v>1</v>
      </c>
      <c r="C60" t="s">
        <v>23</v>
      </c>
      <c r="D60" t="s">
        <v>22</v>
      </c>
      <c r="E60">
        <v>29</v>
      </c>
      <c r="F60" t="s">
        <v>27</v>
      </c>
      <c r="G60" t="s">
        <v>26</v>
      </c>
      <c r="H60">
        <v>62</v>
      </c>
      <c r="I60">
        <v>1</v>
      </c>
    </row>
    <row r="61" spans="1:9" x14ac:dyDescent="0.3">
      <c r="A61">
        <v>2</v>
      </c>
      <c r="B61">
        <v>1</v>
      </c>
      <c r="C61" t="s">
        <v>23</v>
      </c>
      <c r="D61" t="s">
        <v>22</v>
      </c>
      <c r="E61">
        <v>71</v>
      </c>
      <c r="F61" t="s">
        <v>27</v>
      </c>
      <c r="G61" t="s">
        <v>26</v>
      </c>
      <c r="H61">
        <v>62</v>
      </c>
      <c r="I61">
        <v>0</v>
      </c>
    </row>
    <row r="62" spans="1:9" x14ac:dyDescent="0.3">
      <c r="A62">
        <v>2</v>
      </c>
      <c r="B62">
        <v>1</v>
      </c>
      <c r="C62" t="s">
        <v>23</v>
      </c>
      <c r="D62" t="s">
        <v>22</v>
      </c>
      <c r="E62">
        <v>29</v>
      </c>
      <c r="F62" t="s">
        <v>27</v>
      </c>
      <c r="G62" t="s">
        <v>26</v>
      </c>
      <c r="H62">
        <v>28</v>
      </c>
      <c r="I62">
        <v>0</v>
      </c>
    </row>
    <row r="63" spans="1:9" x14ac:dyDescent="0.3">
      <c r="A63">
        <v>2</v>
      </c>
      <c r="B63">
        <v>1</v>
      </c>
      <c r="C63" t="s">
        <v>23</v>
      </c>
      <c r="D63" t="s">
        <v>22</v>
      </c>
      <c r="E63">
        <v>70</v>
      </c>
      <c r="F63" t="s">
        <v>27</v>
      </c>
      <c r="G63" t="s">
        <v>26</v>
      </c>
      <c r="H63">
        <v>50</v>
      </c>
      <c r="I63">
        <v>0</v>
      </c>
    </row>
    <row r="64" spans="1:9" x14ac:dyDescent="0.3">
      <c r="A64">
        <v>2</v>
      </c>
      <c r="B64">
        <v>1</v>
      </c>
      <c r="C64" t="s">
        <v>23</v>
      </c>
      <c r="D64" t="s">
        <v>22</v>
      </c>
      <c r="E64">
        <v>47</v>
      </c>
      <c r="F64" t="s">
        <v>27</v>
      </c>
      <c r="G64" t="s">
        <v>26</v>
      </c>
      <c r="H64">
        <v>18</v>
      </c>
      <c r="I64">
        <v>0</v>
      </c>
    </row>
    <row r="65" spans="1:9" x14ac:dyDescent="0.3">
      <c r="A65">
        <v>2</v>
      </c>
      <c r="B65">
        <v>1</v>
      </c>
      <c r="C65" t="s">
        <v>23</v>
      </c>
      <c r="D65" t="s">
        <v>22</v>
      </c>
      <c r="E65">
        <v>53</v>
      </c>
      <c r="F65" t="s">
        <v>27</v>
      </c>
      <c r="G65" t="s">
        <v>26</v>
      </c>
      <c r="H65">
        <v>48</v>
      </c>
      <c r="I65">
        <v>0</v>
      </c>
    </row>
    <row r="66" spans="1:9" x14ac:dyDescent="0.3">
      <c r="A66">
        <v>2</v>
      </c>
      <c r="B66">
        <v>1</v>
      </c>
      <c r="C66" t="s">
        <v>23</v>
      </c>
      <c r="D66" t="s">
        <v>22</v>
      </c>
      <c r="E66">
        <v>71</v>
      </c>
      <c r="F66" t="s">
        <v>27</v>
      </c>
      <c r="G66" t="s">
        <v>26</v>
      </c>
      <c r="H66">
        <v>53</v>
      </c>
      <c r="I66">
        <v>0</v>
      </c>
    </row>
    <row r="67" spans="1:9" x14ac:dyDescent="0.3">
      <c r="A67">
        <v>2</v>
      </c>
      <c r="B67">
        <v>1</v>
      </c>
      <c r="C67" t="s">
        <v>23</v>
      </c>
      <c r="D67" t="s">
        <v>22</v>
      </c>
      <c r="E67">
        <v>70</v>
      </c>
      <c r="F67" t="s">
        <v>27</v>
      </c>
      <c r="G67" t="s">
        <v>26</v>
      </c>
      <c r="H67">
        <v>27</v>
      </c>
      <c r="I67">
        <v>0</v>
      </c>
    </row>
    <row r="68" spans="1:9" x14ac:dyDescent="0.3">
      <c r="A68">
        <v>2</v>
      </c>
      <c r="B68">
        <v>1</v>
      </c>
      <c r="C68" t="s">
        <v>23</v>
      </c>
      <c r="D68" t="s">
        <v>22</v>
      </c>
      <c r="E68">
        <v>39</v>
      </c>
      <c r="F68" t="s">
        <v>27</v>
      </c>
      <c r="G68" t="s">
        <v>26</v>
      </c>
      <c r="H68">
        <v>38</v>
      </c>
      <c r="I68">
        <v>0</v>
      </c>
    </row>
    <row r="69" spans="1:9" x14ac:dyDescent="0.3">
      <c r="A69">
        <v>2</v>
      </c>
      <c r="B69">
        <v>1</v>
      </c>
      <c r="C69" t="s">
        <v>23</v>
      </c>
      <c r="D69" t="s">
        <v>22</v>
      </c>
      <c r="E69">
        <v>60</v>
      </c>
      <c r="F69" t="s">
        <v>27</v>
      </c>
      <c r="G69" t="s">
        <v>26</v>
      </c>
      <c r="H69">
        <v>48</v>
      </c>
      <c r="I69">
        <v>0</v>
      </c>
    </row>
    <row r="70" spans="1:9" x14ac:dyDescent="0.3">
      <c r="A70">
        <v>2</v>
      </c>
      <c r="B70">
        <v>1</v>
      </c>
      <c r="C70" t="s">
        <v>23</v>
      </c>
      <c r="D70" t="s">
        <v>22</v>
      </c>
      <c r="E70">
        <v>25</v>
      </c>
      <c r="F70" t="s">
        <v>27</v>
      </c>
      <c r="G70" t="s">
        <v>26</v>
      </c>
      <c r="H70">
        <v>16</v>
      </c>
      <c r="I70">
        <v>0</v>
      </c>
    </row>
    <row r="71" spans="1:9" x14ac:dyDescent="0.3">
      <c r="A71">
        <v>2</v>
      </c>
      <c r="B71">
        <v>1</v>
      </c>
      <c r="C71" t="s">
        <v>23</v>
      </c>
      <c r="D71" t="s">
        <v>22</v>
      </c>
      <c r="E71">
        <v>68</v>
      </c>
      <c r="F71" t="s">
        <v>27</v>
      </c>
      <c r="G71" t="s">
        <v>26</v>
      </c>
      <c r="H71">
        <v>59</v>
      </c>
      <c r="I71">
        <v>0</v>
      </c>
    </row>
    <row r="72" spans="1:9" x14ac:dyDescent="0.3">
      <c r="A72">
        <v>2</v>
      </c>
      <c r="B72">
        <v>1</v>
      </c>
      <c r="C72" t="s">
        <v>23</v>
      </c>
      <c r="D72" t="s">
        <v>22</v>
      </c>
      <c r="E72">
        <v>31</v>
      </c>
      <c r="F72" t="s">
        <v>27</v>
      </c>
      <c r="G72" t="s">
        <v>26</v>
      </c>
      <c r="H72">
        <v>3</v>
      </c>
      <c r="I72">
        <v>0</v>
      </c>
    </row>
    <row r="73" spans="1:9" x14ac:dyDescent="0.3">
      <c r="A73">
        <v>2</v>
      </c>
      <c r="B73">
        <v>1</v>
      </c>
      <c r="C73" t="s">
        <v>23</v>
      </c>
      <c r="D73" t="s">
        <v>22</v>
      </c>
      <c r="E73">
        <v>67</v>
      </c>
      <c r="F73" t="s">
        <v>27</v>
      </c>
      <c r="G73" t="s">
        <v>26</v>
      </c>
      <c r="H73">
        <v>28</v>
      </c>
      <c r="I73">
        <v>0</v>
      </c>
    </row>
    <row r="74" spans="1:9" x14ac:dyDescent="0.3">
      <c r="A74">
        <v>2</v>
      </c>
      <c r="B74">
        <v>1</v>
      </c>
      <c r="C74" t="s">
        <v>23</v>
      </c>
      <c r="D74" t="s">
        <v>22</v>
      </c>
      <c r="E74">
        <v>49</v>
      </c>
      <c r="F74" t="s">
        <v>27</v>
      </c>
      <c r="G74" t="s">
        <v>26</v>
      </c>
      <c r="H74">
        <v>24</v>
      </c>
      <c r="I74">
        <v>0</v>
      </c>
    </row>
    <row r="75" spans="1:9" x14ac:dyDescent="0.3">
      <c r="A75">
        <v>2</v>
      </c>
      <c r="B75">
        <v>1</v>
      </c>
      <c r="C75" t="s">
        <v>23</v>
      </c>
      <c r="D75" t="s">
        <v>22</v>
      </c>
      <c r="E75">
        <v>26</v>
      </c>
      <c r="F75" t="s">
        <v>27</v>
      </c>
      <c r="G75" t="s">
        <v>26</v>
      </c>
      <c r="H75">
        <v>48</v>
      </c>
      <c r="I75">
        <v>1</v>
      </c>
    </row>
    <row r="76" spans="1:9" x14ac:dyDescent="0.3">
      <c r="A76">
        <v>2</v>
      </c>
      <c r="B76">
        <v>1</v>
      </c>
      <c r="C76" t="s">
        <v>23</v>
      </c>
      <c r="D76" t="s">
        <v>22</v>
      </c>
      <c r="E76">
        <v>40</v>
      </c>
      <c r="F76" t="s">
        <v>27</v>
      </c>
      <c r="G76" t="s">
        <v>26</v>
      </c>
      <c r="H76">
        <v>35</v>
      </c>
      <c r="I76">
        <v>0</v>
      </c>
    </row>
    <row r="77" spans="1:9" x14ac:dyDescent="0.3">
      <c r="A77">
        <v>2</v>
      </c>
      <c r="B77">
        <v>1</v>
      </c>
      <c r="C77" t="s">
        <v>23</v>
      </c>
      <c r="D77" t="s">
        <v>22</v>
      </c>
      <c r="E77">
        <v>34</v>
      </c>
      <c r="F77" t="s">
        <v>27</v>
      </c>
      <c r="G77" t="s">
        <v>26</v>
      </c>
      <c r="H77">
        <v>20</v>
      </c>
      <c r="I77">
        <v>0</v>
      </c>
    </row>
    <row r="78" spans="1:9" x14ac:dyDescent="0.3">
      <c r="A78">
        <v>2</v>
      </c>
      <c r="B78">
        <v>1</v>
      </c>
      <c r="C78" t="s">
        <v>23</v>
      </c>
      <c r="D78" t="s">
        <v>22</v>
      </c>
      <c r="E78">
        <v>72</v>
      </c>
      <c r="F78" t="s">
        <v>27</v>
      </c>
      <c r="G78" t="s">
        <v>26</v>
      </c>
      <c r="H78">
        <v>42</v>
      </c>
      <c r="I78">
        <v>0</v>
      </c>
    </row>
    <row r="79" spans="1:9" x14ac:dyDescent="0.3">
      <c r="A79">
        <v>2</v>
      </c>
      <c r="B79">
        <v>1</v>
      </c>
      <c r="C79" t="s">
        <v>23</v>
      </c>
      <c r="D79" t="s">
        <v>22</v>
      </c>
      <c r="E79">
        <v>44</v>
      </c>
      <c r="F79" t="s">
        <v>27</v>
      </c>
      <c r="G79" t="s">
        <v>26</v>
      </c>
      <c r="H79">
        <v>25</v>
      </c>
      <c r="I79">
        <v>0</v>
      </c>
    </row>
    <row r="80" spans="1:9" x14ac:dyDescent="0.3">
      <c r="A80">
        <v>2</v>
      </c>
      <c r="B80">
        <v>1</v>
      </c>
      <c r="C80" t="s">
        <v>23</v>
      </c>
      <c r="D80" t="s">
        <v>22</v>
      </c>
      <c r="E80">
        <v>54</v>
      </c>
      <c r="F80" t="s">
        <v>27</v>
      </c>
      <c r="G80" t="s">
        <v>26</v>
      </c>
      <c r="H80">
        <v>15</v>
      </c>
      <c r="I80">
        <v>0</v>
      </c>
    </row>
    <row r="81" spans="1:9" x14ac:dyDescent="0.3">
      <c r="A81">
        <v>2</v>
      </c>
      <c r="B81">
        <v>1</v>
      </c>
      <c r="C81" t="s">
        <v>23</v>
      </c>
      <c r="D81" t="s">
        <v>22</v>
      </c>
      <c r="E81">
        <v>71</v>
      </c>
      <c r="F81" t="s">
        <v>27</v>
      </c>
      <c r="G81" t="s">
        <v>26</v>
      </c>
      <c r="H81">
        <v>44</v>
      </c>
      <c r="I81">
        <v>0</v>
      </c>
    </row>
    <row r="82" spans="1:9" x14ac:dyDescent="0.3">
      <c r="A82">
        <v>2</v>
      </c>
      <c r="B82">
        <v>1</v>
      </c>
      <c r="C82" t="s">
        <v>23</v>
      </c>
      <c r="D82" t="s">
        <v>22</v>
      </c>
      <c r="E82">
        <v>48</v>
      </c>
      <c r="F82" t="s">
        <v>27</v>
      </c>
      <c r="G82" t="s">
        <v>26</v>
      </c>
      <c r="H82">
        <v>14</v>
      </c>
      <c r="I82">
        <v>0</v>
      </c>
    </row>
    <row r="83" spans="1:9" x14ac:dyDescent="0.3">
      <c r="A83">
        <v>2</v>
      </c>
      <c r="B83">
        <v>1</v>
      </c>
      <c r="C83" t="s">
        <v>23</v>
      </c>
      <c r="D83" t="s">
        <v>22</v>
      </c>
      <c r="E83">
        <v>39</v>
      </c>
      <c r="F83" t="s">
        <v>27</v>
      </c>
      <c r="G83" t="s">
        <v>26</v>
      </c>
      <c r="H83">
        <v>27</v>
      </c>
      <c r="I83">
        <v>0</v>
      </c>
    </row>
    <row r="84" spans="1:9" x14ac:dyDescent="0.3">
      <c r="A84">
        <v>2</v>
      </c>
      <c r="B84">
        <v>1</v>
      </c>
      <c r="C84" t="s">
        <v>23</v>
      </c>
      <c r="D84" t="s">
        <v>22</v>
      </c>
      <c r="E84">
        <v>64</v>
      </c>
      <c r="F84" t="s">
        <v>27</v>
      </c>
      <c r="G84" t="s">
        <v>26</v>
      </c>
      <c r="H84">
        <v>26</v>
      </c>
      <c r="I84">
        <v>0</v>
      </c>
    </row>
    <row r="85" spans="1:9" x14ac:dyDescent="0.3">
      <c r="A85">
        <v>2</v>
      </c>
      <c r="B85">
        <v>1</v>
      </c>
      <c r="C85" t="s">
        <v>23</v>
      </c>
      <c r="D85" t="s">
        <v>22</v>
      </c>
      <c r="E85">
        <v>26</v>
      </c>
      <c r="F85" t="s">
        <v>27</v>
      </c>
      <c r="G85" t="s">
        <v>26</v>
      </c>
      <c r="H85">
        <v>27</v>
      </c>
      <c r="I85">
        <v>1</v>
      </c>
    </row>
    <row r="86" spans="1:9" x14ac:dyDescent="0.3">
      <c r="A86">
        <v>2</v>
      </c>
      <c r="B86">
        <v>1</v>
      </c>
      <c r="C86" t="s">
        <v>23</v>
      </c>
      <c r="D86" t="s">
        <v>22</v>
      </c>
      <c r="E86">
        <v>71</v>
      </c>
      <c r="F86" t="s">
        <v>27</v>
      </c>
      <c r="G86" t="s">
        <v>26</v>
      </c>
      <c r="H86">
        <v>55</v>
      </c>
      <c r="I86">
        <v>0</v>
      </c>
    </row>
    <row r="87" spans="1:9" x14ac:dyDescent="0.3">
      <c r="A87">
        <v>2</v>
      </c>
      <c r="B87">
        <v>1</v>
      </c>
      <c r="C87" t="s">
        <v>23</v>
      </c>
      <c r="D87" t="s">
        <v>22</v>
      </c>
      <c r="E87">
        <v>44</v>
      </c>
      <c r="F87" t="s">
        <v>27</v>
      </c>
      <c r="G87" t="s">
        <v>26</v>
      </c>
      <c r="H87">
        <v>85</v>
      </c>
      <c r="I87">
        <v>1</v>
      </c>
    </row>
    <row r="88" spans="1:9" x14ac:dyDescent="0.3">
      <c r="A88">
        <v>2</v>
      </c>
      <c r="B88">
        <v>1</v>
      </c>
      <c r="C88" t="s">
        <v>23</v>
      </c>
      <c r="D88" t="s">
        <v>22</v>
      </c>
      <c r="E88">
        <v>49</v>
      </c>
      <c r="F88" t="s">
        <v>27</v>
      </c>
      <c r="G88" t="s">
        <v>26</v>
      </c>
      <c r="H88">
        <v>66</v>
      </c>
      <c r="I88">
        <v>1</v>
      </c>
    </row>
    <row r="89" spans="1:9" x14ac:dyDescent="0.3">
      <c r="A89">
        <v>2</v>
      </c>
      <c r="B89">
        <v>1</v>
      </c>
      <c r="C89" t="s">
        <v>23</v>
      </c>
      <c r="D89" t="s">
        <v>22</v>
      </c>
      <c r="E89">
        <v>36</v>
      </c>
      <c r="F89" t="s">
        <v>27</v>
      </c>
      <c r="G89" t="s">
        <v>26</v>
      </c>
      <c r="H89">
        <v>41</v>
      </c>
      <c r="I89">
        <v>1</v>
      </c>
    </row>
    <row r="90" spans="1:9" x14ac:dyDescent="0.3">
      <c r="A90">
        <v>2</v>
      </c>
      <c r="B90">
        <v>1</v>
      </c>
      <c r="C90" t="s">
        <v>23</v>
      </c>
      <c r="D90" t="s">
        <v>22</v>
      </c>
      <c r="E90">
        <v>61</v>
      </c>
      <c r="F90" t="s">
        <v>27</v>
      </c>
      <c r="G90" t="s">
        <v>26</v>
      </c>
      <c r="H90">
        <v>34</v>
      </c>
      <c r="I90">
        <v>0</v>
      </c>
    </row>
    <row r="91" spans="1:9" x14ac:dyDescent="0.3">
      <c r="A91">
        <v>2</v>
      </c>
      <c r="B91">
        <v>1</v>
      </c>
      <c r="C91" t="s">
        <v>23</v>
      </c>
      <c r="D91" t="s">
        <v>22</v>
      </c>
      <c r="E91">
        <v>62</v>
      </c>
      <c r="F91" t="s">
        <v>27</v>
      </c>
      <c r="G91" t="s">
        <v>26</v>
      </c>
      <c r="H91">
        <v>33</v>
      </c>
      <c r="I91">
        <v>0</v>
      </c>
    </row>
    <row r="92" spans="1:9" x14ac:dyDescent="0.3">
      <c r="A92">
        <v>2</v>
      </c>
      <c r="B92">
        <v>1</v>
      </c>
      <c r="C92" t="s">
        <v>23</v>
      </c>
      <c r="D92" t="s">
        <v>22</v>
      </c>
      <c r="E92">
        <v>21</v>
      </c>
      <c r="F92" t="s">
        <v>27</v>
      </c>
      <c r="G92" t="s">
        <v>26</v>
      </c>
      <c r="H92">
        <v>36</v>
      </c>
      <c r="I92">
        <v>1</v>
      </c>
    </row>
    <row r="93" spans="1:9" x14ac:dyDescent="0.3">
      <c r="A93">
        <v>2</v>
      </c>
      <c r="B93">
        <v>1</v>
      </c>
      <c r="C93" t="s">
        <v>23</v>
      </c>
      <c r="D93" t="s">
        <v>22</v>
      </c>
      <c r="E93">
        <v>37</v>
      </c>
      <c r="F93" t="s">
        <v>27</v>
      </c>
      <c r="G93" t="s">
        <v>26</v>
      </c>
      <c r="H93">
        <v>51</v>
      </c>
      <c r="I93">
        <v>1</v>
      </c>
    </row>
    <row r="94" spans="1:9" x14ac:dyDescent="0.3">
      <c r="A94">
        <v>2</v>
      </c>
      <c r="B94">
        <v>1</v>
      </c>
      <c r="C94" t="s">
        <v>23</v>
      </c>
      <c r="D94" t="s">
        <v>22</v>
      </c>
      <c r="E94">
        <v>72</v>
      </c>
      <c r="F94" t="s">
        <v>27</v>
      </c>
      <c r="G94" t="s">
        <v>26</v>
      </c>
      <c r="H94">
        <v>39</v>
      </c>
      <c r="I94">
        <v>0</v>
      </c>
    </row>
    <row r="95" spans="1:9" x14ac:dyDescent="0.3">
      <c r="A95">
        <v>2</v>
      </c>
      <c r="B95">
        <v>1</v>
      </c>
      <c r="C95" t="s">
        <v>23</v>
      </c>
      <c r="D95" t="s">
        <v>22</v>
      </c>
      <c r="E95">
        <v>51</v>
      </c>
      <c r="F95" t="s">
        <v>27</v>
      </c>
      <c r="G95" t="s">
        <v>26</v>
      </c>
      <c r="H95">
        <v>57</v>
      </c>
      <c r="I95">
        <v>1</v>
      </c>
    </row>
    <row r="96" spans="1:9" x14ac:dyDescent="0.3">
      <c r="A96">
        <v>2</v>
      </c>
      <c r="B96">
        <v>1</v>
      </c>
      <c r="C96" t="s">
        <v>23</v>
      </c>
      <c r="D96" t="s">
        <v>22</v>
      </c>
      <c r="E96">
        <v>51</v>
      </c>
      <c r="F96" t="s">
        <v>27</v>
      </c>
      <c r="G96" t="s">
        <v>26</v>
      </c>
      <c r="H96">
        <v>60</v>
      </c>
      <c r="I96">
        <v>1</v>
      </c>
    </row>
    <row r="97" spans="1:9" x14ac:dyDescent="0.3">
      <c r="A97">
        <v>2</v>
      </c>
      <c r="B97">
        <v>1</v>
      </c>
      <c r="C97" t="s">
        <v>23</v>
      </c>
      <c r="D97" t="s">
        <v>22</v>
      </c>
      <c r="E97">
        <v>53</v>
      </c>
      <c r="F97" t="s">
        <v>27</v>
      </c>
      <c r="G97" t="s">
        <v>26</v>
      </c>
      <c r="H97">
        <v>48</v>
      </c>
      <c r="I97">
        <v>0</v>
      </c>
    </row>
    <row r="98" spans="1:9" x14ac:dyDescent="0.3">
      <c r="A98">
        <v>2</v>
      </c>
      <c r="B98">
        <v>1</v>
      </c>
      <c r="C98" t="s">
        <v>23</v>
      </c>
      <c r="D98" t="s">
        <v>22</v>
      </c>
      <c r="E98">
        <v>37</v>
      </c>
      <c r="F98" t="s">
        <v>27</v>
      </c>
      <c r="G98" t="s">
        <v>26</v>
      </c>
      <c r="H98">
        <v>64</v>
      </c>
      <c r="I98">
        <v>1</v>
      </c>
    </row>
    <row r="99" spans="1:9" x14ac:dyDescent="0.3">
      <c r="A99">
        <v>2</v>
      </c>
      <c r="B99">
        <v>1</v>
      </c>
      <c r="C99" t="s">
        <v>23</v>
      </c>
      <c r="D99" t="s">
        <v>22</v>
      </c>
      <c r="E99">
        <v>56</v>
      </c>
      <c r="F99" t="s">
        <v>27</v>
      </c>
      <c r="G99" t="s">
        <v>26</v>
      </c>
      <c r="H99">
        <v>43</v>
      </c>
      <c r="I99">
        <v>0</v>
      </c>
    </row>
    <row r="100" spans="1:9" x14ac:dyDescent="0.3">
      <c r="A100">
        <v>2</v>
      </c>
      <c r="B100">
        <v>1</v>
      </c>
      <c r="C100" t="s">
        <v>23</v>
      </c>
      <c r="D100" t="s">
        <v>22</v>
      </c>
      <c r="E100">
        <v>46</v>
      </c>
      <c r="F100" t="s">
        <v>27</v>
      </c>
      <c r="G100" t="s">
        <v>26</v>
      </c>
      <c r="H100">
        <v>55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08C76-91CF-4DC8-A529-2B99790FA329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23</v>
      </c>
      <c r="D1" t="s">
        <v>22</v>
      </c>
      <c r="E1">
        <v>47</v>
      </c>
      <c r="F1" t="s">
        <v>29</v>
      </c>
      <c r="G1" t="s">
        <v>28</v>
      </c>
      <c r="H1">
        <v>56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23</v>
      </c>
      <c r="D2" t="s">
        <v>22</v>
      </c>
      <c r="E2">
        <v>47</v>
      </c>
      <c r="F2" t="s">
        <v>29</v>
      </c>
      <c r="G2" t="s">
        <v>28</v>
      </c>
      <c r="H2">
        <v>24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23</v>
      </c>
      <c r="D3" t="s">
        <v>22</v>
      </c>
      <c r="E3">
        <v>54</v>
      </c>
      <c r="F3" t="s">
        <v>29</v>
      </c>
      <c r="G3" t="s">
        <v>28</v>
      </c>
      <c r="H3">
        <v>27</v>
      </c>
      <c r="I3">
        <v>0</v>
      </c>
      <c r="K3" s="8" t="s">
        <v>11</v>
      </c>
      <c r="L3" s="8"/>
      <c r="M3" s="10">
        <f>COUNTIF($I$1:$I$100, 0)</f>
        <v>77</v>
      </c>
      <c r="N3" s="10"/>
      <c r="O3" s="10">
        <f>COUNTIFS($I$1:$I$100, 0, $B$1:$B$100, 0)</f>
        <v>37</v>
      </c>
      <c r="P3" s="10"/>
      <c r="Q3" s="11">
        <f>COUNTIFS($I$1:$I$100, 0, $B$1:$B$100, 1)</f>
        <v>40</v>
      </c>
      <c r="R3" s="12"/>
      <c r="T3" cm="1">
        <f t="array" ref="T3">SUMPRODUCT(--($E$1:$E$100=$H$1:$H$100))</f>
        <v>2</v>
      </c>
    </row>
    <row r="4" spans="1:20" x14ac:dyDescent="0.3">
      <c r="A4">
        <v>2</v>
      </c>
      <c r="B4">
        <v>0</v>
      </c>
      <c r="C4" t="s">
        <v>23</v>
      </c>
      <c r="D4" t="s">
        <v>22</v>
      </c>
      <c r="E4">
        <v>57</v>
      </c>
      <c r="F4" t="s">
        <v>29</v>
      </c>
      <c r="G4" t="s">
        <v>28</v>
      </c>
      <c r="H4">
        <v>42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23</v>
      </c>
      <c r="D5" t="s">
        <v>22</v>
      </c>
      <c r="E5">
        <v>66</v>
      </c>
      <c r="F5" t="s">
        <v>29</v>
      </c>
      <c r="G5" t="s">
        <v>28</v>
      </c>
      <c r="H5">
        <v>30</v>
      </c>
      <c r="I5">
        <v>0</v>
      </c>
      <c r="K5" s="8" t="s">
        <v>10</v>
      </c>
      <c r="L5" s="8"/>
      <c r="M5" s="14">
        <f>COUNTIF($I$1:$I$100, 1)</f>
        <v>23</v>
      </c>
      <c r="N5" s="10"/>
      <c r="O5" s="10">
        <f>COUNTIFS($I$1:$I$100, 1, $B$1:$B$100, 0)</f>
        <v>13</v>
      </c>
      <c r="P5" s="10"/>
      <c r="Q5" s="10">
        <f>COUNTIFS($I$1:$I$100, 1, $B$1:$B$100, 1)</f>
        <v>10</v>
      </c>
      <c r="R5" s="13"/>
    </row>
    <row r="6" spans="1:20" x14ac:dyDescent="0.3">
      <c r="A6">
        <v>2</v>
      </c>
      <c r="B6">
        <v>0</v>
      </c>
      <c r="C6" t="s">
        <v>23</v>
      </c>
      <c r="D6" t="s">
        <v>22</v>
      </c>
      <c r="E6">
        <v>39</v>
      </c>
      <c r="F6" t="s">
        <v>29</v>
      </c>
      <c r="G6" t="s">
        <v>28</v>
      </c>
      <c r="H6">
        <v>20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23</v>
      </c>
      <c r="D7" t="s">
        <v>22</v>
      </c>
      <c r="E7">
        <v>69</v>
      </c>
      <c r="F7" t="s">
        <v>29</v>
      </c>
      <c r="G7" t="s">
        <v>28</v>
      </c>
      <c r="H7">
        <v>45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23</v>
      </c>
      <c r="D8" t="s">
        <v>22</v>
      </c>
      <c r="E8">
        <v>59</v>
      </c>
      <c r="F8" t="s">
        <v>29</v>
      </c>
      <c r="G8" t="s">
        <v>28</v>
      </c>
      <c r="H8">
        <v>24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23</v>
      </c>
      <c r="D9" t="s">
        <v>22</v>
      </c>
      <c r="E9">
        <v>34</v>
      </c>
      <c r="F9" t="s">
        <v>29</v>
      </c>
      <c r="G9" t="s">
        <v>28</v>
      </c>
      <c r="H9">
        <v>62</v>
      </c>
      <c r="I9">
        <v>1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23</v>
      </c>
      <c r="D10" t="s">
        <v>22</v>
      </c>
      <c r="E10">
        <v>45</v>
      </c>
      <c r="F10" t="s">
        <v>29</v>
      </c>
      <c r="G10" t="s">
        <v>28</v>
      </c>
      <c r="H10">
        <v>9</v>
      </c>
      <c r="I10">
        <v>0</v>
      </c>
      <c r="K10" s="8" t="s">
        <v>6</v>
      </c>
      <c r="L10" s="8"/>
      <c r="M10" s="10">
        <f>AVERAGE($E$1:$E$100,)</f>
        <v>47.534653465346537</v>
      </c>
      <c r="N10" s="10"/>
      <c r="O10" s="10" cm="1">
        <f t="array" ref="O10">AVERAGE(_xlfn._xlws.FILTER($E$1:$E$100,$I$1:$I$100 = 0))</f>
        <v>51.545454545454547</v>
      </c>
      <c r="P10" s="10"/>
      <c r="Q10" s="11" cm="1">
        <f t="array" ref="Q10">AVERAGE(_xlfn._xlws.FILTER($E$1:$E$100,$I$1:$I$100 = 1))</f>
        <v>36.173913043478258</v>
      </c>
      <c r="R10" s="12"/>
    </row>
    <row r="11" spans="1:20" x14ac:dyDescent="0.3">
      <c r="A11">
        <v>2</v>
      </c>
      <c r="B11">
        <v>0</v>
      </c>
      <c r="C11" t="s">
        <v>23</v>
      </c>
      <c r="D11" t="s">
        <v>22</v>
      </c>
      <c r="E11">
        <v>48</v>
      </c>
      <c r="F11" t="s">
        <v>29</v>
      </c>
      <c r="G11" t="s">
        <v>28</v>
      </c>
      <c r="H11">
        <v>12</v>
      </c>
      <c r="I11">
        <v>0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23</v>
      </c>
      <c r="D12" t="s">
        <v>22</v>
      </c>
      <c r="E12">
        <v>57</v>
      </c>
      <c r="F12" t="s">
        <v>29</v>
      </c>
      <c r="G12" t="s">
        <v>28</v>
      </c>
      <c r="H12">
        <v>16</v>
      </c>
      <c r="I12">
        <v>0</v>
      </c>
      <c r="K12" s="8" t="s">
        <v>5</v>
      </c>
      <c r="L12" s="8"/>
      <c r="M12" s="10">
        <f>AVERAGE($H$1:$H$100,)</f>
        <v>32.198019801980195</v>
      </c>
      <c r="N12" s="10"/>
      <c r="O12" s="10" cm="1">
        <f t="array" ref="O12">AVERAGE(_xlfn._xlws.FILTER($H$1:$H$100,$I$1:$I$100 = 0))</f>
        <v>27.519480519480521</v>
      </c>
      <c r="P12" s="10"/>
      <c r="Q12" s="10" cm="1">
        <f t="array" ref="Q12">AVERAGE(_xlfn._xlws.FILTER($H$1:$H$100,$I$1:$I$100 = 1))</f>
        <v>49.260869565217391</v>
      </c>
      <c r="R12" s="13"/>
    </row>
    <row r="13" spans="1:20" x14ac:dyDescent="0.3">
      <c r="A13">
        <v>2</v>
      </c>
      <c r="B13">
        <v>0</v>
      </c>
      <c r="C13" t="s">
        <v>23</v>
      </c>
      <c r="D13" t="s">
        <v>22</v>
      </c>
      <c r="E13">
        <v>44</v>
      </c>
      <c r="F13" t="s">
        <v>29</v>
      </c>
      <c r="G13" t="s">
        <v>28</v>
      </c>
      <c r="H13">
        <v>31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23</v>
      </c>
      <c r="D14" t="s">
        <v>22</v>
      </c>
      <c r="E14">
        <v>42</v>
      </c>
      <c r="F14" t="s">
        <v>29</v>
      </c>
      <c r="G14" t="s">
        <v>28</v>
      </c>
      <c r="H14">
        <v>31</v>
      </c>
      <c r="I14">
        <v>0</v>
      </c>
      <c r="K14" s="19" t="s">
        <v>4</v>
      </c>
      <c r="L14" s="12"/>
      <c r="M14" s="20" cm="1">
        <f t="array" ref="M14">AVERAGE($E$1:$E$100 - $H$1:$H$100)</f>
        <v>15.49</v>
      </c>
      <c r="N14" s="20"/>
      <c r="O14" s="20" cm="1">
        <f t="array" ref="O14">AVERAGE(_xlfn._xlws.FILTER($E$1:$E$100 - $H$1:$H$100, I$1:I$100 = 0))</f>
        <v>24.025974025974026</v>
      </c>
      <c r="P14" s="20"/>
      <c r="Q14" s="20" cm="1">
        <f t="array" ref="Q14">AVERAGE(_xlfn._xlws.FILTER($E$1:$E$100 - $H$1:$H$100, I$1:I$100 = 1))</f>
        <v>-13.086956521739131</v>
      </c>
      <c r="R14" s="22"/>
    </row>
    <row r="15" spans="1:20" x14ac:dyDescent="0.3">
      <c r="A15">
        <v>2</v>
      </c>
      <c r="B15">
        <v>0</v>
      </c>
      <c r="C15" t="s">
        <v>23</v>
      </c>
      <c r="D15" t="s">
        <v>22</v>
      </c>
      <c r="E15">
        <v>32</v>
      </c>
      <c r="F15" t="s">
        <v>29</v>
      </c>
      <c r="G15" t="s">
        <v>28</v>
      </c>
      <c r="H15">
        <v>45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23</v>
      </c>
      <c r="D16" t="s">
        <v>22</v>
      </c>
      <c r="E16">
        <v>58</v>
      </c>
      <c r="F16" t="s">
        <v>29</v>
      </c>
      <c r="G16" t="s">
        <v>28</v>
      </c>
      <c r="H16">
        <v>31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23</v>
      </c>
      <c r="D17" t="s">
        <v>22</v>
      </c>
      <c r="E17">
        <v>56</v>
      </c>
      <c r="F17" t="s">
        <v>29</v>
      </c>
      <c r="G17" t="s">
        <v>28</v>
      </c>
      <c r="H17">
        <v>55</v>
      </c>
      <c r="I17">
        <v>0</v>
      </c>
    </row>
    <row r="18" spans="1:9" x14ac:dyDescent="0.3">
      <c r="A18">
        <v>2</v>
      </c>
      <c r="B18">
        <v>0</v>
      </c>
      <c r="C18" t="s">
        <v>23</v>
      </c>
      <c r="D18" t="s">
        <v>22</v>
      </c>
      <c r="E18">
        <v>55</v>
      </c>
      <c r="F18" t="s">
        <v>29</v>
      </c>
      <c r="G18" t="s">
        <v>28</v>
      </c>
      <c r="H18">
        <v>36</v>
      </c>
      <c r="I18">
        <v>0</v>
      </c>
    </row>
    <row r="19" spans="1:9" x14ac:dyDescent="0.3">
      <c r="A19">
        <v>2</v>
      </c>
      <c r="B19">
        <v>0</v>
      </c>
      <c r="C19" t="s">
        <v>23</v>
      </c>
      <c r="D19" t="s">
        <v>22</v>
      </c>
      <c r="E19">
        <v>42</v>
      </c>
      <c r="F19" t="s">
        <v>29</v>
      </c>
      <c r="G19" t="s">
        <v>28</v>
      </c>
      <c r="H19">
        <v>9</v>
      </c>
      <c r="I19">
        <v>0</v>
      </c>
    </row>
    <row r="20" spans="1:9" x14ac:dyDescent="0.3">
      <c r="A20">
        <v>2</v>
      </c>
      <c r="B20">
        <v>0</v>
      </c>
      <c r="C20" t="s">
        <v>23</v>
      </c>
      <c r="D20" t="s">
        <v>22</v>
      </c>
      <c r="E20">
        <v>32</v>
      </c>
      <c r="F20" t="s">
        <v>29</v>
      </c>
      <c r="G20" t="s">
        <v>28</v>
      </c>
      <c r="H20">
        <v>43</v>
      </c>
      <c r="I20">
        <v>1</v>
      </c>
    </row>
    <row r="21" spans="1:9" x14ac:dyDescent="0.3">
      <c r="A21">
        <v>2</v>
      </c>
      <c r="B21">
        <v>0</v>
      </c>
      <c r="C21" t="s">
        <v>23</v>
      </c>
      <c r="D21" t="s">
        <v>22</v>
      </c>
      <c r="E21">
        <v>70</v>
      </c>
      <c r="F21" t="s">
        <v>29</v>
      </c>
      <c r="G21" t="s">
        <v>28</v>
      </c>
      <c r="H21">
        <v>56</v>
      </c>
      <c r="I21">
        <v>0</v>
      </c>
    </row>
    <row r="22" spans="1:9" x14ac:dyDescent="0.3">
      <c r="A22">
        <v>2</v>
      </c>
      <c r="B22">
        <v>0</v>
      </c>
      <c r="C22" t="s">
        <v>23</v>
      </c>
      <c r="D22" t="s">
        <v>22</v>
      </c>
      <c r="E22">
        <v>30</v>
      </c>
      <c r="F22" t="s">
        <v>29</v>
      </c>
      <c r="G22" t="s">
        <v>28</v>
      </c>
      <c r="H22">
        <v>35</v>
      </c>
      <c r="I22">
        <v>1</v>
      </c>
    </row>
    <row r="23" spans="1:9" x14ac:dyDescent="0.3">
      <c r="A23">
        <v>2</v>
      </c>
      <c r="B23">
        <v>0</v>
      </c>
      <c r="C23" t="s">
        <v>23</v>
      </c>
      <c r="D23" t="s">
        <v>22</v>
      </c>
      <c r="E23">
        <v>48</v>
      </c>
      <c r="F23" t="s">
        <v>29</v>
      </c>
      <c r="G23" t="s">
        <v>28</v>
      </c>
      <c r="H23">
        <v>59</v>
      </c>
      <c r="I23">
        <v>1</v>
      </c>
    </row>
    <row r="24" spans="1:9" x14ac:dyDescent="0.3">
      <c r="A24">
        <v>2</v>
      </c>
      <c r="B24">
        <v>0</v>
      </c>
      <c r="C24" t="s">
        <v>23</v>
      </c>
      <c r="D24" t="s">
        <v>22</v>
      </c>
      <c r="E24">
        <v>37</v>
      </c>
      <c r="F24" t="s">
        <v>29</v>
      </c>
      <c r="G24" t="s">
        <v>28</v>
      </c>
      <c r="H24">
        <v>40</v>
      </c>
      <c r="I24">
        <v>1</v>
      </c>
    </row>
    <row r="25" spans="1:9" x14ac:dyDescent="0.3">
      <c r="A25">
        <v>2</v>
      </c>
      <c r="B25">
        <v>0</v>
      </c>
      <c r="C25" t="s">
        <v>23</v>
      </c>
      <c r="D25" t="s">
        <v>22</v>
      </c>
      <c r="E25">
        <v>50</v>
      </c>
      <c r="F25" t="s">
        <v>29</v>
      </c>
      <c r="G25" t="s">
        <v>28</v>
      </c>
      <c r="H25">
        <v>17</v>
      </c>
      <c r="I25">
        <v>0</v>
      </c>
    </row>
    <row r="26" spans="1:9" x14ac:dyDescent="0.3">
      <c r="A26">
        <v>2</v>
      </c>
      <c r="B26">
        <v>0</v>
      </c>
      <c r="C26" t="s">
        <v>23</v>
      </c>
      <c r="D26" t="s">
        <v>22</v>
      </c>
      <c r="E26">
        <v>66</v>
      </c>
      <c r="F26" t="s">
        <v>29</v>
      </c>
      <c r="G26" t="s">
        <v>28</v>
      </c>
      <c r="H26">
        <v>4</v>
      </c>
      <c r="I26">
        <v>0</v>
      </c>
    </row>
    <row r="27" spans="1:9" x14ac:dyDescent="0.3">
      <c r="A27">
        <v>2</v>
      </c>
      <c r="B27">
        <v>0</v>
      </c>
      <c r="C27" t="s">
        <v>23</v>
      </c>
      <c r="D27" t="s">
        <v>22</v>
      </c>
      <c r="E27">
        <v>41</v>
      </c>
      <c r="F27" t="s">
        <v>29</v>
      </c>
      <c r="G27" t="s">
        <v>28</v>
      </c>
      <c r="H27">
        <v>18</v>
      </c>
      <c r="I27">
        <v>0</v>
      </c>
    </row>
    <row r="28" spans="1:9" x14ac:dyDescent="0.3">
      <c r="A28">
        <v>2</v>
      </c>
      <c r="B28">
        <v>0</v>
      </c>
      <c r="C28" t="s">
        <v>23</v>
      </c>
      <c r="D28" t="s">
        <v>22</v>
      </c>
      <c r="E28">
        <v>36</v>
      </c>
      <c r="F28" t="s">
        <v>29</v>
      </c>
      <c r="G28" t="s">
        <v>28</v>
      </c>
      <c r="H28">
        <v>24</v>
      </c>
      <c r="I28">
        <v>0</v>
      </c>
    </row>
    <row r="29" spans="1:9" x14ac:dyDescent="0.3">
      <c r="A29">
        <v>2</v>
      </c>
      <c r="B29">
        <v>0</v>
      </c>
      <c r="C29" t="s">
        <v>23</v>
      </c>
      <c r="D29" t="s">
        <v>22</v>
      </c>
      <c r="E29">
        <v>67</v>
      </c>
      <c r="F29" t="s">
        <v>29</v>
      </c>
      <c r="G29" t="s">
        <v>28</v>
      </c>
      <c r="H29">
        <v>25</v>
      </c>
      <c r="I29">
        <v>0</v>
      </c>
    </row>
    <row r="30" spans="1:9" x14ac:dyDescent="0.3">
      <c r="A30">
        <v>2</v>
      </c>
      <c r="B30">
        <v>0</v>
      </c>
      <c r="C30" t="s">
        <v>23</v>
      </c>
      <c r="D30" t="s">
        <v>22</v>
      </c>
      <c r="E30">
        <v>54</v>
      </c>
      <c r="F30" t="s">
        <v>29</v>
      </c>
      <c r="G30" t="s">
        <v>28</v>
      </c>
      <c r="H30">
        <v>13</v>
      </c>
      <c r="I30">
        <v>0</v>
      </c>
    </row>
    <row r="31" spans="1:9" x14ac:dyDescent="0.3">
      <c r="A31">
        <v>2</v>
      </c>
      <c r="B31">
        <v>0</v>
      </c>
      <c r="C31" t="s">
        <v>23</v>
      </c>
      <c r="D31" t="s">
        <v>22</v>
      </c>
      <c r="E31">
        <v>54</v>
      </c>
      <c r="F31" t="s">
        <v>29</v>
      </c>
      <c r="G31" t="s">
        <v>28</v>
      </c>
      <c r="H31">
        <v>58</v>
      </c>
      <c r="I31">
        <v>1</v>
      </c>
    </row>
    <row r="32" spans="1:9" x14ac:dyDescent="0.3">
      <c r="A32">
        <v>2</v>
      </c>
      <c r="B32">
        <v>0</v>
      </c>
      <c r="C32" t="s">
        <v>23</v>
      </c>
      <c r="D32" t="s">
        <v>22</v>
      </c>
      <c r="E32">
        <v>41</v>
      </c>
      <c r="F32" t="s">
        <v>29</v>
      </c>
      <c r="G32" t="s">
        <v>28</v>
      </c>
      <c r="H32">
        <v>31</v>
      </c>
      <c r="I32">
        <v>0</v>
      </c>
    </row>
    <row r="33" spans="1:9" x14ac:dyDescent="0.3">
      <c r="A33">
        <v>2</v>
      </c>
      <c r="B33">
        <v>0</v>
      </c>
      <c r="C33" t="s">
        <v>23</v>
      </c>
      <c r="D33" t="s">
        <v>22</v>
      </c>
      <c r="E33">
        <v>16</v>
      </c>
      <c r="F33" t="s">
        <v>29</v>
      </c>
      <c r="G33" t="s">
        <v>28</v>
      </c>
      <c r="H33">
        <v>14</v>
      </c>
      <c r="I33">
        <v>0</v>
      </c>
    </row>
    <row r="34" spans="1:9" x14ac:dyDescent="0.3">
      <c r="A34">
        <v>2</v>
      </c>
      <c r="B34">
        <v>0</v>
      </c>
      <c r="C34" t="s">
        <v>23</v>
      </c>
      <c r="D34" t="s">
        <v>22</v>
      </c>
      <c r="E34">
        <v>23</v>
      </c>
      <c r="F34" t="s">
        <v>29</v>
      </c>
      <c r="G34" t="s">
        <v>28</v>
      </c>
      <c r="H34">
        <v>16</v>
      </c>
      <c r="I34">
        <v>0</v>
      </c>
    </row>
    <row r="35" spans="1:9" x14ac:dyDescent="0.3">
      <c r="A35">
        <v>2</v>
      </c>
      <c r="B35">
        <v>0</v>
      </c>
      <c r="C35" t="s">
        <v>23</v>
      </c>
      <c r="D35" t="s">
        <v>22</v>
      </c>
      <c r="E35">
        <v>77</v>
      </c>
      <c r="F35" t="s">
        <v>29</v>
      </c>
      <c r="G35" t="s">
        <v>28</v>
      </c>
      <c r="H35">
        <v>20</v>
      </c>
      <c r="I35">
        <v>0</v>
      </c>
    </row>
    <row r="36" spans="1:9" x14ac:dyDescent="0.3">
      <c r="A36">
        <v>2</v>
      </c>
      <c r="B36">
        <v>0</v>
      </c>
      <c r="C36" t="s">
        <v>23</v>
      </c>
      <c r="D36" t="s">
        <v>22</v>
      </c>
      <c r="E36">
        <v>9</v>
      </c>
      <c r="F36" t="s">
        <v>29</v>
      </c>
      <c r="G36" t="s">
        <v>28</v>
      </c>
      <c r="H36">
        <v>57</v>
      </c>
      <c r="I36">
        <v>1</v>
      </c>
    </row>
    <row r="37" spans="1:9" x14ac:dyDescent="0.3">
      <c r="A37">
        <v>2</v>
      </c>
      <c r="B37">
        <v>0</v>
      </c>
      <c r="C37" t="s">
        <v>23</v>
      </c>
      <c r="D37" t="s">
        <v>22</v>
      </c>
      <c r="E37">
        <v>46</v>
      </c>
      <c r="F37" t="s">
        <v>29</v>
      </c>
      <c r="G37" t="s">
        <v>28</v>
      </c>
      <c r="H37">
        <v>52</v>
      </c>
      <c r="I37">
        <v>1</v>
      </c>
    </row>
    <row r="38" spans="1:9" x14ac:dyDescent="0.3">
      <c r="A38">
        <v>2</v>
      </c>
      <c r="B38">
        <v>0</v>
      </c>
      <c r="C38" t="s">
        <v>23</v>
      </c>
      <c r="D38" t="s">
        <v>22</v>
      </c>
      <c r="E38">
        <v>57</v>
      </c>
      <c r="F38" t="s">
        <v>29</v>
      </c>
      <c r="G38" t="s">
        <v>28</v>
      </c>
      <c r="H38">
        <v>43</v>
      </c>
      <c r="I38">
        <v>0</v>
      </c>
    </row>
    <row r="39" spans="1:9" x14ac:dyDescent="0.3">
      <c r="A39">
        <v>2</v>
      </c>
      <c r="B39">
        <v>0</v>
      </c>
      <c r="C39" t="s">
        <v>23</v>
      </c>
      <c r="D39" t="s">
        <v>22</v>
      </c>
      <c r="E39">
        <v>51</v>
      </c>
      <c r="F39" t="s">
        <v>29</v>
      </c>
      <c r="G39" t="s">
        <v>28</v>
      </c>
      <c r="H39">
        <v>19</v>
      </c>
      <c r="I39">
        <v>0</v>
      </c>
    </row>
    <row r="40" spans="1:9" x14ac:dyDescent="0.3">
      <c r="A40">
        <v>2</v>
      </c>
      <c r="B40">
        <v>0</v>
      </c>
      <c r="C40" t="s">
        <v>23</v>
      </c>
      <c r="D40" t="s">
        <v>22</v>
      </c>
      <c r="E40">
        <v>53</v>
      </c>
      <c r="F40" t="s">
        <v>29</v>
      </c>
      <c r="G40" t="s">
        <v>28</v>
      </c>
      <c r="H40">
        <v>21</v>
      </c>
      <c r="I40">
        <v>0</v>
      </c>
    </row>
    <row r="41" spans="1:9" x14ac:dyDescent="0.3">
      <c r="A41">
        <v>2</v>
      </c>
      <c r="B41">
        <v>0</v>
      </c>
      <c r="C41" t="s">
        <v>23</v>
      </c>
      <c r="D41" t="s">
        <v>22</v>
      </c>
      <c r="E41">
        <v>56</v>
      </c>
      <c r="F41" t="s">
        <v>29</v>
      </c>
      <c r="G41" t="s">
        <v>28</v>
      </c>
      <c r="H41">
        <v>22</v>
      </c>
      <c r="I41">
        <v>0</v>
      </c>
    </row>
    <row r="42" spans="1:9" x14ac:dyDescent="0.3">
      <c r="A42">
        <v>2</v>
      </c>
      <c r="B42">
        <v>0</v>
      </c>
      <c r="C42" t="s">
        <v>23</v>
      </c>
      <c r="D42" t="s">
        <v>22</v>
      </c>
      <c r="E42">
        <v>56</v>
      </c>
      <c r="F42" t="s">
        <v>29</v>
      </c>
      <c r="G42" t="s">
        <v>28</v>
      </c>
      <c r="H42">
        <v>13</v>
      </c>
      <c r="I42">
        <v>0</v>
      </c>
    </row>
    <row r="43" spans="1:9" x14ac:dyDescent="0.3">
      <c r="A43">
        <v>2</v>
      </c>
      <c r="B43">
        <v>0</v>
      </c>
      <c r="C43" t="s">
        <v>23</v>
      </c>
      <c r="D43" t="s">
        <v>22</v>
      </c>
      <c r="E43">
        <v>39</v>
      </c>
      <c r="F43" t="s">
        <v>29</v>
      </c>
      <c r="G43" t="s">
        <v>28</v>
      </c>
      <c r="H43">
        <v>53</v>
      </c>
      <c r="I43">
        <v>1</v>
      </c>
    </row>
    <row r="44" spans="1:9" x14ac:dyDescent="0.3">
      <c r="A44">
        <v>2</v>
      </c>
      <c r="B44">
        <v>0</v>
      </c>
      <c r="C44" t="s">
        <v>23</v>
      </c>
      <c r="D44" t="s">
        <v>22</v>
      </c>
      <c r="E44">
        <v>47</v>
      </c>
      <c r="F44" t="s">
        <v>29</v>
      </c>
      <c r="G44" t="s">
        <v>28</v>
      </c>
      <c r="H44">
        <v>43</v>
      </c>
      <c r="I44">
        <v>0</v>
      </c>
    </row>
    <row r="45" spans="1:9" x14ac:dyDescent="0.3">
      <c r="A45">
        <v>2</v>
      </c>
      <c r="B45">
        <v>0</v>
      </c>
      <c r="C45" t="s">
        <v>23</v>
      </c>
      <c r="D45" t="s">
        <v>22</v>
      </c>
      <c r="E45">
        <v>27</v>
      </c>
      <c r="F45" t="s">
        <v>29</v>
      </c>
      <c r="G45" t="s">
        <v>28</v>
      </c>
      <c r="H45">
        <v>44</v>
      </c>
      <c r="I45">
        <v>1</v>
      </c>
    </row>
    <row r="46" spans="1:9" x14ac:dyDescent="0.3">
      <c r="A46">
        <v>2</v>
      </c>
      <c r="B46">
        <v>0</v>
      </c>
      <c r="C46" t="s">
        <v>23</v>
      </c>
      <c r="D46" t="s">
        <v>22</v>
      </c>
      <c r="E46">
        <v>45</v>
      </c>
      <c r="F46" t="s">
        <v>29</v>
      </c>
      <c r="G46" t="s">
        <v>28</v>
      </c>
      <c r="H46">
        <v>39</v>
      </c>
      <c r="I46">
        <v>0</v>
      </c>
    </row>
    <row r="47" spans="1:9" x14ac:dyDescent="0.3">
      <c r="A47">
        <v>2</v>
      </c>
      <c r="B47">
        <v>0</v>
      </c>
      <c r="C47" t="s">
        <v>23</v>
      </c>
      <c r="D47" t="s">
        <v>22</v>
      </c>
      <c r="E47">
        <v>46</v>
      </c>
      <c r="F47" t="s">
        <v>29</v>
      </c>
      <c r="G47" t="s">
        <v>28</v>
      </c>
      <c r="H47">
        <v>26</v>
      </c>
      <c r="I47">
        <v>0</v>
      </c>
    </row>
    <row r="48" spans="1:9" x14ac:dyDescent="0.3">
      <c r="A48">
        <v>2</v>
      </c>
      <c r="B48">
        <v>0</v>
      </c>
      <c r="C48" t="s">
        <v>23</v>
      </c>
      <c r="D48" t="s">
        <v>22</v>
      </c>
      <c r="E48">
        <v>19</v>
      </c>
      <c r="F48" t="s">
        <v>29</v>
      </c>
      <c r="G48" t="s">
        <v>28</v>
      </c>
      <c r="H48">
        <v>51</v>
      </c>
      <c r="I48">
        <v>1</v>
      </c>
    </row>
    <row r="49" spans="1:9" x14ac:dyDescent="0.3">
      <c r="A49">
        <v>2</v>
      </c>
      <c r="B49">
        <v>0</v>
      </c>
      <c r="C49" t="s">
        <v>23</v>
      </c>
      <c r="D49" t="s">
        <v>22</v>
      </c>
      <c r="E49">
        <v>24</v>
      </c>
      <c r="F49" t="s">
        <v>29</v>
      </c>
      <c r="G49" t="s">
        <v>28</v>
      </c>
      <c r="H49">
        <v>18</v>
      </c>
      <c r="I49">
        <v>0</v>
      </c>
    </row>
    <row r="50" spans="1:9" x14ac:dyDescent="0.3">
      <c r="A50">
        <v>2</v>
      </c>
      <c r="B50">
        <v>0</v>
      </c>
      <c r="C50" t="s">
        <v>23</v>
      </c>
      <c r="D50" t="s">
        <v>22</v>
      </c>
      <c r="E50">
        <v>33</v>
      </c>
      <c r="F50" t="s">
        <v>29</v>
      </c>
      <c r="G50" t="s">
        <v>28</v>
      </c>
      <c r="H50">
        <v>31</v>
      </c>
      <c r="I50">
        <v>0</v>
      </c>
    </row>
    <row r="51" spans="1:9" x14ac:dyDescent="0.3">
      <c r="A51">
        <v>2</v>
      </c>
      <c r="B51">
        <v>1</v>
      </c>
      <c r="C51" t="s">
        <v>23</v>
      </c>
      <c r="D51" t="s">
        <v>22</v>
      </c>
      <c r="E51">
        <v>68</v>
      </c>
      <c r="F51" t="s">
        <v>29</v>
      </c>
      <c r="G51" t="s">
        <v>28</v>
      </c>
      <c r="H51">
        <v>64</v>
      </c>
      <c r="I51">
        <v>0</v>
      </c>
    </row>
    <row r="52" spans="1:9" x14ac:dyDescent="0.3">
      <c r="A52">
        <v>2</v>
      </c>
      <c r="B52">
        <v>1</v>
      </c>
      <c r="C52" t="s">
        <v>23</v>
      </c>
      <c r="D52" t="s">
        <v>22</v>
      </c>
      <c r="E52">
        <v>40</v>
      </c>
      <c r="F52" t="s">
        <v>29</v>
      </c>
      <c r="G52" t="s">
        <v>28</v>
      </c>
      <c r="H52">
        <v>36</v>
      </c>
      <c r="I52">
        <v>0</v>
      </c>
    </row>
    <row r="53" spans="1:9" x14ac:dyDescent="0.3">
      <c r="A53">
        <v>2</v>
      </c>
      <c r="B53">
        <v>1</v>
      </c>
      <c r="C53" t="s">
        <v>23</v>
      </c>
      <c r="D53" t="s">
        <v>22</v>
      </c>
      <c r="E53">
        <v>53</v>
      </c>
      <c r="F53" t="s">
        <v>29</v>
      </c>
      <c r="G53" t="s">
        <v>28</v>
      </c>
      <c r="H53">
        <v>30</v>
      </c>
      <c r="I53">
        <v>0</v>
      </c>
    </row>
    <row r="54" spans="1:9" x14ac:dyDescent="0.3">
      <c r="A54">
        <v>2</v>
      </c>
      <c r="B54">
        <v>1</v>
      </c>
      <c r="C54" t="s">
        <v>23</v>
      </c>
      <c r="D54" t="s">
        <v>22</v>
      </c>
      <c r="E54">
        <v>52</v>
      </c>
      <c r="F54" t="s">
        <v>29</v>
      </c>
      <c r="G54" t="s">
        <v>28</v>
      </c>
      <c r="H54">
        <v>22</v>
      </c>
      <c r="I54">
        <v>0</v>
      </c>
    </row>
    <row r="55" spans="1:9" x14ac:dyDescent="0.3">
      <c r="A55">
        <v>2</v>
      </c>
      <c r="B55">
        <v>1</v>
      </c>
      <c r="C55" t="s">
        <v>23</v>
      </c>
      <c r="D55" t="s">
        <v>22</v>
      </c>
      <c r="E55">
        <v>44</v>
      </c>
      <c r="F55" t="s">
        <v>29</v>
      </c>
      <c r="G55" t="s">
        <v>28</v>
      </c>
      <c r="H55">
        <v>22</v>
      </c>
      <c r="I55">
        <v>0</v>
      </c>
    </row>
    <row r="56" spans="1:9" x14ac:dyDescent="0.3">
      <c r="A56">
        <v>2</v>
      </c>
      <c r="B56">
        <v>1</v>
      </c>
      <c r="C56" t="s">
        <v>23</v>
      </c>
      <c r="D56" t="s">
        <v>22</v>
      </c>
      <c r="E56">
        <v>33</v>
      </c>
      <c r="F56" t="s">
        <v>29</v>
      </c>
      <c r="G56" t="s">
        <v>28</v>
      </c>
      <c r="H56">
        <v>2</v>
      </c>
      <c r="I56">
        <v>0</v>
      </c>
    </row>
    <row r="57" spans="1:9" x14ac:dyDescent="0.3">
      <c r="A57">
        <v>2</v>
      </c>
      <c r="B57">
        <v>1</v>
      </c>
      <c r="C57" t="s">
        <v>23</v>
      </c>
      <c r="D57" t="s">
        <v>22</v>
      </c>
      <c r="E57">
        <v>30</v>
      </c>
      <c r="F57" t="s">
        <v>29</v>
      </c>
      <c r="G57" t="s">
        <v>28</v>
      </c>
      <c r="H57">
        <v>17</v>
      </c>
      <c r="I57">
        <v>0</v>
      </c>
    </row>
    <row r="58" spans="1:9" x14ac:dyDescent="0.3">
      <c r="A58">
        <v>2</v>
      </c>
      <c r="B58">
        <v>1</v>
      </c>
      <c r="C58" t="s">
        <v>23</v>
      </c>
      <c r="D58" t="s">
        <v>22</v>
      </c>
      <c r="E58">
        <v>55</v>
      </c>
      <c r="F58" t="s">
        <v>29</v>
      </c>
      <c r="G58" t="s">
        <v>28</v>
      </c>
      <c r="H58">
        <v>41</v>
      </c>
      <c r="I58">
        <v>0</v>
      </c>
    </row>
    <row r="59" spans="1:9" x14ac:dyDescent="0.3">
      <c r="A59">
        <v>2</v>
      </c>
      <c r="B59">
        <v>1</v>
      </c>
      <c r="C59" t="s">
        <v>23</v>
      </c>
      <c r="D59" t="s">
        <v>22</v>
      </c>
      <c r="E59">
        <v>53</v>
      </c>
      <c r="F59" t="s">
        <v>29</v>
      </c>
      <c r="G59" t="s">
        <v>28</v>
      </c>
      <c r="H59">
        <v>14</v>
      </c>
      <c r="I59">
        <v>0</v>
      </c>
    </row>
    <row r="60" spans="1:9" x14ac:dyDescent="0.3">
      <c r="A60">
        <v>2</v>
      </c>
      <c r="B60">
        <v>1</v>
      </c>
      <c r="C60" t="s">
        <v>23</v>
      </c>
      <c r="D60" t="s">
        <v>22</v>
      </c>
      <c r="E60">
        <v>60</v>
      </c>
      <c r="F60" t="s">
        <v>29</v>
      </c>
      <c r="G60" t="s">
        <v>28</v>
      </c>
      <c r="H60">
        <v>17</v>
      </c>
      <c r="I60">
        <v>0</v>
      </c>
    </row>
    <row r="61" spans="1:9" x14ac:dyDescent="0.3">
      <c r="A61">
        <v>2</v>
      </c>
      <c r="B61">
        <v>1</v>
      </c>
      <c r="C61" t="s">
        <v>23</v>
      </c>
      <c r="D61" t="s">
        <v>22</v>
      </c>
      <c r="E61">
        <v>36</v>
      </c>
      <c r="F61" t="s">
        <v>29</v>
      </c>
      <c r="G61" t="s">
        <v>28</v>
      </c>
      <c r="H61">
        <v>50</v>
      </c>
      <c r="I61">
        <v>1</v>
      </c>
    </row>
    <row r="62" spans="1:9" x14ac:dyDescent="0.3">
      <c r="A62">
        <v>2</v>
      </c>
      <c r="B62">
        <v>1</v>
      </c>
      <c r="C62" t="s">
        <v>23</v>
      </c>
      <c r="D62" t="s">
        <v>22</v>
      </c>
      <c r="E62">
        <v>45</v>
      </c>
      <c r="F62" t="s">
        <v>29</v>
      </c>
      <c r="G62" t="s">
        <v>28</v>
      </c>
      <c r="H62">
        <v>35</v>
      </c>
      <c r="I62">
        <v>0</v>
      </c>
    </row>
    <row r="63" spans="1:9" x14ac:dyDescent="0.3">
      <c r="A63">
        <v>2</v>
      </c>
      <c r="B63">
        <v>1</v>
      </c>
      <c r="C63" t="s">
        <v>23</v>
      </c>
      <c r="D63" t="s">
        <v>22</v>
      </c>
      <c r="E63">
        <v>32</v>
      </c>
      <c r="F63" t="s">
        <v>29</v>
      </c>
      <c r="G63" t="s">
        <v>28</v>
      </c>
      <c r="H63">
        <v>32</v>
      </c>
      <c r="I63">
        <v>0</v>
      </c>
    </row>
    <row r="64" spans="1:9" x14ac:dyDescent="0.3">
      <c r="A64">
        <v>2</v>
      </c>
      <c r="B64">
        <v>1</v>
      </c>
      <c r="C64" t="s">
        <v>23</v>
      </c>
      <c r="D64" t="s">
        <v>22</v>
      </c>
      <c r="E64">
        <v>57</v>
      </c>
      <c r="F64" t="s">
        <v>29</v>
      </c>
      <c r="G64" t="s">
        <v>28</v>
      </c>
      <c r="H64">
        <v>22</v>
      </c>
      <c r="I64">
        <v>0</v>
      </c>
    </row>
    <row r="65" spans="1:9" x14ac:dyDescent="0.3">
      <c r="A65">
        <v>2</v>
      </c>
      <c r="B65">
        <v>1</v>
      </c>
      <c r="C65" t="s">
        <v>23</v>
      </c>
      <c r="D65" t="s">
        <v>22</v>
      </c>
      <c r="E65">
        <v>51</v>
      </c>
      <c r="F65" t="s">
        <v>29</v>
      </c>
      <c r="G65" t="s">
        <v>28</v>
      </c>
      <c r="H65">
        <v>34</v>
      </c>
      <c r="I65">
        <v>0</v>
      </c>
    </row>
    <row r="66" spans="1:9" x14ac:dyDescent="0.3">
      <c r="A66">
        <v>2</v>
      </c>
      <c r="B66">
        <v>1</v>
      </c>
      <c r="C66" t="s">
        <v>23</v>
      </c>
      <c r="D66" t="s">
        <v>22</v>
      </c>
      <c r="E66">
        <v>42</v>
      </c>
      <c r="F66" t="s">
        <v>29</v>
      </c>
      <c r="G66" t="s">
        <v>28</v>
      </c>
      <c r="H66">
        <v>33</v>
      </c>
      <c r="I66">
        <v>0</v>
      </c>
    </row>
    <row r="67" spans="1:9" x14ac:dyDescent="0.3">
      <c r="A67">
        <v>2</v>
      </c>
      <c r="B67">
        <v>1</v>
      </c>
      <c r="C67" t="s">
        <v>23</v>
      </c>
      <c r="D67" t="s">
        <v>22</v>
      </c>
      <c r="E67">
        <v>25</v>
      </c>
      <c r="F67" t="s">
        <v>29</v>
      </c>
      <c r="G67" t="s">
        <v>28</v>
      </c>
      <c r="H67">
        <v>54</v>
      </c>
      <c r="I67">
        <v>1</v>
      </c>
    </row>
    <row r="68" spans="1:9" x14ac:dyDescent="0.3">
      <c r="A68">
        <v>2</v>
      </c>
      <c r="B68">
        <v>1</v>
      </c>
      <c r="C68" t="s">
        <v>23</v>
      </c>
      <c r="D68" t="s">
        <v>22</v>
      </c>
      <c r="E68">
        <v>94</v>
      </c>
      <c r="F68" t="s">
        <v>29</v>
      </c>
      <c r="G68" t="s">
        <v>28</v>
      </c>
      <c r="H68">
        <v>29</v>
      </c>
      <c r="I68">
        <v>0</v>
      </c>
    </row>
    <row r="69" spans="1:9" x14ac:dyDescent="0.3">
      <c r="A69">
        <v>2</v>
      </c>
      <c r="B69">
        <v>1</v>
      </c>
      <c r="C69" t="s">
        <v>23</v>
      </c>
      <c r="D69" t="s">
        <v>22</v>
      </c>
      <c r="E69">
        <v>77</v>
      </c>
      <c r="F69" t="s">
        <v>29</v>
      </c>
      <c r="G69" t="s">
        <v>28</v>
      </c>
      <c r="H69">
        <v>36</v>
      </c>
      <c r="I69">
        <v>0</v>
      </c>
    </row>
    <row r="70" spans="1:9" x14ac:dyDescent="0.3">
      <c r="A70">
        <v>2</v>
      </c>
      <c r="B70">
        <v>1</v>
      </c>
      <c r="C70" t="s">
        <v>23</v>
      </c>
      <c r="D70" t="s">
        <v>22</v>
      </c>
      <c r="E70">
        <v>43</v>
      </c>
      <c r="F70" t="s">
        <v>29</v>
      </c>
      <c r="G70" t="s">
        <v>28</v>
      </c>
      <c r="H70">
        <v>40</v>
      </c>
      <c r="I70">
        <v>0</v>
      </c>
    </row>
    <row r="71" spans="1:9" x14ac:dyDescent="0.3">
      <c r="A71">
        <v>2</v>
      </c>
      <c r="B71">
        <v>1</v>
      </c>
      <c r="C71" t="s">
        <v>23</v>
      </c>
      <c r="D71" t="s">
        <v>22</v>
      </c>
      <c r="E71">
        <v>68</v>
      </c>
      <c r="F71" t="s">
        <v>29</v>
      </c>
      <c r="G71" t="s">
        <v>28</v>
      </c>
      <c r="H71">
        <v>17</v>
      </c>
      <c r="I71">
        <v>0</v>
      </c>
    </row>
    <row r="72" spans="1:9" x14ac:dyDescent="0.3">
      <c r="A72">
        <v>2</v>
      </c>
      <c r="B72">
        <v>1</v>
      </c>
      <c r="C72" t="s">
        <v>23</v>
      </c>
      <c r="D72" t="s">
        <v>22</v>
      </c>
      <c r="E72">
        <v>47</v>
      </c>
      <c r="F72" t="s">
        <v>29</v>
      </c>
      <c r="G72" t="s">
        <v>28</v>
      </c>
      <c r="H72">
        <v>26</v>
      </c>
      <c r="I72">
        <v>0</v>
      </c>
    </row>
    <row r="73" spans="1:9" x14ac:dyDescent="0.3">
      <c r="A73">
        <v>2</v>
      </c>
      <c r="B73">
        <v>1</v>
      </c>
      <c r="C73" t="s">
        <v>23</v>
      </c>
      <c r="D73" t="s">
        <v>22</v>
      </c>
      <c r="E73">
        <v>64</v>
      </c>
      <c r="F73" t="s">
        <v>29</v>
      </c>
      <c r="G73" t="s">
        <v>28</v>
      </c>
      <c r="H73">
        <v>26</v>
      </c>
      <c r="I73">
        <v>0</v>
      </c>
    </row>
    <row r="74" spans="1:9" x14ac:dyDescent="0.3">
      <c r="A74">
        <v>2</v>
      </c>
      <c r="B74">
        <v>1</v>
      </c>
      <c r="C74" t="s">
        <v>23</v>
      </c>
      <c r="D74" t="s">
        <v>22</v>
      </c>
      <c r="E74">
        <v>56</v>
      </c>
      <c r="F74" t="s">
        <v>29</v>
      </c>
      <c r="G74" t="s">
        <v>28</v>
      </c>
      <c r="H74">
        <v>39</v>
      </c>
      <c r="I74">
        <v>0</v>
      </c>
    </row>
    <row r="75" spans="1:9" x14ac:dyDescent="0.3">
      <c r="A75">
        <v>2</v>
      </c>
      <c r="B75">
        <v>1</v>
      </c>
      <c r="C75" t="s">
        <v>23</v>
      </c>
      <c r="D75" t="s">
        <v>22</v>
      </c>
      <c r="E75">
        <v>69</v>
      </c>
      <c r="F75" t="s">
        <v>29</v>
      </c>
      <c r="G75" t="s">
        <v>28</v>
      </c>
      <c r="H75">
        <v>18</v>
      </c>
      <c r="I75">
        <v>0</v>
      </c>
    </row>
    <row r="76" spans="1:9" x14ac:dyDescent="0.3">
      <c r="A76">
        <v>2</v>
      </c>
      <c r="B76">
        <v>1</v>
      </c>
      <c r="C76" t="s">
        <v>23</v>
      </c>
      <c r="D76" t="s">
        <v>22</v>
      </c>
      <c r="E76">
        <v>51</v>
      </c>
      <c r="F76" t="s">
        <v>29</v>
      </c>
      <c r="G76" t="s">
        <v>28</v>
      </c>
      <c r="H76">
        <v>41</v>
      </c>
      <c r="I76">
        <v>0</v>
      </c>
    </row>
    <row r="77" spans="1:9" x14ac:dyDescent="0.3">
      <c r="A77">
        <v>2</v>
      </c>
      <c r="B77">
        <v>1</v>
      </c>
      <c r="C77" t="s">
        <v>23</v>
      </c>
      <c r="D77" t="s">
        <v>22</v>
      </c>
      <c r="E77">
        <v>47</v>
      </c>
      <c r="F77" t="s">
        <v>29</v>
      </c>
      <c r="G77" t="s">
        <v>28</v>
      </c>
      <c r="H77">
        <v>2</v>
      </c>
      <c r="I77">
        <v>0</v>
      </c>
    </row>
    <row r="78" spans="1:9" x14ac:dyDescent="0.3">
      <c r="A78">
        <v>2</v>
      </c>
      <c r="B78">
        <v>1</v>
      </c>
      <c r="C78" t="s">
        <v>23</v>
      </c>
      <c r="D78" t="s">
        <v>22</v>
      </c>
      <c r="E78">
        <v>67</v>
      </c>
      <c r="F78" t="s">
        <v>29</v>
      </c>
      <c r="G78" t="s">
        <v>28</v>
      </c>
      <c r="H78">
        <v>7</v>
      </c>
      <c r="I78">
        <v>0</v>
      </c>
    </row>
    <row r="79" spans="1:9" x14ac:dyDescent="0.3">
      <c r="A79">
        <v>2</v>
      </c>
      <c r="B79">
        <v>1</v>
      </c>
      <c r="C79" t="s">
        <v>23</v>
      </c>
      <c r="D79" t="s">
        <v>22</v>
      </c>
      <c r="E79">
        <v>56</v>
      </c>
      <c r="F79" t="s">
        <v>29</v>
      </c>
      <c r="G79" t="s">
        <v>28</v>
      </c>
      <c r="H79">
        <v>51</v>
      </c>
      <c r="I79">
        <v>0</v>
      </c>
    </row>
    <row r="80" spans="1:9" x14ac:dyDescent="0.3">
      <c r="A80">
        <v>2</v>
      </c>
      <c r="B80">
        <v>1</v>
      </c>
      <c r="C80" t="s">
        <v>23</v>
      </c>
      <c r="D80" t="s">
        <v>22</v>
      </c>
      <c r="E80">
        <v>24</v>
      </c>
      <c r="F80" t="s">
        <v>29</v>
      </c>
      <c r="G80" t="s">
        <v>28</v>
      </c>
      <c r="H80">
        <v>29</v>
      </c>
      <c r="I80">
        <v>1</v>
      </c>
    </row>
    <row r="81" spans="1:9" x14ac:dyDescent="0.3">
      <c r="A81">
        <v>2</v>
      </c>
      <c r="B81">
        <v>1</v>
      </c>
      <c r="C81" t="s">
        <v>23</v>
      </c>
      <c r="D81" t="s">
        <v>22</v>
      </c>
      <c r="E81">
        <v>38</v>
      </c>
      <c r="F81" t="s">
        <v>29</v>
      </c>
      <c r="G81" t="s">
        <v>28</v>
      </c>
      <c r="H81">
        <v>8</v>
      </c>
      <c r="I81">
        <v>0</v>
      </c>
    </row>
    <row r="82" spans="1:9" x14ac:dyDescent="0.3">
      <c r="A82">
        <v>2</v>
      </c>
      <c r="B82">
        <v>1</v>
      </c>
      <c r="C82" t="s">
        <v>23</v>
      </c>
      <c r="D82" t="s">
        <v>22</v>
      </c>
      <c r="E82">
        <v>49</v>
      </c>
      <c r="F82" t="s">
        <v>29</v>
      </c>
      <c r="G82" t="s">
        <v>28</v>
      </c>
      <c r="H82">
        <v>58</v>
      </c>
      <c r="I82">
        <v>1</v>
      </c>
    </row>
    <row r="83" spans="1:9" x14ac:dyDescent="0.3">
      <c r="A83">
        <v>2</v>
      </c>
      <c r="B83">
        <v>1</v>
      </c>
      <c r="C83" t="s">
        <v>23</v>
      </c>
      <c r="D83" t="s">
        <v>22</v>
      </c>
      <c r="E83">
        <v>75</v>
      </c>
      <c r="F83" t="s">
        <v>29</v>
      </c>
      <c r="G83" t="s">
        <v>28</v>
      </c>
      <c r="H83">
        <v>34</v>
      </c>
      <c r="I83">
        <v>0</v>
      </c>
    </row>
    <row r="84" spans="1:9" x14ac:dyDescent="0.3">
      <c r="A84">
        <v>2</v>
      </c>
      <c r="B84">
        <v>1</v>
      </c>
      <c r="C84" t="s">
        <v>23</v>
      </c>
      <c r="D84" t="s">
        <v>22</v>
      </c>
      <c r="E84">
        <v>41</v>
      </c>
      <c r="F84" t="s">
        <v>29</v>
      </c>
      <c r="G84" t="s">
        <v>28</v>
      </c>
      <c r="H84">
        <v>24</v>
      </c>
      <c r="I84">
        <v>0</v>
      </c>
    </row>
    <row r="85" spans="1:9" x14ac:dyDescent="0.3">
      <c r="A85">
        <v>2</v>
      </c>
      <c r="B85">
        <v>1</v>
      </c>
      <c r="C85" t="s">
        <v>23</v>
      </c>
      <c r="D85" t="s">
        <v>22</v>
      </c>
      <c r="E85">
        <v>45</v>
      </c>
      <c r="F85" t="s">
        <v>29</v>
      </c>
      <c r="G85" t="s">
        <v>28</v>
      </c>
      <c r="H85">
        <v>49</v>
      </c>
      <c r="I85">
        <v>1</v>
      </c>
    </row>
    <row r="86" spans="1:9" x14ac:dyDescent="0.3">
      <c r="A86">
        <v>2</v>
      </c>
      <c r="B86">
        <v>1</v>
      </c>
      <c r="C86" t="s">
        <v>23</v>
      </c>
      <c r="D86" t="s">
        <v>22</v>
      </c>
      <c r="E86">
        <v>41</v>
      </c>
      <c r="F86" t="s">
        <v>29</v>
      </c>
      <c r="G86" t="s">
        <v>28</v>
      </c>
      <c r="H86">
        <v>43</v>
      </c>
      <c r="I86">
        <v>1</v>
      </c>
    </row>
    <row r="87" spans="1:9" x14ac:dyDescent="0.3">
      <c r="A87">
        <v>2</v>
      </c>
      <c r="B87">
        <v>1</v>
      </c>
      <c r="C87" t="s">
        <v>23</v>
      </c>
      <c r="D87" t="s">
        <v>22</v>
      </c>
      <c r="E87">
        <v>42</v>
      </c>
      <c r="F87" t="s">
        <v>29</v>
      </c>
      <c r="G87" t="s">
        <v>28</v>
      </c>
      <c r="H87">
        <v>51</v>
      </c>
      <c r="I87">
        <v>1</v>
      </c>
    </row>
    <row r="88" spans="1:9" x14ac:dyDescent="0.3">
      <c r="A88">
        <v>2</v>
      </c>
      <c r="B88">
        <v>1</v>
      </c>
      <c r="C88" t="s">
        <v>23</v>
      </c>
      <c r="D88" t="s">
        <v>22</v>
      </c>
      <c r="E88">
        <v>38</v>
      </c>
      <c r="F88" t="s">
        <v>29</v>
      </c>
      <c r="G88" t="s">
        <v>28</v>
      </c>
      <c r="H88">
        <v>16</v>
      </c>
      <c r="I88">
        <v>0</v>
      </c>
    </row>
    <row r="89" spans="1:9" x14ac:dyDescent="0.3">
      <c r="A89">
        <v>2</v>
      </c>
      <c r="B89">
        <v>1</v>
      </c>
      <c r="C89" t="s">
        <v>23</v>
      </c>
      <c r="D89" t="s">
        <v>22</v>
      </c>
      <c r="E89">
        <v>77</v>
      </c>
      <c r="F89" t="s">
        <v>29</v>
      </c>
      <c r="G89" t="s">
        <v>28</v>
      </c>
      <c r="H89">
        <v>37</v>
      </c>
      <c r="I89">
        <v>0</v>
      </c>
    </row>
    <row r="90" spans="1:9" x14ac:dyDescent="0.3">
      <c r="A90">
        <v>2</v>
      </c>
      <c r="B90">
        <v>1</v>
      </c>
      <c r="C90" t="s">
        <v>23</v>
      </c>
      <c r="D90" t="s">
        <v>22</v>
      </c>
      <c r="E90">
        <v>44</v>
      </c>
      <c r="F90" t="s">
        <v>29</v>
      </c>
      <c r="G90" t="s">
        <v>28</v>
      </c>
      <c r="H90">
        <v>44</v>
      </c>
      <c r="I90">
        <v>0</v>
      </c>
    </row>
    <row r="91" spans="1:9" x14ac:dyDescent="0.3">
      <c r="A91">
        <v>2</v>
      </c>
      <c r="B91">
        <v>1</v>
      </c>
      <c r="C91" t="s">
        <v>23</v>
      </c>
      <c r="D91" t="s">
        <v>22</v>
      </c>
      <c r="E91">
        <v>17</v>
      </c>
      <c r="F91" t="s">
        <v>29</v>
      </c>
      <c r="G91" t="s">
        <v>28</v>
      </c>
      <c r="H91">
        <v>12</v>
      </c>
      <c r="I91">
        <v>0</v>
      </c>
    </row>
    <row r="92" spans="1:9" x14ac:dyDescent="0.3">
      <c r="A92">
        <v>2</v>
      </c>
      <c r="B92">
        <v>1</v>
      </c>
      <c r="C92" t="s">
        <v>23</v>
      </c>
      <c r="D92" t="s">
        <v>22</v>
      </c>
      <c r="E92">
        <v>50</v>
      </c>
      <c r="F92" t="s">
        <v>29</v>
      </c>
      <c r="G92" t="s">
        <v>28</v>
      </c>
      <c r="H92">
        <v>18</v>
      </c>
      <c r="I92">
        <v>0</v>
      </c>
    </row>
    <row r="93" spans="1:9" x14ac:dyDescent="0.3">
      <c r="A93">
        <v>2</v>
      </c>
      <c r="B93">
        <v>1</v>
      </c>
      <c r="C93" t="s">
        <v>23</v>
      </c>
      <c r="D93" t="s">
        <v>22</v>
      </c>
      <c r="E93">
        <v>62</v>
      </c>
      <c r="F93" t="s">
        <v>29</v>
      </c>
      <c r="G93" t="s">
        <v>28</v>
      </c>
      <c r="H93">
        <v>43</v>
      </c>
      <c r="I93">
        <v>0</v>
      </c>
    </row>
    <row r="94" spans="1:9" x14ac:dyDescent="0.3">
      <c r="A94">
        <v>2</v>
      </c>
      <c r="B94">
        <v>1</v>
      </c>
      <c r="C94" t="s">
        <v>23</v>
      </c>
      <c r="D94" t="s">
        <v>22</v>
      </c>
      <c r="E94">
        <v>54</v>
      </c>
      <c r="F94" t="s">
        <v>29</v>
      </c>
      <c r="G94" t="s">
        <v>28</v>
      </c>
      <c r="H94">
        <v>45</v>
      </c>
      <c r="I94">
        <v>0</v>
      </c>
    </row>
    <row r="95" spans="1:9" x14ac:dyDescent="0.3">
      <c r="A95">
        <v>2</v>
      </c>
      <c r="B95">
        <v>1</v>
      </c>
      <c r="C95" t="s">
        <v>23</v>
      </c>
      <c r="D95" t="s">
        <v>22</v>
      </c>
      <c r="E95">
        <v>65</v>
      </c>
      <c r="F95" t="s">
        <v>29</v>
      </c>
      <c r="G95" t="s">
        <v>28</v>
      </c>
      <c r="H95">
        <v>63</v>
      </c>
      <c r="I95">
        <v>0</v>
      </c>
    </row>
    <row r="96" spans="1:9" x14ac:dyDescent="0.3">
      <c r="A96">
        <v>2</v>
      </c>
      <c r="B96">
        <v>1</v>
      </c>
      <c r="C96" t="s">
        <v>23</v>
      </c>
      <c r="D96" t="s">
        <v>22</v>
      </c>
      <c r="E96">
        <v>41</v>
      </c>
      <c r="F96" t="s">
        <v>29</v>
      </c>
      <c r="G96" t="s">
        <v>28</v>
      </c>
      <c r="H96">
        <v>51</v>
      </c>
      <c r="I96">
        <v>1</v>
      </c>
    </row>
    <row r="97" spans="1:9" x14ac:dyDescent="0.3">
      <c r="A97">
        <v>2</v>
      </c>
      <c r="B97">
        <v>1</v>
      </c>
      <c r="C97" t="s">
        <v>23</v>
      </c>
      <c r="D97" t="s">
        <v>22</v>
      </c>
      <c r="E97">
        <v>37</v>
      </c>
      <c r="F97" t="s">
        <v>29</v>
      </c>
      <c r="G97" t="s">
        <v>28</v>
      </c>
      <c r="H97">
        <v>46</v>
      </c>
      <c r="I97">
        <v>1</v>
      </c>
    </row>
    <row r="98" spans="1:9" x14ac:dyDescent="0.3">
      <c r="A98">
        <v>2</v>
      </c>
      <c r="B98">
        <v>1</v>
      </c>
      <c r="C98" t="s">
        <v>23</v>
      </c>
      <c r="D98" t="s">
        <v>22</v>
      </c>
      <c r="E98">
        <v>55</v>
      </c>
      <c r="F98" t="s">
        <v>29</v>
      </c>
      <c r="G98" t="s">
        <v>28</v>
      </c>
      <c r="H98">
        <v>27</v>
      </c>
      <c r="I98">
        <v>0</v>
      </c>
    </row>
    <row r="99" spans="1:9" x14ac:dyDescent="0.3">
      <c r="A99">
        <v>2</v>
      </c>
      <c r="B99">
        <v>1</v>
      </c>
      <c r="C99" t="s">
        <v>23</v>
      </c>
      <c r="D99" t="s">
        <v>22</v>
      </c>
      <c r="E99">
        <v>52</v>
      </c>
      <c r="F99" t="s">
        <v>29</v>
      </c>
      <c r="G99" t="s">
        <v>28</v>
      </c>
      <c r="H99">
        <v>40</v>
      </c>
      <c r="I99">
        <v>0</v>
      </c>
    </row>
    <row r="100" spans="1:9" x14ac:dyDescent="0.3">
      <c r="A100">
        <v>2</v>
      </c>
      <c r="B100">
        <v>1</v>
      </c>
      <c r="C100" t="s">
        <v>23</v>
      </c>
      <c r="D100" t="s">
        <v>22</v>
      </c>
      <c r="E100">
        <v>38</v>
      </c>
      <c r="F100" t="s">
        <v>29</v>
      </c>
      <c r="G100" t="s">
        <v>28</v>
      </c>
      <c r="H100">
        <v>47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5EF73-1B13-47A4-97EA-5D39CFF19FE9}">
  <dimension ref="A1:T100"/>
  <sheetViews>
    <sheetView topLeftCell="J1" workbookViewId="0">
      <selection activeCell="M19" sqref="M19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25</v>
      </c>
      <c r="D1" t="s">
        <v>24</v>
      </c>
      <c r="E1">
        <v>43</v>
      </c>
      <c r="F1" t="s">
        <v>27</v>
      </c>
      <c r="G1" t="s">
        <v>26</v>
      </c>
      <c r="H1">
        <v>45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25</v>
      </c>
      <c r="D2" t="s">
        <v>24</v>
      </c>
      <c r="E2">
        <v>34</v>
      </c>
      <c r="F2" t="s">
        <v>27</v>
      </c>
      <c r="G2" t="s">
        <v>26</v>
      </c>
      <c r="H2">
        <v>69</v>
      </c>
      <c r="I2">
        <v>1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25</v>
      </c>
      <c r="D3" t="s">
        <v>24</v>
      </c>
      <c r="E3">
        <v>42</v>
      </c>
      <c r="F3" t="s">
        <v>27</v>
      </c>
      <c r="G3" t="s">
        <v>26</v>
      </c>
      <c r="H3">
        <v>52</v>
      </c>
      <c r="I3">
        <v>1</v>
      </c>
      <c r="K3" s="8" t="s">
        <v>11</v>
      </c>
      <c r="L3" s="8"/>
      <c r="M3" s="10">
        <f>COUNTIF($I$1:$I$100, 0)</f>
        <v>30</v>
      </c>
      <c r="N3" s="10"/>
      <c r="O3" s="10">
        <f>COUNTIFS($I$1:$I$100, 0, $B$1:$B$100, 0)</f>
        <v>17</v>
      </c>
      <c r="P3" s="10"/>
      <c r="Q3" s="11">
        <f>COUNTIFS($I$1:$I$100, 0, $B$1:$B$100, 1)</f>
        <v>13</v>
      </c>
      <c r="R3" s="12"/>
      <c r="T3" cm="1">
        <f t="array" ref="T3">SUMPRODUCT(--($E$1:$E$100=$H$1:$H$100))</f>
        <v>1</v>
      </c>
    </row>
    <row r="4" spans="1:20" x14ac:dyDescent="0.3">
      <c r="A4">
        <v>2</v>
      </c>
      <c r="B4">
        <v>0</v>
      </c>
      <c r="C4" t="s">
        <v>25</v>
      </c>
      <c r="D4" t="s">
        <v>24</v>
      </c>
      <c r="E4">
        <v>52</v>
      </c>
      <c r="F4" t="s">
        <v>27</v>
      </c>
      <c r="G4" t="s">
        <v>26</v>
      </c>
      <c r="H4">
        <v>46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25</v>
      </c>
      <c r="D5" t="s">
        <v>24</v>
      </c>
      <c r="E5">
        <v>21</v>
      </c>
      <c r="F5" t="s">
        <v>27</v>
      </c>
      <c r="G5" t="s">
        <v>26</v>
      </c>
      <c r="H5">
        <v>36</v>
      </c>
      <c r="I5">
        <v>1</v>
      </c>
      <c r="K5" s="8" t="s">
        <v>10</v>
      </c>
      <c r="L5" s="8"/>
      <c r="M5" s="14">
        <f>COUNTIF($I$1:$I$100, 1)</f>
        <v>70</v>
      </c>
      <c r="N5" s="10"/>
      <c r="O5" s="10">
        <f>COUNTIFS($I$1:$I$100, 1, $B$1:$B$100, 0)</f>
        <v>33</v>
      </c>
      <c r="P5" s="10"/>
      <c r="Q5" s="10">
        <f>COUNTIFS($I$1:$I$100, 1, $B$1:$B$100, 1)</f>
        <v>37</v>
      </c>
      <c r="R5" s="13"/>
    </row>
    <row r="6" spans="1:20" x14ac:dyDescent="0.3">
      <c r="A6">
        <v>2</v>
      </c>
      <c r="B6">
        <v>0</v>
      </c>
      <c r="C6" t="s">
        <v>25</v>
      </c>
      <c r="D6" t="s">
        <v>24</v>
      </c>
      <c r="E6">
        <v>7</v>
      </c>
      <c r="F6" t="s">
        <v>27</v>
      </c>
      <c r="G6" t="s">
        <v>26</v>
      </c>
      <c r="H6">
        <v>37</v>
      </c>
      <c r="I6">
        <v>1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25</v>
      </c>
      <c r="D7" t="s">
        <v>24</v>
      </c>
      <c r="E7">
        <v>10</v>
      </c>
      <c r="F7" t="s">
        <v>27</v>
      </c>
      <c r="G7" t="s">
        <v>26</v>
      </c>
      <c r="H7">
        <v>19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25</v>
      </c>
      <c r="D8" t="s">
        <v>24</v>
      </c>
      <c r="E8">
        <v>56</v>
      </c>
      <c r="F8" t="s">
        <v>27</v>
      </c>
      <c r="G8" t="s">
        <v>26</v>
      </c>
      <c r="H8">
        <v>9</v>
      </c>
      <c r="I8">
        <v>0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25</v>
      </c>
      <c r="D9" t="s">
        <v>24</v>
      </c>
      <c r="E9">
        <v>45</v>
      </c>
      <c r="F9" t="s">
        <v>27</v>
      </c>
      <c r="G9" t="s">
        <v>26</v>
      </c>
      <c r="H9">
        <v>25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25</v>
      </c>
      <c r="D10" t="s">
        <v>24</v>
      </c>
      <c r="E10">
        <v>24</v>
      </c>
      <c r="F10" t="s">
        <v>27</v>
      </c>
      <c r="G10" t="s">
        <v>26</v>
      </c>
      <c r="H10">
        <v>37</v>
      </c>
      <c r="I10">
        <v>1</v>
      </c>
      <c r="K10" s="8" t="s">
        <v>6</v>
      </c>
      <c r="L10" s="8"/>
      <c r="M10" s="10">
        <f>AVERAGE($E$1:$E$100,)</f>
        <v>23.534653465346533</v>
      </c>
      <c r="N10" s="10"/>
      <c r="O10" s="10" cm="1">
        <f t="array" ref="O10">AVERAGE(_xlfn._xlws.FILTER($E$1:$E$100,$I$1:$I$100 = 0))</f>
        <v>38.06666666666667</v>
      </c>
      <c r="P10" s="10"/>
      <c r="Q10" s="11" cm="1">
        <f t="array" ref="Q10">AVERAGE(_xlfn._xlws.FILTER($E$1:$E$100,$I$1:$I$100 = 1))</f>
        <v>17.642857142857142</v>
      </c>
      <c r="R10" s="12"/>
    </row>
    <row r="11" spans="1:20" x14ac:dyDescent="0.3">
      <c r="A11">
        <v>2</v>
      </c>
      <c r="B11">
        <v>0</v>
      </c>
      <c r="C11" t="s">
        <v>25</v>
      </c>
      <c r="D11" t="s">
        <v>24</v>
      </c>
      <c r="E11">
        <v>14</v>
      </c>
      <c r="F11" t="s">
        <v>27</v>
      </c>
      <c r="G11" t="s">
        <v>26</v>
      </c>
      <c r="H11">
        <v>66</v>
      </c>
      <c r="I11">
        <v>1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25</v>
      </c>
      <c r="D12" t="s">
        <v>24</v>
      </c>
      <c r="E12">
        <v>15</v>
      </c>
      <c r="F12" t="s">
        <v>27</v>
      </c>
      <c r="G12" t="s">
        <v>26</v>
      </c>
      <c r="H12">
        <v>34</v>
      </c>
      <c r="I12">
        <v>1</v>
      </c>
      <c r="K12" s="8" t="s">
        <v>5</v>
      </c>
      <c r="L12" s="8"/>
      <c r="M12" s="10">
        <f>AVERAGE($H$1:$H$100,)</f>
        <v>37.495049504950494</v>
      </c>
      <c r="N12" s="10"/>
      <c r="O12" s="10" cm="1">
        <f t="array" ref="O12">AVERAGE(_xlfn._xlws.FILTER($H$1:$H$100,$I$1:$I$100 = 0))</f>
        <v>21.2</v>
      </c>
      <c r="P12" s="10"/>
      <c r="Q12" s="10" cm="1">
        <f t="array" ref="Q12">AVERAGE(_xlfn._xlws.FILTER($H$1:$H$100,$I$1:$I$100 = 1))</f>
        <v>45.014285714285712</v>
      </c>
      <c r="R12" s="13"/>
    </row>
    <row r="13" spans="1:20" x14ac:dyDescent="0.3">
      <c r="A13">
        <v>2</v>
      </c>
      <c r="B13">
        <v>0</v>
      </c>
      <c r="C13" t="s">
        <v>25</v>
      </c>
      <c r="D13" t="s">
        <v>24</v>
      </c>
      <c r="E13">
        <v>27</v>
      </c>
      <c r="F13" t="s">
        <v>27</v>
      </c>
      <c r="G13" t="s">
        <v>26</v>
      </c>
      <c r="H13">
        <v>70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25</v>
      </c>
      <c r="D14" t="s">
        <v>24</v>
      </c>
      <c r="E14">
        <v>5</v>
      </c>
      <c r="F14" t="s">
        <v>27</v>
      </c>
      <c r="G14" t="s">
        <v>26</v>
      </c>
      <c r="H14">
        <v>47</v>
      </c>
      <c r="I14">
        <v>1</v>
      </c>
      <c r="K14" s="19" t="s">
        <v>4</v>
      </c>
      <c r="L14" s="12"/>
      <c r="M14" s="20" cm="1">
        <f t="array" ref="M14">AVERAGE($E$1:$E$100 - $H$1:$H$100)</f>
        <v>-14.1</v>
      </c>
      <c r="N14" s="20"/>
      <c r="O14" s="20" cm="1">
        <f t="array" ref="O14">AVERAGE(_xlfn._xlws.FILTER($E$1:$E$100 - $H$1:$H$100, I$1:I$100 = 0))</f>
        <v>16.866666666666667</v>
      </c>
      <c r="P14" s="20"/>
      <c r="Q14" s="20" cm="1">
        <f t="array" ref="Q14">AVERAGE(_xlfn._xlws.FILTER($E$1:$E$100 - $H$1:$H$100, I$1:I$100 = 1))</f>
        <v>-27.37142857142857</v>
      </c>
      <c r="R14" s="22"/>
    </row>
    <row r="15" spans="1:20" x14ac:dyDescent="0.3">
      <c r="A15">
        <v>2</v>
      </c>
      <c r="B15">
        <v>0</v>
      </c>
      <c r="C15" t="s">
        <v>25</v>
      </c>
      <c r="D15" t="s">
        <v>24</v>
      </c>
      <c r="E15">
        <v>28</v>
      </c>
      <c r="F15" t="s">
        <v>27</v>
      </c>
      <c r="G15" t="s">
        <v>26</v>
      </c>
      <c r="H15">
        <v>19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25</v>
      </c>
      <c r="D16" t="s">
        <v>24</v>
      </c>
      <c r="E16">
        <v>16</v>
      </c>
      <c r="F16" t="s">
        <v>27</v>
      </c>
      <c r="G16" t="s">
        <v>26</v>
      </c>
      <c r="H16">
        <v>28</v>
      </c>
      <c r="I16">
        <v>1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25</v>
      </c>
      <c r="D17" t="s">
        <v>24</v>
      </c>
      <c r="E17">
        <v>59</v>
      </c>
      <c r="F17" t="s">
        <v>27</v>
      </c>
      <c r="G17" t="s">
        <v>26</v>
      </c>
      <c r="H17">
        <v>65</v>
      </c>
      <c r="I17">
        <v>1</v>
      </c>
    </row>
    <row r="18" spans="1:9" x14ac:dyDescent="0.3">
      <c r="A18">
        <v>2</v>
      </c>
      <c r="B18">
        <v>0</v>
      </c>
      <c r="C18" t="s">
        <v>25</v>
      </c>
      <c r="D18" t="s">
        <v>24</v>
      </c>
      <c r="E18">
        <v>40</v>
      </c>
      <c r="F18" t="s">
        <v>27</v>
      </c>
      <c r="G18" t="s">
        <v>26</v>
      </c>
      <c r="H18">
        <v>32</v>
      </c>
      <c r="I18">
        <v>0</v>
      </c>
    </row>
    <row r="19" spans="1:9" x14ac:dyDescent="0.3">
      <c r="A19">
        <v>2</v>
      </c>
      <c r="B19">
        <v>0</v>
      </c>
      <c r="C19" t="s">
        <v>25</v>
      </c>
      <c r="D19" t="s">
        <v>24</v>
      </c>
      <c r="E19">
        <v>10</v>
      </c>
      <c r="F19" t="s">
        <v>27</v>
      </c>
      <c r="G19" t="s">
        <v>26</v>
      </c>
      <c r="H19">
        <v>59</v>
      </c>
      <c r="I19">
        <v>1</v>
      </c>
    </row>
    <row r="20" spans="1:9" x14ac:dyDescent="0.3">
      <c r="A20">
        <v>2</v>
      </c>
      <c r="B20">
        <v>0</v>
      </c>
      <c r="C20" t="s">
        <v>25</v>
      </c>
      <c r="D20" t="s">
        <v>24</v>
      </c>
      <c r="E20">
        <v>27</v>
      </c>
      <c r="F20" t="s">
        <v>27</v>
      </c>
      <c r="G20" t="s">
        <v>26</v>
      </c>
      <c r="H20">
        <v>15</v>
      </c>
      <c r="I20">
        <v>0</v>
      </c>
    </row>
    <row r="21" spans="1:9" x14ac:dyDescent="0.3">
      <c r="A21">
        <v>2</v>
      </c>
      <c r="B21">
        <v>0</v>
      </c>
      <c r="C21" t="s">
        <v>25</v>
      </c>
      <c r="D21" t="s">
        <v>24</v>
      </c>
      <c r="E21">
        <v>51</v>
      </c>
      <c r="F21" t="s">
        <v>27</v>
      </c>
      <c r="G21" t="s">
        <v>26</v>
      </c>
      <c r="H21">
        <v>7</v>
      </c>
      <c r="I21">
        <v>0</v>
      </c>
    </row>
    <row r="22" spans="1:9" x14ac:dyDescent="0.3">
      <c r="A22">
        <v>2</v>
      </c>
      <c r="B22">
        <v>0</v>
      </c>
      <c r="C22" t="s">
        <v>25</v>
      </c>
      <c r="D22" t="s">
        <v>24</v>
      </c>
      <c r="E22">
        <v>23</v>
      </c>
      <c r="F22" t="s">
        <v>27</v>
      </c>
      <c r="G22" t="s">
        <v>26</v>
      </c>
      <c r="H22">
        <v>41</v>
      </c>
      <c r="I22">
        <v>1</v>
      </c>
    </row>
    <row r="23" spans="1:9" x14ac:dyDescent="0.3">
      <c r="A23">
        <v>2</v>
      </c>
      <c r="B23">
        <v>0</v>
      </c>
      <c r="C23" t="s">
        <v>25</v>
      </c>
      <c r="D23" t="s">
        <v>24</v>
      </c>
      <c r="E23">
        <v>36</v>
      </c>
      <c r="F23" t="s">
        <v>27</v>
      </c>
      <c r="G23" t="s">
        <v>26</v>
      </c>
      <c r="H23">
        <v>3</v>
      </c>
      <c r="I23">
        <v>0</v>
      </c>
    </row>
    <row r="24" spans="1:9" x14ac:dyDescent="0.3">
      <c r="A24">
        <v>2</v>
      </c>
      <c r="B24">
        <v>0</v>
      </c>
      <c r="C24" t="s">
        <v>25</v>
      </c>
      <c r="D24" t="s">
        <v>24</v>
      </c>
      <c r="E24">
        <v>1</v>
      </c>
      <c r="F24" t="s">
        <v>27</v>
      </c>
      <c r="G24" t="s">
        <v>26</v>
      </c>
      <c r="H24">
        <v>50</v>
      </c>
      <c r="I24">
        <v>1</v>
      </c>
    </row>
    <row r="25" spans="1:9" x14ac:dyDescent="0.3">
      <c r="A25">
        <v>2</v>
      </c>
      <c r="B25">
        <v>0</v>
      </c>
      <c r="C25" t="s">
        <v>25</v>
      </c>
      <c r="D25" t="s">
        <v>24</v>
      </c>
      <c r="E25">
        <v>8</v>
      </c>
      <c r="F25" t="s">
        <v>27</v>
      </c>
      <c r="G25" t="s">
        <v>26</v>
      </c>
      <c r="H25">
        <v>31</v>
      </c>
      <c r="I25">
        <v>1</v>
      </c>
    </row>
    <row r="26" spans="1:9" x14ac:dyDescent="0.3">
      <c r="A26">
        <v>2</v>
      </c>
      <c r="B26">
        <v>0</v>
      </c>
      <c r="C26" t="s">
        <v>25</v>
      </c>
      <c r="D26" t="s">
        <v>24</v>
      </c>
      <c r="E26">
        <v>41</v>
      </c>
      <c r="F26" t="s">
        <v>27</v>
      </c>
      <c r="G26" t="s">
        <v>26</v>
      </c>
      <c r="H26">
        <v>32</v>
      </c>
      <c r="I26">
        <v>0</v>
      </c>
    </row>
    <row r="27" spans="1:9" x14ac:dyDescent="0.3">
      <c r="A27">
        <v>2</v>
      </c>
      <c r="B27">
        <v>0</v>
      </c>
      <c r="C27" t="s">
        <v>25</v>
      </c>
      <c r="D27" t="s">
        <v>24</v>
      </c>
      <c r="E27">
        <v>2</v>
      </c>
      <c r="F27" t="s">
        <v>27</v>
      </c>
      <c r="G27" t="s">
        <v>26</v>
      </c>
      <c r="H27">
        <v>84</v>
      </c>
      <c r="I27">
        <v>1</v>
      </c>
    </row>
    <row r="28" spans="1:9" x14ac:dyDescent="0.3">
      <c r="A28">
        <v>2</v>
      </c>
      <c r="B28">
        <v>0</v>
      </c>
      <c r="C28" t="s">
        <v>25</v>
      </c>
      <c r="D28" t="s">
        <v>24</v>
      </c>
      <c r="E28">
        <v>9</v>
      </c>
      <c r="F28" t="s">
        <v>27</v>
      </c>
      <c r="G28" t="s">
        <v>26</v>
      </c>
      <c r="H28">
        <v>27</v>
      </c>
      <c r="I28">
        <v>1</v>
      </c>
    </row>
    <row r="29" spans="1:9" x14ac:dyDescent="0.3">
      <c r="A29">
        <v>2</v>
      </c>
      <c r="B29">
        <v>0</v>
      </c>
      <c r="C29" t="s">
        <v>25</v>
      </c>
      <c r="D29" t="s">
        <v>24</v>
      </c>
      <c r="E29">
        <v>40</v>
      </c>
      <c r="F29" t="s">
        <v>27</v>
      </c>
      <c r="G29" t="s">
        <v>26</v>
      </c>
      <c r="H29">
        <v>32</v>
      </c>
      <c r="I29">
        <v>0</v>
      </c>
    </row>
    <row r="30" spans="1:9" x14ac:dyDescent="0.3">
      <c r="A30">
        <v>2</v>
      </c>
      <c r="B30">
        <v>0</v>
      </c>
      <c r="C30" t="s">
        <v>25</v>
      </c>
      <c r="D30" t="s">
        <v>24</v>
      </c>
      <c r="E30">
        <v>13</v>
      </c>
      <c r="F30" t="s">
        <v>27</v>
      </c>
      <c r="G30" t="s">
        <v>26</v>
      </c>
      <c r="H30">
        <v>4</v>
      </c>
      <c r="I30">
        <v>0</v>
      </c>
    </row>
    <row r="31" spans="1:9" x14ac:dyDescent="0.3">
      <c r="A31">
        <v>2</v>
      </c>
      <c r="B31">
        <v>0</v>
      </c>
      <c r="C31" t="s">
        <v>25</v>
      </c>
      <c r="D31" t="s">
        <v>24</v>
      </c>
      <c r="E31">
        <v>4</v>
      </c>
      <c r="F31" t="s">
        <v>27</v>
      </c>
      <c r="G31" t="s">
        <v>26</v>
      </c>
      <c r="H31">
        <v>24</v>
      </c>
      <c r="I31">
        <v>1</v>
      </c>
    </row>
    <row r="32" spans="1:9" x14ac:dyDescent="0.3">
      <c r="A32">
        <v>2</v>
      </c>
      <c r="B32">
        <v>0</v>
      </c>
      <c r="C32" t="s">
        <v>25</v>
      </c>
      <c r="D32" t="s">
        <v>24</v>
      </c>
      <c r="E32">
        <v>13</v>
      </c>
      <c r="F32" t="s">
        <v>27</v>
      </c>
      <c r="G32" t="s">
        <v>26</v>
      </c>
      <c r="H32">
        <v>35</v>
      </c>
      <c r="I32">
        <v>1</v>
      </c>
    </row>
    <row r="33" spans="1:9" x14ac:dyDescent="0.3">
      <c r="A33">
        <v>2</v>
      </c>
      <c r="B33">
        <v>0</v>
      </c>
      <c r="C33" t="s">
        <v>25</v>
      </c>
      <c r="D33" t="s">
        <v>24</v>
      </c>
      <c r="E33">
        <v>17</v>
      </c>
      <c r="F33" t="s">
        <v>27</v>
      </c>
      <c r="G33" t="s">
        <v>26</v>
      </c>
      <c r="H33">
        <v>45</v>
      </c>
      <c r="I33">
        <v>1</v>
      </c>
    </row>
    <row r="34" spans="1:9" x14ac:dyDescent="0.3">
      <c r="A34">
        <v>2</v>
      </c>
      <c r="B34">
        <v>0</v>
      </c>
      <c r="C34" t="s">
        <v>25</v>
      </c>
      <c r="D34" t="s">
        <v>24</v>
      </c>
      <c r="E34">
        <v>18</v>
      </c>
      <c r="F34" t="s">
        <v>27</v>
      </c>
      <c r="G34" t="s">
        <v>26</v>
      </c>
      <c r="H34">
        <v>22</v>
      </c>
      <c r="I34">
        <v>1</v>
      </c>
    </row>
    <row r="35" spans="1:9" x14ac:dyDescent="0.3">
      <c r="A35">
        <v>2</v>
      </c>
      <c r="B35">
        <v>0</v>
      </c>
      <c r="C35" t="s">
        <v>25</v>
      </c>
      <c r="D35" t="s">
        <v>24</v>
      </c>
      <c r="E35">
        <v>41</v>
      </c>
      <c r="F35" t="s">
        <v>27</v>
      </c>
      <c r="G35" t="s">
        <v>26</v>
      </c>
      <c r="H35">
        <v>45</v>
      </c>
      <c r="I35">
        <v>1</v>
      </c>
    </row>
    <row r="36" spans="1:9" x14ac:dyDescent="0.3">
      <c r="A36">
        <v>2</v>
      </c>
      <c r="B36">
        <v>0</v>
      </c>
      <c r="C36" t="s">
        <v>25</v>
      </c>
      <c r="D36" t="s">
        <v>24</v>
      </c>
      <c r="E36">
        <v>43</v>
      </c>
      <c r="F36" t="s">
        <v>27</v>
      </c>
      <c r="G36" t="s">
        <v>26</v>
      </c>
      <c r="H36">
        <v>31</v>
      </c>
      <c r="I36">
        <v>0</v>
      </c>
    </row>
    <row r="37" spans="1:9" x14ac:dyDescent="0.3">
      <c r="A37">
        <v>2</v>
      </c>
      <c r="B37">
        <v>0</v>
      </c>
      <c r="C37" t="s">
        <v>25</v>
      </c>
      <c r="D37" t="s">
        <v>24</v>
      </c>
      <c r="E37">
        <v>8</v>
      </c>
      <c r="F37" t="s">
        <v>27</v>
      </c>
      <c r="G37" t="s">
        <v>26</v>
      </c>
      <c r="H37">
        <v>52</v>
      </c>
      <c r="I37">
        <v>1</v>
      </c>
    </row>
    <row r="38" spans="1:9" x14ac:dyDescent="0.3">
      <c r="A38">
        <v>2</v>
      </c>
      <c r="B38">
        <v>0</v>
      </c>
      <c r="C38" t="s">
        <v>25</v>
      </c>
      <c r="D38" t="s">
        <v>24</v>
      </c>
      <c r="E38">
        <v>17</v>
      </c>
      <c r="F38" t="s">
        <v>27</v>
      </c>
      <c r="G38" t="s">
        <v>26</v>
      </c>
      <c r="H38">
        <v>28</v>
      </c>
      <c r="I38">
        <v>1</v>
      </c>
    </row>
    <row r="39" spans="1:9" x14ac:dyDescent="0.3">
      <c r="A39">
        <v>2</v>
      </c>
      <c r="B39">
        <v>0</v>
      </c>
      <c r="C39" t="s">
        <v>25</v>
      </c>
      <c r="D39" t="s">
        <v>24</v>
      </c>
      <c r="E39">
        <v>24</v>
      </c>
      <c r="F39" t="s">
        <v>27</v>
      </c>
      <c r="G39" t="s">
        <v>26</v>
      </c>
      <c r="H39">
        <v>33</v>
      </c>
      <c r="I39">
        <v>1</v>
      </c>
    </row>
    <row r="40" spans="1:9" x14ac:dyDescent="0.3">
      <c r="A40">
        <v>2</v>
      </c>
      <c r="B40">
        <v>0</v>
      </c>
      <c r="C40" t="s">
        <v>25</v>
      </c>
      <c r="D40" t="s">
        <v>24</v>
      </c>
      <c r="E40">
        <v>0</v>
      </c>
      <c r="F40" t="s">
        <v>27</v>
      </c>
      <c r="G40" t="s">
        <v>26</v>
      </c>
      <c r="H40">
        <v>42</v>
      </c>
      <c r="I40">
        <v>1</v>
      </c>
    </row>
    <row r="41" spans="1:9" x14ac:dyDescent="0.3">
      <c r="A41">
        <v>2</v>
      </c>
      <c r="B41">
        <v>0</v>
      </c>
      <c r="C41" t="s">
        <v>25</v>
      </c>
      <c r="D41" t="s">
        <v>24</v>
      </c>
      <c r="E41">
        <v>8</v>
      </c>
      <c r="F41" t="s">
        <v>27</v>
      </c>
      <c r="G41" t="s">
        <v>26</v>
      </c>
      <c r="H41">
        <v>35</v>
      </c>
      <c r="I41">
        <v>1</v>
      </c>
    </row>
    <row r="42" spans="1:9" x14ac:dyDescent="0.3">
      <c r="A42">
        <v>2</v>
      </c>
      <c r="B42">
        <v>0</v>
      </c>
      <c r="C42" t="s">
        <v>25</v>
      </c>
      <c r="D42" t="s">
        <v>24</v>
      </c>
      <c r="E42">
        <v>33</v>
      </c>
      <c r="F42" t="s">
        <v>27</v>
      </c>
      <c r="G42" t="s">
        <v>26</v>
      </c>
      <c r="H42">
        <v>44</v>
      </c>
      <c r="I42">
        <v>1</v>
      </c>
    </row>
    <row r="43" spans="1:9" x14ac:dyDescent="0.3">
      <c r="A43">
        <v>2</v>
      </c>
      <c r="B43">
        <v>0</v>
      </c>
      <c r="C43" t="s">
        <v>25</v>
      </c>
      <c r="D43" t="s">
        <v>24</v>
      </c>
      <c r="E43">
        <v>43</v>
      </c>
      <c r="F43" t="s">
        <v>27</v>
      </c>
      <c r="G43" t="s">
        <v>26</v>
      </c>
      <c r="H43">
        <v>29</v>
      </c>
      <c r="I43">
        <v>0</v>
      </c>
    </row>
    <row r="44" spans="1:9" x14ac:dyDescent="0.3">
      <c r="A44">
        <v>2</v>
      </c>
      <c r="B44">
        <v>0</v>
      </c>
      <c r="C44" t="s">
        <v>25</v>
      </c>
      <c r="D44" t="s">
        <v>24</v>
      </c>
      <c r="E44">
        <v>43</v>
      </c>
      <c r="F44" t="s">
        <v>27</v>
      </c>
      <c r="G44" t="s">
        <v>26</v>
      </c>
      <c r="H44">
        <v>43</v>
      </c>
      <c r="I44">
        <v>0</v>
      </c>
    </row>
    <row r="45" spans="1:9" x14ac:dyDescent="0.3">
      <c r="A45">
        <v>2</v>
      </c>
      <c r="B45">
        <v>0</v>
      </c>
      <c r="C45" t="s">
        <v>25</v>
      </c>
      <c r="D45" t="s">
        <v>24</v>
      </c>
      <c r="E45">
        <v>50</v>
      </c>
      <c r="F45" t="s">
        <v>27</v>
      </c>
      <c r="G45" t="s">
        <v>26</v>
      </c>
      <c r="H45">
        <v>3</v>
      </c>
      <c r="I45">
        <v>0</v>
      </c>
    </row>
    <row r="46" spans="1:9" x14ac:dyDescent="0.3">
      <c r="A46">
        <v>2</v>
      </c>
      <c r="B46">
        <v>0</v>
      </c>
      <c r="C46" t="s">
        <v>25</v>
      </c>
      <c r="D46" t="s">
        <v>24</v>
      </c>
      <c r="E46">
        <v>13</v>
      </c>
      <c r="F46" t="s">
        <v>27</v>
      </c>
      <c r="G46" t="s">
        <v>26</v>
      </c>
      <c r="H46">
        <v>17</v>
      </c>
      <c r="I46">
        <v>1</v>
      </c>
    </row>
    <row r="47" spans="1:9" x14ac:dyDescent="0.3">
      <c r="A47">
        <v>2</v>
      </c>
      <c r="B47">
        <v>0</v>
      </c>
      <c r="C47" t="s">
        <v>25</v>
      </c>
      <c r="D47" t="s">
        <v>24</v>
      </c>
      <c r="E47">
        <v>38</v>
      </c>
      <c r="F47" t="s">
        <v>27</v>
      </c>
      <c r="G47" t="s">
        <v>26</v>
      </c>
      <c r="H47">
        <v>18</v>
      </c>
      <c r="I47">
        <v>0</v>
      </c>
    </row>
    <row r="48" spans="1:9" x14ac:dyDescent="0.3">
      <c r="A48">
        <v>2</v>
      </c>
      <c r="B48">
        <v>0</v>
      </c>
      <c r="C48" t="s">
        <v>25</v>
      </c>
      <c r="D48" t="s">
        <v>24</v>
      </c>
      <c r="E48">
        <v>29</v>
      </c>
      <c r="F48" t="s">
        <v>27</v>
      </c>
      <c r="G48" t="s">
        <v>26</v>
      </c>
      <c r="H48">
        <v>32</v>
      </c>
      <c r="I48">
        <v>1</v>
      </c>
    </row>
    <row r="49" spans="1:9" x14ac:dyDescent="0.3">
      <c r="A49">
        <v>2</v>
      </c>
      <c r="B49">
        <v>0</v>
      </c>
      <c r="C49" t="s">
        <v>25</v>
      </c>
      <c r="D49" t="s">
        <v>24</v>
      </c>
      <c r="E49">
        <v>29</v>
      </c>
      <c r="F49" t="s">
        <v>27</v>
      </c>
      <c r="G49" t="s">
        <v>26</v>
      </c>
      <c r="H49">
        <v>20</v>
      </c>
      <c r="I49">
        <v>0</v>
      </c>
    </row>
    <row r="50" spans="1:9" x14ac:dyDescent="0.3">
      <c r="A50">
        <v>2</v>
      </c>
      <c r="B50">
        <v>0</v>
      </c>
      <c r="C50" t="s">
        <v>25</v>
      </c>
      <c r="D50" t="s">
        <v>24</v>
      </c>
      <c r="E50">
        <v>13</v>
      </c>
      <c r="F50" t="s">
        <v>27</v>
      </c>
      <c r="G50" t="s">
        <v>26</v>
      </c>
      <c r="H50">
        <v>39</v>
      </c>
      <c r="I50">
        <v>1</v>
      </c>
    </row>
    <row r="51" spans="1:9" x14ac:dyDescent="0.3">
      <c r="A51">
        <v>2</v>
      </c>
      <c r="B51">
        <v>1</v>
      </c>
      <c r="C51" t="s">
        <v>25</v>
      </c>
      <c r="D51" t="s">
        <v>24</v>
      </c>
      <c r="E51">
        <v>54</v>
      </c>
      <c r="F51" t="s">
        <v>27</v>
      </c>
      <c r="G51" t="s">
        <v>26</v>
      </c>
      <c r="H51">
        <v>34</v>
      </c>
      <c r="I51">
        <v>0</v>
      </c>
    </row>
    <row r="52" spans="1:9" x14ac:dyDescent="0.3">
      <c r="A52">
        <v>2</v>
      </c>
      <c r="B52">
        <v>1</v>
      </c>
      <c r="C52" t="s">
        <v>25</v>
      </c>
      <c r="D52" t="s">
        <v>24</v>
      </c>
      <c r="E52">
        <v>7</v>
      </c>
      <c r="F52" t="s">
        <v>27</v>
      </c>
      <c r="G52" t="s">
        <v>26</v>
      </c>
      <c r="H52">
        <v>55</v>
      </c>
      <c r="I52">
        <v>1</v>
      </c>
    </row>
    <row r="53" spans="1:9" x14ac:dyDescent="0.3">
      <c r="A53">
        <v>2</v>
      </c>
      <c r="B53">
        <v>1</v>
      </c>
      <c r="C53" t="s">
        <v>25</v>
      </c>
      <c r="D53" t="s">
        <v>24</v>
      </c>
      <c r="E53">
        <v>18</v>
      </c>
      <c r="F53" t="s">
        <v>27</v>
      </c>
      <c r="G53" t="s">
        <v>26</v>
      </c>
      <c r="H53">
        <v>108</v>
      </c>
      <c r="I53">
        <v>1</v>
      </c>
    </row>
    <row r="54" spans="1:9" x14ac:dyDescent="0.3">
      <c r="A54">
        <v>2</v>
      </c>
      <c r="B54">
        <v>1</v>
      </c>
      <c r="C54" t="s">
        <v>25</v>
      </c>
      <c r="D54" t="s">
        <v>24</v>
      </c>
      <c r="E54">
        <v>45</v>
      </c>
      <c r="F54" t="s">
        <v>27</v>
      </c>
      <c r="G54" t="s">
        <v>26</v>
      </c>
      <c r="H54">
        <v>8</v>
      </c>
      <c r="I54">
        <v>0</v>
      </c>
    </row>
    <row r="55" spans="1:9" x14ac:dyDescent="0.3">
      <c r="A55">
        <v>2</v>
      </c>
      <c r="B55">
        <v>1</v>
      </c>
      <c r="C55" t="s">
        <v>25</v>
      </c>
      <c r="D55" t="s">
        <v>24</v>
      </c>
      <c r="E55">
        <v>25</v>
      </c>
      <c r="F55" t="s">
        <v>27</v>
      </c>
      <c r="G55" t="s">
        <v>26</v>
      </c>
      <c r="H55">
        <v>34</v>
      </c>
      <c r="I55">
        <v>1</v>
      </c>
    </row>
    <row r="56" spans="1:9" x14ac:dyDescent="0.3">
      <c r="A56">
        <v>2</v>
      </c>
      <c r="B56">
        <v>1</v>
      </c>
      <c r="C56" t="s">
        <v>25</v>
      </c>
      <c r="D56" t="s">
        <v>24</v>
      </c>
      <c r="E56">
        <v>14</v>
      </c>
      <c r="F56" t="s">
        <v>27</v>
      </c>
      <c r="G56" t="s">
        <v>26</v>
      </c>
      <c r="H56">
        <v>46</v>
      </c>
      <c r="I56">
        <v>1</v>
      </c>
    </row>
    <row r="57" spans="1:9" x14ac:dyDescent="0.3">
      <c r="A57">
        <v>2</v>
      </c>
      <c r="B57">
        <v>1</v>
      </c>
      <c r="C57" t="s">
        <v>25</v>
      </c>
      <c r="D57" t="s">
        <v>24</v>
      </c>
      <c r="E57">
        <v>7</v>
      </c>
      <c r="F57" t="s">
        <v>27</v>
      </c>
      <c r="G57" t="s">
        <v>26</v>
      </c>
      <c r="H57">
        <v>33</v>
      </c>
      <c r="I57">
        <v>1</v>
      </c>
    </row>
    <row r="58" spans="1:9" x14ac:dyDescent="0.3">
      <c r="A58">
        <v>2</v>
      </c>
      <c r="B58">
        <v>1</v>
      </c>
      <c r="C58" t="s">
        <v>25</v>
      </c>
      <c r="D58" t="s">
        <v>24</v>
      </c>
      <c r="E58">
        <v>6</v>
      </c>
      <c r="F58" t="s">
        <v>27</v>
      </c>
      <c r="G58" t="s">
        <v>26</v>
      </c>
      <c r="H58">
        <v>46</v>
      </c>
      <c r="I58">
        <v>1</v>
      </c>
    </row>
    <row r="59" spans="1:9" x14ac:dyDescent="0.3">
      <c r="A59">
        <v>2</v>
      </c>
      <c r="B59">
        <v>1</v>
      </c>
      <c r="C59" t="s">
        <v>25</v>
      </c>
      <c r="D59" t="s">
        <v>24</v>
      </c>
      <c r="E59">
        <v>17</v>
      </c>
      <c r="F59" t="s">
        <v>27</v>
      </c>
      <c r="G59" t="s">
        <v>26</v>
      </c>
      <c r="H59">
        <v>31</v>
      </c>
      <c r="I59">
        <v>1</v>
      </c>
    </row>
    <row r="60" spans="1:9" x14ac:dyDescent="0.3">
      <c r="A60">
        <v>2</v>
      </c>
      <c r="B60">
        <v>1</v>
      </c>
      <c r="C60" t="s">
        <v>25</v>
      </c>
      <c r="D60" t="s">
        <v>24</v>
      </c>
      <c r="E60">
        <v>2</v>
      </c>
      <c r="F60" t="s">
        <v>27</v>
      </c>
      <c r="G60" t="s">
        <v>26</v>
      </c>
      <c r="H60">
        <v>51</v>
      </c>
      <c r="I60">
        <v>1</v>
      </c>
    </row>
    <row r="61" spans="1:9" x14ac:dyDescent="0.3">
      <c r="A61">
        <v>2</v>
      </c>
      <c r="B61">
        <v>1</v>
      </c>
      <c r="C61" t="s">
        <v>25</v>
      </c>
      <c r="D61" t="s">
        <v>24</v>
      </c>
      <c r="E61">
        <v>19</v>
      </c>
      <c r="F61" t="s">
        <v>27</v>
      </c>
      <c r="G61" t="s">
        <v>26</v>
      </c>
      <c r="H61">
        <v>38</v>
      </c>
      <c r="I61">
        <v>1</v>
      </c>
    </row>
    <row r="62" spans="1:9" x14ac:dyDescent="0.3">
      <c r="A62">
        <v>2</v>
      </c>
      <c r="B62">
        <v>1</v>
      </c>
      <c r="C62" t="s">
        <v>25</v>
      </c>
      <c r="D62" t="s">
        <v>24</v>
      </c>
      <c r="E62">
        <v>16</v>
      </c>
      <c r="F62" t="s">
        <v>27</v>
      </c>
      <c r="G62" t="s">
        <v>26</v>
      </c>
      <c r="H62">
        <v>49</v>
      </c>
      <c r="I62">
        <v>1</v>
      </c>
    </row>
    <row r="63" spans="1:9" x14ac:dyDescent="0.3">
      <c r="A63">
        <v>2</v>
      </c>
      <c r="B63">
        <v>1</v>
      </c>
      <c r="C63" t="s">
        <v>25</v>
      </c>
      <c r="D63" t="s">
        <v>24</v>
      </c>
      <c r="E63">
        <v>35</v>
      </c>
      <c r="F63" t="s">
        <v>27</v>
      </c>
      <c r="G63" t="s">
        <v>26</v>
      </c>
      <c r="H63">
        <v>43</v>
      </c>
      <c r="I63">
        <v>1</v>
      </c>
    </row>
    <row r="64" spans="1:9" x14ac:dyDescent="0.3">
      <c r="A64">
        <v>2</v>
      </c>
      <c r="B64">
        <v>1</v>
      </c>
      <c r="C64" t="s">
        <v>25</v>
      </c>
      <c r="D64" t="s">
        <v>24</v>
      </c>
      <c r="E64">
        <v>30</v>
      </c>
      <c r="F64" t="s">
        <v>27</v>
      </c>
      <c r="G64" t="s">
        <v>26</v>
      </c>
      <c r="H64">
        <v>54</v>
      </c>
      <c r="I64">
        <v>1</v>
      </c>
    </row>
    <row r="65" spans="1:9" x14ac:dyDescent="0.3">
      <c r="A65">
        <v>2</v>
      </c>
      <c r="B65">
        <v>1</v>
      </c>
      <c r="C65" t="s">
        <v>25</v>
      </c>
      <c r="D65" t="s">
        <v>24</v>
      </c>
      <c r="E65">
        <v>5</v>
      </c>
      <c r="F65" t="s">
        <v>27</v>
      </c>
      <c r="G65" t="s">
        <v>26</v>
      </c>
      <c r="H65">
        <v>62</v>
      </c>
      <c r="I65">
        <v>1</v>
      </c>
    </row>
    <row r="66" spans="1:9" x14ac:dyDescent="0.3">
      <c r="A66">
        <v>2</v>
      </c>
      <c r="B66">
        <v>1</v>
      </c>
      <c r="C66" t="s">
        <v>25</v>
      </c>
      <c r="D66" t="s">
        <v>24</v>
      </c>
      <c r="E66">
        <v>31</v>
      </c>
      <c r="F66" t="s">
        <v>27</v>
      </c>
      <c r="G66" t="s">
        <v>26</v>
      </c>
      <c r="H66">
        <v>13</v>
      </c>
      <c r="I66">
        <v>0</v>
      </c>
    </row>
    <row r="67" spans="1:9" x14ac:dyDescent="0.3">
      <c r="A67">
        <v>2</v>
      </c>
      <c r="B67">
        <v>1</v>
      </c>
      <c r="C67" t="s">
        <v>25</v>
      </c>
      <c r="D67" t="s">
        <v>24</v>
      </c>
      <c r="E67">
        <v>35</v>
      </c>
      <c r="F67" t="s">
        <v>27</v>
      </c>
      <c r="G67" t="s">
        <v>26</v>
      </c>
      <c r="H67">
        <v>32</v>
      </c>
      <c r="I67">
        <v>0</v>
      </c>
    </row>
    <row r="68" spans="1:9" x14ac:dyDescent="0.3">
      <c r="A68">
        <v>2</v>
      </c>
      <c r="B68">
        <v>1</v>
      </c>
      <c r="C68" t="s">
        <v>25</v>
      </c>
      <c r="D68" t="s">
        <v>24</v>
      </c>
      <c r="E68">
        <v>17</v>
      </c>
      <c r="F68" t="s">
        <v>27</v>
      </c>
      <c r="G68" t="s">
        <v>26</v>
      </c>
      <c r="H68">
        <v>6</v>
      </c>
      <c r="I68">
        <v>0</v>
      </c>
    </row>
    <row r="69" spans="1:9" x14ac:dyDescent="0.3">
      <c r="A69">
        <v>2</v>
      </c>
      <c r="B69">
        <v>1</v>
      </c>
      <c r="C69" t="s">
        <v>25</v>
      </c>
      <c r="D69" t="s">
        <v>24</v>
      </c>
      <c r="E69">
        <v>35</v>
      </c>
      <c r="F69" t="s">
        <v>27</v>
      </c>
      <c r="G69" t="s">
        <v>26</v>
      </c>
      <c r="H69">
        <v>42</v>
      </c>
      <c r="I69">
        <v>1</v>
      </c>
    </row>
    <row r="70" spans="1:9" x14ac:dyDescent="0.3">
      <c r="A70">
        <v>2</v>
      </c>
      <c r="B70">
        <v>1</v>
      </c>
      <c r="C70" t="s">
        <v>25</v>
      </c>
      <c r="D70" t="s">
        <v>24</v>
      </c>
      <c r="E70">
        <v>20</v>
      </c>
      <c r="F70" t="s">
        <v>27</v>
      </c>
      <c r="G70" t="s">
        <v>26</v>
      </c>
      <c r="H70">
        <v>57</v>
      </c>
      <c r="I70">
        <v>1</v>
      </c>
    </row>
    <row r="71" spans="1:9" x14ac:dyDescent="0.3">
      <c r="A71">
        <v>2</v>
      </c>
      <c r="B71">
        <v>1</v>
      </c>
      <c r="C71" t="s">
        <v>25</v>
      </c>
      <c r="D71" t="s">
        <v>24</v>
      </c>
      <c r="E71">
        <v>10</v>
      </c>
      <c r="F71" t="s">
        <v>27</v>
      </c>
      <c r="G71" t="s">
        <v>26</v>
      </c>
      <c r="H71">
        <v>69</v>
      </c>
      <c r="I71">
        <v>1</v>
      </c>
    </row>
    <row r="72" spans="1:9" x14ac:dyDescent="0.3">
      <c r="A72">
        <v>2</v>
      </c>
      <c r="B72">
        <v>1</v>
      </c>
      <c r="C72" t="s">
        <v>25</v>
      </c>
      <c r="D72" t="s">
        <v>24</v>
      </c>
      <c r="E72">
        <v>2</v>
      </c>
      <c r="F72" t="s">
        <v>27</v>
      </c>
      <c r="G72" t="s">
        <v>26</v>
      </c>
      <c r="H72">
        <v>46</v>
      </c>
      <c r="I72">
        <v>1</v>
      </c>
    </row>
    <row r="73" spans="1:9" x14ac:dyDescent="0.3">
      <c r="A73">
        <v>2</v>
      </c>
      <c r="B73">
        <v>1</v>
      </c>
      <c r="C73" t="s">
        <v>25</v>
      </c>
      <c r="D73" t="s">
        <v>24</v>
      </c>
      <c r="E73">
        <v>24</v>
      </c>
      <c r="F73" t="s">
        <v>27</v>
      </c>
      <c r="G73" t="s">
        <v>26</v>
      </c>
      <c r="H73">
        <v>48</v>
      </c>
      <c r="I73">
        <v>1</v>
      </c>
    </row>
    <row r="74" spans="1:9" x14ac:dyDescent="0.3">
      <c r="A74">
        <v>2</v>
      </c>
      <c r="B74">
        <v>1</v>
      </c>
      <c r="C74" t="s">
        <v>25</v>
      </c>
      <c r="D74" t="s">
        <v>24</v>
      </c>
      <c r="E74">
        <v>13</v>
      </c>
      <c r="F74" t="s">
        <v>27</v>
      </c>
      <c r="G74" t="s">
        <v>26</v>
      </c>
      <c r="H74">
        <v>5</v>
      </c>
      <c r="I74">
        <v>0</v>
      </c>
    </row>
    <row r="75" spans="1:9" x14ac:dyDescent="0.3">
      <c r="A75">
        <v>2</v>
      </c>
      <c r="B75">
        <v>1</v>
      </c>
      <c r="C75" t="s">
        <v>25</v>
      </c>
      <c r="D75" t="s">
        <v>24</v>
      </c>
      <c r="E75">
        <v>14</v>
      </c>
      <c r="F75" t="s">
        <v>27</v>
      </c>
      <c r="G75" t="s">
        <v>26</v>
      </c>
      <c r="H75">
        <v>32</v>
      </c>
      <c r="I75">
        <v>1</v>
      </c>
    </row>
    <row r="76" spans="1:9" x14ac:dyDescent="0.3">
      <c r="A76">
        <v>2</v>
      </c>
      <c r="B76">
        <v>1</v>
      </c>
      <c r="C76" t="s">
        <v>25</v>
      </c>
      <c r="D76" t="s">
        <v>24</v>
      </c>
      <c r="E76">
        <v>16</v>
      </c>
      <c r="F76" t="s">
        <v>27</v>
      </c>
      <c r="G76" t="s">
        <v>26</v>
      </c>
      <c r="H76">
        <v>31</v>
      </c>
      <c r="I76">
        <v>1</v>
      </c>
    </row>
    <row r="77" spans="1:9" x14ac:dyDescent="0.3">
      <c r="A77">
        <v>2</v>
      </c>
      <c r="B77">
        <v>1</v>
      </c>
      <c r="C77" t="s">
        <v>25</v>
      </c>
      <c r="D77" t="s">
        <v>24</v>
      </c>
      <c r="E77">
        <v>21</v>
      </c>
      <c r="F77" t="s">
        <v>27</v>
      </c>
      <c r="G77" t="s">
        <v>26</v>
      </c>
      <c r="H77">
        <v>73</v>
      </c>
      <c r="I77">
        <v>1</v>
      </c>
    </row>
    <row r="78" spans="1:9" x14ac:dyDescent="0.3">
      <c r="A78">
        <v>2</v>
      </c>
      <c r="B78">
        <v>1</v>
      </c>
      <c r="C78" t="s">
        <v>25</v>
      </c>
      <c r="D78" t="s">
        <v>24</v>
      </c>
      <c r="E78">
        <v>42</v>
      </c>
      <c r="F78" t="s">
        <v>27</v>
      </c>
      <c r="G78" t="s">
        <v>26</v>
      </c>
      <c r="H78">
        <v>34</v>
      </c>
      <c r="I78">
        <v>0</v>
      </c>
    </row>
    <row r="79" spans="1:9" x14ac:dyDescent="0.3">
      <c r="A79">
        <v>2</v>
      </c>
      <c r="B79">
        <v>1</v>
      </c>
      <c r="C79" t="s">
        <v>25</v>
      </c>
      <c r="D79" t="s">
        <v>24</v>
      </c>
      <c r="E79">
        <v>27</v>
      </c>
      <c r="F79" t="s">
        <v>27</v>
      </c>
      <c r="G79" t="s">
        <v>26</v>
      </c>
      <c r="H79">
        <v>36</v>
      </c>
      <c r="I79">
        <v>1</v>
      </c>
    </row>
    <row r="80" spans="1:9" x14ac:dyDescent="0.3">
      <c r="A80">
        <v>2</v>
      </c>
      <c r="B80">
        <v>1</v>
      </c>
      <c r="C80" t="s">
        <v>25</v>
      </c>
      <c r="D80" t="s">
        <v>24</v>
      </c>
      <c r="E80">
        <v>53</v>
      </c>
      <c r="F80" t="s">
        <v>27</v>
      </c>
      <c r="G80" t="s">
        <v>26</v>
      </c>
      <c r="H80">
        <v>18</v>
      </c>
      <c r="I80">
        <v>0</v>
      </c>
    </row>
    <row r="81" spans="1:9" x14ac:dyDescent="0.3">
      <c r="A81">
        <v>2</v>
      </c>
      <c r="B81">
        <v>1</v>
      </c>
      <c r="C81" t="s">
        <v>25</v>
      </c>
      <c r="D81" t="s">
        <v>24</v>
      </c>
      <c r="E81">
        <v>20</v>
      </c>
      <c r="F81" t="s">
        <v>27</v>
      </c>
      <c r="G81" t="s">
        <v>26</v>
      </c>
      <c r="H81">
        <v>33</v>
      </c>
      <c r="I81">
        <v>1</v>
      </c>
    </row>
    <row r="82" spans="1:9" x14ac:dyDescent="0.3">
      <c r="A82">
        <v>2</v>
      </c>
      <c r="B82">
        <v>1</v>
      </c>
      <c r="C82" t="s">
        <v>25</v>
      </c>
      <c r="D82" t="s">
        <v>24</v>
      </c>
      <c r="E82">
        <v>0</v>
      </c>
      <c r="F82" t="s">
        <v>27</v>
      </c>
      <c r="G82" t="s">
        <v>26</v>
      </c>
      <c r="H82">
        <v>46</v>
      </c>
      <c r="I82">
        <v>1</v>
      </c>
    </row>
    <row r="83" spans="1:9" x14ac:dyDescent="0.3">
      <c r="A83">
        <v>2</v>
      </c>
      <c r="B83">
        <v>1</v>
      </c>
      <c r="C83" t="s">
        <v>25</v>
      </c>
      <c r="D83" t="s">
        <v>24</v>
      </c>
      <c r="E83">
        <v>22</v>
      </c>
      <c r="F83" t="s">
        <v>27</v>
      </c>
      <c r="G83" t="s">
        <v>26</v>
      </c>
      <c r="H83">
        <v>37</v>
      </c>
      <c r="I83">
        <v>1</v>
      </c>
    </row>
    <row r="84" spans="1:9" x14ac:dyDescent="0.3">
      <c r="A84">
        <v>2</v>
      </c>
      <c r="B84">
        <v>1</v>
      </c>
      <c r="C84" t="s">
        <v>25</v>
      </c>
      <c r="D84" t="s">
        <v>24</v>
      </c>
      <c r="E84">
        <v>1</v>
      </c>
      <c r="F84" t="s">
        <v>27</v>
      </c>
      <c r="G84" t="s">
        <v>26</v>
      </c>
      <c r="H84">
        <v>21</v>
      </c>
      <c r="I84">
        <v>1</v>
      </c>
    </row>
    <row r="85" spans="1:9" x14ac:dyDescent="0.3">
      <c r="A85">
        <v>2</v>
      </c>
      <c r="B85">
        <v>1</v>
      </c>
      <c r="C85" t="s">
        <v>25</v>
      </c>
      <c r="D85" t="s">
        <v>24</v>
      </c>
      <c r="E85">
        <v>22</v>
      </c>
      <c r="F85" t="s">
        <v>27</v>
      </c>
      <c r="G85" t="s">
        <v>26</v>
      </c>
      <c r="H85">
        <v>46</v>
      </c>
      <c r="I85">
        <v>1</v>
      </c>
    </row>
    <row r="86" spans="1:9" x14ac:dyDescent="0.3">
      <c r="A86">
        <v>2</v>
      </c>
      <c r="B86">
        <v>1</v>
      </c>
      <c r="C86" t="s">
        <v>25</v>
      </c>
      <c r="D86" t="s">
        <v>24</v>
      </c>
      <c r="E86">
        <v>38</v>
      </c>
      <c r="F86" t="s">
        <v>27</v>
      </c>
      <c r="G86" t="s">
        <v>26</v>
      </c>
      <c r="H86">
        <v>37</v>
      </c>
      <c r="I86">
        <v>0</v>
      </c>
    </row>
    <row r="87" spans="1:9" x14ac:dyDescent="0.3">
      <c r="A87">
        <v>2</v>
      </c>
      <c r="B87">
        <v>1</v>
      </c>
      <c r="C87" t="s">
        <v>25</v>
      </c>
      <c r="D87" t="s">
        <v>24</v>
      </c>
      <c r="E87">
        <v>26</v>
      </c>
      <c r="F87" t="s">
        <v>27</v>
      </c>
      <c r="G87" t="s">
        <v>26</v>
      </c>
      <c r="H87">
        <v>60</v>
      </c>
      <c r="I87">
        <v>1</v>
      </c>
    </row>
    <row r="88" spans="1:9" x14ac:dyDescent="0.3">
      <c r="A88">
        <v>2</v>
      </c>
      <c r="B88">
        <v>1</v>
      </c>
      <c r="C88" t="s">
        <v>25</v>
      </c>
      <c r="D88" t="s">
        <v>24</v>
      </c>
      <c r="E88">
        <v>29</v>
      </c>
      <c r="F88" t="s">
        <v>27</v>
      </c>
      <c r="G88" t="s">
        <v>26</v>
      </c>
      <c r="H88">
        <v>60</v>
      </c>
      <c r="I88">
        <v>1</v>
      </c>
    </row>
    <row r="89" spans="1:9" x14ac:dyDescent="0.3">
      <c r="A89">
        <v>2</v>
      </c>
      <c r="B89">
        <v>1</v>
      </c>
      <c r="C89" t="s">
        <v>25</v>
      </c>
      <c r="D89" t="s">
        <v>24</v>
      </c>
      <c r="E89">
        <v>10</v>
      </c>
      <c r="F89" t="s">
        <v>27</v>
      </c>
      <c r="G89" t="s">
        <v>26</v>
      </c>
      <c r="H89">
        <v>16</v>
      </c>
      <c r="I89">
        <v>1</v>
      </c>
    </row>
    <row r="90" spans="1:9" x14ac:dyDescent="0.3">
      <c r="A90">
        <v>2</v>
      </c>
      <c r="B90">
        <v>1</v>
      </c>
      <c r="C90" t="s">
        <v>25</v>
      </c>
      <c r="D90" t="s">
        <v>24</v>
      </c>
      <c r="E90">
        <v>37</v>
      </c>
      <c r="F90" t="s">
        <v>27</v>
      </c>
      <c r="G90" t="s">
        <v>26</v>
      </c>
      <c r="H90">
        <v>32</v>
      </c>
      <c r="I90">
        <v>0</v>
      </c>
    </row>
    <row r="91" spans="1:9" x14ac:dyDescent="0.3">
      <c r="A91">
        <v>2</v>
      </c>
      <c r="B91">
        <v>1</v>
      </c>
      <c r="C91" t="s">
        <v>25</v>
      </c>
      <c r="D91" t="s">
        <v>24</v>
      </c>
      <c r="E91">
        <v>36</v>
      </c>
      <c r="F91" t="s">
        <v>27</v>
      </c>
      <c r="G91" t="s">
        <v>26</v>
      </c>
      <c r="H91">
        <v>56</v>
      </c>
      <c r="I91">
        <v>1</v>
      </c>
    </row>
    <row r="92" spans="1:9" x14ac:dyDescent="0.3">
      <c r="A92">
        <v>2</v>
      </c>
      <c r="B92">
        <v>1</v>
      </c>
      <c r="C92" t="s">
        <v>25</v>
      </c>
      <c r="D92" t="s">
        <v>24</v>
      </c>
      <c r="E92">
        <v>52</v>
      </c>
      <c r="F92" t="s">
        <v>27</v>
      </c>
      <c r="G92" t="s">
        <v>26</v>
      </c>
      <c r="H92">
        <v>21</v>
      </c>
      <c r="I92">
        <v>0</v>
      </c>
    </row>
    <row r="93" spans="1:9" x14ac:dyDescent="0.3">
      <c r="A93">
        <v>2</v>
      </c>
      <c r="B93">
        <v>1</v>
      </c>
      <c r="C93" t="s">
        <v>25</v>
      </c>
      <c r="D93" t="s">
        <v>24</v>
      </c>
      <c r="E93">
        <v>29</v>
      </c>
      <c r="F93" t="s">
        <v>27</v>
      </c>
      <c r="G93" t="s">
        <v>26</v>
      </c>
      <c r="H93">
        <v>16</v>
      </c>
      <c r="I93">
        <v>0</v>
      </c>
    </row>
    <row r="94" spans="1:9" x14ac:dyDescent="0.3">
      <c r="A94">
        <v>2</v>
      </c>
      <c r="B94">
        <v>1</v>
      </c>
      <c r="C94" t="s">
        <v>25</v>
      </c>
      <c r="D94" t="s">
        <v>24</v>
      </c>
      <c r="E94">
        <v>12</v>
      </c>
      <c r="F94" t="s">
        <v>27</v>
      </c>
      <c r="G94" t="s">
        <v>26</v>
      </c>
      <c r="H94">
        <v>72</v>
      </c>
      <c r="I94">
        <v>1</v>
      </c>
    </row>
    <row r="95" spans="1:9" x14ac:dyDescent="0.3">
      <c r="A95">
        <v>2</v>
      </c>
      <c r="B95">
        <v>1</v>
      </c>
      <c r="C95" t="s">
        <v>25</v>
      </c>
      <c r="D95" t="s">
        <v>24</v>
      </c>
      <c r="E95">
        <v>19</v>
      </c>
      <c r="F95" t="s">
        <v>27</v>
      </c>
      <c r="G95" t="s">
        <v>26</v>
      </c>
      <c r="H95">
        <v>36</v>
      </c>
      <c r="I95">
        <v>1</v>
      </c>
    </row>
    <row r="96" spans="1:9" x14ac:dyDescent="0.3">
      <c r="A96">
        <v>2</v>
      </c>
      <c r="B96">
        <v>1</v>
      </c>
      <c r="C96" t="s">
        <v>25</v>
      </c>
      <c r="D96" t="s">
        <v>24</v>
      </c>
      <c r="E96">
        <v>7</v>
      </c>
      <c r="F96" t="s">
        <v>27</v>
      </c>
      <c r="G96" t="s">
        <v>26</v>
      </c>
      <c r="H96">
        <v>36</v>
      </c>
      <c r="I96">
        <v>1</v>
      </c>
    </row>
    <row r="97" spans="1:9" x14ac:dyDescent="0.3">
      <c r="A97">
        <v>2</v>
      </c>
      <c r="B97">
        <v>1</v>
      </c>
      <c r="C97" t="s">
        <v>25</v>
      </c>
      <c r="D97" t="s">
        <v>24</v>
      </c>
      <c r="E97">
        <v>15</v>
      </c>
      <c r="F97" t="s">
        <v>27</v>
      </c>
      <c r="G97" t="s">
        <v>26</v>
      </c>
      <c r="H97">
        <v>52</v>
      </c>
      <c r="I97">
        <v>1</v>
      </c>
    </row>
    <row r="98" spans="1:9" x14ac:dyDescent="0.3">
      <c r="A98">
        <v>2</v>
      </c>
      <c r="B98">
        <v>1</v>
      </c>
      <c r="C98" t="s">
        <v>25</v>
      </c>
      <c r="D98" t="s">
        <v>24</v>
      </c>
      <c r="E98">
        <v>2</v>
      </c>
      <c r="F98" t="s">
        <v>27</v>
      </c>
      <c r="G98" t="s">
        <v>26</v>
      </c>
      <c r="H98">
        <v>46</v>
      </c>
      <c r="I98">
        <v>1</v>
      </c>
    </row>
    <row r="99" spans="1:9" x14ac:dyDescent="0.3">
      <c r="A99">
        <v>2</v>
      </c>
      <c r="B99">
        <v>1</v>
      </c>
      <c r="C99" t="s">
        <v>25</v>
      </c>
      <c r="D99" t="s">
        <v>24</v>
      </c>
      <c r="E99">
        <v>36</v>
      </c>
      <c r="F99" t="s">
        <v>27</v>
      </c>
      <c r="G99" t="s">
        <v>26</v>
      </c>
      <c r="H99">
        <v>60</v>
      </c>
      <c r="I99">
        <v>1</v>
      </c>
    </row>
    <row r="100" spans="1:9" x14ac:dyDescent="0.3">
      <c r="A100">
        <v>2</v>
      </c>
      <c r="B100">
        <v>1</v>
      </c>
      <c r="C100" t="s">
        <v>25</v>
      </c>
      <c r="D100" t="s">
        <v>24</v>
      </c>
      <c r="E100">
        <v>21</v>
      </c>
      <c r="F100" t="s">
        <v>27</v>
      </c>
      <c r="G100" t="s">
        <v>26</v>
      </c>
      <c r="H100">
        <v>12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12811-DBFC-46DC-8273-B30FD9AE30EB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25</v>
      </c>
      <c r="D1" t="s">
        <v>24</v>
      </c>
      <c r="E1">
        <v>3</v>
      </c>
      <c r="F1" t="s">
        <v>29</v>
      </c>
      <c r="G1" t="s">
        <v>28</v>
      </c>
      <c r="H1">
        <v>50</v>
      </c>
      <c r="I1">
        <v>1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25</v>
      </c>
      <c r="D2" t="s">
        <v>24</v>
      </c>
      <c r="E2">
        <v>2</v>
      </c>
      <c r="F2" t="s">
        <v>29</v>
      </c>
      <c r="G2" t="s">
        <v>28</v>
      </c>
      <c r="H2">
        <v>27</v>
      </c>
      <c r="I2">
        <v>1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25</v>
      </c>
      <c r="D3" t="s">
        <v>24</v>
      </c>
      <c r="E3">
        <v>15</v>
      </c>
      <c r="F3" t="s">
        <v>29</v>
      </c>
      <c r="G3" t="s">
        <v>28</v>
      </c>
      <c r="H3">
        <v>48</v>
      </c>
      <c r="I3">
        <v>1</v>
      </c>
      <c r="K3" s="8" t="s">
        <v>11</v>
      </c>
      <c r="L3" s="8"/>
      <c r="M3" s="10">
        <f>COUNTIF($I$1:$I$100, 0)</f>
        <v>45</v>
      </c>
      <c r="N3" s="10"/>
      <c r="O3" s="10">
        <f>COUNTIFS($I$1:$I$100, 0, $B$1:$B$100, 0)</f>
        <v>22</v>
      </c>
      <c r="P3" s="10"/>
      <c r="Q3" s="11">
        <f>COUNTIFS($I$1:$I$100, 0, $B$1:$B$100, 1)</f>
        <v>23</v>
      </c>
      <c r="R3" s="12"/>
      <c r="T3" cm="1">
        <f t="array" ref="T3">SUMPRODUCT(--($E$1:$E$100=$H$1:$H$100))</f>
        <v>1</v>
      </c>
    </row>
    <row r="4" spans="1:20" x14ac:dyDescent="0.3">
      <c r="A4">
        <v>2</v>
      </c>
      <c r="B4">
        <v>0</v>
      </c>
      <c r="C4" t="s">
        <v>25</v>
      </c>
      <c r="D4" t="s">
        <v>24</v>
      </c>
      <c r="E4">
        <v>16</v>
      </c>
      <c r="F4" t="s">
        <v>29</v>
      </c>
      <c r="G4" t="s">
        <v>28</v>
      </c>
      <c r="H4">
        <v>35</v>
      </c>
      <c r="I4">
        <v>1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25</v>
      </c>
      <c r="D5" t="s">
        <v>24</v>
      </c>
      <c r="E5">
        <v>40</v>
      </c>
      <c r="F5" t="s">
        <v>29</v>
      </c>
      <c r="G5" t="s">
        <v>28</v>
      </c>
      <c r="H5">
        <v>19</v>
      </c>
      <c r="I5">
        <v>0</v>
      </c>
      <c r="K5" s="8" t="s">
        <v>10</v>
      </c>
      <c r="L5" s="8"/>
      <c r="M5" s="14">
        <f>COUNTIF($I$1:$I$100, 1)</f>
        <v>55</v>
      </c>
      <c r="N5" s="10"/>
      <c r="O5" s="10">
        <f>COUNTIFS($I$1:$I$100, 1, $B$1:$B$100, 0)</f>
        <v>28</v>
      </c>
      <c r="P5" s="10"/>
      <c r="Q5" s="10">
        <f>COUNTIFS($I$1:$I$100, 1, $B$1:$B$100, 1)</f>
        <v>27</v>
      </c>
      <c r="R5" s="13"/>
    </row>
    <row r="6" spans="1:20" x14ac:dyDescent="0.3">
      <c r="A6">
        <v>2</v>
      </c>
      <c r="B6">
        <v>0</v>
      </c>
      <c r="C6" t="s">
        <v>25</v>
      </c>
      <c r="D6" t="s">
        <v>24</v>
      </c>
      <c r="E6">
        <v>31</v>
      </c>
      <c r="F6" t="s">
        <v>29</v>
      </c>
      <c r="G6" t="s">
        <v>28</v>
      </c>
      <c r="H6">
        <v>17</v>
      </c>
      <c r="I6">
        <v>0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25</v>
      </c>
      <c r="D7" t="s">
        <v>24</v>
      </c>
      <c r="E7">
        <v>7</v>
      </c>
      <c r="F7" t="s">
        <v>29</v>
      </c>
      <c r="G7" t="s">
        <v>28</v>
      </c>
      <c r="H7">
        <v>49</v>
      </c>
      <c r="I7">
        <v>1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25</v>
      </c>
      <c r="D8" t="s">
        <v>24</v>
      </c>
      <c r="E8">
        <v>35</v>
      </c>
      <c r="F8" t="s">
        <v>29</v>
      </c>
      <c r="G8" t="s">
        <v>28</v>
      </c>
      <c r="H8">
        <v>58</v>
      </c>
      <c r="I8">
        <v>1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25</v>
      </c>
      <c r="D9" t="s">
        <v>24</v>
      </c>
      <c r="E9">
        <v>48</v>
      </c>
      <c r="F9" t="s">
        <v>29</v>
      </c>
      <c r="G9" t="s">
        <v>28</v>
      </c>
      <c r="H9">
        <v>25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25</v>
      </c>
      <c r="D10" t="s">
        <v>24</v>
      </c>
      <c r="E10">
        <v>27</v>
      </c>
      <c r="F10" t="s">
        <v>29</v>
      </c>
      <c r="G10" t="s">
        <v>28</v>
      </c>
      <c r="H10">
        <v>17</v>
      </c>
      <c r="I10">
        <v>0</v>
      </c>
      <c r="K10" s="8" t="s">
        <v>6</v>
      </c>
      <c r="L10" s="8"/>
      <c r="M10" s="10">
        <f>AVERAGE($E$1:$E$100,)</f>
        <v>22.920792079207921</v>
      </c>
      <c r="N10" s="10"/>
      <c r="O10" s="10" cm="1">
        <f t="array" ref="O10">AVERAGE(_xlfn._xlws.FILTER($E$1:$E$100,$I$1:$I$100 = 0))</f>
        <v>35.333333333333336</v>
      </c>
      <c r="P10" s="10"/>
      <c r="Q10" s="11" cm="1">
        <f t="array" ref="Q10">AVERAGE(_xlfn._xlws.FILTER($E$1:$E$100,$I$1:$I$100 = 1))</f>
        <v>13.181818181818182</v>
      </c>
      <c r="R10" s="12"/>
    </row>
    <row r="11" spans="1:20" x14ac:dyDescent="0.3">
      <c r="A11">
        <v>2</v>
      </c>
      <c r="B11">
        <v>0</v>
      </c>
      <c r="C11" t="s">
        <v>25</v>
      </c>
      <c r="D11" t="s">
        <v>24</v>
      </c>
      <c r="E11">
        <v>5</v>
      </c>
      <c r="F11" t="s">
        <v>29</v>
      </c>
      <c r="G11" t="s">
        <v>28</v>
      </c>
      <c r="H11">
        <v>43</v>
      </c>
      <c r="I11">
        <v>1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25</v>
      </c>
      <c r="D12" t="s">
        <v>24</v>
      </c>
      <c r="E12">
        <v>8</v>
      </c>
      <c r="F12" t="s">
        <v>29</v>
      </c>
      <c r="G12" t="s">
        <v>28</v>
      </c>
      <c r="H12">
        <v>59</v>
      </c>
      <c r="I12">
        <v>1</v>
      </c>
      <c r="K12" s="8" t="s">
        <v>5</v>
      </c>
      <c r="L12" s="8"/>
      <c r="M12" s="10">
        <f>AVERAGE($H$1:$H$100,)</f>
        <v>30.118811881188119</v>
      </c>
      <c r="N12" s="10"/>
      <c r="O12" s="10" cm="1">
        <f t="array" ref="O12">AVERAGE(_xlfn._xlws.FILTER($H$1:$H$100,$I$1:$I$100 = 0))</f>
        <v>17.977777777777778</v>
      </c>
      <c r="P12" s="10"/>
      <c r="Q12" s="10" cm="1">
        <f t="array" ref="Q12">AVERAGE(_xlfn._xlws.FILTER($H$1:$H$100,$I$1:$I$100 = 1))</f>
        <v>40.6</v>
      </c>
      <c r="R12" s="13"/>
    </row>
    <row r="13" spans="1:20" x14ac:dyDescent="0.3">
      <c r="A13">
        <v>2</v>
      </c>
      <c r="B13">
        <v>0</v>
      </c>
      <c r="C13" t="s">
        <v>25</v>
      </c>
      <c r="D13" t="s">
        <v>24</v>
      </c>
      <c r="E13">
        <v>15</v>
      </c>
      <c r="F13" t="s">
        <v>29</v>
      </c>
      <c r="G13" t="s">
        <v>28</v>
      </c>
      <c r="H13">
        <v>71</v>
      </c>
      <c r="I13">
        <v>1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25</v>
      </c>
      <c r="D14" t="s">
        <v>24</v>
      </c>
      <c r="E14">
        <v>37</v>
      </c>
      <c r="F14" t="s">
        <v>29</v>
      </c>
      <c r="G14" t="s">
        <v>28</v>
      </c>
      <c r="H14">
        <v>11</v>
      </c>
      <c r="I14">
        <v>0</v>
      </c>
      <c r="K14" s="19" t="s">
        <v>4</v>
      </c>
      <c r="L14" s="12"/>
      <c r="M14" s="20" cm="1">
        <f t="array" ref="M14">AVERAGE($E$1:$E$100 - $H$1:$H$100)</f>
        <v>-7.27</v>
      </c>
      <c r="N14" s="20"/>
      <c r="O14" s="20" cm="1">
        <f t="array" ref="O14">AVERAGE(_xlfn._xlws.FILTER($E$1:$E$100 - $H$1:$H$100, I$1:I$100 = 0))</f>
        <v>17.355555555555554</v>
      </c>
      <c r="P14" s="20"/>
      <c r="Q14" s="20" cm="1">
        <f t="array" ref="Q14">AVERAGE(_xlfn._xlws.FILTER($E$1:$E$100 - $H$1:$H$100, I$1:I$100 = 1))</f>
        <v>-27.418181818181818</v>
      </c>
      <c r="R14" s="22"/>
    </row>
    <row r="15" spans="1:20" x14ac:dyDescent="0.3">
      <c r="A15">
        <v>2</v>
      </c>
      <c r="B15">
        <v>0</v>
      </c>
      <c r="C15" t="s">
        <v>25</v>
      </c>
      <c r="D15" t="s">
        <v>24</v>
      </c>
      <c r="E15">
        <v>5</v>
      </c>
      <c r="F15" t="s">
        <v>29</v>
      </c>
      <c r="G15" t="s">
        <v>28</v>
      </c>
      <c r="H15">
        <v>34</v>
      </c>
      <c r="I15">
        <v>1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25</v>
      </c>
      <c r="D16" t="s">
        <v>24</v>
      </c>
      <c r="E16">
        <v>8</v>
      </c>
      <c r="F16" t="s">
        <v>29</v>
      </c>
      <c r="G16" t="s">
        <v>28</v>
      </c>
      <c r="H16">
        <v>38</v>
      </c>
      <c r="I16">
        <v>1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25</v>
      </c>
      <c r="D17" t="s">
        <v>24</v>
      </c>
      <c r="E17">
        <v>32</v>
      </c>
      <c r="F17" t="s">
        <v>29</v>
      </c>
      <c r="G17" t="s">
        <v>28</v>
      </c>
      <c r="H17">
        <v>7</v>
      </c>
      <c r="I17">
        <v>0</v>
      </c>
    </row>
    <row r="18" spans="1:9" x14ac:dyDescent="0.3">
      <c r="A18">
        <v>2</v>
      </c>
      <c r="B18">
        <v>0</v>
      </c>
      <c r="C18" t="s">
        <v>25</v>
      </c>
      <c r="D18" t="s">
        <v>24</v>
      </c>
      <c r="E18">
        <v>13</v>
      </c>
      <c r="F18" t="s">
        <v>29</v>
      </c>
      <c r="G18" t="s">
        <v>28</v>
      </c>
      <c r="H18">
        <v>5</v>
      </c>
      <c r="I18">
        <v>0</v>
      </c>
    </row>
    <row r="19" spans="1:9" x14ac:dyDescent="0.3">
      <c r="A19">
        <v>2</v>
      </c>
      <c r="B19">
        <v>0</v>
      </c>
      <c r="C19" t="s">
        <v>25</v>
      </c>
      <c r="D19" t="s">
        <v>24</v>
      </c>
      <c r="E19">
        <v>5</v>
      </c>
      <c r="F19" t="s">
        <v>29</v>
      </c>
      <c r="G19" t="s">
        <v>28</v>
      </c>
      <c r="H19">
        <v>26</v>
      </c>
      <c r="I19">
        <v>1</v>
      </c>
    </row>
    <row r="20" spans="1:9" x14ac:dyDescent="0.3">
      <c r="A20">
        <v>2</v>
      </c>
      <c r="B20">
        <v>0</v>
      </c>
      <c r="C20" t="s">
        <v>25</v>
      </c>
      <c r="D20" t="s">
        <v>24</v>
      </c>
      <c r="E20">
        <v>36</v>
      </c>
      <c r="F20" t="s">
        <v>29</v>
      </c>
      <c r="G20" t="s">
        <v>28</v>
      </c>
      <c r="H20">
        <v>11</v>
      </c>
      <c r="I20">
        <v>0</v>
      </c>
    </row>
    <row r="21" spans="1:9" x14ac:dyDescent="0.3">
      <c r="A21">
        <v>2</v>
      </c>
      <c r="B21">
        <v>0</v>
      </c>
      <c r="C21" t="s">
        <v>25</v>
      </c>
      <c r="D21" t="s">
        <v>24</v>
      </c>
      <c r="E21">
        <v>55</v>
      </c>
      <c r="F21" t="s">
        <v>29</v>
      </c>
      <c r="G21" t="s">
        <v>28</v>
      </c>
      <c r="H21">
        <v>16</v>
      </c>
      <c r="I21">
        <v>0</v>
      </c>
    </row>
    <row r="22" spans="1:9" x14ac:dyDescent="0.3">
      <c r="A22">
        <v>2</v>
      </c>
      <c r="B22">
        <v>0</v>
      </c>
      <c r="C22" t="s">
        <v>25</v>
      </c>
      <c r="D22" t="s">
        <v>24</v>
      </c>
      <c r="E22">
        <v>25</v>
      </c>
      <c r="F22" t="s">
        <v>29</v>
      </c>
      <c r="G22" t="s">
        <v>28</v>
      </c>
      <c r="H22">
        <v>33</v>
      </c>
      <c r="I22">
        <v>1</v>
      </c>
    </row>
    <row r="23" spans="1:9" x14ac:dyDescent="0.3">
      <c r="A23">
        <v>2</v>
      </c>
      <c r="B23">
        <v>0</v>
      </c>
      <c r="C23" t="s">
        <v>25</v>
      </c>
      <c r="D23" t="s">
        <v>24</v>
      </c>
      <c r="E23">
        <v>22</v>
      </c>
      <c r="F23" t="s">
        <v>29</v>
      </c>
      <c r="G23" t="s">
        <v>28</v>
      </c>
      <c r="H23">
        <v>15</v>
      </c>
      <c r="I23">
        <v>0</v>
      </c>
    </row>
    <row r="24" spans="1:9" x14ac:dyDescent="0.3">
      <c r="A24">
        <v>2</v>
      </c>
      <c r="B24">
        <v>0</v>
      </c>
      <c r="C24" t="s">
        <v>25</v>
      </c>
      <c r="D24" t="s">
        <v>24</v>
      </c>
      <c r="E24">
        <v>31</v>
      </c>
      <c r="F24" t="s">
        <v>29</v>
      </c>
      <c r="G24" t="s">
        <v>28</v>
      </c>
      <c r="H24">
        <v>12</v>
      </c>
      <c r="I24">
        <v>0</v>
      </c>
    </row>
    <row r="25" spans="1:9" x14ac:dyDescent="0.3">
      <c r="A25">
        <v>2</v>
      </c>
      <c r="B25">
        <v>0</v>
      </c>
      <c r="C25" t="s">
        <v>25</v>
      </c>
      <c r="D25" t="s">
        <v>24</v>
      </c>
      <c r="E25">
        <v>36</v>
      </c>
      <c r="F25" t="s">
        <v>29</v>
      </c>
      <c r="G25" t="s">
        <v>28</v>
      </c>
      <c r="H25">
        <v>10</v>
      </c>
      <c r="I25">
        <v>0</v>
      </c>
    </row>
    <row r="26" spans="1:9" x14ac:dyDescent="0.3">
      <c r="A26">
        <v>2</v>
      </c>
      <c r="B26">
        <v>0</v>
      </c>
      <c r="C26" t="s">
        <v>25</v>
      </c>
      <c r="D26" t="s">
        <v>24</v>
      </c>
      <c r="E26">
        <v>46</v>
      </c>
      <c r="F26" t="s">
        <v>29</v>
      </c>
      <c r="G26" t="s">
        <v>28</v>
      </c>
      <c r="H26">
        <v>34</v>
      </c>
      <c r="I26">
        <v>0</v>
      </c>
    </row>
    <row r="27" spans="1:9" x14ac:dyDescent="0.3">
      <c r="A27">
        <v>2</v>
      </c>
      <c r="B27">
        <v>0</v>
      </c>
      <c r="C27" t="s">
        <v>25</v>
      </c>
      <c r="D27" t="s">
        <v>24</v>
      </c>
      <c r="E27">
        <v>23</v>
      </c>
      <c r="F27" t="s">
        <v>29</v>
      </c>
      <c r="G27" t="s">
        <v>28</v>
      </c>
      <c r="H27">
        <v>54</v>
      </c>
      <c r="I27">
        <v>1</v>
      </c>
    </row>
    <row r="28" spans="1:9" x14ac:dyDescent="0.3">
      <c r="A28">
        <v>2</v>
      </c>
      <c r="B28">
        <v>0</v>
      </c>
      <c r="C28" t="s">
        <v>25</v>
      </c>
      <c r="D28" t="s">
        <v>24</v>
      </c>
      <c r="E28">
        <v>8</v>
      </c>
      <c r="F28" t="s">
        <v>29</v>
      </c>
      <c r="G28" t="s">
        <v>28</v>
      </c>
      <c r="H28">
        <v>2</v>
      </c>
      <c r="I28">
        <v>0</v>
      </c>
    </row>
    <row r="29" spans="1:9" x14ac:dyDescent="0.3">
      <c r="A29">
        <v>2</v>
      </c>
      <c r="B29">
        <v>0</v>
      </c>
      <c r="C29" t="s">
        <v>25</v>
      </c>
      <c r="D29" t="s">
        <v>24</v>
      </c>
      <c r="E29">
        <v>38</v>
      </c>
      <c r="F29" t="s">
        <v>29</v>
      </c>
      <c r="G29" t="s">
        <v>28</v>
      </c>
      <c r="H29">
        <v>16</v>
      </c>
      <c r="I29">
        <v>0</v>
      </c>
    </row>
    <row r="30" spans="1:9" x14ac:dyDescent="0.3">
      <c r="A30">
        <v>2</v>
      </c>
      <c r="B30">
        <v>0</v>
      </c>
      <c r="C30" t="s">
        <v>25</v>
      </c>
      <c r="D30" t="s">
        <v>24</v>
      </c>
      <c r="E30">
        <v>50</v>
      </c>
      <c r="F30" t="s">
        <v>29</v>
      </c>
      <c r="G30" t="s">
        <v>28</v>
      </c>
      <c r="H30">
        <v>33</v>
      </c>
      <c r="I30">
        <v>0</v>
      </c>
    </row>
    <row r="31" spans="1:9" x14ac:dyDescent="0.3">
      <c r="A31">
        <v>2</v>
      </c>
      <c r="B31">
        <v>0</v>
      </c>
      <c r="C31" t="s">
        <v>25</v>
      </c>
      <c r="D31" t="s">
        <v>24</v>
      </c>
      <c r="E31">
        <v>8</v>
      </c>
      <c r="F31" t="s">
        <v>29</v>
      </c>
      <c r="G31" t="s">
        <v>28</v>
      </c>
      <c r="H31">
        <v>63</v>
      </c>
      <c r="I31">
        <v>1</v>
      </c>
    </row>
    <row r="32" spans="1:9" x14ac:dyDescent="0.3">
      <c r="A32">
        <v>2</v>
      </c>
      <c r="B32">
        <v>0</v>
      </c>
      <c r="C32" t="s">
        <v>25</v>
      </c>
      <c r="D32" t="s">
        <v>24</v>
      </c>
      <c r="E32">
        <v>18</v>
      </c>
      <c r="F32" t="s">
        <v>29</v>
      </c>
      <c r="G32" t="s">
        <v>28</v>
      </c>
      <c r="H32">
        <v>48</v>
      </c>
      <c r="I32">
        <v>1</v>
      </c>
    </row>
    <row r="33" spans="1:9" x14ac:dyDescent="0.3">
      <c r="A33">
        <v>2</v>
      </c>
      <c r="B33">
        <v>0</v>
      </c>
      <c r="C33" t="s">
        <v>25</v>
      </c>
      <c r="D33" t="s">
        <v>24</v>
      </c>
      <c r="E33">
        <v>0</v>
      </c>
      <c r="F33" t="s">
        <v>29</v>
      </c>
      <c r="G33" t="s">
        <v>28</v>
      </c>
      <c r="H33">
        <v>43</v>
      </c>
      <c r="I33">
        <v>1</v>
      </c>
    </row>
    <row r="34" spans="1:9" x14ac:dyDescent="0.3">
      <c r="A34">
        <v>2</v>
      </c>
      <c r="B34">
        <v>0</v>
      </c>
      <c r="C34" t="s">
        <v>25</v>
      </c>
      <c r="D34" t="s">
        <v>24</v>
      </c>
      <c r="E34">
        <v>42</v>
      </c>
      <c r="F34" t="s">
        <v>29</v>
      </c>
      <c r="G34" t="s">
        <v>28</v>
      </c>
      <c r="H34">
        <v>44</v>
      </c>
      <c r="I34">
        <v>1</v>
      </c>
    </row>
    <row r="35" spans="1:9" x14ac:dyDescent="0.3">
      <c r="A35">
        <v>2</v>
      </c>
      <c r="B35">
        <v>0</v>
      </c>
      <c r="C35" t="s">
        <v>25</v>
      </c>
      <c r="D35" t="s">
        <v>24</v>
      </c>
      <c r="E35">
        <v>28</v>
      </c>
      <c r="F35" t="s">
        <v>29</v>
      </c>
      <c r="G35" t="s">
        <v>28</v>
      </c>
      <c r="H35">
        <v>38</v>
      </c>
      <c r="I35">
        <v>1</v>
      </c>
    </row>
    <row r="36" spans="1:9" x14ac:dyDescent="0.3">
      <c r="A36">
        <v>2</v>
      </c>
      <c r="B36">
        <v>0</v>
      </c>
      <c r="C36" t="s">
        <v>25</v>
      </c>
      <c r="D36" t="s">
        <v>24</v>
      </c>
      <c r="E36">
        <v>16</v>
      </c>
      <c r="F36" t="s">
        <v>29</v>
      </c>
      <c r="G36" t="s">
        <v>28</v>
      </c>
      <c r="H36">
        <v>58</v>
      </c>
      <c r="I36">
        <v>1</v>
      </c>
    </row>
    <row r="37" spans="1:9" x14ac:dyDescent="0.3">
      <c r="A37">
        <v>2</v>
      </c>
      <c r="B37">
        <v>0</v>
      </c>
      <c r="C37" t="s">
        <v>25</v>
      </c>
      <c r="D37" t="s">
        <v>24</v>
      </c>
      <c r="E37">
        <v>3</v>
      </c>
      <c r="F37" t="s">
        <v>29</v>
      </c>
      <c r="G37" t="s">
        <v>28</v>
      </c>
      <c r="H37">
        <v>43</v>
      </c>
      <c r="I37">
        <v>1</v>
      </c>
    </row>
    <row r="38" spans="1:9" x14ac:dyDescent="0.3">
      <c r="A38">
        <v>2</v>
      </c>
      <c r="B38">
        <v>0</v>
      </c>
      <c r="C38" t="s">
        <v>25</v>
      </c>
      <c r="D38" t="s">
        <v>24</v>
      </c>
      <c r="E38">
        <v>49</v>
      </c>
      <c r="F38" t="s">
        <v>29</v>
      </c>
      <c r="G38" t="s">
        <v>28</v>
      </c>
      <c r="H38">
        <v>47</v>
      </c>
      <c r="I38">
        <v>0</v>
      </c>
    </row>
    <row r="39" spans="1:9" x14ac:dyDescent="0.3">
      <c r="A39">
        <v>2</v>
      </c>
      <c r="B39">
        <v>0</v>
      </c>
      <c r="C39" t="s">
        <v>25</v>
      </c>
      <c r="D39" t="s">
        <v>24</v>
      </c>
      <c r="E39">
        <v>10</v>
      </c>
      <c r="F39" t="s">
        <v>29</v>
      </c>
      <c r="G39" t="s">
        <v>28</v>
      </c>
      <c r="H39">
        <v>49</v>
      </c>
      <c r="I39">
        <v>1</v>
      </c>
    </row>
    <row r="40" spans="1:9" x14ac:dyDescent="0.3">
      <c r="A40">
        <v>2</v>
      </c>
      <c r="B40">
        <v>0</v>
      </c>
      <c r="C40" t="s">
        <v>25</v>
      </c>
      <c r="D40" t="s">
        <v>24</v>
      </c>
      <c r="E40">
        <v>18</v>
      </c>
      <c r="F40" t="s">
        <v>29</v>
      </c>
      <c r="G40" t="s">
        <v>28</v>
      </c>
      <c r="H40">
        <v>29</v>
      </c>
      <c r="I40">
        <v>1</v>
      </c>
    </row>
    <row r="41" spans="1:9" x14ac:dyDescent="0.3">
      <c r="A41">
        <v>2</v>
      </c>
      <c r="B41">
        <v>0</v>
      </c>
      <c r="C41" t="s">
        <v>25</v>
      </c>
      <c r="D41" t="s">
        <v>24</v>
      </c>
      <c r="E41">
        <v>39</v>
      </c>
      <c r="F41" t="s">
        <v>29</v>
      </c>
      <c r="G41" t="s">
        <v>28</v>
      </c>
      <c r="H41">
        <v>13</v>
      </c>
      <c r="I41">
        <v>0</v>
      </c>
    </row>
    <row r="42" spans="1:9" x14ac:dyDescent="0.3">
      <c r="A42">
        <v>2</v>
      </c>
      <c r="B42">
        <v>0</v>
      </c>
      <c r="C42" t="s">
        <v>25</v>
      </c>
      <c r="D42" t="s">
        <v>24</v>
      </c>
      <c r="E42">
        <v>62</v>
      </c>
      <c r="F42" t="s">
        <v>29</v>
      </c>
      <c r="G42" t="s">
        <v>28</v>
      </c>
      <c r="H42">
        <v>15</v>
      </c>
      <c r="I42">
        <v>0</v>
      </c>
    </row>
    <row r="43" spans="1:9" x14ac:dyDescent="0.3">
      <c r="A43">
        <v>2</v>
      </c>
      <c r="B43">
        <v>0</v>
      </c>
      <c r="C43" t="s">
        <v>25</v>
      </c>
      <c r="D43" t="s">
        <v>24</v>
      </c>
      <c r="E43">
        <v>0</v>
      </c>
      <c r="F43" t="s">
        <v>29</v>
      </c>
      <c r="G43" t="s">
        <v>28</v>
      </c>
      <c r="H43">
        <v>52</v>
      </c>
      <c r="I43">
        <v>1</v>
      </c>
    </row>
    <row r="44" spans="1:9" x14ac:dyDescent="0.3">
      <c r="A44">
        <v>2</v>
      </c>
      <c r="B44">
        <v>0</v>
      </c>
      <c r="C44" t="s">
        <v>25</v>
      </c>
      <c r="D44" t="s">
        <v>24</v>
      </c>
      <c r="E44">
        <v>2</v>
      </c>
      <c r="F44" t="s">
        <v>29</v>
      </c>
      <c r="G44" t="s">
        <v>28</v>
      </c>
      <c r="H44">
        <v>8</v>
      </c>
      <c r="I44">
        <v>1</v>
      </c>
    </row>
    <row r="45" spans="1:9" x14ac:dyDescent="0.3">
      <c r="A45">
        <v>2</v>
      </c>
      <c r="B45">
        <v>0</v>
      </c>
      <c r="C45" t="s">
        <v>25</v>
      </c>
      <c r="D45" t="s">
        <v>24</v>
      </c>
      <c r="E45">
        <v>10</v>
      </c>
      <c r="F45" t="s">
        <v>29</v>
      </c>
      <c r="G45" t="s">
        <v>28</v>
      </c>
      <c r="H45">
        <v>51</v>
      </c>
      <c r="I45">
        <v>1</v>
      </c>
    </row>
    <row r="46" spans="1:9" x14ac:dyDescent="0.3">
      <c r="A46">
        <v>2</v>
      </c>
      <c r="B46">
        <v>0</v>
      </c>
      <c r="C46" t="s">
        <v>25</v>
      </c>
      <c r="D46" t="s">
        <v>24</v>
      </c>
      <c r="E46">
        <v>44</v>
      </c>
      <c r="F46" t="s">
        <v>29</v>
      </c>
      <c r="G46" t="s">
        <v>28</v>
      </c>
      <c r="H46">
        <v>26</v>
      </c>
      <c r="I46">
        <v>0</v>
      </c>
    </row>
    <row r="47" spans="1:9" x14ac:dyDescent="0.3">
      <c r="A47">
        <v>2</v>
      </c>
      <c r="B47">
        <v>0</v>
      </c>
      <c r="C47" t="s">
        <v>25</v>
      </c>
      <c r="D47" t="s">
        <v>24</v>
      </c>
      <c r="E47">
        <v>30</v>
      </c>
      <c r="F47" t="s">
        <v>29</v>
      </c>
      <c r="G47" t="s">
        <v>28</v>
      </c>
      <c r="H47">
        <v>21</v>
      </c>
      <c r="I47">
        <v>0</v>
      </c>
    </row>
    <row r="48" spans="1:9" x14ac:dyDescent="0.3">
      <c r="A48">
        <v>2</v>
      </c>
      <c r="B48">
        <v>0</v>
      </c>
      <c r="C48" t="s">
        <v>25</v>
      </c>
      <c r="D48" t="s">
        <v>24</v>
      </c>
      <c r="E48">
        <v>2</v>
      </c>
      <c r="F48" t="s">
        <v>29</v>
      </c>
      <c r="G48" t="s">
        <v>28</v>
      </c>
      <c r="H48">
        <v>47</v>
      </c>
      <c r="I48">
        <v>1</v>
      </c>
    </row>
    <row r="49" spans="1:9" x14ac:dyDescent="0.3">
      <c r="A49">
        <v>2</v>
      </c>
      <c r="B49">
        <v>0</v>
      </c>
      <c r="C49" t="s">
        <v>25</v>
      </c>
      <c r="D49" t="s">
        <v>24</v>
      </c>
      <c r="E49">
        <v>30</v>
      </c>
      <c r="F49" t="s">
        <v>29</v>
      </c>
      <c r="G49" t="s">
        <v>28</v>
      </c>
      <c r="H49">
        <v>43</v>
      </c>
      <c r="I49">
        <v>1</v>
      </c>
    </row>
    <row r="50" spans="1:9" x14ac:dyDescent="0.3">
      <c r="A50">
        <v>2</v>
      </c>
      <c r="B50">
        <v>0</v>
      </c>
      <c r="C50" t="s">
        <v>25</v>
      </c>
      <c r="D50" t="s">
        <v>24</v>
      </c>
      <c r="E50">
        <v>39</v>
      </c>
      <c r="F50" t="s">
        <v>29</v>
      </c>
      <c r="G50" t="s">
        <v>28</v>
      </c>
      <c r="H50">
        <v>16</v>
      </c>
      <c r="I50">
        <v>0</v>
      </c>
    </row>
    <row r="51" spans="1:9" x14ac:dyDescent="0.3">
      <c r="A51">
        <v>2</v>
      </c>
      <c r="B51">
        <v>1</v>
      </c>
      <c r="C51" t="s">
        <v>25</v>
      </c>
      <c r="D51" t="s">
        <v>24</v>
      </c>
      <c r="E51">
        <v>23</v>
      </c>
      <c r="F51" t="s">
        <v>29</v>
      </c>
      <c r="G51" t="s">
        <v>28</v>
      </c>
      <c r="H51">
        <v>45</v>
      </c>
      <c r="I51">
        <v>1</v>
      </c>
    </row>
    <row r="52" spans="1:9" x14ac:dyDescent="0.3">
      <c r="A52">
        <v>2</v>
      </c>
      <c r="B52">
        <v>1</v>
      </c>
      <c r="C52" t="s">
        <v>25</v>
      </c>
      <c r="D52" t="s">
        <v>24</v>
      </c>
      <c r="E52">
        <v>26</v>
      </c>
      <c r="F52" t="s">
        <v>29</v>
      </c>
      <c r="G52" t="s">
        <v>28</v>
      </c>
      <c r="H52">
        <v>28</v>
      </c>
      <c r="I52">
        <v>1</v>
      </c>
    </row>
    <row r="53" spans="1:9" x14ac:dyDescent="0.3">
      <c r="A53">
        <v>2</v>
      </c>
      <c r="B53">
        <v>1</v>
      </c>
      <c r="C53" t="s">
        <v>25</v>
      </c>
      <c r="D53" t="s">
        <v>24</v>
      </c>
      <c r="E53">
        <v>34</v>
      </c>
      <c r="F53" t="s">
        <v>29</v>
      </c>
      <c r="G53" t="s">
        <v>28</v>
      </c>
      <c r="H53">
        <v>13</v>
      </c>
      <c r="I53">
        <v>0</v>
      </c>
    </row>
    <row r="54" spans="1:9" x14ac:dyDescent="0.3">
      <c r="A54">
        <v>2</v>
      </c>
      <c r="B54">
        <v>1</v>
      </c>
      <c r="C54" t="s">
        <v>25</v>
      </c>
      <c r="D54" t="s">
        <v>24</v>
      </c>
      <c r="E54">
        <v>30</v>
      </c>
      <c r="F54" t="s">
        <v>29</v>
      </c>
      <c r="G54" t="s">
        <v>28</v>
      </c>
      <c r="H54">
        <v>11</v>
      </c>
      <c r="I54">
        <v>0</v>
      </c>
    </row>
    <row r="55" spans="1:9" x14ac:dyDescent="0.3">
      <c r="A55">
        <v>2</v>
      </c>
      <c r="B55">
        <v>1</v>
      </c>
      <c r="C55" t="s">
        <v>25</v>
      </c>
      <c r="D55" t="s">
        <v>24</v>
      </c>
      <c r="E55">
        <v>12</v>
      </c>
      <c r="F55" t="s">
        <v>29</v>
      </c>
      <c r="G55" t="s">
        <v>28</v>
      </c>
      <c r="H55">
        <v>18</v>
      </c>
      <c r="I55">
        <v>1</v>
      </c>
    </row>
    <row r="56" spans="1:9" x14ac:dyDescent="0.3">
      <c r="A56">
        <v>2</v>
      </c>
      <c r="B56">
        <v>1</v>
      </c>
      <c r="C56" t="s">
        <v>25</v>
      </c>
      <c r="D56" t="s">
        <v>24</v>
      </c>
      <c r="E56">
        <v>37</v>
      </c>
      <c r="F56" t="s">
        <v>29</v>
      </c>
      <c r="G56" t="s">
        <v>28</v>
      </c>
      <c r="H56">
        <v>12</v>
      </c>
      <c r="I56">
        <v>0</v>
      </c>
    </row>
    <row r="57" spans="1:9" x14ac:dyDescent="0.3">
      <c r="A57">
        <v>2</v>
      </c>
      <c r="B57">
        <v>1</v>
      </c>
      <c r="C57" t="s">
        <v>25</v>
      </c>
      <c r="D57" t="s">
        <v>24</v>
      </c>
      <c r="E57">
        <v>28</v>
      </c>
      <c r="F57" t="s">
        <v>29</v>
      </c>
      <c r="G57" t="s">
        <v>28</v>
      </c>
      <c r="H57">
        <v>9</v>
      </c>
      <c r="I57">
        <v>0</v>
      </c>
    </row>
    <row r="58" spans="1:9" x14ac:dyDescent="0.3">
      <c r="A58">
        <v>2</v>
      </c>
      <c r="B58">
        <v>1</v>
      </c>
      <c r="C58" t="s">
        <v>25</v>
      </c>
      <c r="D58" t="s">
        <v>24</v>
      </c>
      <c r="E58">
        <v>27</v>
      </c>
      <c r="F58" t="s">
        <v>29</v>
      </c>
      <c r="G58" t="s">
        <v>28</v>
      </c>
      <c r="H58">
        <v>20</v>
      </c>
      <c r="I58">
        <v>0</v>
      </c>
    </row>
    <row r="59" spans="1:9" x14ac:dyDescent="0.3">
      <c r="A59">
        <v>2</v>
      </c>
      <c r="B59">
        <v>1</v>
      </c>
      <c r="C59" t="s">
        <v>25</v>
      </c>
      <c r="D59" t="s">
        <v>24</v>
      </c>
      <c r="E59">
        <v>57</v>
      </c>
      <c r="F59" t="s">
        <v>29</v>
      </c>
      <c r="G59" t="s">
        <v>28</v>
      </c>
      <c r="H59">
        <v>42</v>
      </c>
      <c r="I59">
        <v>0</v>
      </c>
    </row>
    <row r="60" spans="1:9" x14ac:dyDescent="0.3">
      <c r="A60">
        <v>2</v>
      </c>
      <c r="B60">
        <v>1</v>
      </c>
      <c r="C60" t="s">
        <v>25</v>
      </c>
      <c r="D60" t="s">
        <v>24</v>
      </c>
      <c r="E60">
        <v>51</v>
      </c>
      <c r="F60" t="s">
        <v>29</v>
      </c>
      <c r="G60" t="s">
        <v>28</v>
      </c>
      <c r="H60">
        <v>32</v>
      </c>
      <c r="I60">
        <v>0</v>
      </c>
    </row>
    <row r="61" spans="1:9" x14ac:dyDescent="0.3">
      <c r="A61">
        <v>2</v>
      </c>
      <c r="B61">
        <v>1</v>
      </c>
      <c r="C61" t="s">
        <v>25</v>
      </c>
      <c r="D61" t="s">
        <v>24</v>
      </c>
      <c r="E61">
        <v>10</v>
      </c>
      <c r="F61" t="s">
        <v>29</v>
      </c>
      <c r="G61" t="s">
        <v>28</v>
      </c>
      <c r="H61">
        <v>33</v>
      </c>
      <c r="I61">
        <v>1</v>
      </c>
    </row>
    <row r="62" spans="1:9" x14ac:dyDescent="0.3">
      <c r="A62">
        <v>2</v>
      </c>
      <c r="B62">
        <v>1</v>
      </c>
      <c r="C62" t="s">
        <v>25</v>
      </c>
      <c r="D62" t="s">
        <v>24</v>
      </c>
      <c r="E62">
        <v>2</v>
      </c>
      <c r="F62" t="s">
        <v>29</v>
      </c>
      <c r="G62" t="s">
        <v>28</v>
      </c>
      <c r="H62">
        <v>29</v>
      </c>
      <c r="I62">
        <v>1</v>
      </c>
    </row>
    <row r="63" spans="1:9" x14ac:dyDescent="0.3">
      <c r="A63">
        <v>2</v>
      </c>
      <c r="B63">
        <v>1</v>
      </c>
      <c r="C63" t="s">
        <v>25</v>
      </c>
      <c r="D63" t="s">
        <v>24</v>
      </c>
      <c r="E63">
        <v>15</v>
      </c>
      <c r="F63" t="s">
        <v>29</v>
      </c>
      <c r="G63" t="s">
        <v>28</v>
      </c>
      <c r="H63">
        <v>17</v>
      </c>
      <c r="I63">
        <v>1</v>
      </c>
    </row>
    <row r="64" spans="1:9" x14ac:dyDescent="0.3">
      <c r="A64">
        <v>2</v>
      </c>
      <c r="B64">
        <v>1</v>
      </c>
      <c r="C64" t="s">
        <v>25</v>
      </c>
      <c r="D64" t="s">
        <v>24</v>
      </c>
      <c r="E64">
        <v>22</v>
      </c>
      <c r="F64" t="s">
        <v>29</v>
      </c>
      <c r="G64" t="s">
        <v>28</v>
      </c>
      <c r="H64">
        <v>29</v>
      </c>
      <c r="I64">
        <v>1</v>
      </c>
    </row>
    <row r="65" spans="1:9" x14ac:dyDescent="0.3">
      <c r="A65">
        <v>2</v>
      </c>
      <c r="B65">
        <v>1</v>
      </c>
      <c r="C65" t="s">
        <v>25</v>
      </c>
      <c r="D65" t="s">
        <v>24</v>
      </c>
      <c r="E65">
        <v>23</v>
      </c>
      <c r="F65" t="s">
        <v>29</v>
      </c>
      <c r="G65" t="s">
        <v>28</v>
      </c>
      <c r="H65">
        <v>7</v>
      </c>
      <c r="I65">
        <v>0</v>
      </c>
    </row>
    <row r="66" spans="1:9" x14ac:dyDescent="0.3">
      <c r="A66">
        <v>2</v>
      </c>
      <c r="B66">
        <v>1</v>
      </c>
      <c r="C66" t="s">
        <v>25</v>
      </c>
      <c r="D66" t="s">
        <v>24</v>
      </c>
      <c r="E66">
        <v>58</v>
      </c>
      <c r="F66" t="s">
        <v>29</v>
      </c>
      <c r="G66" t="s">
        <v>28</v>
      </c>
      <c r="H66">
        <v>58</v>
      </c>
      <c r="I66">
        <v>0</v>
      </c>
    </row>
    <row r="67" spans="1:9" x14ac:dyDescent="0.3">
      <c r="A67">
        <v>2</v>
      </c>
      <c r="B67">
        <v>1</v>
      </c>
      <c r="C67" t="s">
        <v>25</v>
      </c>
      <c r="D67" t="s">
        <v>24</v>
      </c>
      <c r="E67">
        <v>23</v>
      </c>
      <c r="F67" t="s">
        <v>29</v>
      </c>
      <c r="G67" t="s">
        <v>28</v>
      </c>
      <c r="H67">
        <v>36</v>
      </c>
      <c r="I67">
        <v>1</v>
      </c>
    </row>
    <row r="68" spans="1:9" x14ac:dyDescent="0.3">
      <c r="A68">
        <v>2</v>
      </c>
      <c r="B68">
        <v>1</v>
      </c>
      <c r="C68" t="s">
        <v>25</v>
      </c>
      <c r="D68" t="s">
        <v>24</v>
      </c>
      <c r="E68">
        <v>14</v>
      </c>
      <c r="F68" t="s">
        <v>29</v>
      </c>
      <c r="G68" t="s">
        <v>28</v>
      </c>
      <c r="H68">
        <v>24</v>
      </c>
      <c r="I68">
        <v>1</v>
      </c>
    </row>
    <row r="69" spans="1:9" x14ac:dyDescent="0.3">
      <c r="A69">
        <v>2</v>
      </c>
      <c r="B69">
        <v>1</v>
      </c>
      <c r="C69" t="s">
        <v>25</v>
      </c>
      <c r="D69" t="s">
        <v>24</v>
      </c>
      <c r="E69">
        <v>10</v>
      </c>
      <c r="F69" t="s">
        <v>29</v>
      </c>
      <c r="G69" t="s">
        <v>28</v>
      </c>
      <c r="H69">
        <v>30</v>
      </c>
      <c r="I69">
        <v>1</v>
      </c>
    </row>
    <row r="70" spans="1:9" x14ac:dyDescent="0.3">
      <c r="A70">
        <v>2</v>
      </c>
      <c r="B70">
        <v>1</v>
      </c>
      <c r="C70" t="s">
        <v>25</v>
      </c>
      <c r="D70" t="s">
        <v>24</v>
      </c>
      <c r="E70">
        <v>20</v>
      </c>
      <c r="F70" t="s">
        <v>29</v>
      </c>
      <c r="G70" t="s">
        <v>28</v>
      </c>
      <c r="H70">
        <v>19</v>
      </c>
      <c r="I70">
        <v>0</v>
      </c>
    </row>
    <row r="71" spans="1:9" x14ac:dyDescent="0.3">
      <c r="A71">
        <v>2</v>
      </c>
      <c r="B71">
        <v>1</v>
      </c>
      <c r="C71" t="s">
        <v>25</v>
      </c>
      <c r="D71" t="s">
        <v>24</v>
      </c>
      <c r="E71">
        <v>40</v>
      </c>
      <c r="F71" t="s">
        <v>29</v>
      </c>
      <c r="G71" t="s">
        <v>28</v>
      </c>
      <c r="H71">
        <v>4</v>
      </c>
      <c r="I71">
        <v>0</v>
      </c>
    </row>
    <row r="72" spans="1:9" x14ac:dyDescent="0.3">
      <c r="A72">
        <v>2</v>
      </c>
      <c r="B72">
        <v>1</v>
      </c>
      <c r="C72" t="s">
        <v>25</v>
      </c>
      <c r="D72" t="s">
        <v>24</v>
      </c>
      <c r="E72">
        <v>3</v>
      </c>
      <c r="F72" t="s">
        <v>29</v>
      </c>
      <c r="G72" t="s">
        <v>28</v>
      </c>
      <c r="H72">
        <v>33</v>
      </c>
      <c r="I72">
        <v>1</v>
      </c>
    </row>
    <row r="73" spans="1:9" x14ac:dyDescent="0.3">
      <c r="A73">
        <v>2</v>
      </c>
      <c r="B73">
        <v>1</v>
      </c>
      <c r="C73" t="s">
        <v>25</v>
      </c>
      <c r="D73" t="s">
        <v>24</v>
      </c>
      <c r="E73">
        <v>52</v>
      </c>
      <c r="F73" t="s">
        <v>29</v>
      </c>
      <c r="G73" t="s">
        <v>28</v>
      </c>
      <c r="H73">
        <v>42</v>
      </c>
      <c r="I73">
        <v>0</v>
      </c>
    </row>
    <row r="74" spans="1:9" x14ac:dyDescent="0.3">
      <c r="A74">
        <v>2</v>
      </c>
      <c r="B74">
        <v>1</v>
      </c>
      <c r="C74" t="s">
        <v>25</v>
      </c>
      <c r="D74" t="s">
        <v>24</v>
      </c>
      <c r="E74">
        <v>0</v>
      </c>
      <c r="F74" t="s">
        <v>29</v>
      </c>
      <c r="G74" t="s">
        <v>28</v>
      </c>
      <c r="H74">
        <v>45</v>
      </c>
      <c r="I74">
        <v>1</v>
      </c>
    </row>
    <row r="75" spans="1:9" x14ac:dyDescent="0.3">
      <c r="A75">
        <v>2</v>
      </c>
      <c r="B75">
        <v>1</v>
      </c>
      <c r="C75" t="s">
        <v>25</v>
      </c>
      <c r="D75" t="s">
        <v>24</v>
      </c>
      <c r="E75">
        <v>38</v>
      </c>
      <c r="F75" t="s">
        <v>29</v>
      </c>
      <c r="G75" t="s">
        <v>28</v>
      </c>
      <c r="H75">
        <v>27</v>
      </c>
      <c r="I75">
        <v>0</v>
      </c>
    </row>
    <row r="76" spans="1:9" x14ac:dyDescent="0.3">
      <c r="A76">
        <v>2</v>
      </c>
      <c r="B76">
        <v>1</v>
      </c>
      <c r="C76" t="s">
        <v>25</v>
      </c>
      <c r="D76" t="s">
        <v>24</v>
      </c>
      <c r="E76">
        <v>0</v>
      </c>
      <c r="F76" t="s">
        <v>29</v>
      </c>
      <c r="G76" t="s">
        <v>28</v>
      </c>
      <c r="H76">
        <v>10</v>
      </c>
      <c r="I76">
        <v>1</v>
      </c>
    </row>
    <row r="77" spans="1:9" x14ac:dyDescent="0.3">
      <c r="A77">
        <v>2</v>
      </c>
      <c r="B77">
        <v>1</v>
      </c>
      <c r="C77" t="s">
        <v>25</v>
      </c>
      <c r="D77" t="s">
        <v>24</v>
      </c>
      <c r="E77">
        <v>30</v>
      </c>
      <c r="F77" t="s">
        <v>29</v>
      </c>
      <c r="G77" t="s">
        <v>28</v>
      </c>
      <c r="H77">
        <v>12</v>
      </c>
      <c r="I77">
        <v>0</v>
      </c>
    </row>
    <row r="78" spans="1:9" x14ac:dyDescent="0.3">
      <c r="A78">
        <v>2</v>
      </c>
      <c r="B78">
        <v>1</v>
      </c>
      <c r="C78" t="s">
        <v>25</v>
      </c>
      <c r="D78" t="s">
        <v>24</v>
      </c>
      <c r="E78">
        <v>25</v>
      </c>
      <c r="F78" t="s">
        <v>29</v>
      </c>
      <c r="G78" t="s">
        <v>28</v>
      </c>
      <c r="H78">
        <v>45</v>
      </c>
      <c r="I78">
        <v>1</v>
      </c>
    </row>
    <row r="79" spans="1:9" x14ac:dyDescent="0.3">
      <c r="A79">
        <v>2</v>
      </c>
      <c r="B79">
        <v>1</v>
      </c>
      <c r="C79" t="s">
        <v>25</v>
      </c>
      <c r="D79" t="s">
        <v>24</v>
      </c>
      <c r="E79">
        <v>15</v>
      </c>
      <c r="F79" t="s">
        <v>29</v>
      </c>
      <c r="G79" t="s">
        <v>28</v>
      </c>
      <c r="H79">
        <v>31</v>
      </c>
      <c r="I79">
        <v>1</v>
      </c>
    </row>
    <row r="80" spans="1:9" x14ac:dyDescent="0.3">
      <c r="A80">
        <v>2</v>
      </c>
      <c r="B80">
        <v>1</v>
      </c>
      <c r="C80" t="s">
        <v>25</v>
      </c>
      <c r="D80" t="s">
        <v>24</v>
      </c>
      <c r="E80">
        <v>13</v>
      </c>
      <c r="F80" t="s">
        <v>29</v>
      </c>
      <c r="G80" t="s">
        <v>28</v>
      </c>
      <c r="H80">
        <v>5</v>
      </c>
      <c r="I80">
        <v>0</v>
      </c>
    </row>
    <row r="81" spans="1:9" x14ac:dyDescent="0.3">
      <c r="A81">
        <v>2</v>
      </c>
      <c r="B81">
        <v>1</v>
      </c>
      <c r="C81" t="s">
        <v>25</v>
      </c>
      <c r="D81" t="s">
        <v>24</v>
      </c>
      <c r="E81">
        <v>25</v>
      </c>
      <c r="F81" t="s">
        <v>29</v>
      </c>
      <c r="G81" t="s">
        <v>28</v>
      </c>
      <c r="H81">
        <v>43</v>
      </c>
      <c r="I81">
        <v>1</v>
      </c>
    </row>
    <row r="82" spans="1:9" x14ac:dyDescent="0.3">
      <c r="A82">
        <v>2</v>
      </c>
      <c r="B82">
        <v>1</v>
      </c>
      <c r="C82" t="s">
        <v>25</v>
      </c>
      <c r="D82" t="s">
        <v>24</v>
      </c>
      <c r="E82">
        <v>2</v>
      </c>
      <c r="F82" t="s">
        <v>29</v>
      </c>
      <c r="G82" t="s">
        <v>28</v>
      </c>
      <c r="H82">
        <v>61</v>
      </c>
      <c r="I82">
        <v>1</v>
      </c>
    </row>
    <row r="83" spans="1:9" x14ac:dyDescent="0.3">
      <c r="A83">
        <v>2</v>
      </c>
      <c r="B83">
        <v>1</v>
      </c>
      <c r="C83" t="s">
        <v>25</v>
      </c>
      <c r="D83" t="s">
        <v>24</v>
      </c>
      <c r="E83">
        <v>54</v>
      </c>
      <c r="F83" t="s">
        <v>29</v>
      </c>
      <c r="G83" t="s">
        <v>28</v>
      </c>
      <c r="H83">
        <v>36</v>
      </c>
      <c r="I83">
        <v>0</v>
      </c>
    </row>
    <row r="84" spans="1:9" x14ac:dyDescent="0.3">
      <c r="A84">
        <v>2</v>
      </c>
      <c r="B84">
        <v>1</v>
      </c>
      <c r="C84" t="s">
        <v>25</v>
      </c>
      <c r="D84" t="s">
        <v>24</v>
      </c>
      <c r="E84">
        <v>27</v>
      </c>
      <c r="F84" t="s">
        <v>29</v>
      </c>
      <c r="G84" t="s">
        <v>28</v>
      </c>
      <c r="H84">
        <v>72</v>
      </c>
      <c r="I84">
        <v>1</v>
      </c>
    </row>
    <row r="85" spans="1:9" x14ac:dyDescent="0.3">
      <c r="A85">
        <v>2</v>
      </c>
      <c r="B85">
        <v>1</v>
      </c>
      <c r="C85" t="s">
        <v>25</v>
      </c>
      <c r="D85" t="s">
        <v>24</v>
      </c>
      <c r="E85">
        <v>10</v>
      </c>
      <c r="F85" t="s">
        <v>29</v>
      </c>
      <c r="G85" t="s">
        <v>28</v>
      </c>
      <c r="H85">
        <v>81</v>
      </c>
      <c r="I85">
        <v>1</v>
      </c>
    </row>
    <row r="86" spans="1:9" x14ac:dyDescent="0.3">
      <c r="A86">
        <v>2</v>
      </c>
      <c r="B86">
        <v>1</v>
      </c>
      <c r="C86" t="s">
        <v>25</v>
      </c>
      <c r="D86" t="s">
        <v>24</v>
      </c>
      <c r="E86">
        <v>14</v>
      </c>
      <c r="F86" t="s">
        <v>29</v>
      </c>
      <c r="G86" t="s">
        <v>28</v>
      </c>
      <c r="H86">
        <v>35</v>
      </c>
      <c r="I86">
        <v>1</v>
      </c>
    </row>
    <row r="87" spans="1:9" x14ac:dyDescent="0.3">
      <c r="A87">
        <v>2</v>
      </c>
      <c r="B87">
        <v>1</v>
      </c>
      <c r="C87" t="s">
        <v>25</v>
      </c>
      <c r="D87" t="s">
        <v>24</v>
      </c>
      <c r="E87">
        <v>2</v>
      </c>
      <c r="F87" t="s">
        <v>29</v>
      </c>
      <c r="G87" t="s">
        <v>28</v>
      </c>
      <c r="H87">
        <v>13</v>
      </c>
      <c r="I87">
        <v>1</v>
      </c>
    </row>
    <row r="88" spans="1:9" x14ac:dyDescent="0.3">
      <c r="A88">
        <v>2</v>
      </c>
      <c r="B88">
        <v>1</v>
      </c>
      <c r="C88" t="s">
        <v>25</v>
      </c>
      <c r="D88" t="s">
        <v>24</v>
      </c>
      <c r="E88">
        <v>23</v>
      </c>
      <c r="F88" t="s">
        <v>29</v>
      </c>
      <c r="G88" t="s">
        <v>28</v>
      </c>
      <c r="H88">
        <v>43</v>
      </c>
      <c r="I88">
        <v>1</v>
      </c>
    </row>
    <row r="89" spans="1:9" x14ac:dyDescent="0.3">
      <c r="A89">
        <v>2</v>
      </c>
      <c r="B89">
        <v>1</v>
      </c>
      <c r="C89" t="s">
        <v>25</v>
      </c>
      <c r="D89" t="s">
        <v>24</v>
      </c>
      <c r="E89">
        <v>7</v>
      </c>
      <c r="F89" t="s">
        <v>29</v>
      </c>
      <c r="G89" t="s">
        <v>28</v>
      </c>
      <c r="H89">
        <v>54</v>
      </c>
      <c r="I89">
        <v>1</v>
      </c>
    </row>
    <row r="90" spans="1:9" x14ac:dyDescent="0.3">
      <c r="A90">
        <v>2</v>
      </c>
      <c r="B90">
        <v>1</v>
      </c>
      <c r="C90" t="s">
        <v>25</v>
      </c>
      <c r="D90" t="s">
        <v>24</v>
      </c>
      <c r="E90">
        <v>10</v>
      </c>
      <c r="F90" t="s">
        <v>29</v>
      </c>
      <c r="G90" t="s">
        <v>28</v>
      </c>
      <c r="H90">
        <v>44</v>
      </c>
      <c r="I90">
        <v>1</v>
      </c>
    </row>
    <row r="91" spans="1:9" x14ac:dyDescent="0.3">
      <c r="A91">
        <v>2</v>
      </c>
      <c r="B91">
        <v>1</v>
      </c>
      <c r="C91" t="s">
        <v>25</v>
      </c>
      <c r="D91" t="s">
        <v>24</v>
      </c>
      <c r="E91">
        <v>40</v>
      </c>
      <c r="F91" t="s">
        <v>29</v>
      </c>
      <c r="G91" t="s">
        <v>28</v>
      </c>
      <c r="H91">
        <v>13</v>
      </c>
      <c r="I91">
        <v>0</v>
      </c>
    </row>
    <row r="92" spans="1:9" x14ac:dyDescent="0.3">
      <c r="A92">
        <v>2</v>
      </c>
      <c r="B92">
        <v>1</v>
      </c>
      <c r="C92" t="s">
        <v>25</v>
      </c>
      <c r="D92" t="s">
        <v>24</v>
      </c>
      <c r="E92">
        <v>29</v>
      </c>
      <c r="F92" t="s">
        <v>29</v>
      </c>
      <c r="G92" t="s">
        <v>28</v>
      </c>
      <c r="H92">
        <v>17</v>
      </c>
      <c r="I92">
        <v>0</v>
      </c>
    </row>
    <row r="93" spans="1:9" x14ac:dyDescent="0.3">
      <c r="A93">
        <v>2</v>
      </c>
      <c r="B93">
        <v>1</v>
      </c>
      <c r="C93" t="s">
        <v>25</v>
      </c>
      <c r="D93" t="s">
        <v>24</v>
      </c>
      <c r="E93">
        <v>8</v>
      </c>
      <c r="F93" t="s">
        <v>29</v>
      </c>
      <c r="G93" t="s">
        <v>28</v>
      </c>
      <c r="H93">
        <v>3</v>
      </c>
      <c r="I93">
        <v>0</v>
      </c>
    </row>
    <row r="94" spans="1:9" x14ac:dyDescent="0.3">
      <c r="A94">
        <v>2</v>
      </c>
      <c r="B94">
        <v>1</v>
      </c>
      <c r="C94" t="s">
        <v>25</v>
      </c>
      <c r="D94" t="s">
        <v>24</v>
      </c>
      <c r="E94">
        <v>0</v>
      </c>
      <c r="F94" t="s">
        <v>29</v>
      </c>
      <c r="G94" t="s">
        <v>28</v>
      </c>
      <c r="H94">
        <v>29</v>
      </c>
      <c r="I94">
        <v>1</v>
      </c>
    </row>
    <row r="95" spans="1:9" x14ac:dyDescent="0.3">
      <c r="A95">
        <v>2</v>
      </c>
      <c r="B95">
        <v>1</v>
      </c>
      <c r="C95" t="s">
        <v>25</v>
      </c>
      <c r="D95" t="s">
        <v>24</v>
      </c>
      <c r="E95">
        <v>34</v>
      </c>
      <c r="F95" t="s">
        <v>29</v>
      </c>
      <c r="G95" t="s">
        <v>28</v>
      </c>
      <c r="H95">
        <v>2</v>
      </c>
      <c r="I95">
        <v>0</v>
      </c>
    </row>
    <row r="96" spans="1:9" x14ac:dyDescent="0.3">
      <c r="A96">
        <v>2</v>
      </c>
      <c r="B96">
        <v>1</v>
      </c>
      <c r="C96" t="s">
        <v>25</v>
      </c>
      <c r="D96" t="s">
        <v>24</v>
      </c>
      <c r="E96">
        <v>24</v>
      </c>
      <c r="F96" t="s">
        <v>29</v>
      </c>
      <c r="G96" t="s">
        <v>28</v>
      </c>
      <c r="H96">
        <v>40</v>
      </c>
      <c r="I96">
        <v>1</v>
      </c>
    </row>
    <row r="97" spans="1:9" x14ac:dyDescent="0.3">
      <c r="A97">
        <v>2</v>
      </c>
      <c r="B97">
        <v>1</v>
      </c>
      <c r="C97" t="s">
        <v>25</v>
      </c>
      <c r="D97" t="s">
        <v>24</v>
      </c>
      <c r="E97">
        <v>29</v>
      </c>
      <c r="F97" t="s">
        <v>29</v>
      </c>
      <c r="G97" t="s">
        <v>28</v>
      </c>
      <c r="H97">
        <v>12</v>
      </c>
      <c r="I97">
        <v>0</v>
      </c>
    </row>
    <row r="98" spans="1:9" x14ac:dyDescent="0.3">
      <c r="A98">
        <v>2</v>
      </c>
      <c r="B98">
        <v>1</v>
      </c>
      <c r="C98" t="s">
        <v>25</v>
      </c>
      <c r="D98" t="s">
        <v>24</v>
      </c>
      <c r="E98">
        <v>19</v>
      </c>
      <c r="F98" t="s">
        <v>29</v>
      </c>
      <c r="G98" t="s">
        <v>28</v>
      </c>
      <c r="H98">
        <v>9</v>
      </c>
      <c r="I98">
        <v>0</v>
      </c>
    </row>
    <row r="99" spans="1:9" x14ac:dyDescent="0.3">
      <c r="A99">
        <v>2</v>
      </c>
      <c r="B99">
        <v>1</v>
      </c>
      <c r="C99" t="s">
        <v>25</v>
      </c>
      <c r="D99" t="s">
        <v>24</v>
      </c>
      <c r="E99">
        <v>22</v>
      </c>
      <c r="F99" t="s">
        <v>29</v>
      </c>
      <c r="G99" t="s">
        <v>28</v>
      </c>
      <c r="H99">
        <v>24</v>
      </c>
      <c r="I99">
        <v>1</v>
      </c>
    </row>
    <row r="100" spans="1:9" x14ac:dyDescent="0.3">
      <c r="A100">
        <v>2</v>
      </c>
      <c r="B100">
        <v>1</v>
      </c>
      <c r="C100" t="s">
        <v>25</v>
      </c>
      <c r="D100" t="s">
        <v>24</v>
      </c>
      <c r="E100">
        <v>26</v>
      </c>
      <c r="F100" t="s">
        <v>29</v>
      </c>
      <c r="G100" t="s">
        <v>28</v>
      </c>
      <c r="H100">
        <v>16</v>
      </c>
      <c r="I100">
        <v>0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B55E7-B0B8-4936-B81B-7A21973AE7D2}">
  <dimension ref="A1:T100"/>
  <sheetViews>
    <sheetView topLeftCell="J1" workbookViewId="0">
      <selection activeCell="T2" sqref="T2:T3"/>
    </sheetView>
  </sheetViews>
  <sheetFormatPr defaultRowHeight="14.4" x14ac:dyDescent="0.3"/>
  <sheetData>
    <row r="1" spans="1:20" x14ac:dyDescent="0.3">
      <c r="A1">
        <v>2</v>
      </c>
      <c r="B1">
        <v>0</v>
      </c>
      <c r="C1" t="s">
        <v>27</v>
      </c>
      <c r="D1" t="s">
        <v>26</v>
      </c>
      <c r="E1">
        <v>41</v>
      </c>
      <c r="F1" t="s">
        <v>29</v>
      </c>
      <c r="G1" t="s">
        <v>28</v>
      </c>
      <c r="H1">
        <v>34</v>
      </c>
      <c r="I1">
        <v>0</v>
      </c>
      <c r="K1" s="7"/>
      <c r="L1" s="6"/>
      <c r="M1" s="9" t="s">
        <v>9</v>
      </c>
      <c r="N1" s="9"/>
      <c r="O1" s="8" t="s">
        <v>13</v>
      </c>
      <c r="P1" s="8"/>
      <c r="Q1" s="8" t="s">
        <v>12</v>
      </c>
      <c r="R1" s="8"/>
    </row>
    <row r="2" spans="1:20" x14ac:dyDescent="0.3">
      <c r="A2">
        <v>2</v>
      </c>
      <c r="B2">
        <v>0</v>
      </c>
      <c r="C2" t="s">
        <v>27</v>
      </c>
      <c r="D2" t="s">
        <v>26</v>
      </c>
      <c r="E2">
        <v>36</v>
      </c>
      <c r="F2" t="s">
        <v>29</v>
      </c>
      <c r="G2" t="s">
        <v>28</v>
      </c>
      <c r="H2">
        <v>30</v>
      </c>
      <c r="I2">
        <v>0</v>
      </c>
      <c r="K2" s="2"/>
      <c r="L2" s="1"/>
      <c r="M2" s="9"/>
      <c r="N2" s="9"/>
      <c r="O2" s="8"/>
      <c r="P2" s="8"/>
      <c r="Q2" s="8"/>
      <c r="R2" s="8"/>
      <c r="T2" t="s">
        <v>30</v>
      </c>
    </row>
    <row r="3" spans="1:20" x14ac:dyDescent="0.3">
      <c r="A3">
        <v>2</v>
      </c>
      <c r="B3">
        <v>0</v>
      </c>
      <c r="C3" t="s">
        <v>27</v>
      </c>
      <c r="D3" t="s">
        <v>26</v>
      </c>
      <c r="E3">
        <v>31</v>
      </c>
      <c r="F3" t="s">
        <v>29</v>
      </c>
      <c r="G3" t="s">
        <v>28</v>
      </c>
      <c r="H3">
        <v>26</v>
      </c>
      <c r="I3">
        <v>0</v>
      </c>
      <c r="K3" s="8" t="s">
        <v>11</v>
      </c>
      <c r="L3" s="8"/>
      <c r="M3" s="10">
        <f>COUNTIF($I$1:$I$100, 0)</f>
        <v>68</v>
      </c>
      <c r="N3" s="10"/>
      <c r="O3" s="10">
        <f>COUNTIFS($I$1:$I$100, 0, $B$1:$B$100, 0)</f>
        <v>38</v>
      </c>
      <c r="P3" s="10"/>
      <c r="Q3" s="11">
        <f>COUNTIFS($I$1:$I$100, 0, $B$1:$B$100, 1)</f>
        <v>30</v>
      </c>
      <c r="R3" s="12"/>
      <c r="T3" cm="1">
        <f t="array" ref="T3">SUMPRODUCT(--($E$1:$E$100=$H$1:$H$100))</f>
        <v>0</v>
      </c>
    </row>
    <row r="4" spans="1:20" x14ac:dyDescent="0.3">
      <c r="A4">
        <v>2</v>
      </c>
      <c r="B4">
        <v>0</v>
      </c>
      <c r="C4" t="s">
        <v>27</v>
      </c>
      <c r="D4" t="s">
        <v>26</v>
      </c>
      <c r="E4">
        <v>58</v>
      </c>
      <c r="F4" t="s">
        <v>29</v>
      </c>
      <c r="G4" t="s">
        <v>28</v>
      </c>
      <c r="H4">
        <v>30</v>
      </c>
      <c r="I4">
        <v>0</v>
      </c>
      <c r="K4" s="8"/>
      <c r="L4" s="8"/>
      <c r="M4" s="10"/>
      <c r="N4" s="10"/>
      <c r="O4" s="10"/>
      <c r="P4" s="10"/>
      <c r="Q4" s="10"/>
      <c r="R4" s="13"/>
    </row>
    <row r="5" spans="1:20" x14ac:dyDescent="0.3">
      <c r="A5">
        <v>2</v>
      </c>
      <c r="B5">
        <v>0</v>
      </c>
      <c r="C5" t="s">
        <v>27</v>
      </c>
      <c r="D5" t="s">
        <v>26</v>
      </c>
      <c r="E5">
        <v>41</v>
      </c>
      <c r="F5" t="s">
        <v>29</v>
      </c>
      <c r="G5" t="s">
        <v>28</v>
      </c>
      <c r="H5">
        <v>20</v>
      </c>
      <c r="I5">
        <v>0</v>
      </c>
      <c r="K5" s="8" t="s">
        <v>10</v>
      </c>
      <c r="L5" s="8"/>
      <c r="M5" s="14">
        <f>COUNTIF($I$1:$I$100, 1)</f>
        <v>32</v>
      </c>
      <c r="N5" s="10"/>
      <c r="O5" s="10">
        <f>COUNTIFS($I$1:$I$100, 1, $B$1:$B$100, 0)</f>
        <v>12</v>
      </c>
      <c r="P5" s="10"/>
      <c r="Q5" s="10">
        <f>COUNTIFS($I$1:$I$100, 1, $B$1:$B$100, 1)</f>
        <v>20</v>
      </c>
      <c r="R5" s="13"/>
    </row>
    <row r="6" spans="1:20" x14ac:dyDescent="0.3">
      <c r="A6">
        <v>2</v>
      </c>
      <c r="B6">
        <v>0</v>
      </c>
      <c r="C6" t="s">
        <v>27</v>
      </c>
      <c r="D6" t="s">
        <v>26</v>
      </c>
      <c r="E6">
        <v>19</v>
      </c>
      <c r="F6" t="s">
        <v>29</v>
      </c>
      <c r="G6" t="s">
        <v>28</v>
      </c>
      <c r="H6">
        <v>20</v>
      </c>
      <c r="I6">
        <v>1</v>
      </c>
      <c r="K6" s="8"/>
      <c r="L6" s="8"/>
      <c r="M6" s="15"/>
      <c r="N6" s="16"/>
      <c r="O6" s="16"/>
      <c r="P6" s="16"/>
      <c r="Q6" s="16"/>
      <c r="R6" s="17"/>
    </row>
    <row r="7" spans="1:20" x14ac:dyDescent="0.3">
      <c r="A7">
        <v>2</v>
      </c>
      <c r="B7">
        <v>0</v>
      </c>
      <c r="C7" t="s">
        <v>27</v>
      </c>
      <c r="D7" t="s">
        <v>26</v>
      </c>
      <c r="E7">
        <v>42</v>
      </c>
      <c r="F7" t="s">
        <v>29</v>
      </c>
      <c r="G7" t="s">
        <v>28</v>
      </c>
      <c r="H7">
        <v>12</v>
      </c>
      <c r="I7">
        <v>0</v>
      </c>
      <c r="K7" s="5"/>
      <c r="L7" s="5"/>
      <c r="M7" s="5"/>
      <c r="N7" s="5"/>
      <c r="O7" s="5"/>
      <c r="P7" s="5"/>
      <c r="Q7" s="5"/>
      <c r="R7" s="5"/>
    </row>
    <row r="8" spans="1:20" x14ac:dyDescent="0.3">
      <c r="A8">
        <v>2</v>
      </c>
      <c r="B8">
        <v>0</v>
      </c>
      <c r="C8" t="s">
        <v>27</v>
      </c>
      <c r="D8" t="s">
        <v>26</v>
      </c>
      <c r="E8">
        <v>28</v>
      </c>
      <c r="F8" t="s">
        <v>29</v>
      </c>
      <c r="G8" t="s">
        <v>28</v>
      </c>
      <c r="H8">
        <v>34</v>
      </c>
      <c r="I8">
        <v>1</v>
      </c>
      <c r="K8" s="4"/>
      <c r="L8" s="3"/>
      <c r="M8" s="18" t="s">
        <v>9</v>
      </c>
      <c r="N8" s="18"/>
      <c r="O8" s="18" t="s">
        <v>8</v>
      </c>
      <c r="P8" s="18"/>
      <c r="Q8" s="18" t="s">
        <v>7</v>
      </c>
      <c r="R8" s="18"/>
    </row>
    <row r="9" spans="1:20" x14ac:dyDescent="0.3">
      <c r="A9">
        <v>2</v>
      </c>
      <c r="B9">
        <v>0</v>
      </c>
      <c r="C9" t="s">
        <v>27</v>
      </c>
      <c r="D9" t="s">
        <v>26</v>
      </c>
      <c r="E9">
        <v>34</v>
      </c>
      <c r="F9" t="s">
        <v>29</v>
      </c>
      <c r="G9" t="s">
        <v>28</v>
      </c>
      <c r="H9">
        <v>31</v>
      </c>
      <c r="I9">
        <v>0</v>
      </c>
      <c r="K9" s="2"/>
      <c r="L9" s="1"/>
      <c r="M9" s="18"/>
      <c r="N9" s="18"/>
      <c r="O9" s="18"/>
      <c r="P9" s="18"/>
      <c r="Q9" s="18"/>
      <c r="R9" s="18"/>
    </row>
    <row r="10" spans="1:20" x14ac:dyDescent="0.3">
      <c r="A10">
        <v>2</v>
      </c>
      <c r="B10">
        <v>0</v>
      </c>
      <c r="C10" t="s">
        <v>27</v>
      </c>
      <c r="D10" t="s">
        <v>26</v>
      </c>
      <c r="E10">
        <v>69</v>
      </c>
      <c r="F10" t="s">
        <v>29</v>
      </c>
      <c r="G10" t="s">
        <v>28</v>
      </c>
      <c r="H10">
        <v>43</v>
      </c>
      <c r="I10">
        <v>0</v>
      </c>
      <c r="K10" s="8" t="s">
        <v>6</v>
      </c>
      <c r="L10" s="8"/>
      <c r="M10" s="10">
        <f>AVERAGE($E$1:$E$100,)</f>
        <v>39.75247524752475</v>
      </c>
      <c r="N10" s="10"/>
      <c r="O10" s="10" cm="1">
        <f t="array" ref="O10">AVERAGE(_xlfn._xlws.FILTER($E$1:$E$100,$I$1:$I$100 = 0))</f>
        <v>45.602941176470587</v>
      </c>
      <c r="P10" s="10"/>
      <c r="Q10" s="11" cm="1">
        <f t="array" ref="Q10">AVERAGE(_xlfn._xlws.FILTER($E$1:$E$100,$I$1:$I$100 = 1))</f>
        <v>28.5625</v>
      </c>
      <c r="R10" s="12"/>
    </row>
    <row r="11" spans="1:20" x14ac:dyDescent="0.3">
      <c r="A11">
        <v>2</v>
      </c>
      <c r="B11">
        <v>0</v>
      </c>
      <c r="C11" t="s">
        <v>27</v>
      </c>
      <c r="D11" t="s">
        <v>26</v>
      </c>
      <c r="E11">
        <v>46</v>
      </c>
      <c r="F11" t="s">
        <v>29</v>
      </c>
      <c r="G11" t="s">
        <v>28</v>
      </c>
      <c r="H11">
        <v>52</v>
      </c>
      <c r="I11">
        <v>1</v>
      </c>
      <c r="K11" s="8"/>
      <c r="L11" s="8"/>
      <c r="M11" s="10"/>
      <c r="N11" s="10"/>
      <c r="O11" s="10"/>
      <c r="P11" s="10"/>
      <c r="Q11" s="10"/>
      <c r="R11" s="13"/>
    </row>
    <row r="12" spans="1:20" x14ac:dyDescent="0.3">
      <c r="A12">
        <v>2</v>
      </c>
      <c r="B12">
        <v>0</v>
      </c>
      <c r="C12" t="s">
        <v>27</v>
      </c>
      <c r="D12" t="s">
        <v>26</v>
      </c>
      <c r="E12">
        <v>71</v>
      </c>
      <c r="F12" t="s">
        <v>29</v>
      </c>
      <c r="G12" t="s">
        <v>28</v>
      </c>
      <c r="H12">
        <v>91</v>
      </c>
      <c r="I12">
        <v>1</v>
      </c>
      <c r="K12" s="8" t="s">
        <v>5</v>
      </c>
      <c r="L12" s="8"/>
      <c r="M12" s="10">
        <f>AVERAGE($H$1:$H$100,)</f>
        <v>30.336633663366335</v>
      </c>
      <c r="N12" s="10"/>
      <c r="O12" s="10" cm="1">
        <f t="array" ref="O12">AVERAGE(_xlfn._xlws.FILTER($H$1:$H$100,$I$1:$I$100 = 0))</f>
        <v>23.779411764705884</v>
      </c>
      <c r="P12" s="10"/>
      <c r="Q12" s="10" cm="1">
        <f t="array" ref="Q12">AVERAGE(_xlfn._xlws.FILTER($H$1:$H$100,$I$1:$I$100 = 1))</f>
        <v>45.21875</v>
      </c>
      <c r="R12" s="13"/>
    </row>
    <row r="13" spans="1:20" x14ac:dyDescent="0.3">
      <c r="A13">
        <v>2</v>
      </c>
      <c r="B13">
        <v>0</v>
      </c>
      <c r="C13" t="s">
        <v>27</v>
      </c>
      <c r="D13" t="s">
        <v>26</v>
      </c>
      <c r="E13">
        <v>85</v>
      </c>
      <c r="F13" t="s">
        <v>29</v>
      </c>
      <c r="G13" t="s">
        <v>28</v>
      </c>
      <c r="H13">
        <v>2</v>
      </c>
      <c r="I13">
        <v>0</v>
      </c>
      <c r="K13" s="8"/>
      <c r="L13" s="8"/>
      <c r="M13" s="10"/>
      <c r="N13" s="10"/>
      <c r="O13" s="10"/>
      <c r="P13" s="10"/>
      <c r="Q13" s="10"/>
      <c r="R13" s="13"/>
    </row>
    <row r="14" spans="1:20" x14ac:dyDescent="0.3">
      <c r="A14">
        <v>2</v>
      </c>
      <c r="B14">
        <v>0</v>
      </c>
      <c r="C14" t="s">
        <v>27</v>
      </c>
      <c r="D14" t="s">
        <v>26</v>
      </c>
      <c r="E14">
        <v>42</v>
      </c>
      <c r="F14" t="s">
        <v>29</v>
      </c>
      <c r="G14" t="s">
        <v>28</v>
      </c>
      <c r="H14">
        <v>31</v>
      </c>
      <c r="I14">
        <v>0</v>
      </c>
      <c r="K14" s="19" t="s">
        <v>4</v>
      </c>
      <c r="L14" s="12"/>
      <c r="M14" s="20" cm="1">
        <f t="array" ref="M14">AVERAGE($E$1:$E$100 - $H$1:$H$100)</f>
        <v>9.51</v>
      </c>
      <c r="N14" s="20"/>
      <c r="O14" s="20" cm="1">
        <f t="array" ref="O14">AVERAGE(_xlfn._xlws.FILTER($E$1:$E$100 - $H$1:$H$100, I$1:I$100 = 0))</f>
        <v>21.823529411764707</v>
      </c>
      <c r="P14" s="20"/>
      <c r="Q14" s="20" cm="1">
        <f t="array" ref="Q14">AVERAGE(_xlfn._xlws.FILTER($E$1:$E$100 - $H$1:$H$100, I$1:I$100 = 1))</f>
        <v>-16.65625</v>
      </c>
      <c r="R14" s="22"/>
    </row>
    <row r="15" spans="1:20" x14ac:dyDescent="0.3">
      <c r="A15">
        <v>2</v>
      </c>
      <c r="B15">
        <v>0</v>
      </c>
      <c r="C15" t="s">
        <v>27</v>
      </c>
      <c r="D15" t="s">
        <v>26</v>
      </c>
      <c r="E15">
        <v>34</v>
      </c>
      <c r="F15" t="s">
        <v>29</v>
      </c>
      <c r="G15" t="s">
        <v>28</v>
      </c>
      <c r="H15">
        <v>15</v>
      </c>
      <c r="I15">
        <v>0</v>
      </c>
      <c r="K15" s="14"/>
      <c r="L15" s="13"/>
      <c r="M15" s="20"/>
      <c r="N15" s="20"/>
      <c r="O15" s="20"/>
      <c r="P15" s="20"/>
      <c r="Q15" s="20"/>
      <c r="R15" s="22"/>
    </row>
    <row r="16" spans="1:20" x14ac:dyDescent="0.3">
      <c r="A16">
        <v>2</v>
      </c>
      <c r="B16">
        <v>0</v>
      </c>
      <c r="C16" t="s">
        <v>27</v>
      </c>
      <c r="D16" t="s">
        <v>26</v>
      </c>
      <c r="E16">
        <v>36</v>
      </c>
      <c r="F16" t="s">
        <v>29</v>
      </c>
      <c r="G16" t="s">
        <v>28</v>
      </c>
      <c r="H16">
        <v>20</v>
      </c>
      <c r="I16">
        <v>0</v>
      </c>
      <c r="K16" s="15"/>
      <c r="L16" s="17"/>
      <c r="M16" s="21"/>
      <c r="N16" s="21"/>
      <c r="O16" s="21"/>
      <c r="P16" s="21"/>
      <c r="Q16" s="21"/>
      <c r="R16" s="23"/>
    </row>
    <row r="17" spans="1:9" x14ac:dyDescent="0.3">
      <c r="A17">
        <v>2</v>
      </c>
      <c r="B17">
        <v>0</v>
      </c>
      <c r="C17" t="s">
        <v>27</v>
      </c>
      <c r="D17" t="s">
        <v>26</v>
      </c>
      <c r="E17">
        <v>40</v>
      </c>
      <c r="F17" t="s">
        <v>29</v>
      </c>
      <c r="G17" t="s">
        <v>28</v>
      </c>
      <c r="H17">
        <v>28</v>
      </c>
      <c r="I17">
        <v>0</v>
      </c>
    </row>
    <row r="18" spans="1:9" x14ac:dyDescent="0.3">
      <c r="A18">
        <v>2</v>
      </c>
      <c r="B18">
        <v>0</v>
      </c>
      <c r="C18" t="s">
        <v>27</v>
      </c>
      <c r="D18" t="s">
        <v>26</v>
      </c>
      <c r="E18">
        <v>78</v>
      </c>
      <c r="F18" t="s">
        <v>29</v>
      </c>
      <c r="G18" t="s">
        <v>28</v>
      </c>
      <c r="H18">
        <v>39</v>
      </c>
      <c r="I18">
        <v>0</v>
      </c>
    </row>
    <row r="19" spans="1:9" x14ac:dyDescent="0.3">
      <c r="A19">
        <v>2</v>
      </c>
      <c r="B19">
        <v>0</v>
      </c>
      <c r="C19" t="s">
        <v>27</v>
      </c>
      <c r="D19" t="s">
        <v>26</v>
      </c>
      <c r="E19">
        <v>34</v>
      </c>
      <c r="F19" t="s">
        <v>29</v>
      </c>
      <c r="G19" t="s">
        <v>28</v>
      </c>
      <c r="H19">
        <v>20</v>
      </c>
      <c r="I19">
        <v>0</v>
      </c>
    </row>
    <row r="20" spans="1:9" x14ac:dyDescent="0.3">
      <c r="A20">
        <v>2</v>
      </c>
      <c r="B20">
        <v>0</v>
      </c>
      <c r="C20" t="s">
        <v>27</v>
      </c>
      <c r="D20" t="s">
        <v>26</v>
      </c>
      <c r="E20">
        <v>57</v>
      </c>
      <c r="F20" t="s">
        <v>29</v>
      </c>
      <c r="G20" t="s">
        <v>28</v>
      </c>
      <c r="H20">
        <v>7</v>
      </c>
      <c r="I20">
        <v>0</v>
      </c>
    </row>
    <row r="21" spans="1:9" x14ac:dyDescent="0.3">
      <c r="A21">
        <v>2</v>
      </c>
      <c r="B21">
        <v>0</v>
      </c>
      <c r="C21" t="s">
        <v>27</v>
      </c>
      <c r="D21" t="s">
        <v>26</v>
      </c>
      <c r="E21">
        <v>32</v>
      </c>
      <c r="F21" t="s">
        <v>29</v>
      </c>
      <c r="G21" t="s">
        <v>28</v>
      </c>
      <c r="H21">
        <v>24</v>
      </c>
      <c r="I21">
        <v>0</v>
      </c>
    </row>
    <row r="22" spans="1:9" x14ac:dyDescent="0.3">
      <c r="A22">
        <v>2</v>
      </c>
      <c r="B22">
        <v>0</v>
      </c>
      <c r="C22" t="s">
        <v>27</v>
      </c>
      <c r="D22" t="s">
        <v>26</v>
      </c>
      <c r="E22">
        <v>53</v>
      </c>
      <c r="F22" t="s">
        <v>29</v>
      </c>
      <c r="G22" t="s">
        <v>28</v>
      </c>
      <c r="H22">
        <v>32</v>
      </c>
      <c r="I22">
        <v>0</v>
      </c>
    </row>
    <row r="23" spans="1:9" x14ac:dyDescent="0.3">
      <c r="A23">
        <v>2</v>
      </c>
      <c r="B23">
        <v>0</v>
      </c>
      <c r="C23" t="s">
        <v>27</v>
      </c>
      <c r="D23" t="s">
        <v>26</v>
      </c>
      <c r="E23">
        <v>47</v>
      </c>
      <c r="F23" t="s">
        <v>29</v>
      </c>
      <c r="G23" t="s">
        <v>28</v>
      </c>
      <c r="H23">
        <v>30</v>
      </c>
      <c r="I23">
        <v>0</v>
      </c>
    </row>
    <row r="24" spans="1:9" x14ac:dyDescent="0.3">
      <c r="A24">
        <v>2</v>
      </c>
      <c r="B24">
        <v>0</v>
      </c>
      <c r="C24" t="s">
        <v>27</v>
      </c>
      <c r="D24" t="s">
        <v>26</v>
      </c>
      <c r="E24">
        <v>42</v>
      </c>
      <c r="F24" t="s">
        <v>29</v>
      </c>
      <c r="G24" t="s">
        <v>28</v>
      </c>
      <c r="H24">
        <v>31</v>
      </c>
      <c r="I24">
        <v>0</v>
      </c>
    </row>
    <row r="25" spans="1:9" x14ac:dyDescent="0.3">
      <c r="A25">
        <v>2</v>
      </c>
      <c r="B25">
        <v>0</v>
      </c>
      <c r="C25" t="s">
        <v>27</v>
      </c>
      <c r="D25" t="s">
        <v>26</v>
      </c>
      <c r="E25">
        <v>42</v>
      </c>
      <c r="F25" t="s">
        <v>29</v>
      </c>
      <c r="G25" t="s">
        <v>28</v>
      </c>
      <c r="H25">
        <v>29</v>
      </c>
      <c r="I25">
        <v>0</v>
      </c>
    </row>
    <row r="26" spans="1:9" x14ac:dyDescent="0.3">
      <c r="A26">
        <v>2</v>
      </c>
      <c r="B26">
        <v>0</v>
      </c>
      <c r="C26" t="s">
        <v>27</v>
      </c>
      <c r="D26" t="s">
        <v>26</v>
      </c>
      <c r="E26">
        <v>47</v>
      </c>
      <c r="F26" t="s">
        <v>29</v>
      </c>
      <c r="G26" t="s">
        <v>28</v>
      </c>
      <c r="H26">
        <v>51</v>
      </c>
      <c r="I26">
        <v>1</v>
      </c>
    </row>
    <row r="27" spans="1:9" x14ac:dyDescent="0.3">
      <c r="A27">
        <v>2</v>
      </c>
      <c r="B27">
        <v>0</v>
      </c>
      <c r="C27" t="s">
        <v>27</v>
      </c>
      <c r="D27" t="s">
        <v>26</v>
      </c>
      <c r="E27">
        <v>43</v>
      </c>
      <c r="F27" t="s">
        <v>29</v>
      </c>
      <c r="G27" t="s">
        <v>28</v>
      </c>
      <c r="H27">
        <v>38</v>
      </c>
      <c r="I27">
        <v>0</v>
      </c>
    </row>
    <row r="28" spans="1:9" x14ac:dyDescent="0.3">
      <c r="A28">
        <v>2</v>
      </c>
      <c r="B28">
        <v>0</v>
      </c>
      <c r="C28" t="s">
        <v>27</v>
      </c>
      <c r="D28" t="s">
        <v>26</v>
      </c>
      <c r="E28">
        <v>53</v>
      </c>
      <c r="F28" t="s">
        <v>29</v>
      </c>
      <c r="G28" t="s">
        <v>28</v>
      </c>
      <c r="H28">
        <v>31</v>
      </c>
      <c r="I28">
        <v>0</v>
      </c>
    </row>
    <row r="29" spans="1:9" x14ac:dyDescent="0.3">
      <c r="A29">
        <v>2</v>
      </c>
      <c r="B29">
        <v>0</v>
      </c>
      <c r="C29" t="s">
        <v>27</v>
      </c>
      <c r="D29" t="s">
        <v>26</v>
      </c>
      <c r="E29">
        <v>59</v>
      </c>
      <c r="F29" t="s">
        <v>29</v>
      </c>
      <c r="G29" t="s">
        <v>28</v>
      </c>
      <c r="H29">
        <v>4</v>
      </c>
      <c r="I29">
        <v>0</v>
      </c>
    </row>
    <row r="30" spans="1:9" x14ac:dyDescent="0.3">
      <c r="A30">
        <v>2</v>
      </c>
      <c r="B30">
        <v>0</v>
      </c>
      <c r="C30" t="s">
        <v>27</v>
      </c>
      <c r="D30" t="s">
        <v>26</v>
      </c>
      <c r="E30">
        <v>64</v>
      </c>
      <c r="F30" t="s">
        <v>29</v>
      </c>
      <c r="G30" t="s">
        <v>28</v>
      </c>
      <c r="H30">
        <v>7</v>
      </c>
      <c r="I30">
        <v>0</v>
      </c>
    </row>
    <row r="31" spans="1:9" x14ac:dyDescent="0.3">
      <c r="A31">
        <v>2</v>
      </c>
      <c r="B31">
        <v>0</v>
      </c>
      <c r="C31" t="s">
        <v>27</v>
      </c>
      <c r="D31" t="s">
        <v>26</v>
      </c>
      <c r="E31">
        <v>39</v>
      </c>
      <c r="F31" t="s">
        <v>29</v>
      </c>
      <c r="G31" t="s">
        <v>28</v>
      </c>
      <c r="H31">
        <v>16</v>
      </c>
      <c r="I31">
        <v>0</v>
      </c>
    </row>
    <row r="32" spans="1:9" x14ac:dyDescent="0.3">
      <c r="A32">
        <v>2</v>
      </c>
      <c r="B32">
        <v>0</v>
      </c>
      <c r="C32" t="s">
        <v>27</v>
      </c>
      <c r="D32" t="s">
        <v>26</v>
      </c>
      <c r="E32">
        <v>38</v>
      </c>
      <c r="F32" t="s">
        <v>29</v>
      </c>
      <c r="G32" t="s">
        <v>28</v>
      </c>
      <c r="H32">
        <v>21</v>
      </c>
      <c r="I32">
        <v>0</v>
      </c>
    </row>
    <row r="33" spans="1:9" x14ac:dyDescent="0.3">
      <c r="A33">
        <v>2</v>
      </c>
      <c r="B33">
        <v>0</v>
      </c>
      <c r="C33" t="s">
        <v>27</v>
      </c>
      <c r="D33" t="s">
        <v>26</v>
      </c>
      <c r="E33">
        <v>45</v>
      </c>
      <c r="F33" t="s">
        <v>29</v>
      </c>
      <c r="G33" t="s">
        <v>28</v>
      </c>
      <c r="H33">
        <v>6</v>
      </c>
      <c r="I33">
        <v>0</v>
      </c>
    </row>
    <row r="34" spans="1:9" x14ac:dyDescent="0.3">
      <c r="A34">
        <v>2</v>
      </c>
      <c r="B34">
        <v>0</v>
      </c>
      <c r="C34" t="s">
        <v>27</v>
      </c>
      <c r="D34" t="s">
        <v>26</v>
      </c>
      <c r="E34">
        <v>59</v>
      </c>
      <c r="F34" t="s">
        <v>29</v>
      </c>
      <c r="G34" t="s">
        <v>28</v>
      </c>
      <c r="H34">
        <v>28</v>
      </c>
      <c r="I34">
        <v>0</v>
      </c>
    </row>
    <row r="35" spans="1:9" x14ac:dyDescent="0.3">
      <c r="A35">
        <v>2</v>
      </c>
      <c r="B35">
        <v>0</v>
      </c>
      <c r="C35" t="s">
        <v>27</v>
      </c>
      <c r="D35" t="s">
        <v>26</v>
      </c>
      <c r="E35">
        <v>3</v>
      </c>
      <c r="F35" t="s">
        <v>29</v>
      </c>
      <c r="G35" t="s">
        <v>28</v>
      </c>
      <c r="H35">
        <v>27</v>
      </c>
      <c r="I35">
        <v>1</v>
      </c>
    </row>
    <row r="36" spans="1:9" x14ac:dyDescent="0.3">
      <c r="A36">
        <v>2</v>
      </c>
      <c r="B36">
        <v>0</v>
      </c>
      <c r="C36" t="s">
        <v>27</v>
      </c>
      <c r="D36" t="s">
        <v>26</v>
      </c>
      <c r="E36">
        <v>55</v>
      </c>
      <c r="F36" t="s">
        <v>29</v>
      </c>
      <c r="G36" t="s">
        <v>28</v>
      </c>
      <c r="H36">
        <v>40</v>
      </c>
      <c r="I36">
        <v>0</v>
      </c>
    </row>
    <row r="37" spans="1:9" x14ac:dyDescent="0.3">
      <c r="A37">
        <v>2</v>
      </c>
      <c r="B37">
        <v>0</v>
      </c>
      <c r="C37" t="s">
        <v>27</v>
      </c>
      <c r="D37" t="s">
        <v>26</v>
      </c>
      <c r="E37">
        <v>45</v>
      </c>
      <c r="F37" t="s">
        <v>29</v>
      </c>
      <c r="G37" t="s">
        <v>28</v>
      </c>
      <c r="H37">
        <v>80</v>
      </c>
      <c r="I37">
        <v>1</v>
      </c>
    </row>
    <row r="38" spans="1:9" x14ac:dyDescent="0.3">
      <c r="A38">
        <v>2</v>
      </c>
      <c r="B38">
        <v>0</v>
      </c>
      <c r="C38" t="s">
        <v>27</v>
      </c>
      <c r="D38" t="s">
        <v>26</v>
      </c>
      <c r="E38">
        <v>73</v>
      </c>
      <c r="F38" t="s">
        <v>29</v>
      </c>
      <c r="G38" t="s">
        <v>28</v>
      </c>
      <c r="H38">
        <v>42</v>
      </c>
      <c r="I38">
        <v>0</v>
      </c>
    </row>
    <row r="39" spans="1:9" x14ac:dyDescent="0.3">
      <c r="A39">
        <v>2</v>
      </c>
      <c r="B39">
        <v>0</v>
      </c>
      <c r="C39" t="s">
        <v>27</v>
      </c>
      <c r="D39" t="s">
        <v>26</v>
      </c>
      <c r="E39">
        <v>42</v>
      </c>
      <c r="F39" t="s">
        <v>29</v>
      </c>
      <c r="G39" t="s">
        <v>28</v>
      </c>
      <c r="H39">
        <v>56</v>
      </c>
      <c r="I39">
        <v>1</v>
      </c>
    </row>
    <row r="40" spans="1:9" x14ac:dyDescent="0.3">
      <c r="A40">
        <v>2</v>
      </c>
      <c r="B40">
        <v>0</v>
      </c>
      <c r="C40" t="s">
        <v>27</v>
      </c>
      <c r="D40" t="s">
        <v>26</v>
      </c>
      <c r="E40">
        <v>32</v>
      </c>
      <c r="F40" t="s">
        <v>29</v>
      </c>
      <c r="G40" t="s">
        <v>28</v>
      </c>
      <c r="H40">
        <v>27</v>
      </c>
      <c r="I40">
        <v>0</v>
      </c>
    </row>
    <row r="41" spans="1:9" x14ac:dyDescent="0.3">
      <c r="A41">
        <v>2</v>
      </c>
      <c r="B41">
        <v>0</v>
      </c>
      <c r="C41" t="s">
        <v>27</v>
      </c>
      <c r="D41" t="s">
        <v>26</v>
      </c>
      <c r="E41">
        <v>30</v>
      </c>
      <c r="F41" t="s">
        <v>29</v>
      </c>
      <c r="G41" t="s">
        <v>28</v>
      </c>
      <c r="H41">
        <v>10</v>
      </c>
      <c r="I41">
        <v>0</v>
      </c>
    </row>
    <row r="42" spans="1:9" x14ac:dyDescent="0.3">
      <c r="A42">
        <v>2</v>
      </c>
      <c r="B42">
        <v>0</v>
      </c>
      <c r="C42" t="s">
        <v>27</v>
      </c>
      <c r="D42" t="s">
        <v>26</v>
      </c>
      <c r="E42">
        <v>35</v>
      </c>
      <c r="F42" t="s">
        <v>29</v>
      </c>
      <c r="G42" t="s">
        <v>28</v>
      </c>
      <c r="H42">
        <v>49</v>
      </c>
      <c r="I42">
        <v>1</v>
      </c>
    </row>
    <row r="43" spans="1:9" x14ac:dyDescent="0.3">
      <c r="A43">
        <v>2</v>
      </c>
      <c r="B43">
        <v>0</v>
      </c>
      <c r="C43" t="s">
        <v>27</v>
      </c>
      <c r="D43" t="s">
        <v>26</v>
      </c>
      <c r="E43">
        <v>33</v>
      </c>
      <c r="F43" t="s">
        <v>29</v>
      </c>
      <c r="G43" t="s">
        <v>28</v>
      </c>
      <c r="H43">
        <v>12</v>
      </c>
      <c r="I43">
        <v>0</v>
      </c>
    </row>
    <row r="44" spans="1:9" x14ac:dyDescent="0.3">
      <c r="A44">
        <v>2</v>
      </c>
      <c r="B44">
        <v>0</v>
      </c>
      <c r="C44" t="s">
        <v>27</v>
      </c>
      <c r="D44" t="s">
        <v>26</v>
      </c>
      <c r="E44">
        <v>33</v>
      </c>
      <c r="F44" t="s">
        <v>29</v>
      </c>
      <c r="G44" t="s">
        <v>28</v>
      </c>
      <c r="H44">
        <v>30</v>
      </c>
      <c r="I44">
        <v>0</v>
      </c>
    </row>
    <row r="45" spans="1:9" x14ac:dyDescent="0.3">
      <c r="A45">
        <v>2</v>
      </c>
      <c r="B45">
        <v>0</v>
      </c>
      <c r="C45" t="s">
        <v>27</v>
      </c>
      <c r="D45" t="s">
        <v>26</v>
      </c>
      <c r="E45">
        <v>46</v>
      </c>
      <c r="F45" t="s">
        <v>29</v>
      </c>
      <c r="G45" t="s">
        <v>28</v>
      </c>
      <c r="H45">
        <v>4</v>
      </c>
      <c r="I45">
        <v>0</v>
      </c>
    </row>
    <row r="46" spans="1:9" x14ac:dyDescent="0.3">
      <c r="A46">
        <v>2</v>
      </c>
      <c r="B46">
        <v>0</v>
      </c>
      <c r="C46" t="s">
        <v>27</v>
      </c>
      <c r="D46" t="s">
        <v>26</v>
      </c>
      <c r="E46">
        <v>49</v>
      </c>
      <c r="F46" t="s">
        <v>29</v>
      </c>
      <c r="G46" t="s">
        <v>28</v>
      </c>
      <c r="H46">
        <v>32</v>
      </c>
      <c r="I46">
        <v>0</v>
      </c>
    </row>
    <row r="47" spans="1:9" x14ac:dyDescent="0.3">
      <c r="A47">
        <v>2</v>
      </c>
      <c r="B47">
        <v>0</v>
      </c>
      <c r="C47" t="s">
        <v>27</v>
      </c>
      <c r="D47" t="s">
        <v>26</v>
      </c>
      <c r="E47">
        <v>12</v>
      </c>
      <c r="F47" t="s">
        <v>29</v>
      </c>
      <c r="G47" t="s">
        <v>28</v>
      </c>
      <c r="H47">
        <v>22</v>
      </c>
      <c r="I47">
        <v>1</v>
      </c>
    </row>
    <row r="48" spans="1:9" x14ac:dyDescent="0.3">
      <c r="A48">
        <v>2</v>
      </c>
      <c r="B48">
        <v>0</v>
      </c>
      <c r="C48" t="s">
        <v>27</v>
      </c>
      <c r="D48" t="s">
        <v>26</v>
      </c>
      <c r="E48">
        <v>19</v>
      </c>
      <c r="F48" t="s">
        <v>29</v>
      </c>
      <c r="G48" t="s">
        <v>28</v>
      </c>
      <c r="H48">
        <v>75</v>
      </c>
      <c r="I48">
        <v>1</v>
      </c>
    </row>
    <row r="49" spans="1:9" x14ac:dyDescent="0.3">
      <c r="A49">
        <v>2</v>
      </c>
      <c r="B49">
        <v>0</v>
      </c>
      <c r="C49" t="s">
        <v>27</v>
      </c>
      <c r="D49" t="s">
        <v>26</v>
      </c>
      <c r="E49">
        <v>18</v>
      </c>
      <c r="F49" t="s">
        <v>29</v>
      </c>
      <c r="G49" t="s">
        <v>28</v>
      </c>
      <c r="H49">
        <v>40</v>
      </c>
      <c r="I49">
        <v>1</v>
      </c>
    </row>
    <row r="50" spans="1:9" x14ac:dyDescent="0.3">
      <c r="A50">
        <v>2</v>
      </c>
      <c r="B50">
        <v>0</v>
      </c>
      <c r="C50" t="s">
        <v>27</v>
      </c>
      <c r="D50" t="s">
        <v>26</v>
      </c>
      <c r="E50">
        <v>51</v>
      </c>
      <c r="F50" t="s">
        <v>29</v>
      </c>
      <c r="G50" t="s">
        <v>28</v>
      </c>
      <c r="H50">
        <v>9</v>
      </c>
      <c r="I50">
        <v>0</v>
      </c>
    </row>
    <row r="51" spans="1:9" x14ac:dyDescent="0.3">
      <c r="A51">
        <v>2</v>
      </c>
      <c r="B51">
        <v>1</v>
      </c>
      <c r="C51" t="s">
        <v>27</v>
      </c>
      <c r="D51" t="s">
        <v>26</v>
      </c>
      <c r="E51">
        <v>18</v>
      </c>
      <c r="F51" t="s">
        <v>29</v>
      </c>
      <c r="G51" t="s">
        <v>28</v>
      </c>
      <c r="H51">
        <v>26</v>
      </c>
      <c r="I51">
        <v>1</v>
      </c>
    </row>
    <row r="52" spans="1:9" x14ac:dyDescent="0.3">
      <c r="A52">
        <v>2</v>
      </c>
      <c r="B52">
        <v>1</v>
      </c>
      <c r="C52" t="s">
        <v>27</v>
      </c>
      <c r="D52" t="s">
        <v>26</v>
      </c>
      <c r="E52">
        <v>37</v>
      </c>
      <c r="F52" t="s">
        <v>29</v>
      </c>
      <c r="G52" t="s">
        <v>28</v>
      </c>
      <c r="H52">
        <v>33</v>
      </c>
      <c r="I52">
        <v>0</v>
      </c>
    </row>
    <row r="53" spans="1:9" x14ac:dyDescent="0.3">
      <c r="A53">
        <v>2</v>
      </c>
      <c r="B53">
        <v>1</v>
      </c>
      <c r="C53" t="s">
        <v>27</v>
      </c>
      <c r="D53" t="s">
        <v>26</v>
      </c>
      <c r="E53">
        <v>26</v>
      </c>
      <c r="F53" t="s">
        <v>29</v>
      </c>
      <c r="G53" t="s">
        <v>28</v>
      </c>
      <c r="H53">
        <v>43</v>
      </c>
      <c r="I53">
        <v>1</v>
      </c>
    </row>
    <row r="54" spans="1:9" x14ac:dyDescent="0.3">
      <c r="A54">
        <v>2</v>
      </c>
      <c r="B54">
        <v>1</v>
      </c>
      <c r="C54" t="s">
        <v>27</v>
      </c>
      <c r="D54" t="s">
        <v>26</v>
      </c>
      <c r="E54">
        <v>18</v>
      </c>
      <c r="F54" t="s">
        <v>29</v>
      </c>
      <c r="G54" t="s">
        <v>28</v>
      </c>
      <c r="H54">
        <v>36</v>
      </c>
      <c r="I54">
        <v>1</v>
      </c>
    </row>
    <row r="55" spans="1:9" x14ac:dyDescent="0.3">
      <c r="A55">
        <v>2</v>
      </c>
      <c r="B55">
        <v>1</v>
      </c>
      <c r="C55" t="s">
        <v>27</v>
      </c>
      <c r="D55" t="s">
        <v>26</v>
      </c>
      <c r="E55">
        <v>72</v>
      </c>
      <c r="F55" t="s">
        <v>29</v>
      </c>
      <c r="G55" t="s">
        <v>28</v>
      </c>
      <c r="H55">
        <v>48</v>
      </c>
      <c r="I55">
        <v>0</v>
      </c>
    </row>
    <row r="56" spans="1:9" x14ac:dyDescent="0.3">
      <c r="A56">
        <v>2</v>
      </c>
      <c r="B56">
        <v>1</v>
      </c>
      <c r="C56" t="s">
        <v>27</v>
      </c>
      <c r="D56" t="s">
        <v>26</v>
      </c>
      <c r="E56">
        <v>58</v>
      </c>
      <c r="F56" t="s">
        <v>29</v>
      </c>
      <c r="G56" t="s">
        <v>28</v>
      </c>
      <c r="H56">
        <v>20</v>
      </c>
      <c r="I56">
        <v>0</v>
      </c>
    </row>
    <row r="57" spans="1:9" x14ac:dyDescent="0.3">
      <c r="A57">
        <v>2</v>
      </c>
      <c r="B57">
        <v>1</v>
      </c>
      <c r="C57" t="s">
        <v>27</v>
      </c>
      <c r="D57" t="s">
        <v>26</v>
      </c>
      <c r="E57">
        <v>34</v>
      </c>
      <c r="F57" t="s">
        <v>29</v>
      </c>
      <c r="G57" t="s">
        <v>28</v>
      </c>
      <c r="H57">
        <v>21</v>
      </c>
      <c r="I57">
        <v>0</v>
      </c>
    </row>
    <row r="58" spans="1:9" x14ac:dyDescent="0.3">
      <c r="A58">
        <v>2</v>
      </c>
      <c r="B58">
        <v>1</v>
      </c>
      <c r="C58" t="s">
        <v>27</v>
      </c>
      <c r="D58" t="s">
        <v>26</v>
      </c>
      <c r="E58">
        <v>28</v>
      </c>
      <c r="F58" t="s">
        <v>29</v>
      </c>
      <c r="G58" t="s">
        <v>28</v>
      </c>
      <c r="H58">
        <v>45</v>
      </c>
      <c r="I58">
        <v>1</v>
      </c>
    </row>
    <row r="59" spans="1:9" x14ac:dyDescent="0.3">
      <c r="A59">
        <v>2</v>
      </c>
      <c r="B59">
        <v>1</v>
      </c>
      <c r="C59" t="s">
        <v>27</v>
      </c>
      <c r="D59" t="s">
        <v>26</v>
      </c>
      <c r="E59">
        <v>40</v>
      </c>
      <c r="F59" t="s">
        <v>29</v>
      </c>
      <c r="G59" t="s">
        <v>28</v>
      </c>
      <c r="H59">
        <v>30</v>
      </c>
      <c r="I59">
        <v>0</v>
      </c>
    </row>
    <row r="60" spans="1:9" x14ac:dyDescent="0.3">
      <c r="A60">
        <v>2</v>
      </c>
      <c r="B60">
        <v>1</v>
      </c>
      <c r="C60" t="s">
        <v>27</v>
      </c>
      <c r="D60" t="s">
        <v>26</v>
      </c>
      <c r="E60">
        <v>54</v>
      </c>
      <c r="F60" t="s">
        <v>29</v>
      </c>
      <c r="G60" t="s">
        <v>28</v>
      </c>
      <c r="H60">
        <v>7</v>
      </c>
      <c r="I60">
        <v>0</v>
      </c>
    </row>
    <row r="61" spans="1:9" x14ac:dyDescent="0.3">
      <c r="A61">
        <v>2</v>
      </c>
      <c r="B61">
        <v>1</v>
      </c>
      <c r="C61" t="s">
        <v>27</v>
      </c>
      <c r="D61" t="s">
        <v>26</v>
      </c>
      <c r="E61">
        <v>26</v>
      </c>
      <c r="F61" t="s">
        <v>29</v>
      </c>
      <c r="G61" t="s">
        <v>28</v>
      </c>
      <c r="H61">
        <v>18</v>
      </c>
      <c r="I61">
        <v>0</v>
      </c>
    </row>
    <row r="62" spans="1:9" x14ac:dyDescent="0.3">
      <c r="A62">
        <v>2</v>
      </c>
      <c r="B62">
        <v>1</v>
      </c>
      <c r="C62" t="s">
        <v>27</v>
      </c>
      <c r="D62" t="s">
        <v>26</v>
      </c>
      <c r="E62">
        <v>65</v>
      </c>
      <c r="F62" t="s">
        <v>29</v>
      </c>
      <c r="G62" t="s">
        <v>28</v>
      </c>
      <c r="H62">
        <v>3</v>
      </c>
      <c r="I62">
        <v>0</v>
      </c>
    </row>
    <row r="63" spans="1:9" x14ac:dyDescent="0.3">
      <c r="A63">
        <v>2</v>
      </c>
      <c r="B63">
        <v>1</v>
      </c>
      <c r="C63" t="s">
        <v>27</v>
      </c>
      <c r="D63" t="s">
        <v>26</v>
      </c>
      <c r="E63">
        <v>36</v>
      </c>
      <c r="F63" t="s">
        <v>29</v>
      </c>
      <c r="G63" t="s">
        <v>28</v>
      </c>
      <c r="H63">
        <v>21</v>
      </c>
      <c r="I63">
        <v>0</v>
      </c>
    </row>
    <row r="64" spans="1:9" x14ac:dyDescent="0.3">
      <c r="A64">
        <v>2</v>
      </c>
      <c r="B64">
        <v>1</v>
      </c>
      <c r="C64" t="s">
        <v>27</v>
      </c>
      <c r="D64" t="s">
        <v>26</v>
      </c>
      <c r="E64">
        <v>16</v>
      </c>
      <c r="F64" t="s">
        <v>29</v>
      </c>
      <c r="G64" t="s">
        <v>28</v>
      </c>
      <c r="H64">
        <v>42</v>
      </c>
      <c r="I64">
        <v>1</v>
      </c>
    </row>
    <row r="65" spans="1:9" x14ac:dyDescent="0.3">
      <c r="A65">
        <v>2</v>
      </c>
      <c r="B65">
        <v>1</v>
      </c>
      <c r="C65" t="s">
        <v>27</v>
      </c>
      <c r="D65" t="s">
        <v>26</v>
      </c>
      <c r="E65">
        <v>32</v>
      </c>
      <c r="F65" t="s">
        <v>29</v>
      </c>
      <c r="G65" t="s">
        <v>28</v>
      </c>
      <c r="H65">
        <v>26</v>
      </c>
      <c r="I65">
        <v>0</v>
      </c>
    </row>
    <row r="66" spans="1:9" x14ac:dyDescent="0.3">
      <c r="A66">
        <v>2</v>
      </c>
      <c r="B66">
        <v>1</v>
      </c>
      <c r="C66" t="s">
        <v>27</v>
      </c>
      <c r="D66" t="s">
        <v>26</v>
      </c>
      <c r="E66">
        <v>75</v>
      </c>
      <c r="F66" t="s">
        <v>29</v>
      </c>
      <c r="G66" t="s">
        <v>28</v>
      </c>
      <c r="H66">
        <v>48</v>
      </c>
      <c r="I66">
        <v>0</v>
      </c>
    </row>
    <row r="67" spans="1:9" x14ac:dyDescent="0.3">
      <c r="A67">
        <v>2</v>
      </c>
      <c r="B67">
        <v>1</v>
      </c>
      <c r="C67" t="s">
        <v>27</v>
      </c>
      <c r="D67" t="s">
        <v>26</v>
      </c>
      <c r="E67">
        <v>23</v>
      </c>
      <c r="F67" t="s">
        <v>29</v>
      </c>
      <c r="G67" t="s">
        <v>28</v>
      </c>
      <c r="H67">
        <v>38</v>
      </c>
      <c r="I67">
        <v>1</v>
      </c>
    </row>
    <row r="68" spans="1:9" x14ac:dyDescent="0.3">
      <c r="A68">
        <v>2</v>
      </c>
      <c r="B68">
        <v>1</v>
      </c>
      <c r="C68" t="s">
        <v>27</v>
      </c>
      <c r="D68" t="s">
        <v>26</v>
      </c>
      <c r="E68">
        <v>19</v>
      </c>
      <c r="F68" t="s">
        <v>29</v>
      </c>
      <c r="G68" t="s">
        <v>28</v>
      </c>
      <c r="H68">
        <v>2</v>
      </c>
      <c r="I68">
        <v>0</v>
      </c>
    </row>
    <row r="69" spans="1:9" x14ac:dyDescent="0.3">
      <c r="A69">
        <v>2</v>
      </c>
      <c r="B69">
        <v>1</v>
      </c>
      <c r="C69" t="s">
        <v>27</v>
      </c>
      <c r="D69" t="s">
        <v>26</v>
      </c>
      <c r="E69">
        <v>72</v>
      </c>
      <c r="F69" t="s">
        <v>29</v>
      </c>
      <c r="G69" t="s">
        <v>28</v>
      </c>
      <c r="H69">
        <v>41</v>
      </c>
      <c r="I69">
        <v>0</v>
      </c>
    </row>
    <row r="70" spans="1:9" x14ac:dyDescent="0.3">
      <c r="A70">
        <v>2</v>
      </c>
      <c r="B70">
        <v>1</v>
      </c>
      <c r="C70" t="s">
        <v>27</v>
      </c>
      <c r="D70" t="s">
        <v>26</v>
      </c>
      <c r="E70">
        <v>44</v>
      </c>
      <c r="F70" t="s">
        <v>29</v>
      </c>
      <c r="G70" t="s">
        <v>28</v>
      </c>
      <c r="H70">
        <v>34</v>
      </c>
      <c r="I70">
        <v>0</v>
      </c>
    </row>
    <row r="71" spans="1:9" x14ac:dyDescent="0.3">
      <c r="A71">
        <v>2</v>
      </c>
      <c r="B71">
        <v>1</v>
      </c>
      <c r="C71" t="s">
        <v>27</v>
      </c>
      <c r="D71" t="s">
        <v>26</v>
      </c>
      <c r="E71">
        <v>28</v>
      </c>
      <c r="F71" t="s">
        <v>29</v>
      </c>
      <c r="G71" t="s">
        <v>28</v>
      </c>
      <c r="H71">
        <v>19</v>
      </c>
      <c r="I71">
        <v>0</v>
      </c>
    </row>
    <row r="72" spans="1:9" x14ac:dyDescent="0.3">
      <c r="A72">
        <v>2</v>
      </c>
      <c r="B72">
        <v>1</v>
      </c>
      <c r="C72" t="s">
        <v>27</v>
      </c>
      <c r="D72" t="s">
        <v>26</v>
      </c>
      <c r="E72">
        <v>46</v>
      </c>
      <c r="F72" t="s">
        <v>29</v>
      </c>
      <c r="G72" t="s">
        <v>28</v>
      </c>
      <c r="H72">
        <v>11</v>
      </c>
      <c r="I72">
        <v>0</v>
      </c>
    </row>
    <row r="73" spans="1:9" x14ac:dyDescent="0.3">
      <c r="A73">
        <v>2</v>
      </c>
      <c r="B73">
        <v>1</v>
      </c>
      <c r="C73" t="s">
        <v>27</v>
      </c>
      <c r="D73" t="s">
        <v>26</v>
      </c>
      <c r="E73">
        <v>10</v>
      </c>
      <c r="F73" t="s">
        <v>29</v>
      </c>
      <c r="G73" t="s">
        <v>28</v>
      </c>
      <c r="H73">
        <v>8</v>
      </c>
      <c r="I73">
        <v>0</v>
      </c>
    </row>
    <row r="74" spans="1:9" x14ac:dyDescent="0.3">
      <c r="A74">
        <v>2</v>
      </c>
      <c r="B74">
        <v>1</v>
      </c>
      <c r="C74" t="s">
        <v>27</v>
      </c>
      <c r="D74" t="s">
        <v>26</v>
      </c>
      <c r="E74">
        <v>44</v>
      </c>
      <c r="F74" t="s">
        <v>29</v>
      </c>
      <c r="G74" t="s">
        <v>28</v>
      </c>
      <c r="H74">
        <v>46</v>
      </c>
      <c r="I74">
        <v>1</v>
      </c>
    </row>
    <row r="75" spans="1:9" x14ac:dyDescent="0.3">
      <c r="A75">
        <v>2</v>
      </c>
      <c r="B75">
        <v>1</v>
      </c>
      <c r="C75" t="s">
        <v>27</v>
      </c>
      <c r="D75" t="s">
        <v>26</v>
      </c>
      <c r="E75">
        <v>16</v>
      </c>
      <c r="F75" t="s">
        <v>29</v>
      </c>
      <c r="G75" t="s">
        <v>28</v>
      </c>
      <c r="H75">
        <v>46</v>
      </c>
      <c r="I75">
        <v>1</v>
      </c>
    </row>
    <row r="76" spans="1:9" x14ac:dyDescent="0.3">
      <c r="A76">
        <v>2</v>
      </c>
      <c r="B76">
        <v>1</v>
      </c>
      <c r="C76" t="s">
        <v>27</v>
      </c>
      <c r="D76" t="s">
        <v>26</v>
      </c>
      <c r="E76">
        <v>17</v>
      </c>
      <c r="F76" t="s">
        <v>29</v>
      </c>
      <c r="G76" t="s">
        <v>28</v>
      </c>
      <c r="H76">
        <v>37</v>
      </c>
      <c r="I76">
        <v>1</v>
      </c>
    </row>
    <row r="77" spans="1:9" x14ac:dyDescent="0.3">
      <c r="A77">
        <v>2</v>
      </c>
      <c r="B77">
        <v>1</v>
      </c>
      <c r="C77" t="s">
        <v>27</v>
      </c>
      <c r="D77" t="s">
        <v>26</v>
      </c>
      <c r="E77">
        <v>63</v>
      </c>
      <c r="F77" t="s">
        <v>29</v>
      </c>
      <c r="G77" t="s">
        <v>28</v>
      </c>
      <c r="H77">
        <v>31</v>
      </c>
      <c r="I77">
        <v>0</v>
      </c>
    </row>
    <row r="78" spans="1:9" x14ac:dyDescent="0.3">
      <c r="A78">
        <v>2</v>
      </c>
      <c r="B78">
        <v>1</v>
      </c>
      <c r="C78" t="s">
        <v>27</v>
      </c>
      <c r="D78" t="s">
        <v>26</v>
      </c>
      <c r="E78">
        <v>21</v>
      </c>
      <c r="F78" t="s">
        <v>29</v>
      </c>
      <c r="G78" t="s">
        <v>28</v>
      </c>
      <c r="H78">
        <v>18</v>
      </c>
      <c r="I78">
        <v>0</v>
      </c>
    </row>
    <row r="79" spans="1:9" x14ac:dyDescent="0.3">
      <c r="A79">
        <v>2</v>
      </c>
      <c r="B79">
        <v>1</v>
      </c>
      <c r="C79" t="s">
        <v>27</v>
      </c>
      <c r="D79" t="s">
        <v>26</v>
      </c>
      <c r="E79">
        <v>55</v>
      </c>
      <c r="F79" t="s">
        <v>29</v>
      </c>
      <c r="G79" t="s">
        <v>28</v>
      </c>
      <c r="H79">
        <v>46</v>
      </c>
      <c r="I79">
        <v>0</v>
      </c>
    </row>
    <row r="80" spans="1:9" x14ac:dyDescent="0.3">
      <c r="A80">
        <v>2</v>
      </c>
      <c r="B80">
        <v>1</v>
      </c>
      <c r="C80" t="s">
        <v>27</v>
      </c>
      <c r="D80" t="s">
        <v>26</v>
      </c>
      <c r="E80">
        <v>55</v>
      </c>
      <c r="F80" t="s">
        <v>29</v>
      </c>
      <c r="G80" t="s">
        <v>28</v>
      </c>
      <c r="H80">
        <v>9</v>
      </c>
      <c r="I80">
        <v>0</v>
      </c>
    </row>
    <row r="81" spans="1:9" x14ac:dyDescent="0.3">
      <c r="A81">
        <v>2</v>
      </c>
      <c r="B81">
        <v>1</v>
      </c>
      <c r="C81" t="s">
        <v>27</v>
      </c>
      <c r="D81" t="s">
        <v>26</v>
      </c>
      <c r="E81">
        <v>32</v>
      </c>
      <c r="F81" t="s">
        <v>29</v>
      </c>
      <c r="G81" t="s">
        <v>28</v>
      </c>
      <c r="H81">
        <v>26</v>
      </c>
      <c r="I81">
        <v>0</v>
      </c>
    </row>
    <row r="82" spans="1:9" x14ac:dyDescent="0.3">
      <c r="A82">
        <v>2</v>
      </c>
      <c r="B82">
        <v>1</v>
      </c>
      <c r="C82" t="s">
        <v>27</v>
      </c>
      <c r="D82" t="s">
        <v>26</v>
      </c>
      <c r="E82">
        <v>32</v>
      </c>
      <c r="F82" t="s">
        <v>29</v>
      </c>
      <c r="G82" t="s">
        <v>28</v>
      </c>
      <c r="H82">
        <v>41</v>
      </c>
      <c r="I82">
        <v>1</v>
      </c>
    </row>
    <row r="83" spans="1:9" x14ac:dyDescent="0.3">
      <c r="A83">
        <v>2</v>
      </c>
      <c r="B83">
        <v>1</v>
      </c>
      <c r="C83" t="s">
        <v>27</v>
      </c>
      <c r="D83" t="s">
        <v>26</v>
      </c>
      <c r="E83">
        <v>35</v>
      </c>
      <c r="F83" t="s">
        <v>29</v>
      </c>
      <c r="G83" t="s">
        <v>28</v>
      </c>
      <c r="H83">
        <v>42</v>
      </c>
      <c r="I83">
        <v>1</v>
      </c>
    </row>
    <row r="84" spans="1:9" x14ac:dyDescent="0.3">
      <c r="A84">
        <v>2</v>
      </c>
      <c r="B84">
        <v>1</v>
      </c>
      <c r="C84" t="s">
        <v>27</v>
      </c>
      <c r="D84" t="s">
        <v>26</v>
      </c>
      <c r="E84">
        <v>28</v>
      </c>
      <c r="F84" t="s">
        <v>29</v>
      </c>
      <c r="G84" t="s">
        <v>28</v>
      </c>
      <c r="H84">
        <v>39</v>
      </c>
      <c r="I84">
        <v>1</v>
      </c>
    </row>
    <row r="85" spans="1:9" x14ac:dyDescent="0.3">
      <c r="A85">
        <v>2</v>
      </c>
      <c r="B85">
        <v>1</v>
      </c>
      <c r="C85" t="s">
        <v>27</v>
      </c>
      <c r="D85" t="s">
        <v>26</v>
      </c>
      <c r="E85">
        <v>22</v>
      </c>
      <c r="F85" t="s">
        <v>29</v>
      </c>
      <c r="G85" t="s">
        <v>28</v>
      </c>
      <c r="H85">
        <v>67</v>
      </c>
      <c r="I85">
        <v>1</v>
      </c>
    </row>
    <row r="86" spans="1:9" x14ac:dyDescent="0.3">
      <c r="A86">
        <v>2</v>
      </c>
      <c r="B86">
        <v>1</v>
      </c>
      <c r="C86" t="s">
        <v>27</v>
      </c>
      <c r="D86" t="s">
        <v>26</v>
      </c>
      <c r="E86">
        <v>63</v>
      </c>
      <c r="F86" t="s">
        <v>29</v>
      </c>
      <c r="G86" t="s">
        <v>28</v>
      </c>
      <c r="H86">
        <v>2</v>
      </c>
      <c r="I86">
        <v>0</v>
      </c>
    </row>
    <row r="87" spans="1:9" x14ac:dyDescent="0.3">
      <c r="A87">
        <v>2</v>
      </c>
      <c r="B87">
        <v>1</v>
      </c>
      <c r="C87" t="s">
        <v>27</v>
      </c>
      <c r="D87" t="s">
        <v>26</v>
      </c>
      <c r="E87">
        <v>46</v>
      </c>
      <c r="F87" t="s">
        <v>29</v>
      </c>
      <c r="G87" t="s">
        <v>28</v>
      </c>
      <c r="H87">
        <v>32</v>
      </c>
      <c r="I87">
        <v>0</v>
      </c>
    </row>
    <row r="88" spans="1:9" x14ac:dyDescent="0.3">
      <c r="A88">
        <v>2</v>
      </c>
      <c r="B88">
        <v>1</v>
      </c>
      <c r="C88" t="s">
        <v>27</v>
      </c>
      <c r="D88" t="s">
        <v>26</v>
      </c>
      <c r="E88">
        <v>51</v>
      </c>
      <c r="F88" t="s">
        <v>29</v>
      </c>
      <c r="G88" t="s">
        <v>28</v>
      </c>
      <c r="H88">
        <v>47</v>
      </c>
      <c r="I88">
        <v>0</v>
      </c>
    </row>
    <row r="89" spans="1:9" x14ac:dyDescent="0.3">
      <c r="A89">
        <v>2</v>
      </c>
      <c r="B89">
        <v>1</v>
      </c>
      <c r="C89" t="s">
        <v>27</v>
      </c>
      <c r="D89" t="s">
        <v>26</v>
      </c>
      <c r="E89">
        <v>32</v>
      </c>
      <c r="F89" t="s">
        <v>29</v>
      </c>
      <c r="G89" t="s">
        <v>28</v>
      </c>
      <c r="H89">
        <v>13</v>
      </c>
      <c r="I89">
        <v>0</v>
      </c>
    </row>
    <row r="90" spans="1:9" x14ac:dyDescent="0.3">
      <c r="A90">
        <v>2</v>
      </c>
      <c r="B90">
        <v>1</v>
      </c>
      <c r="C90" t="s">
        <v>27</v>
      </c>
      <c r="D90" t="s">
        <v>26</v>
      </c>
      <c r="E90">
        <v>15</v>
      </c>
      <c r="F90" t="s">
        <v>29</v>
      </c>
      <c r="G90" t="s">
        <v>28</v>
      </c>
      <c r="H90">
        <v>29</v>
      </c>
      <c r="I90">
        <v>1</v>
      </c>
    </row>
    <row r="91" spans="1:9" x14ac:dyDescent="0.3">
      <c r="A91">
        <v>2</v>
      </c>
      <c r="B91">
        <v>1</v>
      </c>
      <c r="C91" t="s">
        <v>27</v>
      </c>
      <c r="D91" t="s">
        <v>26</v>
      </c>
      <c r="E91">
        <v>23</v>
      </c>
      <c r="F91" t="s">
        <v>29</v>
      </c>
      <c r="G91" t="s">
        <v>28</v>
      </c>
      <c r="H91">
        <v>29</v>
      </c>
      <c r="I91">
        <v>1</v>
      </c>
    </row>
    <row r="92" spans="1:9" x14ac:dyDescent="0.3">
      <c r="A92">
        <v>2</v>
      </c>
      <c r="B92">
        <v>1</v>
      </c>
      <c r="C92" t="s">
        <v>27</v>
      </c>
      <c r="D92" t="s">
        <v>26</v>
      </c>
      <c r="E92">
        <v>40</v>
      </c>
      <c r="F92" t="s">
        <v>29</v>
      </c>
      <c r="G92" t="s">
        <v>28</v>
      </c>
      <c r="H92">
        <v>21</v>
      </c>
      <c r="I92">
        <v>0</v>
      </c>
    </row>
    <row r="93" spans="1:9" x14ac:dyDescent="0.3">
      <c r="A93">
        <v>2</v>
      </c>
      <c r="B93">
        <v>1</v>
      </c>
      <c r="C93" t="s">
        <v>27</v>
      </c>
      <c r="D93" t="s">
        <v>26</v>
      </c>
      <c r="E93">
        <v>39</v>
      </c>
      <c r="F93" t="s">
        <v>29</v>
      </c>
      <c r="G93" t="s">
        <v>28</v>
      </c>
      <c r="H93">
        <v>46</v>
      </c>
      <c r="I93">
        <v>1</v>
      </c>
    </row>
    <row r="94" spans="1:9" x14ac:dyDescent="0.3">
      <c r="A94">
        <v>2</v>
      </c>
      <c r="B94">
        <v>1</v>
      </c>
      <c r="C94" t="s">
        <v>27</v>
      </c>
      <c r="D94" t="s">
        <v>26</v>
      </c>
      <c r="E94">
        <v>66</v>
      </c>
      <c r="F94" t="s">
        <v>29</v>
      </c>
      <c r="G94" t="s">
        <v>28</v>
      </c>
      <c r="H94">
        <v>47</v>
      </c>
      <c r="I94">
        <v>0</v>
      </c>
    </row>
    <row r="95" spans="1:9" x14ac:dyDescent="0.3">
      <c r="A95">
        <v>2</v>
      </c>
      <c r="B95">
        <v>1</v>
      </c>
      <c r="C95" t="s">
        <v>27</v>
      </c>
      <c r="D95" t="s">
        <v>26</v>
      </c>
      <c r="E95">
        <v>31</v>
      </c>
      <c r="F95" t="s">
        <v>29</v>
      </c>
      <c r="G95" t="s">
        <v>28</v>
      </c>
      <c r="H95">
        <v>23</v>
      </c>
      <c r="I95">
        <v>0</v>
      </c>
    </row>
    <row r="96" spans="1:9" x14ac:dyDescent="0.3">
      <c r="A96">
        <v>2</v>
      </c>
      <c r="B96">
        <v>1</v>
      </c>
      <c r="C96" t="s">
        <v>27</v>
      </c>
      <c r="D96" t="s">
        <v>26</v>
      </c>
      <c r="E96">
        <v>22</v>
      </c>
      <c r="F96" t="s">
        <v>29</v>
      </c>
      <c r="G96" t="s">
        <v>28</v>
      </c>
      <c r="H96">
        <v>21</v>
      </c>
      <c r="I96">
        <v>0</v>
      </c>
    </row>
    <row r="97" spans="1:9" x14ac:dyDescent="0.3">
      <c r="A97">
        <v>2</v>
      </c>
      <c r="B97">
        <v>1</v>
      </c>
      <c r="C97" t="s">
        <v>27</v>
      </c>
      <c r="D97" t="s">
        <v>26</v>
      </c>
      <c r="E97">
        <v>37</v>
      </c>
      <c r="F97" t="s">
        <v>29</v>
      </c>
      <c r="G97" t="s">
        <v>28</v>
      </c>
      <c r="H97">
        <v>38</v>
      </c>
      <c r="I97">
        <v>1</v>
      </c>
    </row>
    <row r="98" spans="1:9" x14ac:dyDescent="0.3">
      <c r="A98">
        <v>2</v>
      </c>
      <c r="B98">
        <v>1</v>
      </c>
      <c r="C98" t="s">
        <v>27</v>
      </c>
      <c r="D98" t="s">
        <v>26</v>
      </c>
      <c r="E98">
        <v>23</v>
      </c>
      <c r="F98" t="s">
        <v>29</v>
      </c>
      <c r="G98" t="s">
        <v>28</v>
      </c>
      <c r="H98">
        <v>47</v>
      </c>
      <c r="I98">
        <v>1</v>
      </c>
    </row>
    <row r="99" spans="1:9" x14ac:dyDescent="0.3">
      <c r="A99">
        <v>2</v>
      </c>
      <c r="B99">
        <v>1</v>
      </c>
      <c r="C99" t="s">
        <v>27</v>
      </c>
      <c r="D99" t="s">
        <v>26</v>
      </c>
      <c r="E99">
        <v>42</v>
      </c>
      <c r="F99" t="s">
        <v>29</v>
      </c>
      <c r="G99" t="s">
        <v>28</v>
      </c>
      <c r="H99">
        <v>55</v>
      </c>
      <c r="I99">
        <v>1</v>
      </c>
    </row>
    <row r="100" spans="1:9" x14ac:dyDescent="0.3">
      <c r="A100">
        <v>2</v>
      </c>
      <c r="B100">
        <v>1</v>
      </c>
      <c r="C100" t="s">
        <v>27</v>
      </c>
      <c r="D100" t="s">
        <v>26</v>
      </c>
      <c r="E100">
        <v>27</v>
      </c>
      <c r="F100" t="s">
        <v>29</v>
      </c>
      <c r="G100" t="s">
        <v>28</v>
      </c>
      <c r="H100">
        <v>58</v>
      </c>
      <c r="I100">
        <v>1</v>
      </c>
    </row>
  </sheetData>
  <mergeCells count="26">
    <mergeCell ref="K14:L16"/>
    <mergeCell ref="M14:N16"/>
    <mergeCell ref="O14:P16"/>
    <mergeCell ref="Q14:R16"/>
    <mergeCell ref="K10:L11"/>
    <mergeCell ref="M10:N11"/>
    <mergeCell ref="O10:P11"/>
    <mergeCell ref="Q10:R11"/>
    <mergeCell ref="K12:L13"/>
    <mergeCell ref="M12:N13"/>
    <mergeCell ref="O12:P13"/>
    <mergeCell ref="Q12:R13"/>
    <mergeCell ref="K5:L6"/>
    <mergeCell ref="M5:N6"/>
    <mergeCell ref="O5:P6"/>
    <mergeCell ref="Q5:R6"/>
    <mergeCell ref="M8:N9"/>
    <mergeCell ref="O8:P9"/>
    <mergeCell ref="Q8:R9"/>
    <mergeCell ref="M1:N2"/>
    <mergeCell ref="O1:P2"/>
    <mergeCell ref="Q1:R2"/>
    <mergeCell ref="K3:L4"/>
    <mergeCell ref="M3:N4"/>
    <mergeCell ref="O3:P4"/>
    <mergeCell ref="Q3:R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HeuristicVSRandom</vt:lpstr>
      <vt:lpstr>HeuristicVSScoreDiffAvg</vt:lpstr>
      <vt:lpstr>HeuristicVSScoreDiffMax</vt:lpstr>
      <vt:lpstr>HeuristicVSScoreTotalAvg</vt:lpstr>
      <vt:lpstr>HeuristicVSVisitDiffAvg</vt:lpstr>
      <vt:lpstr>HeuristicVSVisitTotalAvg</vt:lpstr>
      <vt:lpstr>HeuristicVSVisitDiffMax</vt:lpstr>
      <vt:lpstr>HeuristicVSScoreTotalMax</vt:lpstr>
      <vt:lpstr>HeuristicVSVisitTotalMax</vt:lpstr>
      <vt:lpstr>ScoreDiffAvgVSScoreDiffMax</vt:lpstr>
      <vt:lpstr>ScoreDiffAvgVSScoreTotalAvg</vt:lpstr>
      <vt:lpstr>ScoreDiffAvgVSVisitDiffAvg</vt:lpstr>
      <vt:lpstr>ScoreDiffAvgVSVisitTotalAvg</vt:lpstr>
      <vt:lpstr>ScoreDiffAvgVSVisitDiffMax</vt:lpstr>
      <vt:lpstr>ScoreDiffAvgVSScoreTotalMax</vt:lpstr>
      <vt:lpstr>ScoreDiffAvgVSVisitTotalMax</vt:lpstr>
      <vt:lpstr>ScoreDiffMaxVSScoreTotalAvg</vt:lpstr>
      <vt:lpstr>ScoreDiffMaxVSVisitDiffAvg</vt:lpstr>
      <vt:lpstr>ScoreDiffMaxVSVisitTotalAvg</vt:lpstr>
      <vt:lpstr>ScoreDiffMaxVSVisitDiffMax</vt:lpstr>
      <vt:lpstr>ScoreDiffMaxVSScoreTotalMax</vt:lpstr>
      <vt:lpstr>ScoreDiffMaxVSVisitTotalMax</vt:lpstr>
      <vt:lpstr>ScoreTotalAvgVSVisitDiffAvg</vt:lpstr>
      <vt:lpstr>ScoreTotalAvgVSVisitTotalAvg</vt:lpstr>
      <vt:lpstr>ScoreTotalAvgVSVisitDiffMax</vt:lpstr>
      <vt:lpstr>ScoreTotalAvgVSScoreTotalMax</vt:lpstr>
      <vt:lpstr>ScoreTotalAvgVSVisitTotalMax</vt:lpstr>
      <vt:lpstr>VisitDiffAvgVSVisitTotalAvg</vt:lpstr>
      <vt:lpstr>VisitDiffAvgVSVisitDiffMax</vt:lpstr>
      <vt:lpstr>VisitDiffAvgVSScoreTotalMax</vt:lpstr>
      <vt:lpstr>VisitDiffAvgVSVisitTotalMax</vt:lpstr>
      <vt:lpstr>VisitTotalAvgVSVisitDiffMax</vt:lpstr>
      <vt:lpstr>VisitTotalAvgVSScoreTotalMax</vt:lpstr>
      <vt:lpstr>VisitTotalAvgVSVisitTotalMax</vt:lpstr>
      <vt:lpstr>VisitDiffMaxVSScoreTotalMax</vt:lpstr>
      <vt:lpstr>VisitDiffMaxVSVisitTotalMax</vt:lpstr>
      <vt:lpstr>ScoreTotalMaxVSVisitTotalMax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Augustinas Jarockis</dc:creator>
  <cp:lastModifiedBy>Augustinas Jarockis</cp:lastModifiedBy>
  <dcterms:created xsi:type="dcterms:W3CDTF">2025-12-27T10:04:33Z</dcterms:created>
  <dcterms:modified xsi:type="dcterms:W3CDTF">2026-01-18T17:12:29Z</dcterms:modified>
</cp:coreProperties>
</file>
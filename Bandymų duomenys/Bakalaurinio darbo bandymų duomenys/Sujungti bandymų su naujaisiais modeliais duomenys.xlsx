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rau\Downloads\NewModels\NewModels\"/>
    </mc:Choice>
  </mc:AlternateContent>
  <xr:revisionPtr revIDLastSave="0" documentId="13_ncr:1_{EE3D23EC-5D05-4C25-88CA-823DCBC01CB1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Sheet1" sheetId="1" r:id="rId1"/>
    <sheet name="BigConvVSSmallLinearModel" sheetId="2" r:id="rId2"/>
    <sheet name="BigConvVSSmallLinearModelWithMC" sheetId="3" r:id="rId3"/>
    <sheet name="ConvVSLinearBigModel" sheetId="4" r:id="rId4"/>
    <sheet name="ConvVSLinearBigModelWithMCTS" sheetId="5" r:id="rId5"/>
    <sheet name="ConvVSLinearSmallModel" sheetId="6" r:id="rId6"/>
    <sheet name="ConvVSLinearSmallModelWithMCTS" sheetId="7" r:id="rId7"/>
    <sheet name="SmallConvVSBigLinearModel" sheetId="8" r:id="rId8"/>
    <sheet name="SmallConvVSBigLinearModelWithMC" sheetId="9" r:id="rId9"/>
    <sheet name="SmallVSBigConvModel" sheetId="10" r:id="rId10"/>
    <sheet name="SmallVSBigConvModelWithMCTS" sheetId="11" r:id="rId11"/>
    <sheet name="SmallVSBigLinearModel" sheetId="12" r:id="rId12"/>
    <sheet name="SmallVSBigLinearModelWithMCTS" sheetId="13" r:id="rId13"/>
    <sheet name="BigConvVSSmallLinearModelCustom" sheetId="14" r:id="rId14"/>
    <sheet name="BigLinearVSBigConvModelCustomEv" sheetId="15" r:id="rId15"/>
    <sheet name="BigLinearVSSmallLinearModelCust" sheetId="16" r:id="rId16"/>
    <sheet name="SmallConvVSBigConvModelCustomEv" sheetId="17" r:id="rId17"/>
    <sheet name="SmallConvVSBigLinearModelCustom" sheetId="18" r:id="rId18"/>
    <sheet name="SmallConvVSSmallLinearModelCust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B30" i="1"/>
  <c r="C29" i="1"/>
  <c r="C31" i="1" s="1"/>
  <c r="B29" i="1"/>
  <c r="B31" i="1" s="1"/>
  <c r="O14" i="19"/>
  <c r="O14" i="19" a="1"/>
  <c r="M14" i="19"/>
  <c r="M14" i="19" a="1"/>
  <c r="K14" i="19" a="1"/>
  <c r="K14" i="19" s="1"/>
  <c r="O12" i="19" a="1"/>
  <c r="O12" i="19" s="1"/>
  <c r="M12" i="19" a="1"/>
  <c r="M12" i="19" s="1"/>
  <c r="K12" i="19"/>
  <c r="O10" i="19" a="1"/>
  <c r="O10" i="19" s="1"/>
  <c r="M10" i="19"/>
  <c r="M10" i="19" a="1"/>
  <c r="K10" i="19"/>
  <c r="O5" i="19"/>
  <c r="M5" i="19"/>
  <c r="K5" i="19"/>
  <c r="Q3" i="19" a="1"/>
  <c r="Q3" i="19" s="1"/>
  <c r="O3" i="19"/>
  <c r="M3" i="19"/>
  <c r="K3" i="19"/>
  <c r="O14" i="18"/>
  <c r="O14" i="18" a="1"/>
  <c r="M14" i="18" a="1"/>
  <c r="M14" i="18" s="1"/>
  <c r="K14" i="18" a="1"/>
  <c r="K14" i="18" s="1"/>
  <c r="O12" i="18" a="1"/>
  <c r="O12" i="18" s="1"/>
  <c r="M12" i="18"/>
  <c r="M12" i="18" a="1"/>
  <c r="K12" i="18"/>
  <c r="O10" i="18" a="1"/>
  <c r="O10" i="18" s="1"/>
  <c r="M10" i="18"/>
  <c r="M10" i="18" a="1"/>
  <c r="K10" i="18"/>
  <c r="O5" i="18"/>
  <c r="M5" i="18"/>
  <c r="K5" i="18"/>
  <c r="Q3" i="18" a="1"/>
  <c r="Q3" i="18" s="1"/>
  <c r="O3" i="18"/>
  <c r="M3" i="18"/>
  <c r="K3" i="18"/>
  <c r="O14" i="17" a="1"/>
  <c r="O14" i="17" s="1"/>
  <c r="M14" i="17" a="1"/>
  <c r="M14" i="17" s="1"/>
  <c r="K14" i="17" a="1"/>
  <c r="K14" i="17" s="1"/>
  <c r="O12" i="17" a="1"/>
  <c r="O12" i="17" s="1"/>
  <c r="M12" i="17" a="1"/>
  <c r="M12" i="17" s="1"/>
  <c r="K12" i="17"/>
  <c r="O10" i="17"/>
  <c r="O10" i="17" a="1"/>
  <c r="M10" i="17" a="1"/>
  <c r="M10" i="17" s="1"/>
  <c r="K10" i="17"/>
  <c r="O5" i="17"/>
  <c r="M5" i="17"/>
  <c r="K5" i="17"/>
  <c r="Q3" i="17" a="1"/>
  <c r="Q3" i="17" s="1"/>
  <c r="O3" i="17"/>
  <c r="M3" i="17"/>
  <c r="K3" i="17"/>
  <c r="O14" i="16" a="1"/>
  <c r="O14" i="16" s="1"/>
  <c r="M14" i="16" a="1"/>
  <c r="M14" i="16" s="1"/>
  <c r="K14" i="16" a="1"/>
  <c r="K14" i="16" s="1"/>
  <c r="O12" i="16" a="1"/>
  <c r="O12" i="16" s="1"/>
  <c r="M12" i="16" a="1"/>
  <c r="M12" i="16" s="1"/>
  <c r="K12" i="16"/>
  <c r="O10" i="16"/>
  <c r="O10" i="16" a="1"/>
  <c r="M10" i="16"/>
  <c r="M10" i="16" a="1"/>
  <c r="K10" i="16"/>
  <c r="O5" i="16"/>
  <c r="M5" i="16"/>
  <c r="K5" i="16"/>
  <c r="Q3" i="16" a="1"/>
  <c r="Q3" i="16" s="1"/>
  <c r="O3" i="16"/>
  <c r="M3" i="16"/>
  <c r="K3" i="16"/>
  <c r="O14" i="15" a="1"/>
  <c r="O14" i="15" s="1"/>
  <c r="M14" i="15" a="1"/>
  <c r="M14" i="15" s="1"/>
  <c r="K14" i="15" a="1"/>
  <c r="K14" i="15" s="1"/>
  <c r="O12" i="15" a="1"/>
  <c r="O12" i="15" s="1"/>
  <c r="M12" i="15" a="1"/>
  <c r="M12" i="15" s="1"/>
  <c r="K12" i="15"/>
  <c r="O10" i="15"/>
  <c r="O10" i="15" a="1"/>
  <c r="M10" i="15"/>
  <c r="M10" i="15" a="1"/>
  <c r="K10" i="15"/>
  <c r="O5" i="15"/>
  <c r="M5" i="15"/>
  <c r="K5" i="15"/>
  <c r="Q3" i="15" a="1"/>
  <c r="Q3" i="15" s="1"/>
  <c r="O3" i="15"/>
  <c r="M3" i="15"/>
  <c r="K3" i="15"/>
  <c r="O14" i="14" a="1"/>
  <c r="O14" i="14" s="1"/>
  <c r="M14" i="14" a="1"/>
  <c r="M14" i="14" s="1"/>
  <c r="K14" i="14" a="1"/>
  <c r="K14" i="14" s="1"/>
  <c r="O12" i="14" a="1"/>
  <c r="O12" i="14" s="1"/>
  <c r="M12" i="14" a="1"/>
  <c r="M12" i="14" s="1"/>
  <c r="K12" i="14"/>
  <c r="O10" i="14" a="1"/>
  <c r="O10" i="14" s="1"/>
  <c r="M10" i="14"/>
  <c r="M10" i="14" a="1"/>
  <c r="K10" i="14"/>
  <c r="O5" i="14"/>
  <c r="M5" i="14"/>
  <c r="K5" i="14"/>
  <c r="Q3" i="14" a="1"/>
  <c r="Q3" i="14" s="1"/>
  <c r="O3" i="14"/>
  <c r="M3" i="14"/>
  <c r="K3" i="14"/>
  <c r="C21" i="1"/>
  <c r="B21" i="1"/>
  <c r="C20" i="1"/>
  <c r="B20" i="1"/>
  <c r="C13" i="1"/>
  <c r="B13" i="1"/>
  <c r="C12" i="1"/>
  <c r="B12" i="1"/>
  <c r="C5" i="1"/>
  <c r="B5" i="1"/>
  <c r="C4" i="1"/>
  <c r="B4" i="1"/>
  <c r="O14" i="13" a="1"/>
  <c r="O14" i="13" s="1"/>
  <c r="M14" i="13" a="1"/>
  <c r="M14" i="13" s="1"/>
  <c r="K14" i="13"/>
  <c r="K14" i="13" a="1"/>
  <c r="O12" i="13" a="1"/>
  <c r="O12" i="13" s="1"/>
  <c r="M12" i="13" a="1"/>
  <c r="M12" i="13" s="1"/>
  <c r="K12" i="13"/>
  <c r="O10" i="13" a="1"/>
  <c r="O10" i="13" s="1"/>
  <c r="M10" i="13" a="1"/>
  <c r="M10" i="13" s="1"/>
  <c r="K10" i="13"/>
  <c r="O5" i="13"/>
  <c r="M5" i="13"/>
  <c r="K5" i="13"/>
  <c r="Q3" i="13" a="1"/>
  <c r="Q3" i="13" s="1"/>
  <c r="O3" i="13"/>
  <c r="M3" i="13"/>
  <c r="K3" i="13"/>
  <c r="O14" i="12" a="1"/>
  <c r="O14" i="12" s="1"/>
  <c r="M14" i="12"/>
  <c r="M14" i="12" a="1"/>
  <c r="K14" i="12" a="1"/>
  <c r="K14" i="12" s="1"/>
  <c r="O12" i="12" a="1"/>
  <c r="O12" i="12" s="1"/>
  <c r="M12" i="12" a="1"/>
  <c r="M12" i="12" s="1"/>
  <c r="K12" i="12"/>
  <c r="O10" i="12"/>
  <c r="O10" i="12" a="1"/>
  <c r="M10" i="12"/>
  <c r="M10" i="12" a="1"/>
  <c r="K10" i="12"/>
  <c r="O5" i="12"/>
  <c r="M5" i="12"/>
  <c r="K5" i="12"/>
  <c r="Q3" i="12" a="1"/>
  <c r="Q3" i="12" s="1"/>
  <c r="O3" i="12"/>
  <c r="M3" i="12"/>
  <c r="K3" i="12"/>
  <c r="O14" i="11"/>
  <c r="O14" i="11" a="1"/>
  <c r="M14" i="11" a="1"/>
  <c r="M14" i="11" s="1"/>
  <c r="K14" i="11" a="1"/>
  <c r="K14" i="11" s="1"/>
  <c r="O12" i="11" a="1"/>
  <c r="O12" i="11" s="1"/>
  <c r="M12" i="11"/>
  <c r="M12" i="11" a="1"/>
  <c r="K12" i="11"/>
  <c r="O10" i="11"/>
  <c r="O10" i="11" a="1"/>
  <c r="M10" i="11"/>
  <c r="M10" i="11" a="1"/>
  <c r="K10" i="11"/>
  <c r="O5" i="11"/>
  <c r="M5" i="11"/>
  <c r="K5" i="11"/>
  <c r="Q3" i="11"/>
  <c r="Q3" i="11" a="1"/>
  <c r="O3" i="11"/>
  <c r="M3" i="11"/>
  <c r="K3" i="11"/>
  <c r="O14" i="10" a="1"/>
  <c r="O14" i="10" s="1"/>
  <c r="M14" i="10" a="1"/>
  <c r="M14" i="10" s="1"/>
  <c r="K14" i="10" a="1"/>
  <c r="K14" i="10" s="1"/>
  <c r="O12" i="10" a="1"/>
  <c r="O12" i="10" s="1"/>
  <c r="M12" i="10" a="1"/>
  <c r="M12" i="10" s="1"/>
  <c r="K12" i="10"/>
  <c r="O10" i="10"/>
  <c r="O10" i="10" a="1"/>
  <c r="M10" i="10" a="1"/>
  <c r="M10" i="10" s="1"/>
  <c r="K10" i="10"/>
  <c r="O5" i="10"/>
  <c r="M5" i="10"/>
  <c r="K5" i="10"/>
  <c r="Q3" i="10"/>
  <c r="Q3" i="10" a="1"/>
  <c r="O3" i="10"/>
  <c r="M3" i="10"/>
  <c r="K3" i="10"/>
  <c r="O14" i="9"/>
  <c r="O14" i="9" a="1"/>
  <c r="M14" i="9"/>
  <c r="M14" i="9" a="1"/>
  <c r="K14" i="9" a="1"/>
  <c r="K14" i="9" s="1"/>
  <c r="O12" i="9" a="1"/>
  <c r="O12" i="9" s="1"/>
  <c r="M12" i="9" a="1"/>
  <c r="M12" i="9" s="1"/>
  <c r="K12" i="9"/>
  <c r="O10" i="9" a="1"/>
  <c r="O10" i="9" s="1"/>
  <c r="M10" i="9"/>
  <c r="M10" i="9" a="1"/>
  <c r="K10" i="9"/>
  <c r="O5" i="9"/>
  <c r="M5" i="9"/>
  <c r="K5" i="9"/>
  <c r="Q3" i="9" a="1"/>
  <c r="Q3" i="9" s="1"/>
  <c r="O3" i="9"/>
  <c r="M3" i="9"/>
  <c r="K3" i="9"/>
  <c r="O14" i="8"/>
  <c r="O14" i="8" a="1"/>
  <c r="M14" i="8"/>
  <c r="M14" i="8" a="1"/>
  <c r="K14" i="8" a="1"/>
  <c r="K14" i="8" s="1"/>
  <c r="O12" i="8" a="1"/>
  <c r="O12" i="8" s="1"/>
  <c r="M12" i="8"/>
  <c r="M12" i="8" a="1"/>
  <c r="K12" i="8"/>
  <c r="O10" i="8" a="1"/>
  <c r="O10" i="8" s="1"/>
  <c r="M10" i="8"/>
  <c r="M10" i="8" a="1"/>
  <c r="K10" i="8"/>
  <c r="O5" i="8"/>
  <c r="M5" i="8"/>
  <c r="K5" i="8"/>
  <c r="Q3" i="8" a="1"/>
  <c r="Q3" i="8" s="1"/>
  <c r="O3" i="8"/>
  <c r="M3" i="8"/>
  <c r="K3" i="8"/>
  <c r="O14" i="7" a="1"/>
  <c r="O14" i="7" s="1"/>
  <c r="M14" i="7" a="1"/>
  <c r="M14" i="7" s="1"/>
  <c r="K14" i="7" a="1"/>
  <c r="K14" i="7" s="1"/>
  <c r="O12" i="7" a="1"/>
  <c r="O12" i="7" s="1"/>
  <c r="M12" i="7" a="1"/>
  <c r="M12" i="7" s="1"/>
  <c r="K12" i="7"/>
  <c r="O10" i="7" a="1"/>
  <c r="O10" i="7" s="1"/>
  <c r="M10" i="7"/>
  <c r="M10" i="7" a="1"/>
  <c r="K10" i="7"/>
  <c r="O5" i="7"/>
  <c r="M5" i="7"/>
  <c r="K5" i="7"/>
  <c r="Q3" i="7" a="1"/>
  <c r="Q3" i="7" s="1"/>
  <c r="O3" i="7"/>
  <c r="M3" i="7"/>
  <c r="K3" i="7"/>
  <c r="O14" i="6" a="1"/>
  <c r="O14" i="6" s="1"/>
  <c r="M14" i="6" a="1"/>
  <c r="M14" i="6" s="1"/>
  <c r="K14" i="6" a="1"/>
  <c r="K14" i="6" s="1"/>
  <c r="O12" i="6" a="1"/>
  <c r="O12" i="6" s="1"/>
  <c r="M12" i="6" a="1"/>
  <c r="M12" i="6" s="1"/>
  <c r="K12" i="6"/>
  <c r="O10" i="6"/>
  <c r="O10" i="6" a="1"/>
  <c r="M10" i="6" a="1"/>
  <c r="M10" i="6" s="1"/>
  <c r="K10" i="6"/>
  <c r="O5" i="6"/>
  <c r="M5" i="6"/>
  <c r="K5" i="6"/>
  <c r="Q3" i="6" a="1"/>
  <c r="Q3" i="6" s="1"/>
  <c r="O3" i="6"/>
  <c r="M3" i="6"/>
  <c r="K3" i="6"/>
  <c r="O14" i="5" a="1"/>
  <c r="O14" i="5" s="1"/>
  <c r="M14" i="5" a="1"/>
  <c r="M14" i="5" s="1"/>
  <c r="K14" i="5" a="1"/>
  <c r="K14" i="5" s="1"/>
  <c r="O12" i="5" a="1"/>
  <c r="O12" i="5" s="1"/>
  <c r="M12" i="5" a="1"/>
  <c r="M12" i="5" s="1"/>
  <c r="K12" i="5"/>
  <c r="O10" i="5" a="1"/>
  <c r="O10" i="5" s="1"/>
  <c r="M10" i="5" a="1"/>
  <c r="M10" i="5" s="1"/>
  <c r="K10" i="5"/>
  <c r="O5" i="5"/>
  <c r="M5" i="5"/>
  <c r="K5" i="5"/>
  <c r="Q3" i="5" a="1"/>
  <c r="Q3" i="5" s="1"/>
  <c r="O3" i="5"/>
  <c r="M3" i="5"/>
  <c r="K3" i="5"/>
  <c r="O14" i="4"/>
  <c r="O14" i="4" a="1"/>
  <c r="M14" i="4"/>
  <c r="M14" i="4" a="1"/>
  <c r="K14" i="4"/>
  <c r="K14" i="4" a="1"/>
  <c r="O12" i="4" a="1"/>
  <c r="O12" i="4" s="1"/>
  <c r="M12" i="4"/>
  <c r="M12" i="4" a="1"/>
  <c r="K12" i="4"/>
  <c r="O10" i="4" a="1"/>
  <c r="O10" i="4" s="1"/>
  <c r="M10" i="4" a="1"/>
  <c r="M10" i="4" s="1"/>
  <c r="K10" i="4"/>
  <c r="O5" i="4"/>
  <c r="M5" i="4"/>
  <c r="K5" i="4"/>
  <c r="Q3" i="4" a="1"/>
  <c r="Q3" i="4" s="1"/>
  <c r="O3" i="4"/>
  <c r="M3" i="4"/>
  <c r="K3" i="4"/>
  <c r="O14" i="3" a="1"/>
  <c r="O14" i="3" s="1"/>
  <c r="M14" i="3"/>
  <c r="M14" i="3" a="1"/>
  <c r="K14" i="3"/>
  <c r="K14" i="3" a="1"/>
  <c r="O12" i="3" a="1"/>
  <c r="O12" i="3" s="1"/>
  <c r="M12" i="3" a="1"/>
  <c r="M12" i="3" s="1"/>
  <c r="K12" i="3"/>
  <c r="O10" i="3" a="1"/>
  <c r="O10" i="3" s="1"/>
  <c r="M10" i="3"/>
  <c r="M10" i="3" a="1"/>
  <c r="K10" i="3"/>
  <c r="O5" i="3"/>
  <c r="M5" i="3"/>
  <c r="K5" i="3"/>
  <c r="Q3" i="3" a="1"/>
  <c r="Q3" i="3" s="1"/>
  <c r="O3" i="3"/>
  <c r="M3" i="3"/>
  <c r="K3" i="3"/>
  <c r="O14" i="2" a="1"/>
  <c r="O14" i="2" s="1"/>
  <c r="M14" i="2" a="1"/>
  <c r="M14" i="2" s="1"/>
  <c r="K14" i="2" a="1"/>
  <c r="K14" i="2" s="1"/>
  <c r="O12" i="2" a="1"/>
  <c r="O12" i="2" s="1"/>
  <c r="M12" i="2" a="1"/>
  <c r="M12" i="2" s="1"/>
  <c r="K12" i="2"/>
  <c r="O10" i="2" a="1"/>
  <c r="O10" i="2" s="1"/>
  <c r="M10" i="2" a="1"/>
  <c r="M10" i="2" s="1"/>
  <c r="K10" i="2"/>
  <c r="O5" i="2"/>
  <c r="M5" i="2"/>
  <c r="K5" i="2"/>
  <c r="Q3" i="2" a="1"/>
  <c r="Q3" i="2" s="1"/>
  <c r="O3" i="2"/>
  <c r="M3" i="2"/>
  <c r="K3" i="2"/>
  <c r="D30" i="1" l="1"/>
  <c r="D29" i="1"/>
  <c r="C22" i="1"/>
  <c r="D21" i="1"/>
  <c r="B22" i="1"/>
  <c r="B14" i="1"/>
  <c r="D13" i="1"/>
  <c r="C14" i="1"/>
  <c r="D5" i="1"/>
  <c r="B6" i="1"/>
  <c r="C6" i="1"/>
  <c r="D4" i="1"/>
  <c r="D12" i="1"/>
  <c r="D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<sst xmlns="http://schemas.openxmlformats.org/spreadsheetml/2006/main" count="3869" uniqueCount="26">
  <si>
    <t xml:space="preserve"> AzulAIAndGameState.Players.MCTS_CNN.PolicyNetworkAI</t>
  </si>
  <si>
    <t xml:space="preserve"> AzulAIAndGameState.Players.MCTS_NN.MCTSnPolicy</t>
  </si>
  <si>
    <t>Bendru atveju</t>
  </si>
  <si>
    <t>Kai pradeda pirmas žaidėjas</t>
  </si>
  <si>
    <t>Kai pradeda antras žaidėjas</t>
  </si>
  <si>
    <t>Lygu</t>
  </si>
  <si>
    <t>Pirmo žaidėjo pergalių skaičius</t>
  </si>
  <si>
    <t>Antro žaidėjo pergalių skaičius</t>
  </si>
  <si>
    <t>Pirmo žaidėjo pergalės atveju</t>
  </si>
  <si>
    <t>Antro žaidėjo pergalės atveju</t>
  </si>
  <si>
    <t>Pirmo žaidėjo taškų vidurkis</t>
  </si>
  <si>
    <t>Antro žaidėjo taškų vidurkis</t>
  </si>
  <si>
    <t>Vidutinė pirmo žaidėjo taškų persvara</t>
  </si>
  <si>
    <t>Networks</t>
  </si>
  <si>
    <t>Linear</t>
  </si>
  <si>
    <t>Conv</t>
  </si>
  <si>
    <t>Small conv</t>
  </si>
  <si>
    <t>Big Conv</t>
  </si>
  <si>
    <t>Small linear</t>
  </si>
  <si>
    <t>Big linear</t>
  </si>
  <si>
    <t>Small</t>
  </si>
  <si>
    <t>Big</t>
  </si>
  <si>
    <t>With MCTS</t>
  </si>
  <si>
    <t>Taškų skirtumas</t>
  </si>
  <si>
    <t xml:space="preserve"> AzulAIAndGameState.Players.MCTS_NN.MCTSnCustomEval</t>
  </si>
  <si>
    <t xml:space="preserve">With custom eval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</si>
</sst>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3" xfId="0" applyFill="1" applyBorder="1"/>
    <xf numFmtId="0" fontId="0" fillId="0" borderId="3" xfId="0" applyBorder="1" applyAlignment="1">
      <alignment wrapText="1"/>
    </xf>
    <xf numFmtId="0" fontId="0" fillId="2" borderId="3" xfId="0" applyFill="1" applyBorder="1" applyAlignment="1">
      <alignment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084D5DE1-EAA3-4632-9AFF-12541A6AED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opLeftCell="A10" workbookViewId="0">
      <selection activeCell="D34" sqref="D34"/>
    </sheetView>
  </sheetViews>
  <sheetFormatPr defaultRowHeight="14.4" x14ac:dyDescent="0.3"/>
  <cols>
    <col min="2" max="2" width="15.21875" customWidth="1"/>
    <col min="5" max="5" width="17.33203125" customWidth="1"/>
    <col min="6" max="6" width="10.33203125" customWidth="1"/>
    <col min="8" max="8" width="10.77734375" customWidth="1"/>
  </cols>
  <sheetData>
    <row r="1" spans="1:9" x14ac:dyDescent="0.3">
      <c r="B1" t="s">
        <v>13</v>
      </c>
    </row>
    <row r="2" spans="1:9" x14ac:dyDescent="0.3">
      <c r="I2" s="18"/>
    </row>
    <row r="3" spans="1:9" x14ac:dyDescent="0.3">
      <c r="A3" s="12"/>
      <c r="B3" s="12" t="s">
        <v>14</v>
      </c>
      <c r="C3" s="12" t="s">
        <v>15</v>
      </c>
      <c r="D3" s="12"/>
      <c r="E3" s="12"/>
      <c r="F3" s="12" t="s">
        <v>16</v>
      </c>
      <c r="G3" s="12" t="s">
        <v>17</v>
      </c>
      <c r="H3" s="12" t="s">
        <v>18</v>
      </c>
      <c r="I3" s="12" t="s">
        <v>19</v>
      </c>
    </row>
    <row r="4" spans="1:9" x14ac:dyDescent="0.3">
      <c r="A4" s="12" t="s">
        <v>20</v>
      </c>
      <c r="B4" s="12">
        <f>F6+G6+I6</f>
        <v>151</v>
      </c>
      <c r="C4" s="12">
        <f>G4+H4+I4</f>
        <v>151</v>
      </c>
      <c r="D4" s="12">
        <f>B4+C4</f>
        <v>302</v>
      </c>
      <c r="E4" s="12" t="s">
        <v>16</v>
      </c>
      <c r="F4" s="27"/>
      <c r="G4" s="12">
        <v>57</v>
      </c>
      <c r="H4" s="12">
        <v>50</v>
      </c>
      <c r="I4" s="28">
        <v>44</v>
      </c>
    </row>
    <row r="5" spans="1:9" x14ac:dyDescent="0.3">
      <c r="A5" s="12" t="s">
        <v>21</v>
      </c>
      <c r="B5" s="12">
        <f>F7+G7+H7</f>
        <v>166</v>
      </c>
      <c r="C5" s="12">
        <f>F5+H5+I5</f>
        <v>132</v>
      </c>
      <c r="D5" s="12">
        <f>B5+C5</f>
        <v>298</v>
      </c>
      <c r="E5" s="12" t="s">
        <v>17</v>
      </c>
      <c r="F5" s="12">
        <v>43</v>
      </c>
      <c r="G5" s="27"/>
      <c r="H5" s="12">
        <v>45</v>
      </c>
      <c r="I5" s="28">
        <v>44</v>
      </c>
    </row>
    <row r="6" spans="1:9" x14ac:dyDescent="0.3">
      <c r="A6" s="12"/>
      <c r="B6" s="12">
        <f>B4 + B5</f>
        <v>317</v>
      </c>
      <c r="C6" s="12">
        <f>C4 + C5</f>
        <v>283</v>
      </c>
      <c r="D6" s="12"/>
      <c r="E6" s="12" t="s">
        <v>18</v>
      </c>
      <c r="F6" s="12">
        <v>50</v>
      </c>
      <c r="G6" s="12">
        <v>55</v>
      </c>
      <c r="H6" s="27"/>
      <c r="I6" s="28">
        <v>46</v>
      </c>
    </row>
    <row r="7" spans="1:9" x14ac:dyDescent="0.3">
      <c r="E7" s="12" t="s">
        <v>19</v>
      </c>
      <c r="F7" s="12">
        <v>56</v>
      </c>
      <c r="G7" s="12">
        <v>56</v>
      </c>
      <c r="H7" s="12">
        <v>54</v>
      </c>
      <c r="I7" s="29"/>
    </row>
    <row r="8" spans="1:9" x14ac:dyDescent="0.3">
      <c r="I8" s="18"/>
    </row>
    <row r="9" spans="1:9" x14ac:dyDescent="0.3">
      <c r="B9" t="s">
        <v>22</v>
      </c>
      <c r="I9" s="18"/>
    </row>
    <row r="10" spans="1:9" x14ac:dyDescent="0.3">
      <c r="I10" s="18"/>
    </row>
    <row r="11" spans="1:9" x14ac:dyDescent="0.3">
      <c r="A11" s="12"/>
      <c r="B11" s="12" t="s">
        <v>14</v>
      </c>
      <c r="C11" s="12" t="s">
        <v>15</v>
      </c>
      <c r="D11" s="12"/>
      <c r="E11" s="12"/>
      <c r="F11" s="12" t="s">
        <v>16</v>
      </c>
      <c r="G11" s="12" t="s">
        <v>17</v>
      </c>
      <c r="H11" s="12" t="s">
        <v>18</v>
      </c>
      <c r="I11" s="12" t="s">
        <v>19</v>
      </c>
    </row>
    <row r="12" spans="1:9" x14ac:dyDescent="0.3">
      <c r="A12" s="12" t="s">
        <v>20</v>
      </c>
      <c r="B12" s="12">
        <f>F14+G14+I14</f>
        <v>177</v>
      </c>
      <c r="C12" s="12">
        <f>G12+H12+I12</f>
        <v>166</v>
      </c>
      <c r="D12" s="12">
        <f>B12+C12</f>
        <v>343</v>
      </c>
      <c r="E12" s="12" t="s">
        <v>16</v>
      </c>
      <c r="F12" s="27"/>
      <c r="G12" s="12">
        <v>63</v>
      </c>
      <c r="H12" s="12">
        <v>53</v>
      </c>
      <c r="I12" s="28">
        <v>50</v>
      </c>
    </row>
    <row r="13" spans="1:9" x14ac:dyDescent="0.3">
      <c r="A13" s="12" t="s">
        <v>21</v>
      </c>
      <c r="B13" s="12">
        <f>F15+G15+H15</f>
        <v>135</v>
      </c>
      <c r="C13" s="12">
        <f>F13+H13+I13</f>
        <v>122</v>
      </c>
      <c r="D13" s="12">
        <f>B13+C13</f>
        <v>257</v>
      </c>
      <c r="E13" s="12" t="s">
        <v>17</v>
      </c>
      <c r="F13" s="12">
        <v>37</v>
      </c>
      <c r="G13" s="27"/>
      <c r="H13" s="12">
        <v>38</v>
      </c>
      <c r="I13" s="28">
        <v>47</v>
      </c>
    </row>
    <row r="14" spans="1:9" x14ac:dyDescent="0.3">
      <c r="A14" s="12"/>
      <c r="B14" s="12">
        <f>B12 + B13</f>
        <v>312</v>
      </c>
      <c r="C14" s="12">
        <f>C12 + C13</f>
        <v>288</v>
      </c>
      <c r="D14" s="12"/>
      <c r="E14" s="12" t="s">
        <v>18</v>
      </c>
      <c r="F14" s="12">
        <v>47</v>
      </c>
      <c r="G14" s="12">
        <v>62</v>
      </c>
      <c r="H14" s="27"/>
      <c r="I14" s="28">
        <v>68</v>
      </c>
    </row>
    <row r="15" spans="1:9" x14ac:dyDescent="0.3">
      <c r="E15" s="12" t="s">
        <v>19</v>
      </c>
      <c r="F15" s="12">
        <v>50</v>
      </c>
      <c r="G15" s="12">
        <v>53</v>
      </c>
      <c r="H15" s="12">
        <v>32</v>
      </c>
      <c r="I15" s="29"/>
    </row>
    <row r="16" spans="1:9" x14ac:dyDescent="0.3">
      <c r="I16" s="30"/>
    </row>
    <row r="17" spans="1:9" x14ac:dyDescent="0.3">
      <c r="A17" t="s">
        <v>23</v>
      </c>
      <c r="B17" t="s">
        <v>22</v>
      </c>
      <c r="I17" s="18"/>
    </row>
    <row r="18" spans="1:9" x14ac:dyDescent="0.3">
      <c r="I18" s="18"/>
    </row>
    <row r="19" spans="1:9" x14ac:dyDescent="0.3">
      <c r="A19" s="12"/>
      <c r="B19" s="12" t="s">
        <v>14</v>
      </c>
      <c r="C19" s="12" t="s">
        <v>15</v>
      </c>
      <c r="D19" s="12"/>
      <c r="E19" s="12"/>
      <c r="F19" s="12" t="s">
        <v>16</v>
      </c>
      <c r="G19" s="12" t="s">
        <v>17</v>
      </c>
      <c r="H19" s="12" t="s">
        <v>18</v>
      </c>
      <c r="I19" s="12" t="s">
        <v>19</v>
      </c>
    </row>
    <row r="20" spans="1:9" x14ac:dyDescent="0.3">
      <c r="A20" s="12" t="s">
        <v>20</v>
      </c>
      <c r="B20" s="12">
        <f>F22+G22+I22</f>
        <v>10.28</v>
      </c>
      <c r="C20" s="12">
        <f>G20+H20+I20</f>
        <v>9.89</v>
      </c>
      <c r="D20" s="12">
        <f>B20+C20</f>
        <v>20.170000000000002</v>
      </c>
      <c r="E20" s="12" t="s">
        <v>16</v>
      </c>
      <c r="F20" s="27"/>
      <c r="G20" s="12">
        <v>6.72</v>
      </c>
      <c r="H20" s="12">
        <v>1.1100000000000001</v>
      </c>
      <c r="I20" s="28">
        <v>2.06</v>
      </c>
    </row>
    <row r="21" spans="1:9" x14ac:dyDescent="0.3">
      <c r="A21" s="12" t="s">
        <v>21</v>
      </c>
      <c r="B21" s="12">
        <f>F23+G23+H23</f>
        <v>-5.68</v>
      </c>
      <c r="C21" s="12">
        <f>F21+H21+I21</f>
        <v>-14.49</v>
      </c>
      <c r="D21" s="12">
        <f>B21+C21</f>
        <v>-20.170000000000002</v>
      </c>
      <c r="E21" s="12" t="s">
        <v>17</v>
      </c>
      <c r="F21" s="12">
        <v>-6.72</v>
      </c>
      <c r="G21" s="27"/>
      <c r="H21" s="12">
        <v>-5.71</v>
      </c>
      <c r="I21" s="28">
        <v>-2.06</v>
      </c>
    </row>
    <row r="22" spans="1:9" x14ac:dyDescent="0.3">
      <c r="A22" s="12"/>
      <c r="B22" s="12">
        <f>B20 + B21</f>
        <v>4.5999999999999996</v>
      </c>
      <c r="C22" s="12">
        <f>C20 + C21</f>
        <v>-4.5999999999999996</v>
      </c>
      <c r="D22" s="12"/>
      <c r="E22" s="12" t="s">
        <v>18</v>
      </c>
      <c r="F22" s="12">
        <v>-1.1100000000000001</v>
      </c>
      <c r="G22" s="12">
        <v>5.71</v>
      </c>
      <c r="H22" s="27"/>
      <c r="I22" s="28">
        <v>5.68</v>
      </c>
    </row>
    <row r="23" spans="1:9" x14ac:dyDescent="0.3">
      <c r="E23" s="12" t="s">
        <v>19</v>
      </c>
      <c r="F23" s="12">
        <v>-2.06</v>
      </c>
      <c r="G23" s="12">
        <v>2.06</v>
      </c>
      <c r="H23" s="12">
        <v>-5.68</v>
      </c>
      <c r="I23" s="29"/>
    </row>
    <row r="26" spans="1:9" x14ac:dyDescent="0.3">
      <c r="B26" t="s">
        <v>25</v>
      </c>
      <c r="I26" s="18"/>
    </row>
    <row r="27" spans="1:9" x14ac:dyDescent="0.3">
      <c r="I27" s="18"/>
    </row>
    <row r="28" spans="1:9" x14ac:dyDescent="0.3">
      <c r="A28" s="12"/>
      <c r="B28" s="12" t="s">
        <v>14</v>
      </c>
      <c r="C28" s="12" t="s">
        <v>15</v>
      </c>
      <c r="D28" s="12"/>
      <c r="E28" s="12"/>
      <c r="F28" s="12" t="s">
        <v>16</v>
      </c>
      <c r="G28" s="12" t="s">
        <v>17</v>
      </c>
      <c r="H28" s="12" t="s">
        <v>18</v>
      </c>
      <c r="I28" s="12" t="s">
        <v>19</v>
      </c>
    </row>
    <row r="29" spans="1:9" x14ac:dyDescent="0.3">
      <c r="A29" s="12" t="s">
        <v>20</v>
      </c>
      <c r="B29" s="12">
        <f>F31+G31+I31</f>
        <v>169</v>
      </c>
      <c r="C29" s="12">
        <f>G29+H29+I29</f>
        <v>150</v>
      </c>
      <c r="D29" s="12">
        <f>B29+C29</f>
        <v>319</v>
      </c>
      <c r="E29" s="12" t="s">
        <v>16</v>
      </c>
      <c r="F29" s="27"/>
      <c r="G29" s="12">
        <v>53</v>
      </c>
      <c r="H29" s="12">
        <v>47</v>
      </c>
      <c r="I29" s="28">
        <v>50</v>
      </c>
    </row>
    <row r="30" spans="1:9" x14ac:dyDescent="0.3">
      <c r="A30" s="12" t="s">
        <v>21</v>
      </c>
      <c r="B30" s="12">
        <f>F32+G32+H32</f>
        <v>152</v>
      </c>
      <c r="C30" s="12">
        <f>F30+H30+I30</f>
        <v>137</v>
      </c>
      <c r="D30" s="12">
        <f>B30+C30</f>
        <v>289</v>
      </c>
      <c r="E30" s="12" t="s">
        <v>17</v>
      </c>
      <c r="F30" s="12">
        <v>47</v>
      </c>
      <c r="G30" s="27"/>
      <c r="H30" s="12">
        <v>52</v>
      </c>
      <c r="I30" s="28">
        <v>38</v>
      </c>
    </row>
    <row r="31" spans="1:9" x14ac:dyDescent="0.3">
      <c r="A31" s="12"/>
      <c r="B31" s="12">
        <f>B29 + B30</f>
        <v>321</v>
      </c>
      <c r="C31" s="12">
        <f>C29 + C30</f>
        <v>287</v>
      </c>
      <c r="D31" s="12"/>
      <c r="E31" s="12" t="s">
        <v>18</v>
      </c>
      <c r="F31" s="12">
        <v>53</v>
      </c>
      <c r="G31" s="12">
        <v>48</v>
      </c>
      <c r="H31" s="27"/>
      <c r="I31" s="28">
        <v>68</v>
      </c>
    </row>
    <row r="32" spans="1:9" x14ac:dyDescent="0.3">
      <c r="E32" s="12" t="s">
        <v>19</v>
      </c>
      <c r="F32" s="12">
        <v>50</v>
      </c>
      <c r="G32" s="12">
        <v>62</v>
      </c>
      <c r="H32" s="12">
        <v>40</v>
      </c>
      <c r="I32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73C1-A143-4E3A-A88C-D83061FC7F99}">
  <dimension ref="A1:Q100"/>
  <sheetViews>
    <sheetView workbookViewId="0">
      <selection activeCell="O21" sqref="O21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0</v>
      </c>
      <c r="D1" s="1">
        <v>61</v>
      </c>
      <c r="E1" s="1" t="s">
        <v>0</v>
      </c>
      <c r="F1" s="1">
        <v>37</v>
      </c>
      <c r="G1" s="1">
        <v>0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0</v>
      </c>
      <c r="D2" s="1">
        <v>31</v>
      </c>
      <c r="E2" s="1" t="s">
        <v>0</v>
      </c>
      <c r="F2" s="1">
        <v>23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0</v>
      </c>
      <c r="D3" s="1">
        <v>6</v>
      </c>
      <c r="E3" s="1" t="s">
        <v>0</v>
      </c>
      <c r="F3" s="1">
        <v>36</v>
      </c>
      <c r="G3" s="1">
        <v>1</v>
      </c>
      <c r="I3" s="5" t="s">
        <v>6</v>
      </c>
      <c r="J3" s="5"/>
      <c r="K3" s="9">
        <f>COUNTIF($G$1:$G$100, 0)</f>
        <v>45</v>
      </c>
      <c r="L3" s="9"/>
      <c r="M3" s="9">
        <f>COUNTIFS($G$1:$G$100, 0, $B$1:$B$100, 0)</f>
        <v>25</v>
      </c>
      <c r="N3" s="9"/>
      <c r="O3" s="10">
        <f>COUNTIFS($G$1:$G$100, 0, $B$1:$B$100, 1)</f>
        <v>20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0</v>
      </c>
      <c r="D4" s="1">
        <v>15</v>
      </c>
      <c r="E4" s="1" t="s">
        <v>0</v>
      </c>
      <c r="F4" s="1">
        <v>44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0</v>
      </c>
      <c r="D5" s="1">
        <v>2</v>
      </c>
      <c r="E5" s="1" t="s">
        <v>0</v>
      </c>
      <c r="F5" s="1">
        <v>15</v>
      </c>
      <c r="G5" s="1">
        <v>1</v>
      </c>
      <c r="I5" s="5" t="s">
        <v>7</v>
      </c>
      <c r="J5" s="5"/>
      <c r="K5" s="14">
        <f>COUNTIF($G$1:$G$100, 1)</f>
        <v>55</v>
      </c>
      <c r="L5" s="9"/>
      <c r="M5" s="9">
        <f>COUNTIFS($G$1:$G$100, 1, $B$1:$B$100, 0)</f>
        <v>25</v>
      </c>
      <c r="N5" s="9"/>
      <c r="O5" s="9">
        <f>COUNTIFS($G$1:$G$100, 1, $B$1:$B$100, 1)</f>
        <v>30</v>
      </c>
      <c r="P5" s="13"/>
      <c r="Q5"/>
    </row>
    <row r="6" spans="1:17" x14ac:dyDescent="0.3">
      <c r="A6" s="1">
        <v>2</v>
      </c>
      <c r="B6" s="1">
        <v>0</v>
      </c>
      <c r="C6" s="1" t="s">
        <v>0</v>
      </c>
      <c r="D6" s="1">
        <v>35</v>
      </c>
      <c r="E6" s="1" t="s">
        <v>0</v>
      </c>
      <c r="F6" s="1">
        <v>26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0</v>
      </c>
      <c r="D7" s="1">
        <v>35</v>
      </c>
      <c r="E7" s="1" t="s">
        <v>0</v>
      </c>
      <c r="F7" s="1">
        <v>4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0</v>
      </c>
      <c r="D8" s="1">
        <v>21</v>
      </c>
      <c r="E8" s="1" t="s">
        <v>0</v>
      </c>
      <c r="F8" s="1">
        <v>25</v>
      </c>
      <c r="G8" s="1">
        <v>1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0</v>
      </c>
      <c r="D9" s="1">
        <v>32</v>
      </c>
      <c r="E9" s="1" t="s">
        <v>0</v>
      </c>
      <c r="F9" s="1">
        <v>14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0</v>
      </c>
      <c r="D10" s="1">
        <v>40</v>
      </c>
      <c r="E10" s="1" t="s">
        <v>0</v>
      </c>
      <c r="F10" s="1">
        <v>7</v>
      </c>
      <c r="G10" s="1">
        <v>0</v>
      </c>
      <c r="I10" s="5" t="s">
        <v>10</v>
      </c>
      <c r="J10" s="5"/>
      <c r="K10" s="9">
        <f>AVERAGE($D$1:$D$100,)</f>
        <v>24.267326732673268</v>
      </c>
      <c r="L10" s="9"/>
      <c r="M10" s="9" cm="1">
        <f t="array" ref="M10">AVERAGE(_xlfn._xlws.FILTER($D$1:$D$100,$G$1:$G$100 = 0))</f>
        <v>35.488888888888887</v>
      </c>
      <c r="N10" s="9"/>
      <c r="O10" s="10" cm="1">
        <f t="array" ref="O10">AVERAGE(_xlfn._xlws.FILTER($D$1:$D$100,$G$1:$G$100 = 1))</f>
        <v>15.527272727272727</v>
      </c>
      <c r="P10" s="11"/>
      <c r="Q10"/>
    </row>
    <row r="11" spans="1:17" x14ac:dyDescent="0.3">
      <c r="A11" s="1">
        <v>2</v>
      </c>
      <c r="B11" s="1">
        <v>0</v>
      </c>
      <c r="C11" s="1" t="s">
        <v>0</v>
      </c>
      <c r="D11" s="1">
        <v>46</v>
      </c>
      <c r="E11" s="1" t="s">
        <v>0</v>
      </c>
      <c r="F11" s="1">
        <v>3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0</v>
      </c>
      <c r="D12" s="1">
        <v>2</v>
      </c>
      <c r="E12" s="1" t="s">
        <v>0</v>
      </c>
      <c r="F12" s="1">
        <v>28</v>
      </c>
      <c r="G12" s="1">
        <v>1</v>
      </c>
      <c r="I12" s="5" t="s">
        <v>11</v>
      </c>
      <c r="J12" s="5"/>
      <c r="K12" s="9">
        <f>AVERAGE($F$1:$F$100,)</f>
        <v>26.10891089108911</v>
      </c>
      <c r="L12" s="9"/>
      <c r="M12" s="9" cm="1">
        <f t="array" ref="M12">AVERAGE(_xlfn._xlws.FILTER($F$1:$F$100,$G$1:$G$100 = 0))</f>
        <v>15.577777777777778</v>
      </c>
      <c r="N12" s="9"/>
      <c r="O12" s="9" cm="1">
        <f t="array" ref="O12">AVERAGE(_xlfn._xlws.FILTER($F$1:$F$100,$G$1:$G$100 = 1))</f>
        <v>35.200000000000003</v>
      </c>
      <c r="P12" s="13"/>
      <c r="Q12"/>
    </row>
    <row r="13" spans="1:17" x14ac:dyDescent="0.3">
      <c r="A13" s="1">
        <v>2</v>
      </c>
      <c r="B13" s="1">
        <v>0</v>
      </c>
      <c r="C13" s="1" t="s">
        <v>0</v>
      </c>
      <c r="D13" s="1">
        <v>13</v>
      </c>
      <c r="E13" s="1" t="s">
        <v>0</v>
      </c>
      <c r="F13" s="1">
        <v>2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0</v>
      </c>
      <c r="D14" s="1">
        <v>51</v>
      </c>
      <c r="E14" s="1" t="s">
        <v>0</v>
      </c>
      <c r="F14" s="1">
        <v>24</v>
      </c>
      <c r="G14" s="1">
        <v>0</v>
      </c>
      <c r="I14" s="22" t="s">
        <v>12</v>
      </c>
      <c r="J14" s="11"/>
      <c r="K14" s="23" cm="1">
        <f t="array" ref="K14">AVERAGE($D$1:$D$100 - $F$1:$F$100)</f>
        <v>-1.86</v>
      </c>
      <c r="L14" s="23"/>
      <c r="M14" s="23" cm="1">
        <f t="array" ref="M14">AVERAGE(_xlfn._xlws.FILTER($D$1:$D$100 - $F$1:$F$100, G$1:G$100 = 0))</f>
        <v>19.911111111111111</v>
      </c>
      <c r="N14" s="23"/>
      <c r="O14" s="23" cm="1">
        <f t="array" ref="O14">AVERAGE(_xlfn._xlws.FILTER($D$1:$D$100 - $F$1:$F$100, G$1:G$100 = 1))</f>
        <v>-19.672727272727272</v>
      </c>
      <c r="P14" s="24"/>
      <c r="Q14"/>
    </row>
    <row r="15" spans="1:17" x14ac:dyDescent="0.3">
      <c r="A15" s="1">
        <v>2</v>
      </c>
      <c r="B15" s="1">
        <v>0</v>
      </c>
      <c r="C15" s="1" t="s">
        <v>0</v>
      </c>
      <c r="D15" s="1">
        <v>35</v>
      </c>
      <c r="E15" s="1" t="s">
        <v>0</v>
      </c>
      <c r="F15" s="1">
        <v>36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0</v>
      </c>
      <c r="D16" s="1">
        <v>21</v>
      </c>
      <c r="E16" s="1" t="s">
        <v>0</v>
      </c>
      <c r="F16" s="1">
        <v>55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0</v>
      </c>
      <c r="D17" s="1">
        <v>61</v>
      </c>
      <c r="E17" s="1" t="s">
        <v>0</v>
      </c>
      <c r="F17" s="1">
        <v>36</v>
      </c>
      <c r="G17" s="1">
        <v>0</v>
      </c>
    </row>
    <row r="18" spans="1:7" x14ac:dyDescent="0.3">
      <c r="A18" s="1">
        <v>2</v>
      </c>
      <c r="B18" s="1">
        <v>0</v>
      </c>
      <c r="C18" s="1" t="s">
        <v>0</v>
      </c>
      <c r="D18" s="1">
        <v>27</v>
      </c>
      <c r="E18" s="1" t="s">
        <v>0</v>
      </c>
      <c r="F18" s="1">
        <v>12</v>
      </c>
      <c r="G18" s="1">
        <v>0</v>
      </c>
    </row>
    <row r="19" spans="1:7" x14ac:dyDescent="0.3">
      <c r="A19" s="1">
        <v>2</v>
      </c>
      <c r="B19" s="1">
        <v>0</v>
      </c>
      <c r="C19" s="1" t="s">
        <v>0</v>
      </c>
      <c r="D19" s="1">
        <v>15</v>
      </c>
      <c r="E19" s="1" t="s">
        <v>0</v>
      </c>
      <c r="F19" s="1">
        <v>43</v>
      </c>
      <c r="G19" s="1">
        <v>1</v>
      </c>
    </row>
    <row r="20" spans="1:7" x14ac:dyDescent="0.3">
      <c r="A20" s="1">
        <v>2</v>
      </c>
      <c r="B20" s="1">
        <v>0</v>
      </c>
      <c r="C20" s="1" t="s">
        <v>0</v>
      </c>
      <c r="D20" s="1">
        <v>12</v>
      </c>
      <c r="E20" s="1" t="s">
        <v>0</v>
      </c>
      <c r="F20" s="1">
        <v>23</v>
      </c>
      <c r="G20" s="1">
        <v>1</v>
      </c>
    </row>
    <row r="21" spans="1:7" x14ac:dyDescent="0.3">
      <c r="A21" s="1">
        <v>2</v>
      </c>
      <c r="B21" s="1">
        <v>0</v>
      </c>
      <c r="C21" s="1" t="s">
        <v>0</v>
      </c>
      <c r="D21" s="1">
        <v>18</v>
      </c>
      <c r="E21" s="1" t="s">
        <v>0</v>
      </c>
      <c r="F21" s="1">
        <v>18</v>
      </c>
      <c r="G21" s="1">
        <v>0</v>
      </c>
    </row>
    <row r="22" spans="1:7" x14ac:dyDescent="0.3">
      <c r="A22" s="1">
        <v>2</v>
      </c>
      <c r="B22" s="1">
        <v>0</v>
      </c>
      <c r="C22" s="1" t="s">
        <v>0</v>
      </c>
      <c r="D22" s="1">
        <v>23</v>
      </c>
      <c r="E22" s="1" t="s">
        <v>0</v>
      </c>
      <c r="F22" s="1">
        <v>31</v>
      </c>
      <c r="G22" s="1">
        <v>1</v>
      </c>
    </row>
    <row r="23" spans="1:7" x14ac:dyDescent="0.3">
      <c r="A23" s="1">
        <v>2</v>
      </c>
      <c r="B23" s="1">
        <v>0</v>
      </c>
      <c r="C23" s="1" t="s">
        <v>0</v>
      </c>
      <c r="D23" s="1">
        <v>32</v>
      </c>
      <c r="E23" s="1" t="s">
        <v>0</v>
      </c>
      <c r="F23" s="1">
        <v>11</v>
      </c>
      <c r="G23" s="1">
        <v>0</v>
      </c>
    </row>
    <row r="24" spans="1:7" x14ac:dyDescent="0.3">
      <c r="A24" s="1">
        <v>2</v>
      </c>
      <c r="B24" s="1">
        <v>0</v>
      </c>
      <c r="C24" s="1" t="s">
        <v>0</v>
      </c>
      <c r="D24" s="1">
        <v>0</v>
      </c>
      <c r="E24" s="1" t="s">
        <v>0</v>
      </c>
      <c r="F24" s="1">
        <v>59</v>
      </c>
      <c r="G24" s="1">
        <v>1</v>
      </c>
    </row>
    <row r="25" spans="1:7" x14ac:dyDescent="0.3">
      <c r="A25" s="1">
        <v>2</v>
      </c>
      <c r="B25" s="1">
        <v>0</v>
      </c>
      <c r="C25" s="1" t="s">
        <v>0</v>
      </c>
      <c r="D25" s="1">
        <v>18</v>
      </c>
      <c r="E25" s="1" t="s">
        <v>0</v>
      </c>
      <c r="F25" s="1">
        <v>39</v>
      </c>
      <c r="G25" s="1">
        <v>1</v>
      </c>
    </row>
    <row r="26" spans="1:7" x14ac:dyDescent="0.3">
      <c r="A26" s="1">
        <v>2</v>
      </c>
      <c r="B26" s="1">
        <v>0</v>
      </c>
      <c r="C26" s="1" t="s">
        <v>0</v>
      </c>
      <c r="D26" s="1">
        <v>25</v>
      </c>
      <c r="E26" s="1" t="s">
        <v>0</v>
      </c>
      <c r="F26" s="1">
        <v>44</v>
      </c>
      <c r="G26" s="1">
        <v>1</v>
      </c>
    </row>
    <row r="27" spans="1:7" x14ac:dyDescent="0.3">
      <c r="A27" s="1">
        <v>2</v>
      </c>
      <c r="B27" s="1">
        <v>0</v>
      </c>
      <c r="C27" s="1" t="s">
        <v>0</v>
      </c>
      <c r="D27" s="1">
        <v>0</v>
      </c>
      <c r="E27" s="1" t="s">
        <v>0</v>
      </c>
      <c r="F27" s="1">
        <v>19</v>
      </c>
      <c r="G27" s="1">
        <v>1</v>
      </c>
    </row>
    <row r="28" spans="1:7" x14ac:dyDescent="0.3">
      <c r="A28" s="1">
        <v>2</v>
      </c>
      <c r="B28" s="1">
        <v>0</v>
      </c>
      <c r="C28" s="1" t="s">
        <v>0</v>
      </c>
      <c r="D28" s="1">
        <v>25</v>
      </c>
      <c r="E28" s="1" t="s">
        <v>0</v>
      </c>
      <c r="F28" s="1">
        <v>52</v>
      </c>
      <c r="G28" s="1">
        <v>1</v>
      </c>
    </row>
    <row r="29" spans="1:7" x14ac:dyDescent="0.3">
      <c r="A29" s="1">
        <v>2</v>
      </c>
      <c r="B29" s="1">
        <v>0</v>
      </c>
      <c r="C29" s="1" t="s">
        <v>0</v>
      </c>
      <c r="D29" s="1">
        <v>29</v>
      </c>
      <c r="E29" s="1" t="s">
        <v>0</v>
      </c>
      <c r="F29" s="1">
        <v>6</v>
      </c>
      <c r="G29" s="1">
        <v>0</v>
      </c>
    </row>
    <row r="30" spans="1:7" x14ac:dyDescent="0.3">
      <c r="A30" s="1">
        <v>2</v>
      </c>
      <c r="B30" s="1">
        <v>0</v>
      </c>
      <c r="C30" s="1" t="s">
        <v>0</v>
      </c>
      <c r="D30" s="1">
        <v>46</v>
      </c>
      <c r="E30" s="1" t="s">
        <v>0</v>
      </c>
      <c r="F30" s="1">
        <v>14</v>
      </c>
      <c r="G30" s="1">
        <v>0</v>
      </c>
    </row>
    <row r="31" spans="1:7" x14ac:dyDescent="0.3">
      <c r="A31" s="1">
        <v>2</v>
      </c>
      <c r="B31" s="1">
        <v>0</v>
      </c>
      <c r="C31" s="1" t="s">
        <v>0</v>
      </c>
      <c r="D31" s="1">
        <v>25</v>
      </c>
      <c r="E31" s="1" t="s">
        <v>0</v>
      </c>
      <c r="F31" s="1">
        <v>13</v>
      </c>
      <c r="G31" s="1">
        <v>0</v>
      </c>
    </row>
    <row r="32" spans="1:7" x14ac:dyDescent="0.3">
      <c r="A32" s="1">
        <v>2</v>
      </c>
      <c r="B32" s="1">
        <v>0</v>
      </c>
      <c r="C32" s="1" t="s">
        <v>0</v>
      </c>
      <c r="D32" s="1">
        <v>39</v>
      </c>
      <c r="E32" s="1" t="s">
        <v>0</v>
      </c>
      <c r="F32" s="1">
        <v>20</v>
      </c>
      <c r="G32" s="1">
        <v>0</v>
      </c>
    </row>
    <row r="33" spans="1:7" x14ac:dyDescent="0.3">
      <c r="A33" s="1">
        <v>2</v>
      </c>
      <c r="B33" s="1">
        <v>0</v>
      </c>
      <c r="C33" s="1" t="s">
        <v>0</v>
      </c>
      <c r="D33" s="1">
        <v>8</v>
      </c>
      <c r="E33" s="1" t="s">
        <v>0</v>
      </c>
      <c r="F33" s="1">
        <v>11</v>
      </c>
      <c r="G33" s="1">
        <v>1</v>
      </c>
    </row>
    <row r="34" spans="1:7" x14ac:dyDescent="0.3">
      <c r="A34" s="1">
        <v>2</v>
      </c>
      <c r="B34" s="1">
        <v>0</v>
      </c>
      <c r="C34" s="1" t="s">
        <v>0</v>
      </c>
      <c r="D34" s="1">
        <v>14</v>
      </c>
      <c r="E34" s="1" t="s">
        <v>0</v>
      </c>
      <c r="F34" s="1">
        <v>15</v>
      </c>
      <c r="G34" s="1">
        <v>1</v>
      </c>
    </row>
    <row r="35" spans="1:7" x14ac:dyDescent="0.3">
      <c r="A35" s="1">
        <v>2</v>
      </c>
      <c r="B35" s="1">
        <v>0</v>
      </c>
      <c r="C35" s="1" t="s">
        <v>0</v>
      </c>
      <c r="D35" s="1">
        <v>15</v>
      </c>
      <c r="E35" s="1" t="s">
        <v>0</v>
      </c>
      <c r="F35" s="1">
        <v>22</v>
      </c>
      <c r="G35" s="1">
        <v>1</v>
      </c>
    </row>
    <row r="36" spans="1:7" x14ac:dyDescent="0.3">
      <c r="A36" s="1">
        <v>2</v>
      </c>
      <c r="B36" s="1">
        <v>0</v>
      </c>
      <c r="C36" s="1" t="s">
        <v>0</v>
      </c>
      <c r="D36" s="1">
        <v>12</v>
      </c>
      <c r="E36" s="1" t="s">
        <v>0</v>
      </c>
      <c r="F36" s="1">
        <v>49</v>
      </c>
      <c r="G36" s="1">
        <v>1</v>
      </c>
    </row>
    <row r="37" spans="1:7" x14ac:dyDescent="0.3">
      <c r="A37" s="1">
        <v>2</v>
      </c>
      <c r="B37" s="1">
        <v>0</v>
      </c>
      <c r="C37" s="1" t="s">
        <v>0</v>
      </c>
      <c r="D37" s="1">
        <v>56</v>
      </c>
      <c r="E37" s="1" t="s">
        <v>0</v>
      </c>
      <c r="F37" s="1">
        <v>12</v>
      </c>
      <c r="G37" s="1">
        <v>0</v>
      </c>
    </row>
    <row r="38" spans="1:7" x14ac:dyDescent="0.3">
      <c r="A38" s="1">
        <v>2</v>
      </c>
      <c r="B38" s="1">
        <v>0</v>
      </c>
      <c r="C38" s="1" t="s">
        <v>0</v>
      </c>
      <c r="D38" s="1">
        <v>30</v>
      </c>
      <c r="E38" s="1" t="s">
        <v>0</v>
      </c>
      <c r="F38" s="1">
        <v>39</v>
      </c>
      <c r="G38" s="1">
        <v>1</v>
      </c>
    </row>
    <row r="39" spans="1:7" x14ac:dyDescent="0.3">
      <c r="A39" s="1">
        <v>2</v>
      </c>
      <c r="B39" s="1">
        <v>0</v>
      </c>
      <c r="C39" s="1" t="s">
        <v>0</v>
      </c>
      <c r="D39" s="1">
        <v>30</v>
      </c>
      <c r="E39" s="1" t="s">
        <v>0</v>
      </c>
      <c r="F39" s="1">
        <v>14</v>
      </c>
      <c r="G39" s="1">
        <v>0</v>
      </c>
    </row>
    <row r="40" spans="1:7" x14ac:dyDescent="0.3">
      <c r="A40" s="1">
        <v>2</v>
      </c>
      <c r="B40" s="1">
        <v>0</v>
      </c>
      <c r="C40" s="1" t="s">
        <v>0</v>
      </c>
      <c r="D40" s="1">
        <v>47</v>
      </c>
      <c r="E40" s="1" t="s">
        <v>0</v>
      </c>
      <c r="F40" s="1">
        <v>30</v>
      </c>
      <c r="G40" s="1">
        <v>0</v>
      </c>
    </row>
    <row r="41" spans="1:7" x14ac:dyDescent="0.3">
      <c r="A41" s="1">
        <v>2</v>
      </c>
      <c r="B41" s="1">
        <v>0</v>
      </c>
      <c r="C41" s="1" t="s">
        <v>0</v>
      </c>
      <c r="D41" s="1">
        <v>11</v>
      </c>
      <c r="E41" s="1" t="s">
        <v>0</v>
      </c>
      <c r="F41" s="1">
        <v>9</v>
      </c>
      <c r="G41" s="1">
        <v>0</v>
      </c>
    </row>
    <row r="42" spans="1:7" x14ac:dyDescent="0.3">
      <c r="A42" s="1">
        <v>2</v>
      </c>
      <c r="B42" s="1">
        <v>0</v>
      </c>
      <c r="C42" s="1" t="s">
        <v>0</v>
      </c>
      <c r="D42" s="1">
        <v>26</v>
      </c>
      <c r="E42" s="1" t="s">
        <v>0</v>
      </c>
      <c r="F42" s="1">
        <v>2</v>
      </c>
      <c r="G42" s="1">
        <v>0</v>
      </c>
    </row>
    <row r="43" spans="1:7" x14ac:dyDescent="0.3">
      <c r="A43" s="1">
        <v>2</v>
      </c>
      <c r="B43" s="1">
        <v>0</v>
      </c>
      <c r="C43" s="1" t="s">
        <v>0</v>
      </c>
      <c r="D43" s="1">
        <v>37</v>
      </c>
      <c r="E43" s="1" t="s">
        <v>0</v>
      </c>
      <c r="F43" s="1">
        <v>5</v>
      </c>
      <c r="G43" s="1">
        <v>0</v>
      </c>
    </row>
    <row r="44" spans="1:7" x14ac:dyDescent="0.3">
      <c r="A44" s="1">
        <v>2</v>
      </c>
      <c r="B44" s="1">
        <v>0</v>
      </c>
      <c r="C44" s="1" t="s">
        <v>0</v>
      </c>
      <c r="D44" s="1">
        <v>6</v>
      </c>
      <c r="E44" s="1" t="s">
        <v>0</v>
      </c>
      <c r="F44" s="1">
        <v>23</v>
      </c>
      <c r="G44" s="1">
        <v>1</v>
      </c>
    </row>
    <row r="45" spans="1:7" x14ac:dyDescent="0.3">
      <c r="A45" s="1">
        <v>2</v>
      </c>
      <c r="B45" s="1">
        <v>0</v>
      </c>
      <c r="C45" s="1" t="s">
        <v>0</v>
      </c>
      <c r="D45" s="1">
        <v>28</v>
      </c>
      <c r="E45" s="1" t="s">
        <v>0</v>
      </c>
      <c r="F45" s="1">
        <v>15</v>
      </c>
      <c r="G45" s="1">
        <v>0</v>
      </c>
    </row>
    <row r="46" spans="1:7" x14ac:dyDescent="0.3">
      <c r="A46" s="1">
        <v>2</v>
      </c>
      <c r="B46" s="1">
        <v>0</v>
      </c>
      <c r="C46" s="1" t="s">
        <v>0</v>
      </c>
      <c r="D46" s="1">
        <v>8</v>
      </c>
      <c r="E46" s="1" t="s">
        <v>0</v>
      </c>
      <c r="F46" s="1">
        <v>31</v>
      </c>
      <c r="G46" s="1">
        <v>1</v>
      </c>
    </row>
    <row r="47" spans="1:7" x14ac:dyDescent="0.3">
      <c r="A47" s="1">
        <v>2</v>
      </c>
      <c r="B47" s="1">
        <v>0</v>
      </c>
      <c r="C47" s="1" t="s">
        <v>0</v>
      </c>
      <c r="D47" s="1">
        <v>16</v>
      </c>
      <c r="E47" s="1" t="s">
        <v>0</v>
      </c>
      <c r="F47" s="1">
        <v>5</v>
      </c>
      <c r="G47" s="1">
        <v>0</v>
      </c>
    </row>
    <row r="48" spans="1:7" x14ac:dyDescent="0.3">
      <c r="A48" s="1">
        <v>2</v>
      </c>
      <c r="B48" s="1">
        <v>0</v>
      </c>
      <c r="C48" s="1" t="s">
        <v>0</v>
      </c>
      <c r="D48" s="1">
        <v>30</v>
      </c>
      <c r="E48" s="1" t="s">
        <v>0</v>
      </c>
      <c r="F48" s="1">
        <v>38</v>
      </c>
      <c r="G48" s="1">
        <v>1</v>
      </c>
    </row>
    <row r="49" spans="1:7" x14ac:dyDescent="0.3">
      <c r="A49" s="1">
        <v>2</v>
      </c>
      <c r="B49" s="1">
        <v>0</v>
      </c>
      <c r="C49" s="1" t="s">
        <v>0</v>
      </c>
      <c r="D49" s="1">
        <v>10</v>
      </c>
      <c r="E49" s="1" t="s">
        <v>0</v>
      </c>
      <c r="F49" s="1">
        <v>22</v>
      </c>
      <c r="G49" s="1">
        <v>1</v>
      </c>
    </row>
    <row r="50" spans="1:7" x14ac:dyDescent="0.3">
      <c r="A50" s="1">
        <v>2</v>
      </c>
      <c r="B50" s="1">
        <v>0</v>
      </c>
      <c r="C50" s="1" t="s">
        <v>0</v>
      </c>
      <c r="D50" s="1">
        <v>20</v>
      </c>
      <c r="E50" s="1" t="s">
        <v>0</v>
      </c>
      <c r="F50" s="1">
        <v>29</v>
      </c>
      <c r="G50" s="1">
        <v>1</v>
      </c>
    </row>
    <row r="51" spans="1:7" x14ac:dyDescent="0.3">
      <c r="A51" s="1">
        <v>2</v>
      </c>
      <c r="B51" s="1">
        <v>1</v>
      </c>
      <c r="C51" s="1" t="s">
        <v>0</v>
      </c>
      <c r="D51" s="1">
        <v>12</v>
      </c>
      <c r="E51" s="1" t="s">
        <v>0</v>
      </c>
      <c r="F51" s="1">
        <v>41</v>
      </c>
      <c r="G51" s="1">
        <v>1</v>
      </c>
    </row>
    <row r="52" spans="1:7" x14ac:dyDescent="0.3">
      <c r="A52" s="1">
        <v>2</v>
      </c>
      <c r="B52" s="1">
        <v>1</v>
      </c>
      <c r="C52" s="1" t="s">
        <v>0</v>
      </c>
      <c r="D52" s="1">
        <v>36</v>
      </c>
      <c r="E52" s="1" t="s">
        <v>0</v>
      </c>
      <c r="F52" s="1">
        <v>23</v>
      </c>
      <c r="G52" s="1">
        <v>0</v>
      </c>
    </row>
    <row r="53" spans="1:7" x14ac:dyDescent="0.3">
      <c r="A53" s="1">
        <v>2</v>
      </c>
      <c r="B53" s="1">
        <v>1</v>
      </c>
      <c r="C53" s="1" t="s">
        <v>0</v>
      </c>
      <c r="D53" s="1">
        <v>29</v>
      </c>
      <c r="E53" s="1" t="s">
        <v>0</v>
      </c>
      <c r="F53" s="1">
        <v>65</v>
      </c>
      <c r="G53" s="1">
        <v>1</v>
      </c>
    </row>
    <row r="54" spans="1:7" x14ac:dyDescent="0.3">
      <c r="A54" s="1">
        <v>2</v>
      </c>
      <c r="B54" s="1">
        <v>1</v>
      </c>
      <c r="C54" s="1" t="s">
        <v>0</v>
      </c>
      <c r="D54" s="1">
        <v>50</v>
      </c>
      <c r="E54" s="1" t="s">
        <v>0</v>
      </c>
      <c r="F54" s="1">
        <v>31</v>
      </c>
      <c r="G54" s="1">
        <v>0</v>
      </c>
    </row>
    <row r="55" spans="1:7" x14ac:dyDescent="0.3">
      <c r="A55" s="1">
        <v>2</v>
      </c>
      <c r="B55" s="1">
        <v>1</v>
      </c>
      <c r="C55" s="1" t="s">
        <v>0</v>
      </c>
      <c r="D55" s="1">
        <v>29</v>
      </c>
      <c r="E55" s="1" t="s">
        <v>0</v>
      </c>
      <c r="F55" s="1">
        <v>15</v>
      </c>
      <c r="G55" s="1">
        <v>0</v>
      </c>
    </row>
    <row r="56" spans="1:7" x14ac:dyDescent="0.3">
      <c r="A56" s="1">
        <v>2</v>
      </c>
      <c r="B56" s="1">
        <v>1</v>
      </c>
      <c r="C56" s="1" t="s">
        <v>0</v>
      </c>
      <c r="D56" s="1">
        <v>21</v>
      </c>
      <c r="E56" s="1" t="s">
        <v>0</v>
      </c>
      <c r="F56" s="1">
        <v>14</v>
      </c>
      <c r="G56" s="1">
        <v>0</v>
      </c>
    </row>
    <row r="57" spans="1:7" x14ac:dyDescent="0.3">
      <c r="A57" s="1">
        <v>2</v>
      </c>
      <c r="B57" s="1">
        <v>1</v>
      </c>
      <c r="C57" s="1" t="s">
        <v>0</v>
      </c>
      <c r="D57" s="1">
        <v>33</v>
      </c>
      <c r="E57" s="1" t="s">
        <v>0</v>
      </c>
      <c r="F57" s="1">
        <v>25</v>
      </c>
      <c r="G57" s="1">
        <v>0</v>
      </c>
    </row>
    <row r="58" spans="1:7" x14ac:dyDescent="0.3">
      <c r="A58" s="1">
        <v>2</v>
      </c>
      <c r="B58" s="1">
        <v>1</v>
      </c>
      <c r="C58" s="1" t="s">
        <v>0</v>
      </c>
      <c r="D58" s="1">
        <v>22</v>
      </c>
      <c r="E58" s="1" t="s">
        <v>0</v>
      </c>
      <c r="F58" s="1">
        <v>21</v>
      </c>
      <c r="G58" s="1">
        <v>0</v>
      </c>
    </row>
    <row r="59" spans="1:7" x14ac:dyDescent="0.3">
      <c r="A59" s="1">
        <v>2</v>
      </c>
      <c r="B59" s="1">
        <v>1</v>
      </c>
      <c r="C59" s="1" t="s">
        <v>0</v>
      </c>
      <c r="D59" s="1">
        <v>47</v>
      </c>
      <c r="E59" s="1" t="s">
        <v>0</v>
      </c>
      <c r="F59" s="1">
        <v>39</v>
      </c>
      <c r="G59" s="1">
        <v>0</v>
      </c>
    </row>
    <row r="60" spans="1:7" x14ac:dyDescent="0.3">
      <c r="A60" s="1">
        <v>2</v>
      </c>
      <c r="B60" s="1">
        <v>1</v>
      </c>
      <c r="C60" s="1" t="s">
        <v>0</v>
      </c>
      <c r="D60" s="1">
        <v>20</v>
      </c>
      <c r="E60" s="1" t="s">
        <v>0</v>
      </c>
      <c r="F60" s="1">
        <v>50</v>
      </c>
      <c r="G60" s="1">
        <v>1</v>
      </c>
    </row>
    <row r="61" spans="1:7" x14ac:dyDescent="0.3">
      <c r="A61" s="1">
        <v>2</v>
      </c>
      <c r="B61" s="1">
        <v>1</v>
      </c>
      <c r="C61" s="1" t="s">
        <v>0</v>
      </c>
      <c r="D61" s="1">
        <v>27</v>
      </c>
      <c r="E61" s="1" t="s">
        <v>0</v>
      </c>
      <c r="F61" s="1">
        <v>37</v>
      </c>
      <c r="G61" s="1">
        <v>1</v>
      </c>
    </row>
    <row r="62" spans="1:7" x14ac:dyDescent="0.3">
      <c r="A62" s="1">
        <v>2</v>
      </c>
      <c r="B62" s="1">
        <v>1</v>
      </c>
      <c r="C62" s="1" t="s">
        <v>0</v>
      </c>
      <c r="D62" s="1">
        <v>11</v>
      </c>
      <c r="E62" s="1" t="s">
        <v>0</v>
      </c>
      <c r="F62" s="1">
        <v>38</v>
      </c>
      <c r="G62" s="1">
        <v>1</v>
      </c>
    </row>
    <row r="63" spans="1:7" x14ac:dyDescent="0.3">
      <c r="A63" s="1">
        <v>2</v>
      </c>
      <c r="B63" s="1">
        <v>1</v>
      </c>
      <c r="C63" s="1" t="s">
        <v>0</v>
      </c>
      <c r="D63" s="1">
        <v>2</v>
      </c>
      <c r="E63" s="1" t="s">
        <v>0</v>
      </c>
      <c r="F63" s="1">
        <v>21</v>
      </c>
      <c r="G63" s="1">
        <v>1</v>
      </c>
    </row>
    <row r="64" spans="1:7" x14ac:dyDescent="0.3">
      <c r="A64" s="1">
        <v>2</v>
      </c>
      <c r="B64" s="1">
        <v>1</v>
      </c>
      <c r="C64" s="1" t="s">
        <v>0</v>
      </c>
      <c r="D64" s="1">
        <v>8</v>
      </c>
      <c r="E64" s="1" t="s">
        <v>0</v>
      </c>
      <c r="F64" s="1">
        <v>44</v>
      </c>
      <c r="G64" s="1">
        <v>1</v>
      </c>
    </row>
    <row r="65" spans="1:7" x14ac:dyDescent="0.3">
      <c r="A65" s="1">
        <v>2</v>
      </c>
      <c r="B65" s="1">
        <v>1</v>
      </c>
      <c r="C65" s="1" t="s">
        <v>0</v>
      </c>
      <c r="D65" s="1">
        <v>22</v>
      </c>
      <c r="E65" s="1" t="s">
        <v>0</v>
      </c>
      <c r="F65" s="1">
        <v>18</v>
      </c>
      <c r="G65" s="1">
        <v>0</v>
      </c>
    </row>
    <row r="66" spans="1:7" x14ac:dyDescent="0.3">
      <c r="A66" s="1">
        <v>2</v>
      </c>
      <c r="B66" s="1">
        <v>1</v>
      </c>
      <c r="C66" s="1" t="s">
        <v>0</v>
      </c>
      <c r="D66" s="1">
        <v>0</v>
      </c>
      <c r="E66" s="1" t="s">
        <v>0</v>
      </c>
      <c r="F66" s="1">
        <v>44</v>
      </c>
      <c r="G66" s="1">
        <v>1</v>
      </c>
    </row>
    <row r="67" spans="1:7" x14ac:dyDescent="0.3">
      <c r="A67" s="1">
        <v>2</v>
      </c>
      <c r="B67" s="1">
        <v>1</v>
      </c>
      <c r="C67" s="1" t="s">
        <v>0</v>
      </c>
      <c r="D67" s="1">
        <v>14</v>
      </c>
      <c r="E67" s="1" t="s">
        <v>0</v>
      </c>
      <c r="F67" s="1">
        <v>15</v>
      </c>
      <c r="G67" s="1">
        <v>1</v>
      </c>
    </row>
    <row r="68" spans="1:7" x14ac:dyDescent="0.3">
      <c r="A68" s="1">
        <v>2</v>
      </c>
      <c r="B68" s="1">
        <v>1</v>
      </c>
      <c r="C68" s="1" t="s">
        <v>0</v>
      </c>
      <c r="D68" s="1">
        <v>32</v>
      </c>
      <c r="E68" s="1" t="s">
        <v>0</v>
      </c>
      <c r="F68" s="1">
        <v>47</v>
      </c>
      <c r="G68" s="1">
        <v>1</v>
      </c>
    </row>
    <row r="69" spans="1:7" x14ac:dyDescent="0.3">
      <c r="A69" s="1">
        <v>2</v>
      </c>
      <c r="B69" s="1">
        <v>1</v>
      </c>
      <c r="C69" s="1" t="s">
        <v>0</v>
      </c>
      <c r="D69" s="1">
        <v>35</v>
      </c>
      <c r="E69" s="1" t="s">
        <v>0</v>
      </c>
      <c r="F69" s="1">
        <v>35</v>
      </c>
      <c r="G69" s="1">
        <v>0</v>
      </c>
    </row>
    <row r="70" spans="1:7" x14ac:dyDescent="0.3">
      <c r="A70" s="1">
        <v>2</v>
      </c>
      <c r="B70" s="1">
        <v>1</v>
      </c>
      <c r="C70" s="1" t="s">
        <v>0</v>
      </c>
      <c r="D70" s="1">
        <v>22</v>
      </c>
      <c r="E70" s="1" t="s">
        <v>0</v>
      </c>
      <c r="F70" s="1">
        <v>55</v>
      </c>
      <c r="G70" s="1">
        <v>1</v>
      </c>
    </row>
    <row r="71" spans="1:7" x14ac:dyDescent="0.3">
      <c r="A71" s="1">
        <v>2</v>
      </c>
      <c r="B71" s="1">
        <v>1</v>
      </c>
      <c r="C71" s="1" t="s">
        <v>0</v>
      </c>
      <c r="D71" s="1">
        <v>3</v>
      </c>
      <c r="E71" s="1" t="s">
        <v>0</v>
      </c>
      <c r="F71" s="1">
        <v>26</v>
      </c>
      <c r="G71" s="1">
        <v>1</v>
      </c>
    </row>
    <row r="72" spans="1:7" x14ac:dyDescent="0.3">
      <c r="A72" s="1">
        <v>2</v>
      </c>
      <c r="B72" s="1">
        <v>1</v>
      </c>
      <c r="C72" s="1" t="s">
        <v>0</v>
      </c>
      <c r="D72" s="1">
        <v>47</v>
      </c>
      <c r="E72" s="1" t="s">
        <v>0</v>
      </c>
      <c r="F72" s="1">
        <v>7</v>
      </c>
      <c r="G72" s="1">
        <v>0</v>
      </c>
    </row>
    <row r="73" spans="1:7" x14ac:dyDescent="0.3">
      <c r="A73" s="1">
        <v>2</v>
      </c>
      <c r="B73" s="1">
        <v>1</v>
      </c>
      <c r="C73" s="1" t="s">
        <v>0</v>
      </c>
      <c r="D73" s="1">
        <v>23</v>
      </c>
      <c r="E73" s="1" t="s">
        <v>0</v>
      </c>
      <c r="F73" s="1">
        <v>28</v>
      </c>
      <c r="G73" s="1">
        <v>1</v>
      </c>
    </row>
    <row r="74" spans="1:7" x14ac:dyDescent="0.3">
      <c r="A74" s="1">
        <v>2</v>
      </c>
      <c r="B74" s="1">
        <v>1</v>
      </c>
      <c r="C74" s="1" t="s">
        <v>0</v>
      </c>
      <c r="D74" s="1">
        <v>20</v>
      </c>
      <c r="E74" s="1" t="s">
        <v>0</v>
      </c>
      <c r="F74" s="1">
        <v>31</v>
      </c>
      <c r="G74" s="1">
        <v>1</v>
      </c>
    </row>
    <row r="75" spans="1:7" x14ac:dyDescent="0.3">
      <c r="A75" s="1">
        <v>2</v>
      </c>
      <c r="B75" s="1">
        <v>1</v>
      </c>
      <c r="C75" s="1" t="s">
        <v>0</v>
      </c>
      <c r="D75" s="1">
        <v>24</v>
      </c>
      <c r="E75" s="1" t="s">
        <v>0</v>
      </c>
      <c r="F75" s="1">
        <v>16</v>
      </c>
      <c r="G75" s="1">
        <v>0</v>
      </c>
    </row>
    <row r="76" spans="1:7" x14ac:dyDescent="0.3">
      <c r="A76" s="1">
        <v>2</v>
      </c>
      <c r="B76" s="1">
        <v>1</v>
      </c>
      <c r="C76" s="1" t="s">
        <v>0</v>
      </c>
      <c r="D76" s="1">
        <v>28</v>
      </c>
      <c r="E76" s="1" t="s">
        <v>0</v>
      </c>
      <c r="F76" s="1">
        <v>62</v>
      </c>
      <c r="G76" s="1">
        <v>1</v>
      </c>
    </row>
    <row r="77" spans="1:7" x14ac:dyDescent="0.3">
      <c r="A77" s="1">
        <v>2</v>
      </c>
      <c r="B77" s="1">
        <v>1</v>
      </c>
      <c r="C77" s="1" t="s">
        <v>0</v>
      </c>
      <c r="D77" s="1">
        <v>2</v>
      </c>
      <c r="E77" s="1" t="s">
        <v>0</v>
      </c>
      <c r="F77" s="1">
        <v>43</v>
      </c>
      <c r="G77" s="1">
        <v>1</v>
      </c>
    </row>
    <row r="78" spans="1:7" x14ac:dyDescent="0.3">
      <c r="A78" s="1">
        <v>2</v>
      </c>
      <c r="B78" s="1">
        <v>1</v>
      </c>
      <c r="C78" s="1" t="s">
        <v>0</v>
      </c>
      <c r="D78" s="1">
        <v>2</v>
      </c>
      <c r="E78" s="1" t="s">
        <v>0</v>
      </c>
      <c r="F78" s="1">
        <v>7</v>
      </c>
      <c r="G78" s="1">
        <v>1</v>
      </c>
    </row>
    <row r="79" spans="1:7" x14ac:dyDescent="0.3">
      <c r="A79" s="1">
        <v>2</v>
      </c>
      <c r="B79" s="1">
        <v>1</v>
      </c>
      <c r="C79" s="1" t="s">
        <v>0</v>
      </c>
      <c r="D79" s="1">
        <v>16</v>
      </c>
      <c r="E79" s="1" t="s">
        <v>0</v>
      </c>
      <c r="F79" s="1">
        <v>39</v>
      </c>
      <c r="G79" s="1">
        <v>1</v>
      </c>
    </row>
    <row r="80" spans="1:7" x14ac:dyDescent="0.3">
      <c r="A80" s="1">
        <v>2</v>
      </c>
      <c r="B80" s="1">
        <v>1</v>
      </c>
      <c r="C80" s="1" t="s">
        <v>0</v>
      </c>
      <c r="D80" s="1">
        <v>25</v>
      </c>
      <c r="E80" s="1" t="s">
        <v>0</v>
      </c>
      <c r="F80" s="1">
        <v>37</v>
      </c>
      <c r="G80" s="1">
        <v>1</v>
      </c>
    </row>
    <row r="81" spans="1:7" x14ac:dyDescent="0.3">
      <c r="A81" s="1">
        <v>2</v>
      </c>
      <c r="B81" s="1">
        <v>1</v>
      </c>
      <c r="C81" s="1" t="s">
        <v>0</v>
      </c>
      <c r="D81" s="1">
        <v>2</v>
      </c>
      <c r="E81" s="1" t="s">
        <v>0</v>
      </c>
      <c r="F81" s="1">
        <v>25</v>
      </c>
      <c r="G81" s="1">
        <v>1</v>
      </c>
    </row>
    <row r="82" spans="1:7" x14ac:dyDescent="0.3">
      <c r="A82" s="1">
        <v>2</v>
      </c>
      <c r="B82" s="1">
        <v>1</v>
      </c>
      <c r="C82" s="1" t="s">
        <v>0</v>
      </c>
      <c r="D82" s="1">
        <v>3</v>
      </c>
      <c r="E82" s="1" t="s">
        <v>0</v>
      </c>
      <c r="F82" s="1">
        <v>40</v>
      </c>
      <c r="G82" s="1">
        <v>1</v>
      </c>
    </row>
    <row r="83" spans="1:7" x14ac:dyDescent="0.3">
      <c r="A83" s="1">
        <v>2</v>
      </c>
      <c r="B83" s="1">
        <v>1</v>
      </c>
      <c r="C83" s="1" t="s">
        <v>0</v>
      </c>
      <c r="D83" s="1">
        <v>38</v>
      </c>
      <c r="E83" s="1" t="s">
        <v>0</v>
      </c>
      <c r="F83" s="1">
        <v>42</v>
      </c>
      <c r="G83" s="1">
        <v>1</v>
      </c>
    </row>
    <row r="84" spans="1:7" x14ac:dyDescent="0.3">
      <c r="A84" s="1">
        <v>2</v>
      </c>
      <c r="B84" s="1">
        <v>1</v>
      </c>
      <c r="C84" s="1" t="s">
        <v>0</v>
      </c>
      <c r="D84" s="1">
        <v>60</v>
      </c>
      <c r="E84" s="1" t="s">
        <v>0</v>
      </c>
      <c r="F84" s="1">
        <v>2</v>
      </c>
      <c r="G84" s="1">
        <v>0</v>
      </c>
    </row>
    <row r="85" spans="1:7" x14ac:dyDescent="0.3">
      <c r="A85" s="1">
        <v>2</v>
      </c>
      <c r="B85" s="1">
        <v>1</v>
      </c>
      <c r="C85" s="1" t="s">
        <v>0</v>
      </c>
      <c r="D85" s="1">
        <v>18</v>
      </c>
      <c r="E85" s="1" t="s">
        <v>0</v>
      </c>
      <c r="F85" s="1">
        <v>23</v>
      </c>
      <c r="G85" s="1">
        <v>1</v>
      </c>
    </row>
    <row r="86" spans="1:7" x14ac:dyDescent="0.3">
      <c r="A86" s="1">
        <v>2</v>
      </c>
      <c r="B86" s="1">
        <v>1</v>
      </c>
      <c r="C86" s="1" t="s">
        <v>0</v>
      </c>
      <c r="D86" s="1">
        <v>32</v>
      </c>
      <c r="E86" s="1" t="s">
        <v>0</v>
      </c>
      <c r="F86" s="1">
        <v>30</v>
      </c>
      <c r="G86" s="1">
        <v>0</v>
      </c>
    </row>
    <row r="87" spans="1:7" x14ac:dyDescent="0.3">
      <c r="A87" s="1">
        <v>2</v>
      </c>
      <c r="B87" s="1">
        <v>1</v>
      </c>
      <c r="C87" s="1" t="s">
        <v>0</v>
      </c>
      <c r="D87" s="1">
        <v>19</v>
      </c>
      <c r="E87" s="1" t="s">
        <v>0</v>
      </c>
      <c r="F87" s="1">
        <v>24</v>
      </c>
      <c r="G87" s="1">
        <v>1</v>
      </c>
    </row>
    <row r="88" spans="1:7" x14ac:dyDescent="0.3">
      <c r="A88" s="1">
        <v>2</v>
      </c>
      <c r="B88" s="1">
        <v>1</v>
      </c>
      <c r="C88" s="1" t="s">
        <v>0</v>
      </c>
      <c r="D88" s="1">
        <v>32</v>
      </c>
      <c r="E88" s="1" t="s">
        <v>0</v>
      </c>
      <c r="F88" s="1">
        <v>36</v>
      </c>
      <c r="G88" s="1">
        <v>1</v>
      </c>
    </row>
    <row r="89" spans="1:7" x14ac:dyDescent="0.3">
      <c r="A89" s="1">
        <v>2</v>
      </c>
      <c r="B89" s="1">
        <v>1</v>
      </c>
      <c r="C89" s="1" t="s">
        <v>0</v>
      </c>
      <c r="D89" s="1">
        <v>57</v>
      </c>
      <c r="E89" s="1" t="s">
        <v>0</v>
      </c>
      <c r="F89" s="1">
        <v>0</v>
      </c>
      <c r="G89" s="1">
        <v>0</v>
      </c>
    </row>
    <row r="90" spans="1:7" x14ac:dyDescent="0.3">
      <c r="A90" s="1">
        <v>2</v>
      </c>
      <c r="B90" s="1">
        <v>1</v>
      </c>
      <c r="C90" s="1" t="s">
        <v>0</v>
      </c>
      <c r="D90" s="1">
        <v>25</v>
      </c>
      <c r="E90" s="1" t="s">
        <v>0</v>
      </c>
      <c r="F90" s="1">
        <v>2</v>
      </c>
      <c r="G90" s="1">
        <v>0</v>
      </c>
    </row>
    <row r="91" spans="1:7" x14ac:dyDescent="0.3">
      <c r="A91" s="1">
        <v>2</v>
      </c>
      <c r="B91" s="1">
        <v>1</v>
      </c>
      <c r="C91" s="1" t="s">
        <v>0</v>
      </c>
      <c r="D91" s="1">
        <v>31</v>
      </c>
      <c r="E91" s="1" t="s">
        <v>0</v>
      </c>
      <c r="F91" s="1">
        <v>7</v>
      </c>
      <c r="G91" s="1">
        <v>0</v>
      </c>
    </row>
    <row r="92" spans="1:7" x14ac:dyDescent="0.3">
      <c r="A92" s="1">
        <v>2</v>
      </c>
      <c r="B92" s="1">
        <v>1</v>
      </c>
      <c r="C92" s="1" t="s">
        <v>0</v>
      </c>
      <c r="D92" s="1">
        <v>14</v>
      </c>
      <c r="E92" s="1" t="s">
        <v>0</v>
      </c>
      <c r="F92" s="1">
        <v>40</v>
      </c>
      <c r="G92" s="1">
        <v>1</v>
      </c>
    </row>
    <row r="93" spans="1:7" x14ac:dyDescent="0.3">
      <c r="A93" s="1">
        <v>2</v>
      </c>
      <c r="B93" s="1">
        <v>1</v>
      </c>
      <c r="C93" s="1" t="s">
        <v>0</v>
      </c>
      <c r="D93" s="1">
        <v>35</v>
      </c>
      <c r="E93" s="1" t="s">
        <v>0</v>
      </c>
      <c r="F93" s="1">
        <v>2</v>
      </c>
      <c r="G93" s="1">
        <v>0</v>
      </c>
    </row>
    <row r="94" spans="1:7" x14ac:dyDescent="0.3">
      <c r="A94" s="1">
        <v>2</v>
      </c>
      <c r="B94" s="1">
        <v>1</v>
      </c>
      <c r="C94" s="1" t="s">
        <v>0</v>
      </c>
      <c r="D94" s="1">
        <v>14</v>
      </c>
      <c r="E94" s="1" t="s">
        <v>0</v>
      </c>
      <c r="F94" s="1">
        <v>38</v>
      </c>
      <c r="G94" s="1">
        <v>1</v>
      </c>
    </row>
    <row r="95" spans="1:7" x14ac:dyDescent="0.3">
      <c r="A95" s="1">
        <v>2</v>
      </c>
      <c r="B95" s="1">
        <v>1</v>
      </c>
      <c r="C95" s="1" t="s">
        <v>0</v>
      </c>
      <c r="D95" s="1">
        <v>29</v>
      </c>
      <c r="E95" s="1" t="s">
        <v>0</v>
      </c>
      <c r="F95" s="1">
        <v>8</v>
      </c>
      <c r="G95" s="1">
        <v>0</v>
      </c>
    </row>
    <row r="96" spans="1:7" x14ac:dyDescent="0.3">
      <c r="A96" s="1">
        <v>2</v>
      </c>
      <c r="B96" s="1">
        <v>1</v>
      </c>
      <c r="C96" s="1" t="s">
        <v>0</v>
      </c>
      <c r="D96" s="1">
        <v>41</v>
      </c>
      <c r="E96" s="1" t="s">
        <v>0</v>
      </c>
      <c r="F96" s="1">
        <v>16</v>
      </c>
      <c r="G96" s="1">
        <v>0</v>
      </c>
    </row>
    <row r="97" spans="1:7" x14ac:dyDescent="0.3">
      <c r="A97" s="1">
        <v>2</v>
      </c>
      <c r="B97" s="1">
        <v>1</v>
      </c>
      <c r="C97" s="1" t="s">
        <v>0</v>
      </c>
      <c r="D97" s="1">
        <v>33</v>
      </c>
      <c r="E97" s="1" t="s">
        <v>0</v>
      </c>
      <c r="F97" s="1">
        <v>45</v>
      </c>
      <c r="G97" s="1">
        <v>1</v>
      </c>
    </row>
    <row r="98" spans="1:7" x14ac:dyDescent="0.3">
      <c r="A98" s="1">
        <v>2</v>
      </c>
      <c r="B98" s="1">
        <v>1</v>
      </c>
      <c r="C98" s="1" t="s">
        <v>0</v>
      </c>
      <c r="D98" s="1">
        <v>10</v>
      </c>
      <c r="E98" s="1" t="s">
        <v>0</v>
      </c>
      <c r="F98" s="1">
        <v>23</v>
      </c>
      <c r="G98" s="1">
        <v>1</v>
      </c>
    </row>
    <row r="99" spans="1:7" x14ac:dyDescent="0.3">
      <c r="A99" s="1">
        <v>2</v>
      </c>
      <c r="B99" s="1">
        <v>1</v>
      </c>
      <c r="C99" s="1" t="s">
        <v>0</v>
      </c>
      <c r="D99" s="1">
        <v>2</v>
      </c>
      <c r="E99" s="1" t="s">
        <v>0</v>
      </c>
      <c r="F99" s="1">
        <v>42</v>
      </c>
      <c r="G99" s="1">
        <v>1</v>
      </c>
    </row>
    <row r="100" spans="1:7" x14ac:dyDescent="0.3">
      <c r="A100" s="1">
        <v>2</v>
      </c>
      <c r="B100" s="1">
        <v>1</v>
      </c>
      <c r="C100" s="1" t="s">
        <v>0</v>
      </c>
      <c r="D100" s="1">
        <v>49</v>
      </c>
      <c r="E100" s="1" t="s">
        <v>0</v>
      </c>
      <c r="F100" s="1">
        <v>28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BF4C-D8DC-46AF-9879-E2FE89518CC9}">
  <dimension ref="A1:Q100"/>
  <sheetViews>
    <sheetView workbookViewId="0">
      <selection activeCell="L23" sqref="L23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1</v>
      </c>
      <c r="D1" s="1">
        <v>2</v>
      </c>
      <c r="E1" s="1" t="s">
        <v>1</v>
      </c>
      <c r="F1" s="1">
        <v>8</v>
      </c>
      <c r="G1" s="1">
        <v>1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1</v>
      </c>
      <c r="D2" s="1">
        <v>18</v>
      </c>
      <c r="E2" s="1" t="s">
        <v>1</v>
      </c>
      <c r="F2" s="1">
        <v>31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1</v>
      </c>
      <c r="D3" s="1">
        <v>26</v>
      </c>
      <c r="E3" s="1" t="s">
        <v>1</v>
      </c>
      <c r="F3" s="1">
        <v>21</v>
      </c>
      <c r="G3" s="1">
        <v>0</v>
      </c>
      <c r="I3" s="5" t="s">
        <v>6</v>
      </c>
      <c r="J3" s="5"/>
      <c r="K3" s="9">
        <f>COUNTIF($G$1:$G$100, 0)</f>
        <v>38</v>
      </c>
      <c r="L3" s="9"/>
      <c r="M3" s="9">
        <f>COUNTIFS($G$1:$G$100, 0, $B$1:$B$100, 0)</f>
        <v>21</v>
      </c>
      <c r="N3" s="9"/>
      <c r="O3" s="10">
        <f>COUNTIFS($G$1:$G$100, 0, $B$1:$B$100, 1)</f>
        <v>17</v>
      </c>
      <c r="P3" s="11"/>
      <c r="Q3" s="12" cm="1">
        <f t="array" ref="Q3">SUMPRODUCT(--($D$1:$D$100=$G$1:$G$100))</f>
        <v>1</v>
      </c>
    </row>
    <row r="4" spans="1:17" x14ac:dyDescent="0.3">
      <c r="A4" s="1">
        <v>2</v>
      </c>
      <c r="B4" s="1">
        <v>0</v>
      </c>
      <c r="C4" s="1" t="s">
        <v>1</v>
      </c>
      <c r="D4" s="1">
        <v>35</v>
      </c>
      <c r="E4" s="1" t="s">
        <v>1</v>
      </c>
      <c r="F4" s="1">
        <v>40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1</v>
      </c>
      <c r="D5" s="1">
        <v>13</v>
      </c>
      <c r="E5" s="1" t="s">
        <v>1</v>
      </c>
      <c r="F5" s="1">
        <v>39</v>
      </c>
      <c r="G5" s="1">
        <v>1</v>
      </c>
      <c r="I5" s="5" t="s">
        <v>7</v>
      </c>
      <c r="J5" s="5"/>
      <c r="K5" s="14">
        <f>COUNTIF($G$1:$G$100, 1)</f>
        <v>62</v>
      </c>
      <c r="L5" s="9"/>
      <c r="M5" s="9">
        <f>COUNTIFS($G$1:$G$100, 1, $B$1:$B$100, 0)</f>
        <v>29</v>
      </c>
      <c r="N5" s="9"/>
      <c r="O5" s="9">
        <f>COUNTIFS($G$1:$G$100, 1, $B$1:$B$100, 1)</f>
        <v>33</v>
      </c>
      <c r="P5" s="13"/>
      <c r="Q5"/>
    </row>
    <row r="6" spans="1:17" x14ac:dyDescent="0.3">
      <c r="A6" s="1">
        <v>2</v>
      </c>
      <c r="B6" s="1">
        <v>0</v>
      </c>
      <c r="C6" s="1" t="s">
        <v>1</v>
      </c>
      <c r="D6" s="1">
        <v>23</v>
      </c>
      <c r="E6" s="1" t="s">
        <v>1</v>
      </c>
      <c r="F6" s="1">
        <v>16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1</v>
      </c>
      <c r="D7" s="1">
        <v>16</v>
      </c>
      <c r="E7" s="1" t="s">
        <v>1</v>
      </c>
      <c r="F7" s="1">
        <v>56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1</v>
      </c>
      <c r="D8" s="1">
        <v>7</v>
      </c>
      <c r="E8" s="1" t="s">
        <v>1</v>
      </c>
      <c r="F8" s="1">
        <v>38</v>
      </c>
      <c r="G8" s="1">
        <v>1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1</v>
      </c>
      <c r="D9" s="1">
        <v>14</v>
      </c>
      <c r="E9" s="1" t="s">
        <v>1</v>
      </c>
      <c r="F9" s="1">
        <v>30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1</v>
      </c>
      <c r="D10" s="1">
        <v>20</v>
      </c>
      <c r="E10" s="1" t="s">
        <v>1</v>
      </c>
      <c r="F10" s="1">
        <v>23</v>
      </c>
      <c r="G10" s="1">
        <v>1</v>
      </c>
      <c r="I10" s="5" t="s">
        <v>10</v>
      </c>
      <c r="J10" s="5"/>
      <c r="K10" s="9">
        <f>AVERAGE($D$1:$D$100,)</f>
        <v>24.267326732673268</v>
      </c>
      <c r="L10" s="9"/>
      <c r="M10" s="9" cm="1">
        <f t="array" ref="M10">AVERAGE(_xlfn._xlws.FILTER($D$1:$D$100,$G$1:$G$100 = 0))</f>
        <v>34.815789473684212</v>
      </c>
      <c r="N10" s="9"/>
      <c r="O10" s="10" cm="1">
        <f t="array" ref="O10">AVERAGE(_xlfn._xlws.FILTER($D$1:$D$100,$G$1:$G$100 = 1))</f>
        <v>18.193548387096776</v>
      </c>
      <c r="P10" s="11"/>
      <c r="Q10"/>
    </row>
    <row r="11" spans="1:17" x14ac:dyDescent="0.3">
      <c r="A11" s="1">
        <v>2</v>
      </c>
      <c r="B11" s="1">
        <v>0</v>
      </c>
      <c r="C11" s="1" t="s">
        <v>1</v>
      </c>
      <c r="D11" s="1">
        <v>12</v>
      </c>
      <c r="E11" s="1" t="s">
        <v>1</v>
      </c>
      <c r="F11" s="1">
        <v>24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1</v>
      </c>
      <c r="D12" s="1">
        <v>28</v>
      </c>
      <c r="E12" s="1" t="s">
        <v>1</v>
      </c>
      <c r="F12" s="1">
        <v>23</v>
      </c>
      <c r="G12" s="1">
        <v>0</v>
      </c>
      <c r="I12" s="5" t="s">
        <v>11</v>
      </c>
      <c r="J12" s="5"/>
      <c r="K12" s="9">
        <f>AVERAGE($F$1:$F$100,)</f>
        <v>29.920792079207921</v>
      </c>
      <c r="L12" s="9"/>
      <c r="M12" s="9" cm="1">
        <f t="array" ref="M12">AVERAGE(_xlfn._xlws.FILTER($F$1:$F$100,$G$1:$G$100 = 0))</f>
        <v>24.44736842105263</v>
      </c>
      <c r="N12" s="9"/>
      <c r="O12" s="9" cm="1">
        <f t="array" ref="O12">AVERAGE(_xlfn._xlws.FILTER($F$1:$F$100,$G$1:$G$100 = 1))</f>
        <v>33.758064516129032</v>
      </c>
      <c r="P12" s="13"/>
      <c r="Q12"/>
    </row>
    <row r="13" spans="1:17" x14ac:dyDescent="0.3">
      <c r="A13" s="1">
        <v>2</v>
      </c>
      <c r="B13" s="1">
        <v>0</v>
      </c>
      <c r="C13" s="1" t="s">
        <v>1</v>
      </c>
      <c r="D13" s="1">
        <v>17</v>
      </c>
      <c r="E13" s="1" t="s">
        <v>1</v>
      </c>
      <c r="F13" s="1">
        <v>23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1</v>
      </c>
      <c r="D14" s="1">
        <v>41</v>
      </c>
      <c r="E14" s="1" t="s">
        <v>1</v>
      </c>
      <c r="F14" s="1">
        <v>18</v>
      </c>
      <c r="G14" s="1">
        <v>0</v>
      </c>
      <c r="I14" s="22" t="s">
        <v>12</v>
      </c>
      <c r="J14" s="11"/>
      <c r="K14" s="23" cm="1">
        <f t="array" ref="K14">AVERAGE($D$1:$D$100 - $F$1:$F$100)</f>
        <v>-5.71</v>
      </c>
      <c r="L14" s="23"/>
      <c r="M14" s="23" cm="1">
        <f t="array" ref="M14">AVERAGE(_xlfn._xlws.FILTER($D$1:$D$100 - $F$1:$F$100, G$1:G$100 = 0))</f>
        <v>10.368421052631579</v>
      </c>
      <c r="N14" s="23"/>
      <c r="O14" s="23" cm="1">
        <f t="array" ref="O14">AVERAGE(_xlfn._xlws.FILTER($D$1:$D$100 - $F$1:$F$100, G$1:G$100 = 1))</f>
        <v>-15.564516129032258</v>
      </c>
      <c r="P14" s="24"/>
      <c r="Q14"/>
    </row>
    <row r="15" spans="1:17" x14ac:dyDescent="0.3">
      <c r="A15" s="1">
        <v>2</v>
      </c>
      <c r="B15" s="1">
        <v>0</v>
      </c>
      <c r="C15" s="1" t="s">
        <v>1</v>
      </c>
      <c r="D15" s="1">
        <v>2</v>
      </c>
      <c r="E15" s="1" t="s">
        <v>1</v>
      </c>
      <c r="F15" s="1">
        <v>28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1</v>
      </c>
      <c r="D16" s="1">
        <v>41</v>
      </c>
      <c r="E16" s="1" t="s">
        <v>1</v>
      </c>
      <c r="F16" s="1">
        <v>44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1</v>
      </c>
      <c r="D17" s="1">
        <v>28</v>
      </c>
      <c r="E17" s="1" t="s">
        <v>1</v>
      </c>
      <c r="F17" s="1">
        <v>27</v>
      </c>
      <c r="G17" s="1">
        <v>0</v>
      </c>
    </row>
    <row r="18" spans="1:7" x14ac:dyDescent="0.3">
      <c r="A18" s="1">
        <v>2</v>
      </c>
      <c r="B18" s="1">
        <v>0</v>
      </c>
      <c r="C18" s="1" t="s">
        <v>1</v>
      </c>
      <c r="D18" s="1">
        <v>9</v>
      </c>
      <c r="E18" s="1" t="s">
        <v>1</v>
      </c>
      <c r="F18" s="1">
        <v>17</v>
      </c>
      <c r="G18" s="1">
        <v>1</v>
      </c>
    </row>
    <row r="19" spans="1:7" x14ac:dyDescent="0.3">
      <c r="A19" s="1">
        <v>2</v>
      </c>
      <c r="B19" s="1">
        <v>0</v>
      </c>
      <c r="C19" s="1" t="s">
        <v>1</v>
      </c>
      <c r="D19" s="1">
        <v>14</v>
      </c>
      <c r="E19" s="1" t="s">
        <v>1</v>
      </c>
      <c r="F19" s="1">
        <v>23</v>
      </c>
      <c r="G19" s="1">
        <v>1</v>
      </c>
    </row>
    <row r="20" spans="1:7" x14ac:dyDescent="0.3">
      <c r="A20" s="1">
        <v>2</v>
      </c>
      <c r="B20" s="1">
        <v>0</v>
      </c>
      <c r="C20" s="1" t="s">
        <v>1</v>
      </c>
      <c r="D20" s="1">
        <v>39</v>
      </c>
      <c r="E20" s="1" t="s">
        <v>1</v>
      </c>
      <c r="F20" s="1">
        <v>44</v>
      </c>
      <c r="G20" s="1">
        <v>1</v>
      </c>
    </row>
    <row r="21" spans="1:7" x14ac:dyDescent="0.3">
      <c r="A21" s="1">
        <v>2</v>
      </c>
      <c r="B21" s="1">
        <v>0</v>
      </c>
      <c r="C21" s="1" t="s">
        <v>1</v>
      </c>
      <c r="D21" s="1">
        <v>0</v>
      </c>
      <c r="E21" s="1" t="s">
        <v>1</v>
      </c>
      <c r="F21" s="1">
        <v>63</v>
      </c>
      <c r="G21" s="1">
        <v>1</v>
      </c>
    </row>
    <row r="22" spans="1:7" x14ac:dyDescent="0.3">
      <c r="A22" s="1">
        <v>2</v>
      </c>
      <c r="B22" s="1">
        <v>0</v>
      </c>
      <c r="C22" s="1" t="s">
        <v>1</v>
      </c>
      <c r="D22" s="1">
        <v>17</v>
      </c>
      <c r="E22" s="1" t="s">
        <v>1</v>
      </c>
      <c r="F22" s="1">
        <v>60</v>
      </c>
      <c r="G22" s="1">
        <v>1</v>
      </c>
    </row>
    <row r="23" spans="1:7" x14ac:dyDescent="0.3">
      <c r="A23" s="1">
        <v>2</v>
      </c>
      <c r="B23" s="1">
        <v>0</v>
      </c>
      <c r="C23" s="1" t="s">
        <v>1</v>
      </c>
      <c r="D23" s="1">
        <v>11</v>
      </c>
      <c r="E23" s="1" t="s">
        <v>1</v>
      </c>
      <c r="F23" s="1">
        <v>14</v>
      </c>
      <c r="G23" s="1">
        <v>1</v>
      </c>
    </row>
    <row r="24" spans="1:7" x14ac:dyDescent="0.3">
      <c r="A24" s="1">
        <v>2</v>
      </c>
      <c r="B24" s="1">
        <v>0</v>
      </c>
      <c r="C24" s="1" t="s">
        <v>1</v>
      </c>
      <c r="D24" s="1">
        <v>58</v>
      </c>
      <c r="E24" s="1" t="s">
        <v>1</v>
      </c>
      <c r="F24" s="1">
        <v>24</v>
      </c>
      <c r="G24" s="1">
        <v>0</v>
      </c>
    </row>
    <row r="25" spans="1:7" x14ac:dyDescent="0.3">
      <c r="A25" s="1">
        <v>2</v>
      </c>
      <c r="B25" s="1">
        <v>0</v>
      </c>
      <c r="C25" s="1" t="s">
        <v>1</v>
      </c>
      <c r="D25" s="1">
        <v>14</v>
      </c>
      <c r="E25" s="1" t="s">
        <v>1</v>
      </c>
      <c r="F25" s="1">
        <v>23</v>
      </c>
      <c r="G25" s="1">
        <v>1</v>
      </c>
    </row>
    <row r="26" spans="1:7" x14ac:dyDescent="0.3">
      <c r="A26" s="1">
        <v>2</v>
      </c>
      <c r="B26" s="1">
        <v>0</v>
      </c>
      <c r="C26" s="1" t="s">
        <v>1</v>
      </c>
      <c r="D26" s="1">
        <v>25</v>
      </c>
      <c r="E26" s="1" t="s">
        <v>1</v>
      </c>
      <c r="F26" s="1">
        <v>15</v>
      </c>
      <c r="G26" s="1">
        <v>0</v>
      </c>
    </row>
    <row r="27" spans="1:7" x14ac:dyDescent="0.3">
      <c r="A27" s="1">
        <v>2</v>
      </c>
      <c r="B27" s="1">
        <v>0</v>
      </c>
      <c r="C27" s="1" t="s">
        <v>1</v>
      </c>
      <c r="D27" s="1">
        <v>31</v>
      </c>
      <c r="E27" s="1" t="s">
        <v>1</v>
      </c>
      <c r="F27" s="1">
        <v>17</v>
      </c>
      <c r="G27" s="1">
        <v>0</v>
      </c>
    </row>
    <row r="28" spans="1:7" x14ac:dyDescent="0.3">
      <c r="A28" s="1">
        <v>2</v>
      </c>
      <c r="B28" s="1">
        <v>0</v>
      </c>
      <c r="C28" s="1" t="s">
        <v>1</v>
      </c>
      <c r="D28" s="1">
        <v>28</v>
      </c>
      <c r="E28" s="1" t="s">
        <v>1</v>
      </c>
      <c r="F28" s="1">
        <v>20</v>
      </c>
      <c r="G28" s="1">
        <v>0</v>
      </c>
    </row>
    <row r="29" spans="1:7" x14ac:dyDescent="0.3">
      <c r="A29" s="1">
        <v>2</v>
      </c>
      <c r="B29" s="1">
        <v>0</v>
      </c>
      <c r="C29" s="1" t="s">
        <v>1</v>
      </c>
      <c r="D29" s="1">
        <v>45</v>
      </c>
      <c r="E29" s="1" t="s">
        <v>1</v>
      </c>
      <c r="F29" s="1">
        <v>40</v>
      </c>
      <c r="G29" s="1">
        <v>0</v>
      </c>
    </row>
    <row r="30" spans="1:7" x14ac:dyDescent="0.3">
      <c r="A30" s="1">
        <v>2</v>
      </c>
      <c r="B30" s="1">
        <v>0</v>
      </c>
      <c r="C30" s="1" t="s">
        <v>1</v>
      </c>
      <c r="D30" s="1">
        <v>36</v>
      </c>
      <c r="E30" s="1" t="s">
        <v>1</v>
      </c>
      <c r="F30" s="1">
        <v>34</v>
      </c>
      <c r="G30" s="1">
        <v>0</v>
      </c>
    </row>
    <row r="31" spans="1:7" x14ac:dyDescent="0.3">
      <c r="A31" s="1">
        <v>2</v>
      </c>
      <c r="B31" s="1">
        <v>0</v>
      </c>
      <c r="C31" s="1" t="s">
        <v>1</v>
      </c>
      <c r="D31" s="1">
        <v>42</v>
      </c>
      <c r="E31" s="1" t="s">
        <v>1</v>
      </c>
      <c r="F31" s="1">
        <v>44</v>
      </c>
      <c r="G31" s="1">
        <v>1</v>
      </c>
    </row>
    <row r="32" spans="1:7" x14ac:dyDescent="0.3">
      <c r="A32" s="1">
        <v>2</v>
      </c>
      <c r="B32" s="1">
        <v>0</v>
      </c>
      <c r="C32" s="1" t="s">
        <v>1</v>
      </c>
      <c r="D32" s="1">
        <v>36</v>
      </c>
      <c r="E32" s="1" t="s">
        <v>1</v>
      </c>
      <c r="F32" s="1">
        <v>36</v>
      </c>
      <c r="G32" s="1">
        <v>0</v>
      </c>
    </row>
    <row r="33" spans="1:7" x14ac:dyDescent="0.3">
      <c r="A33" s="1">
        <v>2</v>
      </c>
      <c r="B33" s="1">
        <v>0</v>
      </c>
      <c r="C33" s="1" t="s">
        <v>1</v>
      </c>
      <c r="D33" s="1">
        <v>11</v>
      </c>
      <c r="E33" s="1" t="s">
        <v>1</v>
      </c>
      <c r="F33" s="1">
        <v>19</v>
      </c>
      <c r="G33" s="1">
        <v>1</v>
      </c>
    </row>
    <row r="34" spans="1:7" x14ac:dyDescent="0.3">
      <c r="A34" s="1">
        <v>2</v>
      </c>
      <c r="B34" s="1">
        <v>0</v>
      </c>
      <c r="C34" s="1" t="s">
        <v>1</v>
      </c>
      <c r="D34" s="1">
        <v>26</v>
      </c>
      <c r="E34" s="1" t="s">
        <v>1</v>
      </c>
      <c r="F34" s="1">
        <v>58</v>
      </c>
      <c r="G34" s="1">
        <v>1</v>
      </c>
    </row>
    <row r="35" spans="1:7" x14ac:dyDescent="0.3">
      <c r="A35" s="1">
        <v>2</v>
      </c>
      <c r="B35" s="1">
        <v>0</v>
      </c>
      <c r="C35" s="1" t="s">
        <v>1</v>
      </c>
      <c r="D35" s="1">
        <v>25</v>
      </c>
      <c r="E35" s="1" t="s">
        <v>1</v>
      </c>
      <c r="F35" s="1">
        <v>23</v>
      </c>
      <c r="G35" s="1">
        <v>0</v>
      </c>
    </row>
    <row r="36" spans="1:7" x14ac:dyDescent="0.3">
      <c r="A36" s="1">
        <v>2</v>
      </c>
      <c r="B36" s="1">
        <v>0</v>
      </c>
      <c r="C36" s="1" t="s">
        <v>1</v>
      </c>
      <c r="D36" s="1">
        <v>24</v>
      </c>
      <c r="E36" s="1" t="s">
        <v>1</v>
      </c>
      <c r="F36" s="1">
        <v>13</v>
      </c>
      <c r="G36" s="1">
        <v>0</v>
      </c>
    </row>
    <row r="37" spans="1:7" x14ac:dyDescent="0.3">
      <c r="A37" s="1">
        <v>2</v>
      </c>
      <c r="B37" s="1">
        <v>0</v>
      </c>
      <c r="C37" s="1" t="s">
        <v>1</v>
      </c>
      <c r="D37" s="1">
        <v>27</v>
      </c>
      <c r="E37" s="1" t="s">
        <v>1</v>
      </c>
      <c r="F37" s="1">
        <v>32</v>
      </c>
      <c r="G37" s="1">
        <v>1</v>
      </c>
    </row>
    <row r="38" spans="1:7" x14ac:dyDescent="0.3">
      <c r="A38" s="1">
        <v>2</v>
      </c>
      <c r="B38" s="1">
        <v>0</v>
      </c>
      <c r="C38" s="1" t="s">
        <v>1</v>
      </c>
      <c r="D38" s="1">
        <v>17</v>
      </c>
      <c r="E38" s="1" t="s">
        <v>1</v>
      </c>
      <c r="F38" s="1">
        <v>17</v>
      </c>
      <c r="G38" s="1">
        <v>0</v>
      </c>
    </row>
    <row r="39" spans="1:7" x14ac:dyDescent="0.3">
      <c r="A39" s="1">
        <v>2</v>
      </c>
      <c r="B39" s="1">
        <v>0</v>
      </c>
      <c r="C39" s="1" t="s">
        <v>1</v>
      </c>
      <c r="D39" s="1">
        <v>22</v>
      </c>
      <c r="E39" s="1" t="s">
        <v>1</v>
      </c>
      <c r="F39" s="1">
        <v>34</v>
      </c>
      <c r="G39" s="1">
        <v>1</v>
      </c>
    </row>
    <row r="40" spans="1:7" x14ac:dyDescent="0.3">
      <c r="A40" s="1">
        <v>2</v>
      </c>
      <c r="B40" s="1">
        <v>0</v>
      </c>
      <c r="C40" s="1" t="s">
        <v>1</v>
      </c>
      <c r="D40" s="1">
        <v>38</v>
      </c>
      <c r="E40" s="1" t="s">
        <v>1</v>
      </c>
      <c r="F40" s="1">
        <v>17</v>
      </c>
      <c r="G40" s="1">
        <v>0</v>
      </c>
    </row>
    <row r="41" spans="1:7" x14ac:dyDescent="0.3">
      <c r="A41" s="1">
        <v>2</v>
      </c>
      <c r="B41" s="1">
        <v>0</v>
      </c>
      <c r="C41" s="1" t="s">
        <v>1</v>
      </c>
      <c r="D41" s="1">
        <v>23</v>
      </c>
      <c r="E41" s="1" t="s">
        <v>1</v>
      </c>
      <c r="F41" s="1">
        <v>21</v>
      </c>
      <c r="G41" s="1">
        <v>0</v>
      </c>
    </row>
    <row r="42" spans="1:7" x14ac:dyDescent="0.3">
      <c r="A42" s="1">
        <v>2</v>
      </c>
      <c r="B42" s="1">
        <v>0</v>
      </c>
      <c r="C42" s="1" t="s">
        <v>1</v>
      </c>
      <c r="D42" s="1">
        <v>22</v>
      </c>
      <c r="E42" s="1" t="s">
        <v>1</v>
      </c>
      <c r="F42" s="1">
        <v>35</v>
      </c>
      <c r="G42" s="1">
        <v>1</v>
      </c>
    </row>
    <row r="43" spans="1:7" x14ac:dyDescent="0.3">
      <c r="A43" s="1">
        <v>2</v>
      </c>
      <c r="B43" s="1">
        <v>0</v>
      </c>
      <c r="C43" s="1" t="s">
        <v>1</v>
      </c>
      <c r="D43" s="1">
        <v>21</v>
      </c>
      <c r="E43" s="1" t="s">
        <v>1</v>
      </c>
      <c r="F43" s="1">
        <v>24</v>
      </c>
      <c r="G43" s="1">
        <v>1</v>
      </c>
    </row>
    <row r="44" spans="1:7" x14ac:dyDescent="0.3">
      <c r="A44" s="1">
        <v>2</v>
      </c>
      <c r="B44" s="1">
        <v>0</v>
      </c>
      <c r="C44" s="1" t="s">
        <v>1</v>
      </c>
      <c r="D44" s="1">
        <v>21</v>
      </c>
      <c r="E44" s="1" t="s">
        <v>1</v>
      </c>
      <c r="F44" s="1">
        <v>18</v>
      </c>
      <c r="G44" s="1">
        <v>0</v>
      </c>
    </row>
    <row r="45" spans="1:7" x14ac:dyDescent="0.3">
      <c r="A45" s="1">
        <v>2</v>
      </c>
      <c r="B45" s="1">
        <v>0</v>
      </c>
      <c r="C45" s="1" t="s">
        <v>1</v>
      </c>
      <c r="D45" s="1">
        <v>3</v>
      </c>
      <c r="E45" s="1" t="s">
        <v>1</v>
      </c>
      <c r="F45" s="1">
        <v>32</v>
      </c>
      <c r="G45" s="1">
        <v>1</v>
      </c>
    </row>
    <row r="46" spans="1:7" x14ac:dyDescent="0.3">
      <c r="A46" s="1">
        <v>2</v>
      </c>
      <c r="B46" s="1">
        <v>0</v>
      </c>
      <c r="C46" s="1" t="s">
        <v>1</v>
      </c>
      <c r="D46" s="1">
        <v>14</v>
      </c>
      <c r="E46" s="1" t="s">
        <v>1</v>
      </c>
      <c r="F46" s="1">
        <v>11</v>
      </c>
      <c r="G46" s="1">
        <v>0</v>
      </c>
    </row>
    <row r="47" spans="1:7" x14ac:dyDescent="0.3">
      <c r="A47" s="1">
        <v>2</v>
      </c>
      <c r="B47" s="1">
        <v>0</v>
      </c>
      <c r="C47" s="1" t="s">
        <v>1</v>
      </c>
      <c r="D47" s="1">
        <v>41</v>
      </c>
      <c r="E47" s="1" t="s">
        <v>1</v>
      </c>
      <c r="F47" s="1">
        <v>24</v>
      </c>
      <c r="G47" s="1">
        <v>0</v>
      </c>
    </row>
    <row r="48" spans="1:7" x14ac:dyDescent="0.3">
      <c r="A48" s="1">
        <v>2</v>
      </c>
      <c r="B48" s="1">
        <v>0</v>
      </c>
      <c r="C48" s="1" t="s">
        <v>1</v>
      </c>
      <c r="D48" s="1">
        <v>51</v>
      </c>
      <c r="E48" s="1" t="s">
        <v>1</v>
      </c>
      <c r="F48" s="1">
        <v>45</v>
      </c>
      <c r="G48" s="1">
        <v>0</v>
      </c>
    </row>
    <row r="49" spans="1:7" x14ac:dyDescent="0.3">
      <c r="A49" s="1">
        <v>2</v>
      </c>
      <c r="B49" s="1">
        <v>0</v>
      </c>
      <c r="C49" s="1" t="s">
        <v>1</v>
      </c>
      <c r="D49" s="1">
        <v>6</v>
      </c>
      <c r="E49" s="1" t="s">
        <v>1</v>
      </c>
      <c r="F49" s="1">
        <v>14</v>
      </c>
      <c r="G49" s="1">
        <v>1</v>
      </c>
    </row>
    <row r="50" spans="1:7" x14ac:dyDescent="0.3">
      <c r="A50" s="1">
        <v>2</v>
      </c>
      <c r="B50" s="1">
        <v>0</v>
      </c>
      <c r="C50" s="1" t="s">
        <v>1</v>
      </c>
      <c r="D50" s="1">
        <v>1</v>
      </c>
      <c r="E50" s="1" t="s">
        <v>1</v>
      </c>
      <c r="F50" s="1">
        <v>38</v>
      </c>
      <c r="G50" s="1">
        <v>1</v>
      </c>
    </row>
    <row r="51" spans="1:7" x14ac:dyDescent="0.3">
      <c r="A51" s="1">
        <v>2</v>
      </c>
      <c r="B51" s="1">
        <v>1</v>
      </c>
      <c r="C51" s="1" t="s">
        <v>1</v>
      </c>
      <c r="D51" s="1">
        <v>34</v>
      </c>
      <c r="E51" s="1" t="s">
        <v>1</v>
      </c>
      <c r="F51" s="1">
        <v>37</v>
      </c>
      <c r="G51" s="1">
        <v>1</v>
      </c>
    </row>
    <row r="52" spans="1:7" x14ac:dyDescent="0.3">
      <c r="A52" s="1">
        <v>2</v>
      </c>
      <c r="B52" s="1">
        <v>1</v>
      </c>
      <c r="C52" s="1" t="s">
        <v>1</v>
      </c>
      <c r="D52" s="1">
        <v>10</v>
      </c>
      <c r="E52" s="1" t="s">
        <v>1</v>
      </c>
      <c r="F52" s="1">
        <v>28</v>
      </c>
      <c r="G52" s="1">
        <v>1</v>
      </c>
    </row>
    <row r="53" spans="1:7" x14ac:dyDescent="0.3">
      <c r="A53" s="1">
        <v>2</v>
      </c>
      <c r="B53" s="1">
        <v>1</v>
      </c>
      <c r="C53" s="1" t="s">
        <v>1</v>
      </c>
      <c r="D53" s="1">
        <v>28</v>
      </c>
      <c r="E53" s="1" t="s">
        <v>1</v>
      </c>
      <c r="F53" s="1">
        <v>49</v>
      </c>
      <c r="G53" s="1">
        <v>1</v>
      </c>
    </row>
    <row r="54" spans="1:7" x14ac:dyDescent="0.3">
      <c r="A54" s="1">
        <v>2</v>
      </c>
      <c r="B54" s="1">
        <v>1</v>
      </c>
      <c r="C54" s="1" t="s">
        <v>1</v>
      </c>
      <c r="D54" s="1">
        <v>51</v>
      </c>
      <c r="E54" s="1" t="s">
        <v>1</v>
      </c>
      <c r="F54" s="1">
        <v>32</v>
      </c>
      <c r="G54" s="1">
        <v>0</v>
      </c>
    </row>
    <row r="55" spans="1:7" x14ac:dyDescent="0.3">
      <c r="A55" s="1">
        <v>2</v>
      </c>
      <c r="B55" s="1">
        <v>1</v>
      </c>
      <c r="C55" s="1" t="s">
        <v>1</v>
      </c>
      <c r="D55" s="1">
        <v>11</v>
      </c>
      <c r="E55" s="1" t="s">
        <v>1</v>
      </c>
      <c r="F55" s="1">
        <v>36</v>
      </c>
      <c r="G55" s="1">
        <v>1</v>
      </c>
    </row>
    <row r="56" spans="1:7" x14ac:dyDescent="0.3">
      <c r="A56" s="1">
        <v>2</v>
      </c>
      <c r="B56" s="1">
        <v>1</v>
      </c>
      <c r="C56" s="1" t="s">
        <v>1</v>
      </c>
      <c r="D56" s="1">
        <v>46</v>
      </c>
      <c r="E56" s="1" t="s">
        <v>1</v>
      </c>
      <c r="F56" s="1">
        <v>51</v>
      </c>
      <c r="G56" s="1">
        <v>1</v>
      </c>
    </row>
    <row r="57" spans="1:7" x14ac:dyDescent="0.3">
      <c r="A57" s="1">
        <v>2</v>
      </c>
      <c r="B57" s="1">
        <v>1</v>
      </c>
      <c r="C57" s="1" t="s">
        <v>1</v>
      </c>
      <c r="D57" s="1">
        <v>17</v>
      </c>
      <c r="E57" s="1" t="s">
        <v>1</v>
      </c>
      <c r="F57" s="1">
        <v>17</v>
      </c>
      <c r="G57" s="1">
        <v>0</v>
      </c>
    </row>
    <row r="58" spans="1:7" x14ac:dyDescent="0.3">
      <c r="A58" s="1">
        <v>2</v>
      </c>
      <c r="B58" s="1">
        <v>1</v>
      </c>
      <c r="C58" s="1" t="s">
        <v>1</v>
      </c>
      <c r="D58" s="1">
        <v>17</v>
      </c>
      <c r="E58" s="1" t="s">
        <v>1</v>
      </c>
      <c r="F58" s="1">
        <v>27</v>
      </c>
      <c r="G58" s="1">
        <v>1</v>
      </c>
    </row>
    <row r="59" spans="1:7" x14ac:dyDescent="0.3">
      <c r="A59" s="1">
        <v>2</v>
      </c>
      <c r="B59" s="1">
        <v>1</v>
      </c>
      <c r="C59" s="1" t="s">
        <v>1</v>
      </c>
      <c r="D59" s="1">
        <v>14</v>
      </c>
      <c r="E59" s="1" t="s">
        <v>1</v>
      </c>
      <c r="F59" s="1">
        <v>34</v>
      </c>
      <c r="G59" s="1">
        <v>1</v>
      </c>
    </row>
    <row r="60" spans="1:7" x14ac:dyDescent="0.3">
      <c r="A60" s="1">
        <v>2</v>
      </c>
      <c r="B60" s="1">
        <v>1</v>
      </c>
      <c r="C60" s="1" t="s">
        <v>1</v>
      </c>
      <c r="D60" s="1">
        <v>12</v>
      </c>
      <c r="E60" s="1" t="s">
        <v>1</v>
      </c>
      <c r="F60" s="1">
        <v>18</v>
      </c>
      <c r="G60" s="1">
        <v>1</v>
      </c>
    </row>
    <row r="61" spans="1:7" x14ac:dyDescent="0.3">
      <c r="A61" s="1">
        <v>2</v>
      </c>
      <c r="B61" s="1">
        <v>1</v>
      </c>
      <c r="C61" s="1" t="s">
        <v>1</v>
      </c>
      <c r="D61" s="1">
        <v>26</v>
      </c>
      <c r="E61" s="1" t="s">
        <v>1</v>
      </c>
      <c r="F61" s="1">
        <v>64</v>
      </c>
      <c r="G61" s="1">
        <v>1</v>
      </c>
    </row>
    <row r="62" spans="1:7" x14ac:dyDescent="0.3">
      <c r="A62" s="1">
        <v>2</v>
      </c>
      <c r="B62" s="1">
        <v>1</v>
      </c>
      <c r="C62" s="1" t="s">
        <v>1</v>
      </c>
      <c r="D62" s="1">
        <v>10</v>
      </c>
      <c r="E62" s="1" t="s">
        <v>1</v>
      </c>
      <c r="F62" s="1">
        <v>15</v>
      </c>
      <c r="G62" s="1">
        <v>1</v>
      </c>
    </row>
    <row r="63" spans="1:7" x14ac:dyDescent="0.3">
      <c r="A63" s="1">
        <v>2</v>
      </c>
      <c r="B63" s="1">
        <v>1</v>
      </c>
      <c r="C63" s="1" t="s">
        <v>1</v>
      </c>
      <c r="D63" s="1">
        <v>40</v>
      </c>
      <c r="E63" s="1" t="s">
        <v>1</v>
      </c>
      <c r="F63" s="1">
        <v>22</v>
      </c>
      <c r="G63" s="1">
        <v>0</v>
      </c>
    </row>
    <row r="64" spans="1:7" x14ac:dyDescent="0.3">
      <c r="A64" s="1">
        <v>2</v>
      </c>
      <c r="B64" s="1">
        <v>1</v>
      </c>
      <c r="C64" s="1" t="s">
        <v>1</v>
      </c>
      <c r="D64" s="1">
        <v>19</v>
      </c>
      <c r="E64" s="1" t="s">
        <v>1</v>
      </c>
      <c r="F64" s="1">
        <v>40</v>
      </c>
      <c r="G64" s="1">
        <v>1</v>
      </c>
    </row>
    <row r="65" spans="1:7" x14ac:dyDescent="0.3">
      <c r="A65" s="1">
        <v>2</v>
      </c>
      <c r="B65" s="1">
        <v>1</v>
      </c>
      <c r="C65" s="1" t="s">
        <v>1</v>
      </c>
      <c r="D65" s="1">
        <v>5</v>
      </c>
      <c r="E65" s="1" t="s">
        <v>1</v>
      </c>
      <c r="F65" s="1">
        <v>25</v>
      </c>
      <c r="G65" s="1">
        <v>1</v>
      </c>
    </row>
    <row r="66" spans="1:7" x14ac:dyDescent="0.3">
      <c r="A66" s="1">
        <v>2</v>
      </c>
      <c r="B66" s="1">
        <v>1</v>
      </c>
      <c r="C66" s="1" t="s">
        <v>1</v>
      </c>
      <c r="D66" s="1">
        <v>25</v>
      </c>
      <c r="E66" s="1" t="s">
        <v>1</v>
      </c>
      <c r="F66" s="1">
        <v>35</v>
      </c>
      <c r="G66" s="1">
        <v>1</v>
      </c>
    </row>
    <row r="67" spans="1:7" x14ac:dyDescent="0.3">
      <c r="A67" s="1">
        <v>2</v>
      </c>
      <c r="B67" s="1">
        <v>1</v>
      </c>
      <c r="C67" s="1" t="s">
        <v>1</v>
      </c>
      <c r="D67" s="1">
        <v>19</v>
      </c>
      <c r="E67" s="1" t="s">
        <v>1</v>
      </c>
      <c r="F67" s="1">
        <v>26</v>
      </c>
      <c r="G67" s="1">
        <v>1</v>
      </c>
    </row>
    <row r="68" spans="1:7" x14ac:dyDescent="0.3">
      <c r="A68" s="1">
        <v>2</v>
      </c>
      <c r="B68" s="1">
        <v>1</v>
      </c>
      <c r="C68" s="1" t="s">
        <v>1</v>
      </c>
      <c r="D68" s="1">
        <v>48</v>
      </c>
      <c r="E68" s="1" t="s">
        <v>1</v>
      </c>
      <c r="F68" s="1">
        <v>16</v>
      </c>
      <c r="G68" s="1">
        <v>0</v>
      </c>
    </row>
    <row r="69" spans="1:7" x14ac:dyDescent="0.3">
      <c r="A69" s="1">
        <v>2</v>
      </c>
      <c r="B69" s="1">
        <v>1</v>
      </c>
      <c r="C69" s="1" t="s">
        <v>1</v>
      </c>
      <c r="D69" s="1">
        <v>23</v>
      </c>
      <c r="E69" s="1" t="s">
        <v>1</v>
      </c>
      <c r="F69" s="1">
        <v>18</v>
      </c>
      <c r="G69" s="1">
        <v>0</v>
      </c>
    </row>
    <row r="70" spans="1:7" x14ac:dyDescent="0.3">
      <c r="A70" s="1">
        <v>2</v>
      </c>
      <c r="B70" s="1">
        <v>1</v>
      </c>
      <c r="C70" s="1" t="s">
        <v>1</v>
      </c>
      <c r="D70" s="1">
        <v>8</v>
      </c>
      <c r="E70" s="1" t="s">
        <v>1</v>
      </c>
      <c r="F70" s="1">
        <v>20</v>
      </c>
      <c r="G70" s="1">
        <v>1</v>
      </c>
    </row>
    <row r="71" spans="1:7" x14ac:dyDescent="0.3">
      <c r="A71" s="1">
        <v>2</v>
      </c>
      <c r="B71" s="1">
        <v>1</v>
      </c>
      <c r="C71" s="1" t="s">
        <v>1</v>
      </c>
      <c r="D71" s="1">
        <v>44</v>
      </c>
      <c r="E71" s="1" t="s">
        <v>1</v>
      </c>
      <c r="F71" s="1">
        <v>39</v>
      </c>
      <c r="G71" s="1">
        <v>0</v>
      </c>
    </row>
    <row r="72" spans="1:7" x14ac:dyDescent="0.3">
      <c r="A72" s="1">
        <v>2</v>
      </c>
      <c r="B72" s="1">
        <v>1</v>
      </c>
      <c r="C72" s="1" t="s">
        <v>1</v>
      </c>
      <c r="D72" s="1">
        <v>8</v>
      </c>
      <c r="E72" s="1" t="s">
        <v>1</v>
      </c>
      <c r="F72" s="1">
        <v>19</v>
      </c>
      <c r="G72" s="1">
        <v>1</v>
      </c>
    </row>
    <row r="73" spans="1:7" x14ac:dyDescent="0.3">
      <c r="A73" s="1">
        <v>2</v>
      </c>
      <c r="B73" s="1">
        <v>1</v>
      </c>
      <c r="C73" s="1" t="s">
        <v>1</v>
      </c>
      <c r="D73" s="1">
        <v>3</v>
      </c>
      <c r="E73" s="1" t="s">
        <v>1</v>
      </c>
      <c r="F73" s="1">
        <v>27</v>
      </c>
      <c r="G73" s="1">
        <v>1</v>
      </c>
    </row>
    <row r="74" spans="1:7" x14ac:dyDescent="0.3">
      <c r="A74" s="1">
        <v>2</v>
      </c>
      <c r="B74" s="1">
        <v>1</v>
      </c>
      <c r="C74" s="1" t="s">
        <v>1</v>
      </c>
      <c r="D74" s="1">
        <v>47</v>
      </c>
      <c r="E74" s="1" t="s">
        <v>1</v>
      </c>
      <c r="F74" s="1">
        <v>45</v>
      </c>
      <c r="G74" s="1">
        <v>0</v>
      </c>
    </row>
    <row r="75" spans="1:7" x14ac:dyDescent="0.3">
      <c r="A75" s="1">
        <v>2</v>
      </c>
      <c r="B75" s="1">
        <v>1</v>
      </c>
      <c r="C75" s="1" t="s">
        <v>1</v>
      </c>
      <c r="D75" s="1">
        <v>2</v>
      </c>
      <c r="E75" s="1" t="s">
        <v>1</v>
      </c>
      <c r="F75" s="1">
        <v>27</v>
      </c>
      <c r="G75" s="1">
        <v>1</v>
      </c>
    </row>
    <row r="76" spans="1:7" x14ac:dyDescent="0.3">
      <c r="A76" s="1">
        <v>2</v>
      </c>
      <c r="B76" s="1">
        <v>1</v>
      </c>
      <c r="C76" s="1" t="s">
        <v>1</v>
      </c>
      <c r="D76" s="1">
        <v>46</v>
      </c>
      <c r="E76" s="1" t="s">
        <v>1</v>
      </c>
      <c r="F76" s="1">
        <v>24</v>
      </c>
      <c r="G76" s="1">
        <v>0</v>
      </c>
    </row>
    <row r="77" spans="1:7" x14ac:dyDescent="0.3">
      <c r="A77" s="1">
        <v>2</v>
      </c>
      <c r="B77" s="1">
        <v>1</v>
      </c>
      <c r="C77" s="1" t="s">
        <v>1</v>
      </c>
      <c r="D77" s="1">
        <v>28</v>
      </c>
      <c r="E77" s="1" t="s">
        <v>1</v>
      </c>
      <c r="F77" s="1">
        <v>34</v>
      </c>
      <c r="G77" s="1">
        <v>1</v>
      </c>
    </row>
    <row r="78" spans="1:7" x14ac:dyDescent="0.3">
      <c r="A78" s="1">
        <v>2</v>
      </c>
      <c r="B78" s="1">
        <v>1</v>
      </c>
      <c r="C78" s="1" t="s">
        <v>1</v>
      </c>
      <c r="D78" s="1">
        <v>23</v>
      </c>
      <c r="E78" s="1" t="s">
        <v>1</v>
      </c>
      <c r="F78" s="1">
        <v>43</v>
      </c>
      <c r="G78" s="1">
        <v>1</v>
      </c>
    </row>
    <row r="79" spans="1:7" x14ac:dyDescent="0.3">
      <c r="A79" s="1">
        <v>2</v>
      </c>
      <c r="B79" s="1">
        <v>1</v>
      </c>
      <c r="C79" s="1" t="s">
        <v>1</v>
      </c>
      <c r="D79" s="1">
        <v>12</v>
      </c>
      <c r="E79" s="1" t="s">
        <v>1</v>
      </c>
      <c r="F79" s="1">
        <v>20</v>
      </c>
      <c r="G79" s="1">
        <v>1</v>
      </c>
    </row>
    <row r="80" spans="1:7" x14ac:dyDescent="0.3">
      <c r="A80" s="1">
        <v>2</v>
      </c>
      <c r="B80" s="1">
        <v>1</v>
      </c>
      <c r="C80" s="1" t="s">
        <v>1</v>
      </c>
      <c r="D80" s="1">
        <v>38</v>
      </c>
      <c r="E80" s="1" t="s">
        <v>1</v>
      </c>
      <c r="F80" s="1">
        <v>29</v>
      </c>
      <c r="G80" s="1">
        <v>0</v>
      </c>
    </row>
    <row r="81" spans="1:7" x14ac:dyDescent="0.3">
      <c r="A81" s="1">
        <v>2</v>
      </c>
      <c r="B81" s="1">
        <v>1</v>
      </c>
      <c r="C81" s="1" t="s">
        <v>1</v>
      </c>
      <c r="D81" s="1">
        <v>27</v>
      </c>
      <c r="E81" s="1" t="s">
        <v>1</v>
      </c>
      <c r="F81" s="1">
        <v>36</v>
      </c>
      <c r="G81" s="1">
        <v>1</v>
      </c>
    </row>
    <row r="82" spans="1:7" x14ac:dyDescent="0.3">
      <c r="A82" s="1">
        <v>2</v>
      </c>
      <c r="B82" s="1">
        <v>1</v>
      </c>
      <c r="C82" s="1" t="s">
        <v>1</v>
      </c>
      <c r="D82" s="1">
        <v>52</v>
      </c>
      <c r="E82" s="1" t="s">
        <v>1</v>
      </c>
      <c r="F82" s="1">
        <v>31</v>
      </c>
      <c r="G82" s="1">
        <v>0</v>
      </c>
    </row>
    <row r="83" spans="1:7" x14ac:dyDescent="0.3">
      <c r="A83" s="1">
        <v>2</v>
      </c>
      <c r="B83" s="1">
        <v>1</v>
      </c>
      <c r="C83" s="1" t="s">
        <v>1</v>
      </c>
      <c r="D83" s="1">
        <v>20</v>
      </c>
      <c r="E83" s="1" t="s">
        <v>1</v>
      </c>
      <c r="F83" s="1">
        <v>29</v>
      </c>
      <c r="G83" s="1">
        <v>1</v>
      </c>
    </row>
    <row r="84" spans="1:7" x14ac:dyDescent="0.3">
      <c r="A84" s="1">
        <v>2</v>
      </c>
      <c r="B84" s="1">
        <v>1</v>
      </c>
      <c r="C84" s="1" t="s">
        <v>1</v>
      </c>
      <c r="D84" s="1">
        <v>28</v>
      </c>
      <c r="E84" s="1" t="s">
        <v>1</v>
      </c>
      <c r="F84" s="1">
        <v>40</v>
      </c>
      <c r="G84" s="1">
        <v>1</v>
      </c>
    </row>
    <row r="85" spans="1:7" x14ac:dyDescent="0.3">
      <c r="A85" s="1">
        <v>2</v>
      </c>
      <c r="B85" s="1">
        <v>1</v>
      </c>
      <c r="C85" s="1" t="s">
        <v>1</v>
      </c>
      <c r="D85" s="1">
        <v>29</v>
      </c>
      <c r="E85" s="1" t="s">
        <v>1</v>
      </c>
      <c r="F85" s="1">
        <v>48</v>
      </c>
      <c r="G85" s="1">
        <v>1</v>
      </c>
    </row>
    <row r="86" spans="1:7" x14ac:dyDescent="0.3">
      <c r="A86" s="1">
        <v>2</v>
      </c>
      <c r="B86" s="1">
        <v>1</v>
      </c>
      <c r="C86" s="1" t="s">
        <v>1</v>
      </c>
      <c r="D86" s="1">
        <v>30</v>
      </c>
      <c r="E86" s="1" t="s">
        <v>1</v>
      </c>
      <c r="F86" s="1">
        <v>59</v>
      </c>
      <c r="G86" s="1">
        <v>1</v>
      </c>
    </row>
    <row r="87" spans="1:7" x14ac:dyDescent="0.3">
      <c r="A87" s="1">
        <v>2</v>
      </c>
      <c r="B87" s="1">
        <v>1</v>
      </c>
      <c r="C87" s="1" t="s">
        <v>1</v>
      </c>
      <c r="D87" s="1">
        <v>32</v>
      </c>
      <c r="E87" s="1" t="s">
        <v>1</v>
      </c>
      <c r="F87" s="1">
        <v>42</v>
      </c>
      <c r="G87" s="1">
        <v>1</v>
      </c>
    </row>
    <row r="88" spans="1:7" x14ac:dyDescent="0.3">
      <c r="A88" s="1">
        <v>2</v>
      </c>
      <c r="B88" s="1">
        <v>1</v>
      </c>
      <c r="C88" s="1" t="s">
        <v>1</v>
      </c>
      <c r="D88" s="1">
        <v>27</v>
      </c>
      <c r="E88" s="1" t="s">
        <v>1</v>
      </c>
      <c r="F88" s="1">
        <v>32</v>
      </c>
      <c r="G88" s="1">
        <v>1</v>
      </c>
    </row>
    <row r="89" spans="1:7" x14ac:dyDescent="0.3">
      <c r="A89" s="1">
        <v>2</v>
      </c>
      <c r="B89" s="1">
        <v>1</v>
      </c>
      <c r="C89" s="1" t="s">
        <v>1</v>
      </c>
      <c r="D89" s="1">
        <v>24</v>
      </c>
      <c r="E89" s="1" t="s">
        <v>1</v>
      </c>
      <c r="F89" s="1">
        <v>34</v>
      </c>
      <c r="G89" s="1">
        <v>1</v>
      </c>
    </row>
    <row r="90" spans="1:7" x14ac:dyDescent="0.3">
      <c r="A90" s="1">
        <v>2</v>
      </c>
      <c r="B90" s="1">
        <v>1</v>
      </c>
      <c r="C90" s="1" t="s">
        <v>1</v>
      </c>
      <c r="D90" s="1">
        <v>17</v>
      </c>
      <c r="E90" s="1" t="s">
        <v>1</v>
      </c>
      <c r="F90" s="1">
        <v>19</v>
      </c>
      <c r="G90" s="1">
        <v>1</v>
      </c>
    </row>
    <row r="91" spans="1:7" x14ac:dyDescent="0.3">
      <c r="A91" s="1">
        <v>2</v>
      </c>
      <c r="B91" s="1">
        <v>1</v>
      </c>
      <c r="C91" s="1" t="s">
        <v>1</v>
      </c>
      <c r="D91" s="1">
        <v>46</v>
      </c>
      <c r="E91" s="1" t="s">
        <v>1</v>
      </c>
      <c r="F91" s="1">
        <v>36</v>
      </c>
      <c r="G91" s="1">
        <v>0</v>
      </c>
    </row>
    <row r="92" spans="1:7" x14ac:dyDescent="0.3">
      <c r="A92" s="1">
        <v>2</v>
      </c>
      <c r="B92" s="1">
        <v>1</v>
      </c>
      <c r="C92" s="1" t="s">
        <v>1</v>
      </c>
      <c r="D92" s="1">
        <v>19</v>
      </c>
      <c r="E92" s="1" t="s">
        <v>1</v>
      </c>
      <c r="F92" s="1">
        <v>37</v>
      </c>
      <c r="G92" s="1">
        <v>1</v>
      </c>
    </row>
    <row r="93" spans="1:7" x14ac:dyDescent="0.3">
      <c r="A93" s="1">
        <v>2</v>
      </c>
      <c r="B93" s="1">
        <v>1</v>
      </c>
      <c r="C93" s="1" t="s">
        <v>1</v>
      </c>
      <c r="D93" s="1">
        <v>54</v>
      </c>
      <c r="E93" s="1" t="s">
        <v>1</v>
      </c>
      <c r="F93" s="1">
        <v>34</v>
      </c>
      <c r="G93" s="1">
        <v>0</v>
      </c>
    </row>
    <row r="94" spans="1:7" x14ac:dyDescent="0.3">
      <c r="A94" s="1">
        <v>2</v>
      </c>
      <c r="B94" s="1">
        <v>1</v>
      </c>
      <c r="C94" s="1" t="s">
        <v>1</v>
      </c>
      <c r="D94" s="1">
        <v>30</v>
      </c>
      <c r="E94" s="1" t="s">
        <v>1</v>
      </c>
      <c r="F94" s="1">
        <v>18</v>
      </c>
      <c r="G94" s="1">
        <v>0</v>
      </c>
    </row>
    <row r="95" spans="1:7" x14ac:dyDescent="0.3">
      <c r="A95" s="1">
        <v>2</v>
      </c>
      <c r="B95" s="1">
        <v>1</v>
      </c>
      <c r="C95" s="1" t="s">
        <v>1</v>
      </c>
      <c r="D95" s="1">
        <v>43</v>
      </c>
      <c r="E95" s="1" t="s">
        <v>1</v>
      </c>
      <c r="F95" s="1">
        <v>22</v>
      </c>
      <c r="G95" s="1">
        <v>0</v>
      </c>
    </row>
    <row r="96" spans="1:7" x14ac:dyDescent="0.3">
      <c r="A96" s="1">
        <v>2</v>
      </c>
      <c r="B96" s="1">
        <v>1</v>
      </c>
      <c r="C96" s="1" t="s">
        <v>1</v>
      </c>
      <c r="D96" s="1">
        <v>7</v>
      </c>
      <c r="E96" s="1" t="s">
        <v>1</v>
      </c>
      <c r="F96" s="1">
        <v>39</v>
      </c>
      <c r="G96" s="1">
        <v>1</v>
      </c>
    </row>
    <row r="97" spans="1:7" x14ac:dyDescent="0.3">
      <c r="A97" s="1">
        <v>2</v>
      </c>
      <c r="B97" s="1">
        <v>1</v>
      </c>
      <c r="C97" s="1" t="s">
        <v>1</v>
      </c>
      <c r="D97" s="1">
        <v>19</v>
      </c>
      <c r="E97" s="1" t="s">
        <v>1</v>
      </c>
      <c r="F97" s="1">
        <v>6</v>
      </c>
      <c r="G97" s="1">
        <v>0</v>
      </c>
    </row>
    <row r="98" spans="1:7" x14ac:dyDescent="0.3">
      <c r="A98" s="1">
        <v>2</v>
      </c>
      <c r="B98" s="1">
        <v>1</v>
      </c>
      <c r="C98" s="1" t="s">
        <v>1</v>
      </c>
      <c r="D98" s="1">
        <v>33</v>
      </c>
      <c r="E98" s="1" t="s">
        <v>1</v>
      </c>
      <c r="F98" s="1">
        <v>32</v>
      </c>
      <c r="G98" s="1">
        <v>0</v>
      </c>
    </row>
    <row r="99" spans="1:7" x14ac:dyDescent="0.3">
      <c r="A99" s="1">
        <v>2</v>
      </c>
      <c r="B99" s="1">
        <v>1</v>
      </c>
      <c r="C99" s="1" t="s">
        <v>1</v>
      </c>
      <c r="D99" s="1">
        <v>26</v>
      </c>
      <c r="E99" s="1" t="s">
        <v>1</v>
      </c>
      <c r="F99" s="1">
        <v>45</v>
      </c>
      <c r="G99" s="1">
        <v>1</v>
      </c>
    </row>
    <row r="100" spans="1:7" x14ac:dyDescent="0.3">
      <c r="A100" s="1">
        <v>2</v>
      </c>
      <c r="B100" s="1">
        <v>1</v>
      </c>
      <c r="C100" s="1" t="s">
        <v>1</v>
      </c>
      <c r="D100" s="1">
        <v>33</v>
      </c>
      <c r="E100" s="1" t="s">
        <v>1</v>
      </c>
      <c r="F100" s="1">
        <v>28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141D-D4DA-45D4-88C0-F74C84CEE5E4}">
  <dimension ref="A1:Q100"/>
  <sheetViews>
    <sheetView workbookViewId="0">
      <selection activeCell="K23" sqref="K23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0</v>
      </c>
      <c r="D1" s="1">
        <v>0</v>
      </c>
      <c r="E1" s="1" t="s">
        <v>0</v>
      </c>
      <c r="F1" s="1">
        <v>15</v>
      </c>
      <c r="G1" s="1">
        <v>1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0</v>
      </c>
      <c r="D2" s="1">
        <v>47</v>
      </c>
      <c r="E2" s="1" t="s">
        <v>0</v>
      </c>
      <c r="F2" s="1">
        <v>3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0</v>
      </c>
      <c r="D3" s="1">
        <v>25</v>
      </c>
      <c r="E3" s="1" t="s">
        <v>0</v>
      </c>
      <c r="F3" s="1">
        <v>34</v>
      </c>
      <c r="G3" s="1">
        <v>1</v>
      </c>
      <c r="I3" s="5" t="s">
        <v>6</v>
      </c>
      <c r="J3" s="5"/>
      <c r="K3" s="9">
        <f>COUNTIF($G$1:$G$100, 0)</f>
        <v>44</v>
      </c>
      <c r="L3" s="9"/>
      <c r="M3" s="9">
        <f>COUNTIFS($G$1:$G$100, 0, $B$1:$B$100, 0)</f>
        <v>31</v>
      </c>
      <c r="N3" s="9"/>
      <c r="O3" s="10">
        <f>COUNTIFS($G$1:$G$100, 0, $B$1:$B$100, 1)</f>
        <v>13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0</v>
      </c>
      <c r="D4" s="1">
        <v>29</v>
      </c>
      <c r="E4" s="1" t="s">
        <v>0</v>
      </c>
      <c r="F4" s="1">
        <v>31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0</v>
      </c>
      <c r="D5" s="1">
        <v>26</v>
      </c>
      <c r="E5" s="1" t="s">
        <v>0</v>
      </c>
      <c r="F5" s="1">
        <v>9</v>
      </c>
      <c r="G5" s="1">
        <v>0</v>
      </c>
      <c r="I5" s="5" t="s">
        <v>7</v>
      </c>
      <c r="J5" s="5"/>
      <c r="K5" s="14">
        <f>COUNTIF($G$1:$G$100, 1)</f>
        <v>56</v>
      </c>
      <c r="L5" s="9"/>
      <c r="M5" s="9">
        <f>COUNTIFS($G$1:$G$100, 1, $B$1:$B$100, 0)</f>
        <v>19</v>
      </c>
      <c r="N5" s="9"/>
      <c r="O5" s="9">
        <f>COUNTIFS($G$1:$G$100, 1, $B$1:$B$100, 1)</f>
        <v>37</v>
      </c>
      <c r="P5" s="13"/>
      <c r="Q5"/>
    </row>
    <row r="6" spans="1:17" x14ac:dyDescent="0.3">
      <c r="A6" s="1">
        <v>2</v>
      </c>
      <c r="B6" s="1">
        <v>0</v>
      </c>
      <c r="C6" s="1" t="s">
        <v>0</v>
      </c>
      <c r="D6" s="1">
        <v>19</v>
      </c>
      <c r="E6" s="1" t="s">
        <v>0</v>
      </c>
      <c r="F6" s="1">
        <v>17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0</v>
      </c>
      <c r="D7" s="1">
        <v>17</v>
      </c>
      <c r="E7" s="1" t="s">
        <v>0</v>
      </c>
      <c r="F7" s="1">
        <v>41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0</v>
      </c>
      <c r="D8" s="1">
        <v>44</v>
      </c>
      <c r="E8" s="1" t="s">
        <v>0</v>
      </c>
      <c r="F8" s="1">
        <v>41</v>
      </c>
      <c r="G8" s="1">
        <v>0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0</v>
      </c>
      <c r="D9" s="1">
        <v>30</v>
      </c>
      <c r="E9" s="1" t="s">
        <v>0</v>
      </c>
      <c r="F9" s="1">
        <v>16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0</v>
      </c>
      <c r="D10" s="1">
        <v>2</v>
      </c>
      <c r="E10" s="1" t="s">
        <v>0</v>
      </c>
      <c r="F10" s="1">
        <v>43</v>
      </c>
      <c r="G10" s="1">
        <v>1</v>
      </c>
      <c r="I10" s="5" t="s">
        <v>10</v>
      </c>
      <c r="J10" s="5"/>
      <c r="K10" s="9">
        <f>AVERAGE($D$1:$D$100,)</f>
        <v>24.811881188118811</v>
      </c>
      <c r="L10" s="9"/>
      <c r="M10" s="9" cm="1">
        <f t="array" ref="M10">AVERAGE(_xlfn._xlws.FILTER($D$1:$D$100,$G$1:$G$100 = 0))</f>
        <v>37.022727272727273</v>
      </c>
      <c r="N10" s="9"/>
      <c r="O10" s="10" cm="1">
        <f t="array" ref="O10">AVERAGE(_xlfn._xlws.FILTER($D$1:$D$100,$G$1:$G$100 = 1))</f>
        <v>15.660714285714286</v>
      </c>
      <c r="P10" s="11"/>
      <c r="Q10"/>
    </row>
    <row r="11" spans="1:17" x14ac:dyDescent="0.3">
      <c r="A11" s="1">
        <v>2</v>
      </c>
      <c r="B11" s="1">
        <v>0</v>
      </c>
      <c r="C11" s="1" t="s">
        <v>0</v>
      </c>
      <c r="D11" s="1">
        <v>37</v>
      </c>
      <c r="E11" s="1" t="s">
        <v>0</v>
      </c>
      <c r="F11" s="1">
        <v>17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0</v>
      </c>
      <c r="D12" s="1">
        <v>24</v>
      </c>
      <c r="E12" s="1" t="s">
        <v>0</v>
      </c>
      <c r="F12" s="1">
        <v>32</v>
      </c>
      <c r="G12" s="1">
        <v>1</v>
      </c>
      <c r="I12" s="5" t="s">
        <v>11</v>
      </c>
      <c r="J12" s="5"/>
      <c r="K12" s="9">
        <f>AVERAGE($F$1:$F$100,)</f>
        <v>30.772277227722771</v>
      </c>
      <c r="L12" s="9"/>
      <c r="M12" s="9" cm="1">
        <f t="array" ref="M12">AVERAGE(_xlfn._xlws.FILTER($F$1:$F$100,$G$1:$G$100 = 0))</f>
        <v>18.386363636363637</v>
      </c>
      <c r="N12" s="9"/>
      <c r="O12" s="9" cm="1">
        <f t="array" ref="O12">AVERAGE(_xlfn._xlws.FILTER($F$1:$F$100,$G$1:$G$100 = 1))</f>
        <v>41.053571428571431</v>
      </c>
      <c r="P12" s="13"/>
      <c r="Q12"/>
    </row>
    <row r="13" spans="1:17" x14ac:dyDescent="0.3">
      <c r="A13" s="1">
        <v>2</v>
      </c>
      <c r="B13" s="1">
        <v>0</v>
      </c>
      <c r="C13" s="1" t="s">
        <v>0</v>
      </c>
      <c r="D13" s="1">
        <v>34</v>
      </c>
      <c r="E13" s="1" t="s">
        <v>0</v>
      </c>
      <c r="F13" s="1">
        <v>50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0</v>
      </c>
      <c r="D14" s="1">
        <v>24</v>
      </c>
      <c r="E14" s="1" t="s">
        <v>0</v>
      </c>
      <c r="F14" s="1">
        <v>19</v>
      </c>
      <c r="G14" s="1">
        <v>0</v>
      </c>
      <c r="I14" s="22" t="s">
        <v>12</v>
      </c>
      <c r="J14" s="11"/>
      <c r="K14" s="23" cm="1">
        <f t="array" ref="K14">AVERAGE($D$1:$D$100 - $F$1:$F$100)</f>
        <v>-6.02</v>
      </c>
      <c r="L14" s="23"/>
      <c r="M14" s="23" cm="1">
        <f t="array" ref="M14">AVERAGE(_xlfn._xlws.FILTER($D$1:$D$100 - $F$1:$F$100, G$1:G$100 = 0))</f>
        <v>18.636363636363637</v>
      </c>
      <c r="N14" s="23"/>
      <c r="O14" s="23" cm="1">
        <f t="array" ref="O14">AVERAGE(_xlfn._xlws.FILTER($D$1:$D$100 - $F$1:$F$100, G$1:G$100 = 1))</f>
        <v>-25.392857142857142</v>
      </c>
      <c r="P14" s="24"/>
      <c r="Q14"/>
    </row>
    <row r="15" spans="1:17" x14ac:dyDescent="0.3">
      <c r="A15" s="1">
        <v>2</v>
      </c>
      <c r="B15" s="1">
        <v>0</v>
      </c>
      <c r="C15" s="1" t="s">
        <v>0</v>
      </c>
      <c r="D15" s="1">
        <v>41</v>
      </c>
      <c r="E15" s="1" t="s">
        <v>0</v>
      </c>
      <c r="F15" s="1">
        <v>11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0</v>
      </c>
      <c r="D16" s="1">
        <v>42</v>
      </c>
      <c r="E16" s="1" t="s">
        <v>0</v>
      </c>
      <c r="F16" s="1">
        <v>26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0</v>
      </c>
      <c r="D17" s="1">
        <v>42</v>
      </c>
      <c r="E17" s="1" t="s">
        <v>0</v>
      </c>
      <c r="F17" s="1">
        <v>5</v>
      </c>
      <c r="G17" s="1">
        <v>0</v>
      </c>
    </row>
    <row r="18" spans="1:7" x14ac:dyDescent="0.3">
      <c r="A18" s="1">
        <v>2</v>
      </c>
      <c r="B18" s="1">
        <v>0</v>
      </c>
      <c r="C18" s="1" t="s">
        <v>0</v>
      </c>
      <c r="D18" s="1">
        <v>2</v>
      </c>
      <c r="E18" s="1" t="s">
        <v>0</v>
      </c>
      <c r="F18" s="1">
        <v>39</v>
      </c>
      <c r="G18" s="1">
        <v>1</v>
      </c>
    </row>
    <row r="19" spans="1:7" x14ac:dyDescent="0.3">
      <c r="A19" s="1">
        <v>2</v>
      </c>
      <c r="B19" s="1">
        <v>0</v>
      </c>
      <c r="C19" s="1" t="s">
        <v>0</v>
      </c>
      <c r="D19" s="1">
        <v>44</v>
      </c>
      <c r="E19" s="1" t="s">
        <v>0</v>
      </c>
      <c r="F19" s="1">
        <v>15</v>
      </c>
      <c r="G19" s="1">
        <v>0</v>
      </c>
    </row>
    <row r="20" spans="1:7" x14ac:dyDescent="0.3">
      <c r="A20" s="1">
        <v>2</v>
      </c>
      <c r="B20" s="1">
        <v>0</v>
      </c>
      <c r="C20" s="1" t="s">
        <v>0</v>
      </c>
      <c r="D20" s="1">
        <v>28</v>
      </c>
      <c r="E20" s="1" t="s">
        <v>0</v>
      </c>
      <c r="F20" s="1">
        <v>25</v>
      </c>
      <c r="G20" s="1">
        <v>0</v>
      </c>
    </row>
    <row r="21" spans="1:7" x14ac:dyDescent="0.3">
      <c r="A21" s="1">
        <v>2</v>
      </c>
      <c r="B21" s="1">
        <v>0</v>
      </c>
      <c r="C21" s="1" t="s">
        <v>0</v>
      </c>
      <c r="D21" s="1">
        <v>7</v>
      </c>
      <c r="E21" s="1" t="s">
        <v>0</v>
      </c>
      <c r="F21" s="1">
        <v>29</v>
      </c>
      <c r="G21" s="1">
        <v>1</v>
      </c>
    </row>
    <row r="22" spans="1:7" x14ac:dyDescent="0.3">
      <c r="A22" s="1">
        <v>2</v>
      </c>
      <c r="B22" s="1">
        <v>0</v>
      </c>
      <c r="C22" s="1" t="s">
        <v>0</v>
      </c>
      <c r="D22" s="1">
        <v>15</v>
      </c>
      <c r="E22" s="1" t="s">
        <v>0</v>
      </c>
      <c r="F22" s="1">
        <v>66</v>
      </c>
      <c r="G22" s="1">
        <v>1</v>
      </c>
    </row>
    <row r="23" spans="1:7" x14ac:dyDescent="0.3">
      <c r="A23" s="1">
        <v>2</v>
      </c>
      <c r="B23" s="1">
        <v>0</v>
      </c>
      <c r="C23" s="1" t="s">
        <v>0</v>
      </c>
      <c r="D23" s="1">
        <v>6</v>
      </c>
      <c r="E23" s="1" t="s">
        <v>0</v>
      </c>
      <c r="F23" s="1">
        <v>30</v>
      </c>
      <c r="G23" s="1">
        <v>1</v>
      </c>
    </row>
    <row r="24" spans="1:7" x14ac:dyDescent="0.3">
      <c r="A24" s="1">
        <v>2</v>
      </c>
      <c r="B24" s="1">
        <v>0</v>
      </c>
      <c r="C24" s="1" t="s">
        <v>0</v>
      </c>
      <c r="D24" s="1">
        <v>30</v>
      </c>
      <c r="E24" s="1" t="s">
        <v>0</v>
      </c>
      <c r="F24" s="1">
        <v>23</v>
      </c>
      <c r="G24" s="1">
        <v>0</v>
      </c>
    </row>
    <row r="25" spans="1:7" x14ac:dyDescent="0.3">
      <c r="A25" s="1">
        <v>2</v>
      </c>
      <c r="B25" s="1">
        <v>0</v>
      </c>
      <c r="C25" s="1" t="s">
        <v>0</v>
      </c>
      <c r="D25" s="1">
        <v>39</v>
      </c>
      <c r="E25" s="1" t="s">
        <v>0</v>
      </c>
      <c r="F25" s="1">
        <v>39</v>
      </c>
      <c r="G25" s="1">
        <v>0</v>
      </c>
    </row>
    <row r="26" spans="1:7" x14ac:dyDescent="0.3">
      <c r="A26" s="1">
        <v>2</v>
      </c>
      <c r="B26" s="1">
        <v>0</v>
      </c>
      <c r="C26" s="1" t="s">
        <v>0</v>
      </c>
      <c r="D26" s="1">
        <v>33</v>
      </c>
      <c r="E26" s="1" t="s">
        <v>0</v>
      </c>
      <c r="F26" s="1">
        <v>17</v>
      </c>
      <c r="G26" s="1">
        <v>0</v>
      </c>
    </row>
    <row r="27" spans="1:7" x14ac:dyDescent="0.3">
      <c r="A27" s="1">
        <v>2</v>
      </c>
      <c r="B27" s="1">
        <v>0</v>
      </c>
      <c r="C27" s="1" t="s">
        <v>0</v>
      </c>
      <c r="D27" s="1">
        <v>6</v>
      </c>
      <c r="E27" s="1" t="s">
        <v>0</v>
      </c>
      <c r="F27" s="1">
        <v>27</v>
      </c>
      <c r="G27" s="1">
        <v>1</v>
      </c>
    </row>
    <row r="28" spans="1:7" x14ac:dyDescent="0.3">
      <c r="A28" s="1">
        <v>2</v>
      </c>
      <c r="B28" s="1">
        <v>0</v>
      </c>
      <c r="C28" s="1" t="s">
        <v>0</v>
      </c>
      <c r="D28" s="1">
        <v>34</v>
      </c>
      <c r="E28" s="1" t="s">
        <v>0</v>
      </c>
      <c r="F28" s="1">
        <v>12</v>
      </c>
      <c r="G28" s="1">
        <v>0</v>
      </c>
    </row>
    <row r="29" spans="1:7" x14ac:dyDescent="0.3">
      <c r="A29" s="1">
        <v>2</v>
      </c>
      <c r="B29" s="1">
        <v>0</v>
      </c>
      <c r="C29" s="1" t="s">
        <v>0</v>
      </c>
      <c r="D29" s="1">
        <v>25</v>
      </c>
      <c r="E29" s="1" t="s">
        <v>0</v>
      </c>
      <c r="F29" s="1">
        <v>20</v>
      </c>
      <c r="G29" s="1">
        <v>0</v>
      </c>
    </row>
    <row r="30" spans="1:7" x14ac:dyDescent="0.3">
      <c r="A30" s="1">
        <v>2</v>
      </c>
      <c r="B30" s="1">
        <v>0</v>
      </c>
      <c r="C30" s="1" t="s">
        <v>0</v>
      </c>
      <c r="D30" s="1">
        <v>2</v>
      </c>
      <c r="E30" s="1" t="s">
        <v>0</v>
      </c>
      <c r="F30" s="1">
        <v>48</v>
      </c>
      <c r="G30" s="1">
        <v>1</v>
      </c>
    </row>
    <row r="31" spans="1:7" x14ac:dyDescent="0.3">
      <c r="A31" s="1">
        <v>2</v>
      </c>
      <c r="B31" s="1">
        <v>0</v>
      </c>
      <c r="C31" s="1" t="s">
        <v>0</v>
      </c>
      <c r="D31" s="1">
        <v>16</v>
      </c>
      <c r="E31" s="1" t="s">
        <v>0</v>
      </c>
      <c r="F31" s="1">
        <v>36</v>
      </c>
      <c r="G31" s="1">
        <v>1</v>
      </c>
    </row>
    <row r="32" spans="1:7" x14ac:dyDescent="0.3">
      <c r="A32" s="1">
        <v>2</v>
      </c>
      <c r="B32" s="1">
        <v>0</v>
      </c>
      <c r="C32" s="1" t="s">
        <v>0</v>
      </c>
      <c r="D32" s="1">
        <v>34</v>
      </c>
      <c r="E32" s="1" t="s">
        <v>0</v>
      </c>
      <c r="F32" s="1">
        <v>8</v>
      </c>
      <c r="G32" s="1">
        <v>0</v>
      </c>
    </row>
    <row r="33" spans="1:7" x14ac:dyDescent="0.3">
      <c r="A33" s="1">
        <v>2</v>
      </c>
      <c r="B33" s="1">
        <v>0</v>
      </c>
      <c r="C33" s="1" t="s">
        <v>0</v>
      </c>
      <c r="D33" s="1">
        <v>28</v>
      </c>
      <c r="E33" s="1" t="s">
        <v>0</v>
      </c>
      <c r="F33" s="1">
        <v>9</v>
      </c>
      <c r="G33" s="1">
        <v>0</v>
      </c>
    </row>
    <row r="34" spans="1:7" x14ac:dyDescent="0.3">
      <c r="A34" s="1">
        <v>2</v>
      </c>
      <c r="B34" s="1">
        <v>0</v>
      </c>
      <c r="C34" s="1" t="s">
        <v>0</v>
      </c>
      <c r="D34" s="1">
        <v>21</v>
      </c>
      <c r="E34" s="1" t="s">
        <v>0</v>
      </c>
      <c r="F34" s="1">
        <v>59</v>
      </c>
      <c r="G34" s="1">
        <v>1</v>
      </c>
    </row>
    <row r="35" spans="1:7" x14ac:dyDescent="0.3">
      <c r="A35" s="1">
        <v>2</v>
      </c>
      <c r="B35" s="1">
        <v>0</v>
      </c>
      <c r="C35" s="1" t="s">
        <v>0</v>
      </c>
      <c r="D35" s="1">
        <v>25</v>
      </c>
      <c r="E35" s="1" t="s">
        <v>0</v>
      </c>
      <c r="F35" s="1">
        <v>39</v>
      </c>
      <c r="G35" s="1">
        <v>1</v>
      </c>
    </row>
    <row r="36" spans="1:7" x14ac:dyDescent="0.3">
      <c r="A36" s="1">
        <v>2</v>
      </c>
      <c r="B36" s="1">
        <v>0</v>
      </c>
      <c r="C36" s="1" t="s">
        <v>0</v>
      </c>
      <c r="D36" s="1">
        <v>53</v>
      </c>
      <c r="E36" s="1" t="s">
        <v>0</v>
      </c>
      <c r="F36" s="1">
        <v>47</v>
      </c>
      <c r="G36" s="1">
        <v>0</v>
      </c>
    </row>
    <row r="37" spans="1:7" x14ac:dyDescent="0.3">
      <c r="A37" s="1">
        <v>2</v>
      </c>
      <c r="B37" s="1">
        <v>0</v>
      </c>
      <c r="C37" s="1" t="s">
        <v>0</v>
      </c>
      <c r="D37" s="1">
        <v>49</v>
      </c>
      <c r="E37" s="1" t="s">
        <v>0</v>
      </c>
      <c r="F37" s="1">
        <v>10</v>
      </c>
      <c r="G37" s="1">
        <v>0</v>
      </c>
    </row>
    <row r="38" spans="1:7" x14ac:dyDescent="0.3">
      <c r="A38" s="1">
        <v>2</v>
      </c>
      <c r="B38" s="1">
        <v>0</v>
      </c>
      <c r="C38" s="1" t="s">
        <v>0</v>
      </c>
      <c r="D38" s="1">
        <v>48</v>
      </c>
      <c r="E38" s="1" t="s">
        <v>0</v>
      </c>
      <c r="F38" s="1">
        <v>24</v>
      </c>
      <c r="G38" s="1">
        <v>0</v>
      </c>
    </row>
    <row r="39" spans="1:7" x14ac:dyDescent="0.3">
      <c r="A39" s="1">
        <v>2</v>
      </c>
      <c r="B39" s="1">
        <v>0</v>
      </c>
      <c r="C39" s="1" t="s">
        <v>0</v>
      </c>
      <c r="D39" s="1">
        <v>40</v>
      </c>
      <c r="E39" s="1" t="s">
        <v>0</v>
      </c>
      <c r="F39" s="1">
        <v>26</v>
      </c>
      <c r="G39" s="1">
        <v>0</v>
      </c>
    </row>
    <row r="40" spans="1:7" x14ac:dyDescent="0.3">
      <c r="A40" s="1">
        <v>2</v>
      </c>
      <c r="B40" s="1">
        <v>0</v>
      </c>
      <c r="C40" s="1" t="s">
        <v>0</v>
      </c>
      <c r="D40" s="1">
        <v>32</v>
      </c>
      <c r="E40" s="1" t="s">
        <v>0</v>
      </c>
      <c r="F40" s="1">
        <v>43</v>
      </c>
      <c r="G40" s="1">
        <v>1</v>
      </c>
    </row>
    <row r="41" spans="1:7" x14ac:dyDescent="0.3">
      <c r="A41" s="1">
        <v>2</v>
      </c>
      <c r="B41" s="1">
        <v>0</v>
      </c>
      <c r="C41" s="1" t="s">
        <v>0</v>
      </c>
      <c r="D41" s="1">
        <v>8</v>
      </c>
      <c r="E41" s="1" t="s">
        <v>0</v>
      </c>
      <c r="F41" s="1">
        <v>51</v>
      </c>
      <c r="G41" s="1">
        <v>1</v>
      </c>
    </row>
    <row r="42" spans="1:7" x14ac:dyDescent="0.3">
      <c r="A42" s="1">
        <v>2</v>
      </c>
      <c r="B42" s="1">
        <v>0</v>
      </c>
      <c r="C42" s="1" t="s">
        <v>0</v>
      </c>
      <c r="D42" s="1">
        <v>25</v>
      </c>
      <c r="E42" s="1" t="s">
        <v>0</v>
      </c>
      <c r="F42" s="1">
        <v>16</v>
      </c>
      <c r="G42" s="1">
        <v>0</v>
      </c>
    </row>
    <row r="43" spans="1:7" x14ac:dyDescent="0.3">
      <c r="A43" s="1">
        <v>2</v>
      </c>
      <c r="B43" s="1">
        <v>0</v>
      </c>
      <c r="C43" s="1" t="s">
        <v>0</v>
      </c>
      <c r="D43" s="1">
        <v>47</v>
      </c>
      <c r="E43" s="1" t="s">
        <v>0</v>
      </c>
      <c r="F43" s="1">
        <v>42</v>
      </c>
      <c r="G43" s="1">
        <v>0</v>
      </c>
    </row>
    <row r="44" spans="1:7" x14ac:dyDescent="0.3">
      <c r="A44" s="1">
        <v>2</v>
      </c>
      <c r="B44" s="1">
        <v>0</v>
      </c>
      <c r="C44" s="1" t="s">
        <v>0</v>
      </c>
      <c r="D44" s="1">
        <v>49</v>
      </c>
      <c r="E44" s="1" t="s">
        <v>0</v>
      </c>
      <c r="F44" s="1">
        <v>31</v>
      </c>
      <c r="G44" s="1">
        <v>0</v>
      </c>
    </row>
    <row r="45" spans="1:7" x14ac:dyDescent="0.3">
      <c r="A45" s="1">
        <v>2</v>
      </c>
      <c r="B45" s="1">
        <v>0</v>
      </c>
      <c r="C45" s="1" t="s">
        <v>0</v>
      </c>
      <c r="D45" s="1">
        <v>29</v>
      </c>
      <c r="E45" s="1" t="s">
        <v>0</v>
      </c>
      <c r="F45" s="1">
        <v>2</v>
      </c>
      <c r="G45" s="1">
        <v>0</v>
      </c>
    </row>
    <row r="46" spans="1:7" x14ac:dyDescent="0.3">
      <c r="A46" s="1">
        <v>2</v>
      </c>
      <c r="B46" s="1">
        <v>0</v>
      </c>
      <c r="C46" s="1" t="s">
        <v>0</v>
      </c>
      <c r="D46" s="1">
        <v>47</v>
      </c>
      <c r="E46" s="1" t="s">
        <v>0</v>
      </c>
      <c r="F46" s="1">
        <v>25</v>
      </c>
      <c r="G46" s="1">
        <v>0</v>
      </c>
    </row>
    <row r="47" spans="1:7" x14ac:dyDescent="0.3">
      <c r="A47" s="1">
        <v>2</v>
      </c>
      <c r="B47" s="1">
        <v>0</v>
      </c>
      <c r="C47" s="1" t="s">
        <v>0</v>
      </c>
      <c r="D47" s="1">
        <v>11</v>
      </c>
      <c r="E47" s="1" t="s">
        <v>0</v>
      </c>
      <c r="F47" s="1">
        <v>37</v>
      </c>
      <c r="G47" s="1">
        <v>1</v>
      </c>
    </row>
    <row r="48" spans="1:7" x14ac:dyDescent="0.3">
      <c r="A48" s="1">
        <v>2</v>
      </c>
      <c r="B48" s="1">
        <v>0</v>
      </c>
      <c r="C48" s="1" t="s">
        <v>0</v>
      </c>
      <c r="D48" s="1">
        <v>37</v>
      </c>
      <c r="E48" s="1" t="s">
        <v>0</v>
      </c>
      <c r="F48" s="1">
        <v>0</v>
      </c>
      <c r="G48" s="1">
        <v>0</v>
      </c>
    </row>
    <row r="49" spans="1:7" x14ac:dyDescent="0.3">
      <c r="A49" s="1">
        <v>2</v>
      </c>
      <c r="B49" s="1">
        <v>0</v>
      </c>
      <c r="C49" s="1" t="s">
        <v>0</v>
      </c>
      <c r="D49" s="1">
        <v>44</v>
      </c>
      <c r="E49" s="1" t="s">
        <v>0</v>
      </c>
      <c r="F49" s="1">
        <v>16</v>
      </c>
      <c r="G49" s="1">
        <v>0</v>
      </c>
    </row>
    <row r="50" spans="1:7" x14ac:dyDescent="0.3">
      <c r="A50" s="1">
        <v>2</v>
      </c>
      <c r="B50" s="1">
        <v>0</v>
      </c>
      <c r="C50" s="1" t="s">
        <v>0</v>
      </c>
      <c r="D50" s="1">
        <v>56</v>
      </c>
      <c r="E50" s="1" t="s">
        <v>0</v>
      </c>
      <c r="F50" s="1">
        <v>2</v>
      </c>
      <c r="G50" s="1">
        <v>0</v>
      </c>
    </row>
    <row r="51" spans="1:7" x14ac:dyDescent="0.3">
      <c r="A51" s="1">
        <v>2</v>
      </c>
      <c r="B51" s="1">
        <v>1</v>
      </c>
      <c r="C51" s="1" t="s">
        <v>0</v>
      </c>
      <c r="D51" s="1">
        <v>2</v>
      </c>
      <c r="E51" s="1" t="s">
        <v>0</v>
      </c>
      <c r="F51" s="1">
        <v>75</v>
      </c>
      <c r="G51" s="1">
        <v>1</v>
      </c>
    </row>
    <row r="52" spans="1:7" x14ac:dyDescent="0.3">
      <c r="A52" s="1">
        <v>2</v>
      </c>
      <c r="B52" s="1">
        <v>1</v>
      </c>
      <c r="C52" s="1" t="s">
        <v>0</v>
      </c>
      <c r="D52" s="1">
        <v>32</v>
      </c>
      <c r="E52" s="1" t="s">
        <v>0</v>
      </c>
      <c r="F52" s="1">
        <v>20</v>
      </c>
      <c r="G52" s="1">
        <v>0</v>
      </c>
    </row>
    <row r="53" spans="1:7" x14ac:dyDescent="0.3">
      <c r="A53" s="1">
        <v>2</v>
      </c>
      <c r="B53" s="1">
        <v>1</v>
      </c>
      <c r="C53" s="1" t="s">
        <v>0</v>
      </c>
      <c r="D53" s="1">
        <v>2</v>
      </c>
      <c r="E53" s="1" t="s">
        <v>0</v>
      </c>
      <c r="F53" s="1">
        <v>65</v>
      </c>
      <c r="G53" s="1">
        <v>1</v>
      </c>
    </row>
    <row r="54" spans="1:7" x14ac:dyDescent="0.3">
      <c r="A54" s="1">
        <v>2</v>
      </c>
      <c r="B54" s="1">
        <v>1</v>
      </c>
      <c r="C54" s="1" t="s">
        <v>0</v>
      </c>
      <c r="D54" s="1">
        <v>0</v>
      </c>
      <c r="E54" s="1" t="s">
        <v>0</v>
      </c>
      <c r="F54" s="1">
        <v>63</v>
      </c>
      <c r="G54" s="1">
        <v>1</v>
      </c>
    </row>
    <row r="55" spans="1:7" x14ac:dyDescent="0.3">
      <c r="A55" s="1">
        <v>2</v>
      </c>
      <c r="B55" s="1">
        <v>1</v>
      </c>
      <c r="C55" s="1" t="s">
        <v>0</v>
      </c>
      <c r="D55" s="1">
        <v>15</v>
      </c>
      <c r="E55" s="1" t="s">
        <v>0</v>
      </c>
      <c r="F55" s="1">
        <v>54</v>
      </c>
      <c r="G55" s="1">
        <v>1</v>
      </c>
    </row>
    <row r="56" spans="1:7" x14ac:dyDescent="0.3">
      <c r="A56" s="1">
        <v>2</v>
      </c>
      <c r="B56" s="1">
        <v>1</v>
      </c>
      <c r="C56" s="1" t="s">
        <v>0</v>
      </c>
      <c r="D56" s="1">
        <v>22</v>
      </c>
      <c r="E56" s="1" t="s">
        <v>0</v>
      </c>
      <c r="F56" s="1">
        <v>50</v>
      </c>
      <c r="G56" s="1">
        <v>1</v>
      </c>
    </row>
    <row r="57" spans="1:7" x14ac:dyDescent="0.3">
      <c r="A57" s="1">
        <v>2</v>
      </c>
      <c r="B57" s="1">
        <v>1</v>
      </c>
      <c r="C57" s="1" t="s">
        <v>0</v>
      </c>
      <c r="D57" s="1">
        <v>8</v>
      </c>
      <c r="E57" s="1" t="s">
        <v>0</v>
      </c>
      <c r="F57" s="1">
        <v>26</v>
      </c>
      <c r="G57" s="1">
        <v>1</v>
      </c>
    </row>
    <row r="58" spans="1:7" x14ac:dyDescent="0.3">
      <c r="A58" s="1">
        <v>2</v>
      </c>
      <c r="B58" s="1">
        <v>1</v>
      </c>
      <c r="C58" s="1" t="s">
        <v>0</v>
      </c>
      <c r="D58" s="1">
        <v>14</v>
      </c>
      <c r="E58" s="1" t="s">
        <v>0</v>
      </c>
      <c r="F58" s="1">
        <v>28</v>
      </c>
      <c r="G58" s="1">
        <v>1</v>
      </c>
    </row>
    <row r="59" spans="1:7" x14ac:dyDescent="0.3">
      <c r="A59" s="1">
        <v>2</v>
      </c>
      <c r="B59" s="1">
        <v>1</v>
      </c>
      <c r="C59" s="1" t="s">
        <v>0</v>
      </c>
      <c r="D59" s="1">
        <v>36</v>
      </c>
      <c r="E59" s="1" t="s">
        <v>0</v>
      </c>
      <c r="F59" s="1">
        <v>14</v>
      </c>
      <c r="G59" s="1">
        <v>0</v>
      </c>
    </row>
    <row r="60" spans="1:7" x14ac:dyDescent="0.3">
      <c r="A60" s="1">
        <v>2</v>
      </c>
      <c r="B60" s="1">
        <v>1</v>
      </c>
      <c r="C60" s="1" t="s">
        <v>0</v>
      </c>
      <c r="D60" s="1">
        <v>43</v>
      </c>
      <c r="E60" s="1" t="s">
        <v>0</v>
      </c>
      <c r="F60" s="1">
        <v>18</v>
      </c>
      <c r="G60" s="1">
        <v>0</v>
      </c>
    </row>
    <row r="61" spans="1:7" x14ac:dyDescent="0.3">
      <c r="A61" s="1">
        <v>2</v>
      </c>
      <c r="B61" s="1">
        <v>1</v>
      </c>
      <c r="C61" s="1" t="s">
        <v>0</v>
      </c>
      <c r="D61" s="1">
        <v>38</v>
      </c>
      <c r="E61" s="1" t="s">
        <v>0</v>
      </c>
      <c r="F61" s="1">
        <v>40</v>
      </c>
      <c r="G61" s="1">
        <v>1</v>
      </c>
    </row>
    <row r="62" spans="1:7" x14ac:dyDescent="0.3">
      <c r="A62" s="1">
        <v>2</v>
      </c>
      <c r="B62" s="1">
        <v>1</v>
      </c>
      <c r="C62" s="1" t="s">
        <v>0</v>
      </c>
      <c r="D62" s="1">
        <v>9</v>
      </c>
      <c r="E62" s="1" t="s">
        <v>0</v>
      </c>
      <c r="F62" s="1">
        <v>3</v>
      </c>
      <c r="G62" s="1">
        <v>0</v>
      </c>
    </row>
    <row r="63" spans="1:7" x14ac:dyDescent="0.3">
      <c r="A63" s="1">
        <v>2</v>
      </c>
      <c r="B63" s="1">
        <v>1</v>
      </c>
      <c r="C63" s="1" t="s">
        <v>0</v>
      </c>
      <c r="D63" s="1">
        <v>0</v>
      </c>
      <c r="E63" s="1" t="s">
        <v>0</v>
      </c>
      <c r="F63" s="1">
        <v>49</v>
      </c>
      <c r="G63" s="1">
        <v>1</v>
      </c>
    </row>
    <row r="64" spans="1:7" x14ac:dyDescent="0.3">
      <c r="A64" s="1">
        <v>2</v>
      </c>
      <c r="B64" s="1">
        <v>1</v>
      </c>
      <c r="C64" s="1" t="s">
        <v>0</v>
      </c>
      <c r="D64" s="1">
        <v>32</v>
      </c>
      <c r="E64" s="1" t="s">
        <v>0</v>
      </c>
      <c r="F64" s="1">
        <v>28</v>
      </c>
      <c r="G64" s="1">
        <v>0</v>
      </c>
    </row>
    <row r="65" spans="1:7" x14ac:dyDescent="0.3">
      <c r="A65" s="1">
        <v>2</v>
      </c>
      <c r="B65" s="1">
        <v>1</v>
      </c>
      <c r="C65" s="1" t="s">
        <v>0</v>
      </c>
      <c r="D65" s="1">
        <v>9</v>
      </c>
      <c r="E65" s="1" t="s">
        <v>0</v>
      </c>
      <c r="F65" s="1">
        <v>35</v>
      </c>
      <c r="G65" s="1">
        <v>1</v>
      </c>
    </row>
    <row r="66" spans="1:7" x14ac:dyDescent="0.3">
      <c r="A66" s="1">
        <v>2</v>
      </c>
      <c r="B66" s="1">
        <v>1</v>
      </c>
      <c r="C66" s="1" t="s">
        <v>0</v>
      </c>
      <c r="D66" s="1">
        <v>10</v>
      </c>
      <c r="E66" s="1" t="s">
        <v>0</v>
      </c>
      <c r="F66" s="1">
        <v>64</v>
      </c>
      <c r="G66" s="1">
        <v>1</v>
      </c>
    </row>
    <row r="67" spans="1:7" x14ac:dyDescent="0.3">
      <c r="A67" s="1">
        <v>2</v>
      </c>
      <c r="B67" s="1">
        <v>1</v>
      </c>
      <c r="C67" s="1" t="s">
        <v>0</v>
      </c>
      <c r="D67" s="1">
        <v>11</v>
      </c>
      <c r="E67" s="1" t="s">
        <v>0</v>
      </c>
      <c r="F67" s="1">
        <v>29</v>
      </c>
      <c r="G67" s="1">
        <v>1</v>
      </c>
    </row>
    <row r="68" spans="1:7" x14ac:dyDescent="0.3">
      <c r="A68" s="1">
        <v>2</v>
      </c>
      <c r="B68" s="1">
        <v>1</v>
      </c>
      <c r="C68" s="1" t="s">
        <v>0</v>
      </c>
      <c r="D68" s="1">
        <v>81</v>
      </c>
      <c r="E68" s="1" t="s">
        <v>0</v>
      </c>
      <c r="F68" s="1">
        <v>20</v>
      </c>
      <c r="G68" s="1">
        <v>0</v>
      </c>
    </row>
    <row r="69" spans="1:7" x14ac:dyDescent="0.3">
      <c r="A69" s="1">
        <v>2</v>
      </c>
      <c r="B69" s="1">
        <v>1</v>
      </c>
      <c r="C69" s="1" t="s">
        <v>0</v>
      </c>
      <c r="D69" s="1">
        <v>36</v>
      </c>
      <c r="E69" s="1" t="s">
        <v>0</v>
      </c>
      <c r="F69" s="1">
        <v>48</v>
      </c>
      <c r="G69" s="1">
        <v>1</v>
      </c>
    </row>
    <row r="70" spans="1:7" x14ac:dyDescent="0.3">
      <c r="A70" s="1">
        <v>2</v>
      </c>
      <c r="B70" s="1">
        <v>1</v>
      </c>
      <c r="C70" s="1" t="s">
        <v>0</v>
      </c>
      <c r="D70" s="1">
        <v>17</v>
      </c>
      <c r="E70" s="1" t="s">
        <v>0</v>
      </c>
      <c r="F70" s="1">
        <v>31</v>
      </c>
      <c r="G70" s="1">
        <v>1</v>
      </c>
    </row>
    <row r="71" spans="1:7" x14ac:dyDescent="0.3">
      <c r="A71" s="1">
        <v>2</v>
      </c>
      <c r="B71" s="1">
        <v>1</v>
      </c>
      <c r="C71" s="1" t="s">
        <v>0</v>
      </c>
      <c r="D71" s="1">
        <v>16</v>
      </c>
      <c r="E71" s="1" t="s">
        <v>0</v>
      </c>
      <c r="F71" s="1">
        <v>25</v>
      </c>
      <c r="G71" s="1">
        <v>1</v>
      </c>
    </row>
    <row r="72" spans="1:7" x14ac:dyDescent="0.3">
      <c r="A72" s="1">
        <v>2</v>
      </c>
      <c r="B72" s="1">
        <v>1</v>
      </c>
      <c r="C72" s="1" t="s">
        <v>0</v>
      </c>
      <c r="D72" s="1">
        <v>2</v>
      </c>
      <c r="E72" s="1" t="s">
        <v>0</v>
      </c>
      <c r="F72" s="1">
        <v>26</v>
      </c>
      <c r="G72" s="1">
        <v>1</v>
      </c>
    </row>
    <row r="73" spans="1:7" x14ac:dyDescent="0.3">
      <c r="A73" s="1">
        <v>2</v>
      </c>
      <c r="B73" s="1">
        <v>1</v>
      </c>
      <c r="C73" s="1" t="s">
        <v>0</v>
      </c>
      <c r="D73" s="1">
        <v>27</v>
      </c>
      <c r="E73" s="1" t="s">
        <v>0</v>
      </c>
      <c r="F73" s="1">
        <v>48</v>
      </c>
      <c r="G73" s="1">
        <v>1</v>
      </c>
    </row>
    <row r="74" spans="1:7" x14ac:dyDescent="0.3">
      <c r="A74" s="1">
        <v>2</v>
      </c>
      <c r="B74" s="1">
        <v>1</v>
      </c>
      <c r="C74" s="1" t="s">
        <v>0</v>
      </c>
      <c r="D74" s="1">
        <v>33</v>
      </c>
      <c r="E74" s="1" t="s">
        <v>0</v>
      </c>
      <c r="F74" s="1">
        <v>35</v>
      </c>
      <c r="G74" s="1">
        <v>1</v>
      </c>
    </row>
    <row r="75" spans="1:7" x14ac:dyDescent="0.3">
      <c r="A75" s="1">
        <v>2</v>
      </c>
      <c r="B75" s="1">
        <v>1</v>
      </c>
      <c r="C75" s="1" t="s">
        <v>0</v>
      </c>
      <c r="D75" s="1">
        <v>13</v>
      </c>
      <c r="E75" s="1" t="s">
        <v>0</v>
      </c>
      <c r="F75" s="1">
        <v>69</v>
      </c>
      <c r="G75" s="1">
        <v>1</v>
      </c>
    </row>
    <row r="76" spans="1:7" x14ac:dyDescent="0.3">
      <c r="A76" s="1">
        <v>2</v>
      </c>
      <c r="B76" s="1">
        <v>1</v>
      </c>
      <c r="C76" s="1" t="s">
        <v>0</v>
      </c>
      <c r="D76" s="1">
        <v>23</v>
      </c>
      <c r="E76" s="1" t="s">
        <v>0</v>
      </c>
      <c r="F76" s="1">
        <v>28</v>
      </c>
      <c r="G76" s="1">
        <v>1</v>
      </c>
    </row>
    <row r="77" spans="1:7" x14ac:dyDescent="0.3">
      <c r="A77" s="1">
        <v>2</v>
      </c>
      <c r="B77" s="1">
        <v>1</v>
      </c>
      <c r="C77" s="1" t="s">
        <v>0</v>
      </c>
      <c r="D77" s="1">
        <v>0</v>
      </c>
      <c r="E77" s="1" t="s">
        <v>0</v>
      </c>
      <c r="F77" s="1">
        <v>23</v>
      </c>
      <c r="G77" s="1">
        <v>1</v>
      </c>
    </row>
    <row r="78" spans="1:7" x14ac:dyDescent="0.3">
      <c r="A78" s="1">
        <v>2</v>
      </c>
      <c r="B78" s="1">
        <v>1</v>
      </c>
      <c r="C78" s="1" t="s">
        <v>0</v>
      </c>
      <c r="D78" s="1">
        <v>42</v>
      </c>
      <c r="E78" s="1" t="s">
        <v>0</v>
      </c>
      <c r="F78" s="1">
        <v>30</v>
      </c>
      <c r="G78" s="1">
        <v>0</v>
      </c>
    </row>
    <row r="79" spans="1:7" x14ac:dyDescent="0.3">
      <c r="A79" s="1">
        <v>2</v>
      </c>
      <c r="B79" s="1">
        <v>1</v>
      </c>
      <c r="C79" s="1" t="s">
        <v>0</v>
      </c>
      <c r="D79" s="1">
        <v>25</v>
      </c>
      <c r="E79" s="1" t="s">
        <v>0</v>
      </c>
      <c r="F79" s="1">
        <v>15</v>
      </c>
      <c r="G79" s="1">
        <v>0</v>
      </c>
    </row>
    <row r="80" spans="1:7" x14ac:dyDescent="0.3">
      <c r="A80" s="1">
        <v>2</v>
      </c>
      <c r="B80" s="1">
        <v>1</v>
      </c>
      <c r="C80" s="1" t="s">
        <v>0</v>
      </c>
      <c r="D80" s="1">
        <v>13</v>
      </c>
      <c r="E80" s="1" t="s">
        <v>0</v>
      </c>
      <c r="F80" s="1">
        <v>66</v>
      </c>
      <c r="G80" s="1">
        <v>1</v>
      </c>
    </row>
    <row r="81" spans="1:7" x14ac:dyDescent="0.3">
      <c r="A81" s="1">
        <v>2</v>
      </c>
      <c r="B81" s="1">
        <v>1</v>
      </c>
      <c r="C81" s="1" t="s">
        <v>0</v>
      </c>
      <c r="D81" s="1">
        <v>13</v>
      </c>
      <c r="E81" s="1" t="s">
        <v>0</v>
      </c>
      <c r="F81" s="1">
        <v>45</v>
      </c>
      <c r="G81" s="1">
        <v>1</v>
      </c>
    </row>
    <row r="82" spans="1:7" x14ac:dyDescent="0.3">
      <c r="A82" s="1">
        <v>2</v>
      </c>
      <c r="B82" s="1">
        <v>1</v>
      </c>
      <c r="C82" s="1" t="s">
        <v>0</v>
      </c>
      <c r="D82" s="1">
        <v>42</v>
      </c>
      <c r="E82" s="1" t="s">
        <v>0</v>
      </c>
      <c r="F82" s="1">
        <v>34</v>
      </c>
      <c r="G82" s="1">
        <v>0</v>
      </c>
    </row>
    <row r="83" spans="1:7" x14ac:dyDescent="0.3">
      <c r="A83" s="1">
        <v>2</v>
      </c>
      <c r="B83" s="1">
        <v>1</v>
      </c>
      <c r="C83" s="1" t="s">
        <v>0</v>
      </c>
      <c r="D83" s="1">
        <v>22</v>
      </c>
      <c r="E83" s="1" t="s">
        <v>0</v>
      </c>
      <c r="F83" s="1">
        <v>50</v>
      </c>
      <c r="G83" s="1">
        <v>1</v>
      </c>
    </row>
    <row r="84" spans="1:7" x14ac:dyDescent="0.3">
      <c r="A84" s="1">
        <v>2</v>
      </c>
      <c r="B84" s="1">
        <v>1</v>
      </c>
      <c r="C84" s="1" t="s">
        <v>0</v>
      </c>
      <c r="D84" s="1">
        <v>27</v>
      </c>
      <c r="E84" s="1" t="s">
        <v>0</v>
      </c>
      <c r="F84" s="1">
        <v>34</v>
      </c>
      <c r="G84" s="1">
        <v>1</v>
      </c>
    </row>
    <row r="85" spans="1:7" x14ac:dyDescent="0.3">
      <c r="A85" s="1">
        <v>2</v>
      </c>
      <c r="B85" s="1">
        <v>1</v>
      </c>
      <c r="C85" s="1" t="s">
        <v>0</v>
      </c>
      <c r="D85" s="1">
        <v>23</v>
      </c>
      <c r="E85" s="1" t="s">
        <v>0</v>
      </c>
      <c r="F85" s="1">
        <v>40</v>
      </c>
      <c r="G85" s="1">
        <v>1</v>
      </c>
    </row>
    <row r="86" spans="1:7" x14ac:dyDescent="0.3">
      <c r="A86" s="1">
        <v>2</v>
      </c>
      <c r="B86" s="1">
        <v>1</v>
      </c>
      <c r="C86" s="1" t="s">
        <v>0</v>
      </c>
      <c r="D86" s="1">
        <v>35</v>
      </c>
      <c r="E86" s="1" t="s">
        <v>0</v>
      </c>
      <c r="F86" s="1">
        <v>19</v>
      </c>
      <c r="G86" s="1">
        <v>0</v>
      </c>
    </row>
    <row r="87" spans="1:7" x14ac:dyDescent="0.3">
      <c r="A87" s="1">
        <v>2</v>
      </c>
      <c r="B87" s="1">
        <v>1</v>
      </c>
      <c r="C87" s="1" t="s">
        <v>0</v>
      </c>
      <c r="D87" s="1">
        <v>25</v>
      </c>
      <c r="E87" s="1" t="s">
        <v>0</v>
      </c>
      <c r="F87" s="1">
        <v>39</v>
      </c>
      <c r="G87" s="1">
        <v>1</v>
      </c>
    </row>
    <row r="88" spans="1:7" x14ac:dyDescent="0.3">
      <c r="A88" s="1">
        <v>2</v>
      </c>
      <c r="B88" s="1">
        <v>1</v>
      </c>
      <c r="C88" s="1" t="s">
        <v>0</v>
      </c>
      <c r="D88" s="1">
        <v>37</v>
      </c>
      <c r="E88" s="1" t="s">
        <v>0</v>
      </c>
      <c r="F88" s="1">
        <v>44</v>
      </c>
      <c r="G88" s="1">
        <v>1</v>
      </c>
    </row>
    <row r="89" spans="1:7" x14ac:dyDescent="0.3">
      <c r="A89" s="1">
        <v>2</v>
      </c>
      <c r="B89" s="1">
        <v>1</v>
      </c>
      <c r="C89" s="1" t="s">
        <v>0</v>
      </c>
      <c r="D89" s="1">
        <v>7</v>
      </c>
      <c r="E89" s="1" t="s">
        <v>0</v>
      </c>
      <c r="F89" s="1">
        <v>28</v>
      </c>
      <c r="G89" s="1">
        <v>1</v>
      </c>
    </row>
    <row r="90" spans="1:7" x14ac:dyDescent="0.3">
      <c r="A90" s="1">
        <v>2</v>
      </c>
      <c r="B90" s="1">
        <v>1</v>
      </c>
      <c r="C90" s="1" t="s">
        <v>0</v>
      </c>
      <c r="D90" s="1">
        <v>38</v>
      </c>
      <c r="E90" s="1" t="s">
        <v>0</v>
      </c>
      <c r="F90" s="1">
        <v>13</v>
      </c>
      <c r="G90" s="1">
        <v>0</v>
      </c>
    </row>
    <row r="91" spans="1:7" x14ac:dyDescent="0.3">
      <c r="A91" s="1">
        <v>2</v>
      </c>
      <c r="B91" s="1">
        <v>1</v>
      </c>
      <c r="C91" s="1" t="s">
        <v>0</v>
      </c>
      <c r="D91" s="1">
        <v>15</v>
      </c>
      <c r="E91" s="1" t="s">
        <v>0</v>
      </c>
      <c r="F91" s="1">
        <v>30</v>
      </c>
      <c r="G91" s="1">
        <v>1</v>
      </c>
    </row>
    <row r="92" spans="1:7" x14ac:dyDescent="0.3">
      <c r="A92" s="1">
        <v>2</v>
      </c>
      <c r="B92" s="1">
        <v>1</v>
      </c>
      <c r="C92" s="1" t="s">
        <v>0</v>
      </c>
      <c r="D92" s="1">
        <v>13</v>
      </c>
      <c r="E92" s="1" t="s">
        <v>0</v>
      </c>
      <c r="F92" s="1">
        <v>21</v>
      </c>
      <c r="G92" s="1">
        <v>1</v>
      </c>
    </row>
    <row r="93" spans="1:7" x14ac:dyDescent="0.3">
      <c r="A93" s="1">
        <v>2</v>
      </c>
      <c r="B93" s="1">
        <v>1</v>
      </c>
      <c r="C93" s="1" t="s">
        <v>0</v>
      </c>
      <c r="D93" s="1">
        <v>22</v>
      </c>
      <c r="E93" s="1" t="s">
        <v>0</v>
      </c>
      <c r="F93" s="1">
        <v>53</v>
      </c>
      <c r="G93" s="1">
        <v>1</v>
      </c>
    </row>
    <row r="94" spans="1:7" x14ac:dyDescent="0.3">
      <c r="A94" s="1">
        <v>2</v>
      </c>
      <c r="B94" s="1">
        <v>1</v>
      </c>
      <c r="C94" s="1" t="s">
        <v>0</v>
      </c>
      <c r="D94" s="1">
        <v>32</v>
      </c>
      <c r="E94" s="1" t="s">
        <v>0</v>
      </c>
      <c r="F94" s="1">
        <v>19</v>
      </c>
      <c r="G94" s="1">
        <v>0</v>
      </c>
    </row>
    <row r="95" spans="1:7" x14ac:dyDescent="0.3">
      <c r="A95" s="1">
        <v>2</v>
      </c>
      <c r="B95" s="1">
        <v>1</v>
      </c>
      <c r="C95" s="1" t="s">
        <v>0</v>
      </c>
      <c r="D95" s="1">
        <v>22</v>
      </c>
      <c r="E95" s="1" t="s">
        <v>0</v>
      </c>
      <c r="F95" s="1">
        <v>41</v>
      </c>
      <c r="G95" s="1">
        <v>1</v>
      </c>
    </row>
    <row r="96" spans="1:7" x14ac:dyDescent="0.3">
      <c r="A96" s="1">
        <v>2</v>
      </c>
      <c r="B96" s="1">
        <v>1</v>
      </c>
      <c r="C96" s="1" t="s">
        <v>0</v>
      </c>
      <c r="D96" s="1">
        <v>10</v>
      </c>
      <c r="E96" s="1" t="s">
        <v>0</v>
      </c>
      <c r="F96" s="1">
        <v>45</v>
      </c>
      <c r="G96" s="1">
        <v>1</v>
      </c>
    </row>
    <row r="97" spans="1:7" x14ac:dyDescent="0.3">
      <c r="A97" s="1">
        <v>2</v>
      </c>
      <c r="B97" s="1">
        <v>1</v>
      </c>
      <c r="C97" s="1" t="s">
        <v>0</v>
      </c>
      <c r="D97" s="1">
        <v>21</v>
      </c>
      <c r="E97" s="1" t="s">
        <v>0</v>
      </c>
      <c r="F97" s="1">
        <v>27</v>
      </c>
      <c r="G97" s="1">
        <v>1</v>
      </c>
    </row>
    <row r="98" spans="1:7" x14ac:dyDescent="0.3">
      <c r="A98" s="1">
        <v>2</v>
      </c>
      <c r="B98" s="1">
        <v>1</v>
      </c>
      <c r="C98" s="1" t="s">
        <v>0</v>
      </c>
      <c r="D98" s="1">
        <v>25</v>
      </c>
      <c r="E98" s="1" t="s">
        <v>0</v>
      </c>
      <c r="F98" s="1">
        <v>42</v>
      </c>
      <c r="G98" s="1">
        <v>1</v>
      </c>
    </row>
    <row r="99" spans="1:7" x14ac:dyDescent="0.3">
      <c r="A99" s="1">
        <v>2</v>
      </c>
      <c r="B99" s="1">
        <v>1</v>
      </c>
      <c r="C99" s="1" t="s">
        <v>0</v>
      </c>
      <c r="D99" s="1">
        <v>2</v>
      </c>
      <c r="E99" s="1" t="s">
        <v>0</v>
      </c>
      <c r="F99" s="1">
        <v>33</v>
      </c>
      <c r="G99" s="1">
        <v>1</v>
      </c>
    </row>
    <row r="100" spans="1:7" x14ac:dyDescent="0.3">
      <c r="A100" s="1">
        <v>2</v>
      </c>
      <c r="B100" s="1">
        <v>1</v>
      </c>
      <c r="C100" s="1" t="s">
        <v>0</v>
      </c>
      <c r="D100" s="1">
        <v>11</v>
      </c>
      <c r="E100" s="1" t="s">
        <v>0</v>
      </c>
      <c r="F100" s="1">
        <v>3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C843-1405-4A69-9D37-071451257CDE}">
  <dimension ref="A1:Q100"/>
  <sheetViews>
    <sheetView workbookViewId="0">
      <selection activeCell="H28" sqref="H28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1</v>
      </c>
      <c r="D1" s="1">
        <v>31</v>
      </c>
      <c r="E1" s="1" t="s">
        <v>1</v>
      </c>
      <c r="F1" s="1">
        <v>17</v>
      </c>
      <c r="G1" s="1">
        <v>0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1</v>
      </c>
      <c r="D2" s="1">
        <v>18</v>
      </c>
      <c r="E2" s="1" t="s">
        <v>1</v>
      </c>
      <c r="F2" s="1">
        <v>56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1</v>
      </c>
      <c r="D3" s="1">
        <v>20</v>
      </c>
      <c r="E3" s="1" t="s">
        <v>1</v>
      </c>
      <c r="F3" s="1">
        <v>40</v>
      </c>
      <c r="G3" s="1">
        <v>1</v>
      </c>
      <c r="I3" s="5" t="s">
        <v>6</v>
      </c>
      <c r="J3" s="5"/>
      <c r="K3" s="9">
        <f>COUNTIF($G$1:$G$100, 0)</f>
        <v>47</v>
      </c>
      <c r="L3" s="9"/>
      <c r="M3" s="9">
        <f>COUNTIFS($G$1:$G$100, 0, $B$1:$B$100, 0)</f>
        <v>25</v>
      </c>
      <c r="N3" s="9"/>
      <c r="O3" s="10">
        <f>COUNTIFS($G$1:$G$100, 0, $B$1:$B$100, 1)</f>
        <v>22</v>
      </c>
      <c r="P3" s="11"/>
      <c r="Q3" s="12" cm="1">
        <f t="array" ref="Q3">SUMPRODUCT(--($D$1:$D$100=$G$1:$G$100))</f>
        <v>1</v>
      </c>
    </row>
    <row r="4" spans="1:17" x14ac:dyDescent="0.3">
      <c r="A4" s="1">
        <v>2</v>
      </c>
      <c r="B4" s="1">
        <v>0</v>
      </c>
      <c r="C4" s="1" t="s">
        <v>1</v>
      </c>
      <c r="D4" s="1">
        <v>10</v>
      </c>
      <c r="E4" s="1" t="s">
        <v>1</v>
      </c>
      <c r="F4" s="1">
        <v>24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1</v>
      </c>
      <c r="D5" s="1">
        <v>43</v>
      </c>
      <c r="E5" s="1" t="s">
        <v>1</v>
      </c>
      <c r="F5" s="1">
        <v>54</v>
      </c>
      <c r="G5" s="1">
        <v>1</v>
      </c>
      <c r="I5" s="5" t="s">
        <v>7</v>
      </c>
      <c r="J5" s="5"/>
      <c r="K5" s="14">
        <f>COUNTIF($G$1:$G$100, 1)</f>
        <v>53</v>
      </c>
      <c r="L5" s="9"/>
      <c r="M5" s="9">
        <f>COUNTIFS($G$1:$G$100, 1, $B$1:$B$100, 0)</f>
        <v>25</v>
      </c>
      <c r="N5" s="9"/>
      <c r="O5" s="9">
        <f>COUNTIFS($G$1:$G$100, 1, $B$1:$B$100, 1)</f>
        <v>28</v>
      </c>
      <c r="P5" s="13"/>
      <c r="Q5"/>
    </row>
    <row r="6" spans="1:17" x14ac:dyDescent="0.3">
      <c r="A6" s="1">
        <v>2</v>
      </c>
      <c r="B6" s="1">
        <v>0</v>
      </c>
      <c r="C6" s="1" t="s">
        <v>1</v>
      </c>
      <c r="D6" s="1">
        <v>27</v>
      </c>
      <c r="E6" s="1" t="s">
        <v>1</v>
      </c>
      <c r="F6" s="1">
        <v>52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1</v>
      </c>
      <c r="D7" s="1">
        <v>25</v>
      </c>
      <c r="E7" s="1" t="s">
        <v>1</v>
      </c>
      <c r="F7" s="1">
        <v>13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1</v>
      </c>
      <c r="D8" s="1">
        <v>42</v>
      </c>
      <c r="E8" s="1" t="s">
        <v>1</v>
      </c>
      <c r="F8" s="1">
        <v>41</v>
      </c>
      <c r="G8" s="1">
        <v>0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1</v>
      </c>
      <c r="D9" s="1">
        <v>42</v>
      </c>
      <c r="E9" s="1" t="s">
        <v>1</v>
      </c>
      <c r="F9" s="1">
        <v>19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1</v>
      </c>
      <c r="D10" s="1">
        <v>36</v>
      </c>
      <c r="E10" s="1" t="s">
        <v>1</v>
      </c>
      <c r="F10" s="1">
        <v>46</v>
      </c>
      <c r="G10" s="1">
        <v>1</v>
      </c>
      <c r="I10" s="5" t="s">
        <v>10</v>
      </c>
      <c r="J10" s="5"/>
      <c r="K10" s="9">
        <f>AVERAGE($D$1:$D$100,)</f>
        <v>26.336633663366335</v>
      </c>
      <c r="L10" s="9"/>
      <c r="M10" s="9" cm="1">
        <f t="array" ref="M10">AVERAGE(_xlfn._xlws.FILTER($D$1:$D$100,$G$1:$G$100 = 0))</f>
        <v>36.680851063829785</v>
      </c>
      <c r="N10" s="9"/>
      <c r="O10" s="10" cm="1">
        <f t="array" ref="O10">AVERAGE(_xlfn._xlws.FILTER($D$1:$D$100,$G$1:$G$100 = 1))</f>
        <v>17.660377358490567</v>
      </c>
      <c r="P10" s="11"/>
      <c r="Q10"/>
    </row>
    <row r="11" spans="1:17" x14ac:dyDescent="0.3">
      <c r="A11" s="1">
        <v>2</v>
      </c>
      <c r="B11" s="1">
        <v>0</v>
      </c>
      <c r="C11" s="1" t="s">
        <v>1</v>
      </c>
      <c r="D11" s="1">
        <v>44</v>
      </c>
      <c r="E11" s="1" t="s">
        <v>1</v>
      </c>
      <c r="F11" s="1">
        <v>33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1</v>
      </c>
      <c r="D12" s="1">
        <v>30</v>
      </c>
      <c r="E12" s="1" t="s">
        <v>1</v>
      </c>
      <c r="F12" s="1">
        <v>38</v>
      </c>
      <c r="G12" s="1">
        <v>1</v>
      </c>
      <c r="I12" s="5" t="s">
        <v>11</v>
      </c>
      <c r="J12" s="5"/>
      <c r="K12" s="9">
        <f>AVERAGE($F$1:$F$100,)</f>
        <v>28.376237623762375</v>
      </c>
      <c r="L12" s="9"/>
      <c r="M12" s="9" cm="1">
        <f t="array" ref="M12">AVERAGE(_xlfn._xlws.FILTER($F$1:$F$100,$G$1:$G$100 = 0))</f>
        <v>21.659574468085108</v>
      </c>
      <c r="N12" s="9"/>
      <c r="O12" s="9" cm="1">
        <f t="array" ref="O12">AVERAGE(_xlfn._xlws.FILTER($F$1:$F$100,$G$1:$G$100 = 1))</f>
        <v>34.867924528301884</v>
      </c>
      <c r="P12" s="13"/>
      <c r="Q12"/>
    </row>
    <row r="13" spans="1:17" x14ac:dyDescent="0.3">
      <c r="A13" s="1">
        <v>2</v>
      </c>
      <c r="B13" s="1">
        <v>0</v>
      </c>
      <c r="C13" s="1" t="s">
        <v>1</v>
      </c>
      <c r="D13" s="1">
        <v>30</v>
      </c>
      <c r="E13" s="1" t="s">
        <v>1</v>
      </c>
      <c r="F13" s="1">
        <v>7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1</v>
      </c>
      <c r="D14" s="1">
        <v>33</v>
      </c>
      <c r="E14" s="1" t="s">
        <v>1</v>
      </c>
      <c r="F14" s="1">
        <v>50</v>
      </c>
      <c r="G14" s="1">
        <v>1</v>
      </c>
      <c r="I14" s="22" t="s">
        <v>12</v>
      </c>
      <c r="J14" s="11"/>
      <c r="K14" s="23" cm="1">
        <f t="array" ref="K14">AVERAGE($D$1:$D$100 - $F$1:$F$100)</f>
        <v>-2.06</v>
      </c>
      <c r="L14" s="23"/>
      <c r="M14" s="23" cm="1">
        <f t="array" ref="M14">AVERAGE(_xlfn._xlws.FILTER($D$1:$D$100 - $F$1:$F$100, G$1:G$100 = 0))</f>
        <v>15.021276595744681</v>
      </c>
      <c r="N14" s="23"/>
      <c r="O14" s="23" cm="1">
        <f t="array" ref="O14">AVERAGE(_xlfn._xlws.FILTER($D$1:$D$100 - $F$1:$F$100, G$1:G$100 = 1))</f>
        <v>-17.20754716981132</v>
      </c>
      <c r="P14" s="24"/>
      <c r="Q14"/>
    </row>
    <row r="15" spans="1:17" x14ac:dyDescent="0.3">
      <c r="A15" s="1">
        <v>2</v>
      </c>
      <c r="B15" s="1">
        <v>0</v>
      </c>
      <c r="C15" s="1" t="s">
        <v>1</v>
      </c>
      <c r="D15" s="1">
        <v>24</v>
      </c>
      <c r="E15" s="1" t="s">
        <v>1</v>
      </c>
      <c r="F15" s="1">
        <v>18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1</v>
      </c>
      <c r="D16" s="1">
        <v>15</v>
      </c>
      <c r="E16" s="1" t="s">
        <v>1</v>
      </c>
      <c r="F16" s="1">
        <v>26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1</v>
      </c>
      <c r="D17" s="1">
        <v>13</v>
      </c>
      <c r="E17" s="1" t="s">
        <v>1</v>
      </c>
      <c r="F17" s="1">
        <v>27</v>
      </c>
      <c r="G17" s="1">
        <v>1</v>
      </c>
    </row>
    <row r="18" spans="1:7" x14ac:dyDescent="0.3">
      <c r="A18" s="1">
        <v>2</v>
      </c>
      <c r="B18" s="1">
        <v>0</v>
      </c>
      <c r="C18" s="1" t="s">
        <v>1</v>
      </c>
      <c r="D18" s="1">
        <v>6</v>
      </c>
      <c r="E18" s="1" t="s">
        <v>1</v>
      </c>
      <c r="F18" s="1">
        <v>11</v>
      </c>
      <c r="G18" s="1">
        <v>1</v>
      </c>
    </row>
    <row r="19" spans="1:7" x14ac:dyDescent="0.3">
      <c r="A19" s="1">
        <v>2</v>
      </c>
      <c r="B19" s="1">
        <v>0</v>
      </c>
      <c r="C19" s="1" t="s">
        <v>1</v>
      </c>
      <c r="D19" s="1">
        <v>25</v>
      </c>
      <c r="E19" s="1" t="s">
        <v>1</v>
      </c>
      <c r="F19" s="1">
        <v>20</v>
      </c>
      <c r="G19" s="1">
        <v>0</v>
      </c>
    </row>
    <row r="20" spans="1:7" x14ac:dyDescent="0.3">
      <c r="A20" s="1">
        <v>2</v>
      </c>
      <c r="B20" s="1">
        <v>0</v>
      </c>
      <c r="C20" s="1" t="s">
        <v>1</v>
      </c>
      <c r="D20" s="1">
        <v>34</v>
      </c>
      <c r="E20" s="1" t="s">
        <v>1</v>
      </c>
      <c r="F20" s="1">
        <v>15</v>
      </c>
      <c r="G20" s="1">
        <v>0</v>
      </c>
    </row>
    <row r="21" spans="1:7" x14ac:dyDescent="0.3">
      <c r="A21" s="1">
        <v>2</v>
      </c>
      <c r="B21" s="1">
        <v>0</v>
      </c>
      <c r="C21" s="1" t="s">
        <v>1</v>
      </c>
      <c r="D21" s="1">
        <v>22</v>
      </c>
      <c r="E21" s="1" t="s">
        <v>1</v>
      </c>
      <c r="F21" s="1">
        <v>19</v>
      </c>
      <c r="G21" s="1">
        <v>0</v>
      </c>
    </row>
    <row r="22" spans="1:7" x14ac:dyDescent="0.3">
      <c r="A22" s="1">
        <v>2</v>
      </c>
      <c r="B22" s="1">
        <v>0</v>
      </c>
      <c r="C22" s="1" t="s">
        <v>1</v>
      </c>
      <c r="D22" s="1">
        <v>5</v>
      </c>
      <c r="E22" s="1" t="s">
        <v>1</v>
      </c>
      <c r="F22" s="1">
        <v>13</v>
      </c>
      <c r="G22" s="1">
        <v>1</v>
      </c>
    </row>
    <row r="23" spans="1:7" x14ac:dyDescent="0.3">
      <c r="A23" s="1">
        <v>2</v>
      </c>
      <c r="B23" s="1">
        <v>0</v>
      </c>
      <c r="C23" s="1" t="s">
        <v>1</v>
      </c>
      <c r="D23" s="1">
        <v>43</v>
      </c>
      <c r="E23" s="1" t="s">
        <v>1</v>
      </c>
      <c r="F23" s="1">
        <v>9</v>
      </c>
      <c r="G23" s="1">
        <v>0</v>
      </c>
    </row>
    <row r="24" spans="1:7" x14ac:dyDescent="0.3">
      <c r="A24" s="1">
        <v>2</v>
      </c>
      <c r="B24" s="1">
        <v>0</v>
      </c>
      <c r="C24" s="1" t="s">
        <v>1</v>
      </c>
      <c r="D24" s="1">
        <v>53</v>
      </c>
      <c r="E24" s="1" t="s">
        <v>1</v>
      </c>
      <c r="F24" s="1">
        <v>20</v>
      </c>
      <c r="G24" s="1">
        <v>0</v>
      </c>
    </row>
    <row r="25" spans="1:7" x14ac:dyDescent="0.3">
      <c r="A25" s="1">
        <v>2</v>
      </c>
      <c r="B25" s="1">
        <v>0</v>
      </c>
      <c r="C25" s="1" t="s">
        <v>1</v>
      </c>
      <c r="D25" s="1">
        <v>22</v>
      </c>
      <c r="E25" s="1" t="s">
        <v>1</v>
      </c>
      <c r="F25" s="1">
        <v>55</v>
      </c>
      <c r="G25" s="1">
        <v>1</v>
      </c>
    </row>
    <row r="26" spans="1:7" x14ac:dyDescent="0.3">
      <c r="A26" s="1">
        <v>2</v>
      </c>
      <c r="B26" s="1">
        <v>0</v>
      </c>
      <c r="C26" s="1" t="s">
        <v>1</v>
      </c>
      <c r="D26" s="1">
        <v>14</v>
      </c>
      <c r="E26" s="1" t="s">
        <v>1</v>
      </c>
      <c r="F26" s="1">
        <v>33</v>
      </c>
      <c r="G26" s="1">
        <v>1</v>
      </c>
    </row>
    <row r="27" spans="1:7" x14ac:dyDescent="0.3">
      <c r="A27" s="1">
        <v>2</v>
      </c>
      <c r="B27" s="1">
        <v>0</v>
      </c>
      <c r="C27" s="1" t="s">
        <v>1</v>
      </c>
      <c r="D27" s="1">
        <v>17</v>
      </c>
      <c r="E27" s="1" t="s">
        <v>1</v>
      </c>
      <c r="F27" s="1">
        <v>36</v>
      </c>
      <c r="G27" s="1">
        <v>1</v>
      </c>
    </row>
    <row r="28" spans="1:7" x14ac:dyDescent="0.3">
      <c r="A28" s="1">
        <v>2</v>
      </c>
      <c r="B28" s="1">
        <v>0</v>
      </c>
      <c r="C28" s="1" t="s">
        <v>1</v>
      </c>
      <c r="D28" s="1">
        <v>37</v>
      </c>
      <c r="E28" s="1" t="s">
        <v>1</v>
      </c>
      <c r="F28" s="1">
        <v>49</v>
      </c>
      <c r="G28" s="1">
        <v>1</v>
      </c>
    </row>
    <row r="29" spans="1:7" x14ac:dyDescent="0.3">
      <c r="A29" s="1">
        <v>2</v>
      </c>
      <c r="B29" s="1">
        <v>0</v>
      </c>
      <c r="C29" s="1" t="s">
        <v>1</v>
      </c>
      <c r="D29" s="1">
        <v>51</v>
      </c>
      <c r="E29" s="1" t="s">
        <v>1</v>
      </c>
      <c r="F29" s="1">
        <v>9</v>
      </c>
      <c r="G29" s="1">
        <v>0</v>
      </c>
    </row>
    <row r="30" spans="1:7" x14ac:dyDescent="0.3">
      <c r="A30" s="1">
        <v>2</v>
      </c>
      <c r="B30" s="1">
        <v>0</v>
      </c>
      <c r="C30" s="1" t="s">
        <v>1</v>
      </c>
      <c r="D30" s="1">
        <v>30</v>
      </c>
      <c r="E30" s="1" t="s">
        <v>1</v>
      </c>
      <c r="F30" s="1">
        <v>21</v>
      </c>
      <c r="G30" s="1">
        <v>0</v>
      </c>
    </row>
    <row r="31" spans="1:7" x14ac:dyDescent="0.3">
      <c r="A31" s="1">
        <v>2</v>
      </c>
      <c r="B31" s="1">
        <v>0</v>
      </c>
      <c r="C31" s="1" t="s">
        <v>1</v>
      </c>
      <c r="D31" s="1">
        <v>35</v>
      </c>
      <c r="E31" s="1" t="s">
        <v>1</v>
      </c>
      <c r="F31" s="1">
        <v>25</v>
      </c>
      <c r="G31" s="1">
        <v>0</v>
      </c>
    </row>
    <row r="32" spans="1:7" x14ac:dyDescent="0.3">
      <c r="A32" s="1">
        <v>2</v>
      </c>
      <c r="B32" s="1">
        <v>0</v>
      </c>
      <c r="C32" s="1" t="s">
        <v>1</v>
      </c>
      <c r="D32" s="1">
        <v>12</v>
      </c>
      <c r="E32" s="1" t="s">
        <v>1</v>
      </c>
      <c r="F32" s="1">
        <v>14</v>
      </c>
      <c r="G32" s="1">
        <v>1</v>
      </c>
    </row>
    <row r="33" spans="1:7" x14ac:dyDescent="0.3">
      <c r="A33" s="1">
        <v>2</v>
      </c>
      <c r="B33" s="1">
        <v>0</v>
      </c>
      <c r="C33" s="1" t="s">
        <v>1</v>
      </c>
      <c r="D33" s="1">
        <v>11</v>
      </c>
      <c r="E33" s="1" t="s">
        <v>1</v>
      </c>
      <c r="F33" s="1">
        <v>34</v>
      </c>
      <c r="G33" s="1">
        <v>1</v>
      </c>
    </row>
    <row r="34" spans="1:7" x14ac:dyDescent="0.3">
      <c r="A34" s="1">
        <v>2</v>
      </c>
      <c r="B34" s="1">
        <v>0</v>
      </c>
      <c r="C34" s="1" t="s">
        <v>1</v>
      </c>
      <c r="D34" s="1">
        <v>28</v>
      </c>
      <c r="E34" s="1" t="s">
        <v>1</v>
      </c>
      <c r="F34" s="1">
        <v>22</v>
      </c>
      <c r="G34" s="1">
        <v>0</v>
      </c>
    </row>
    <row r="35" spans="1:7" x14ac:dyDescent="0.3">
      <c r="A35" s="1">
        <v>2</v>
      </c>
      <c r="B35" s="1">
        <v>0</v>
      </c>
      <c r="C35" s="1" t="s">
        <v>1</v>
      </c>
      <c r="D35" s="1">
        <v>27</v>
      </c>
      <c r="E35" s="1" t="s">
        <v>1</v>
      </c>
      <c r="F35" s="1">
        <v>11</v>
      </c>
      <c r="G35" s="1">
        <v>0</v>
      </c>
    </row>
    <row r="36" spans="1:7" x14ac:dyDescent="0.3">
      <c r="A36" s="1">
        <v>2</v>
      </c>
      <c r="B36" s="1">
        <v>0</v>
      </c>
      <c r="C36" s="1" t="s">
        <v>1</v>
      </c>
      <c r="D36" s="1">
        <v>10</v>
      </c>
      <c r="E36" s="1" t="s">
        <v>1</v>
      </c>
      <c r="F36" s="1">
        <v>26</v>
      </c>
      <c r="G36" s="1">
        <v>1</v>
      </c>
    </row>
    <row r="37" spans="1:7" x14ac:dyDescent="0.3">
      <c r="A37" s="1">
        <v>2</v>
      </c>
      <c r="B37" s="1">
        <v>0</v>
      </c>
      <c r="C37" s="1" t="s">
        <v>1</v>
      </c>
      <c r="D37" s="1">
        <v>49</v>
      </c>
      <c r="E37" s="1" t="s">
        <v>1</v>
      </c>
      <c r="F37" s="1">
        <v>31</v>
      </c>
      <c r="G37" s="1">
        <v>0</v>
      </c>
    </row>
    <row r="38" spans="1:7" x14ac:dyDescent="0.3">
      <c r="A38" s="1">
        <v>2</v>
      </c>
      <c r="B38" s="1">
        <v>0</v>
      </c>
      <c r="C38" s="1" t="s">
        <v>1</v>
      </c>
      <c r="D38" s="1">
        <v>2</v>
      </c>
      <c r="E38" s="1" t="s">
        <v>1</v>
      </c>
      <c r="F38" s="1">
        <v>4</v>
      </c>
      <c r="G38" s="1">
        <v>1</v>
      </c>
    </row>
    <row r="39" spans="1:7" x14ac:dyDescent="0.3">
      <c r="A39" s="1">
        <v>2</v>
      </c>
      <c r="B39" s="1">
        <v>0</v>
      </c>
      <c r="C39" s="1" t="s">
        <v>1</v>
      </c>
      <c r="D39" s="1">
        <v>38</v>
      </c>
      <c r="E39" s="1" t="s">
        <v>1</v>
      </c>
      <c r="F39" s="1">
        <v>27</v>
      </c>
      <c r="G39" s="1">
        <v>0</v>
      </c>
    </row>
    <row r="40" spans="1:7" x14ac:dyDescent="0.3">
      <c r="A40" s="1">
        <v>2</v>
      </c>
      <c r="B40" s="1">
        <v>0</v>
      </c>
      <c r="C40" s="1" t="s">
        <v>1</v>
      </c>
      <c r="D40" s="1">
        <v>27</v>
      </c>
      <c r="E40" s="1" t="s">
        <v>1</v>
      </c>
      <c r="F40" s="1">
        <v>31</v>
      </c>
      <c r="G40" s="1">
        <v>1</v>
      </c>
    </row>
    <row r="41" spans="1:7" x14ac:dyDescent="0.3">
      <c r="A41" s="1">
        <v>2</v>
      </c>
      <c r="B41" s="1">
        <v>0</v>
      </c>
      <c r="C41" s="1" t="s">
        <v>1</v>
      </c>
      <c r="D41" s="1">
        <v>25</v>
      </c>
      <c r="E41" s="1" t="s">
        <v>1</v>
      </c>
      <c r="F41" s="1">
        <v>30</v>
      </c>
      <c r="G41" s="1">
        <v>1</v>
      </c>
    </row>
    <row r="42" spans="1:7" x14ac:dyDescent="0.3">
      <c r="A42" s="1">
        <v>2</v>
      </c>
      <c r="B42" s="1">
        <v>0</v>
      </c>
      <c r="C42" s="1" t="s">
        <v>1</v>
      </c>
      <c r="D42" s="1">
        <v>28</v>
      </c>
      <c r="E42" s="1" t="s">
        <v>1</v>
      </c>
      <c r="F42" s="1">
        <v>31</v>
      </c>
      <c r="G42" s="1">
        <v>1</v>
      </c>
    </row>
    <row r="43" spans="1:7" x14ac:dyDescent="0.3">
      <c r="A43" s="1">
        <v>2</v>
      </c>
      <c r="B43" s="1">
        <v>0</v>
      </c>
      <c r="C43" s="1" t="s">
        <v>1</v>
      </c>
      <c r="D43" s="1">
        <v>7</v>
      </c>
      <c r="E43" s="1" t="s">
        <v>1</v>
      </c>
      <c r="F43" s="1">
        <v>37</v>
      </c>
      <c r="G43" s="1">
        <v>1</v>
      </c>
    </row>
    <row r="44" spans="1:7" x14ac:dyDescent="0.3">
      <c r="A44" s="1">
        <v>2</v>
      </c>
      <c r="B44" s="1">
        <v>0</v>
      </c>
      <c r="C44" s="1" t="s">
        <v>1</v>
      </c>
      <c r="D44" s="1">
        <v>33</v>
      </c>
      <c r="E44" s="1" t="s">
        <v>1</v>
      </c>
      <c r="F44" s="1">
        <v>11</v>
      </c>
      <c r="G44" s="1">
        <v>0</v>
      </c>
    </row>
    <row r="45" spans="1:7" x14ac:dyDescent="0.3">
      <c r="A45" s="1">
        <v>2</v>
      </c>
      <c r="B45" s="1">
        <v>0</v>
      </c>
      <c r="C45" s="1" t="s">
        <v>1</v>
      </c>
      <c r="D45" s="1">
        <v>59</v>
      </c>
      <c r="E45" s="1" t="s">
        <v>1</v>
      </c>
      <c r="F45" s="1">
        <v>40</v>
      </c>
      <c r="G45" s="1">
        <v>0</v>
      </c>
    </row>
    <row r="46" spans="1:7" x14ac:dyDescent="0.3">
      <c r="A46" s="1">
        <v>2</v>
      </c>
      <c r="B46" s="1">
        <v>0</v>
      </c>
      <c r="C46" s="1" t="s">
        <v>1</v>
      </c>
      <c r="D46" s="1">
        <v>38</v>
      </c>
      <c r="E46" s="1" t="s">
        <v>1</v>
      </c>
      <c r="F46" s="1">
        <v>21</v>
      </c>
      <c r="G46" s="1">
        <v>0</v>
      </c>
    </row>
    <row r="47" spans="1:7" x14ac:dyDescent="0.3">
      <c r="A47" s="1">
        <v>2</v>
      </c>
      <c r="B47" s="1">
        <v>0</v>
      </c>
      <c r="C47" s="1" t="s">
        <v>1</v>
      </c>
      <c r="D47" s="1">
        <v>35</v>
      </c>
      <c r="E47" s="1" t="s">
        <v>1</v>
      </c>
      <c r="F47" s="1">
        <v>20</v>
      </c>
      <c r="G47" s="1">
        <v>0</v>
      </c>
    </row>
    <row r="48" spans="1:7" x14ac:dyDescent="0.3">
      <c r="A48" s="1">
        <v>2</v>
      </c>
      <c r="B48" s="1">
        <v>0</v>
      </c>
      <c r="C48" s="1" t="s">
        <v>1</v>
      </c>
      <c r="D48" s="1">
        <v>59</v>
      </c>
      <c r="E48" s="1" t="s">
        <v>1</v>
      </c>
      <c r="F48" s="1">
        <v>49</v>
      </c>
      <c r="G48" s="1">
        <v>0</v>
      </c>
    </row>
    <row r="49" spans="1:7" x14ac:dyDescent="0.3">
      <c r="A49" s="1">
        <v>2</v>
      </c>
      <c r="B49" s="1">
        <v>0</v>
      </c>
      <c r="C49" s="1" t="s">
        <v>1</v>
      </c>
      <c r="D49" s="1">
        <v>3</v>
      </c>
      <c r="E49" s="1" t="s">
        <v>1</v>
      </c>
      <c r="F49" s="1">
        <v>41</v>
      </c>
      <c r="G49" s="1">
        <v>1</v>
      </c>
    </row>
    <row r="50" spans="1:7" x14ac:dyDescent="0.3">
      <c r="A50" s="1">
        <v>2</v>
      </c>
      <c r="B50" s="1">
        <v>0</v>
      </c>
      <c r="C50" s="1" t="s">
        <v>1</v>
      </c>
      <c r="D50" s="1">
        <v>19</v>
      </c>
      <c r="E50" s="1" t="s">
        <v>1</v>
      </c>
      <c r="F50" s="1">
        <v>17</v>
      </c>
      <c r="G50" s="1">
        <v>0</v>
      </c>
    </row>
    <row r="51" spans="1:7" x14ac:dyDescent="0.3">
      <c r="A51" s="1">
        <v>2</v>
      </c>
      <c r="B51" s="1">
        <v>1</v>
      </c>
      <c r="C51" s="1" t="s">
        <v>1</v>
      </c>
      <c r="D51" s="1">
        <v>20</v>
      </c>
      <c r="E51" s="1" t="s">
        <v>1</v>
      </c>
      <c r="F51" s="1">
        <v>23</v>
      </c>
      <c r="G51" s="1">
        <v>1</v>
      </c>
    </row>
    <row r="52" spans="1:7" x14ac:dyDescent="0.3">
      <c r="A52" s="1">
        <v>2</v>
      </c>
      <c r="B52" s="1">
        <v>1</v>
      </c>
      <c r="C52" s="1" t="s">
        <v>1</v>
      </c>
      <c r="D52" s="1">
        <v>43</v>
      </c>
      <c r="E52" s="1" t="s">
        <v>1</v>
      </c>
      <c r="F52" s="1">
        <v>28</v>
      </c>
      <c r="G52" s="1">
        <v>0</v>
      </c>
    </row>
    <row r="53" spans="1:7" x14ac:dyDescent="0.3">
      <c r="A53" s="1">
        <v>2</v>
      </c>
      <c r="B53" s="1">
        <v>1</v>
      </c>
      <c r="C53" s="1" t="s">
        <v>1</v>
      </c>
      <c r="D53" s="1">
        <v>34</v>
      </c>
      <c r="E53" s="1" t="s">
        <v>1</v>
      </c>
      <c r="F53" s="1">
        <v>22</v>
      </c>
      <c r="G53" s="1">
        <v>0</v>
      </c>
    </row>
    <row r="54" spans="1:7" x14ac:dyDescent="0.3">
      <c r="A54" s="1">
        <v>2</v>
      </c>
      <c r="B54" s="1">
        <v>1</v>
      </c>
      <c r="C54" s="1" t="s">
        <v>1</v>
      </c>
      <c r="D54" s="1">
        <v>11</v>
      </c>
      <c r="E54" s="1" t="s">
        <v>1</v>
      </c>
      <c r="F54" s="1">
        <v>46</v>
      </c>
      <c r="G54" s="1">
        <v>1</v>
      </c>
    </row>
    <row r="55" spans="1:7" x14ac:dyDescent="0.3">
      <c r="A55" s="1">
        <v>2</v>
      </c>
      <c r="B55" s="1">
        <v>1</v>
      </c>
      <c r="C55" s="1" t="s">
        <v>1</v>
      </c>
      <c r="D55" s="1">
        <v>12</v>
      </c>
      <c r="E55" s="1" t="s">
        <v>1</v>
      </c>
      <c r="F55" s="1">
        <v>32</v>
      </c>
      <c r="G55" s="1">
        <v>1</v>
      </c>
    </row>
    <row r="56" spans="1:7" x14ac:dyDescent="0.3">
      <c r="A56" s="1">
        <v>2</v>
      </c>
      <c r="B56" s="1">
        <v>1</v>
      </c>
      <c r="C56" s="1" t="s">
        <v>1</v>
      </c>
      <c r="D56" s="1">
        <v>18</v>
      </c>
      <c r="E56" s="1" t="s">
        <v>1</v>
      </c>
      <c r="F56" s="1">
        <v>26</v>
      </c>
      <c r="G56" s="1">
        <v>1</v>
      </c>
    </row>
    <row r="57" spans="1:7" x14ac:dyDescent="0.3">
      <c r="A57" s="1">
        <v>2</v>
      </c>
      <c r="B57" s="1">
        <v>1</v>
      </c>
      <c r="C57" s="1" t="s">
        <v>1</v>
      </c>
      <c r="D57" s="1">
        <v>41</v>
      </c>
      <c r="E57" s="1" t="s">
        <v>1</v>
      </c>
      <c r="F57" s="1">
        <v>30</v>
      </c>
      <c r="G57" s="1">
        <v>0</v>
      </c>
    </row>
    <row r="58" spans="1:7" x14ac:dyDescent="0.3">
      <c r="A58" s="1">
        <v>2</v>
      </c>
      <c r="B58" s="1">
        <v>1</v>
      </c>
      <c r="C58" s="1" t="s">
        <v>1</v>
      </c>
      <c r="D58" s="1">
        <v>21</v>
      </c>
      <c r="E58" s="1" t="s">
        <v>1</v>
      </c>
      <c r="F58" s="1">
        <v>28</v>
      </c>
      <c r="G58" s="1">
        <v>1</v>
      </c>
    </row>
    <row r="59" spans="1:7" x14ac:dyDescent="0.3">
      <c r="A59" s="1">
        <v>2</v>
      </c>
      <c r="B59" s="1">
        <v>1</v>
      </c>
      <c r="C59" s="1" t="s">
        <v>1</v>
      </c>
      <c r="D59" s="1">
        <v>19</v>
      </c>
      <c r="E59" s="1" t="s">
        <v>1</v>
      </c>
      <c r="F59" s="1">
        <v>24</v>
      </c>
      <c r="G59" s="1">
        <v>1</v>
      </c>
    </row>
    <row r="60" spans="1:7" x14ac:dyDescent="0.3">
      <c r="A60" s="1">
        <v>2</v>
      </c>
      <c r="B60" s="1">
        <v>1</v>
      </c>
      <c r="C60" s="1" t="s">
        <v>1</v>
      </c>
      <c r="D60" s="1">
        <v>13</v>
      </c>
      <c r="E60" s="1" t="s">
        <v>1</v>
      </c>
      <c r="F60" s="1">
        <v>21</v>
      </c>
      <c r="G60" s="1">
        <v>1</v>
      </c>
    </row>
    <row r="61" spans="1:7" x14ac:dyDescent="0.3">
      <c r="A61" s="1">
        <v>2</v>
      </c>
      <c r="B61" s="1">
        <v>1</v>
      </c>
      <c r="C61" s="1" t="s">
        <v>1</v>
      </c>
      <c r="D61" s="1">
        <v>8</v>
      </c>
      <c r="E61" s="1" t="s">
        <v>1</v>
      </c>
      <c r="F61" s="1">
        <v>33</v>
      </c>
      <c r="G61" s="1">
        <v>1</v>
      </c>
    </row>
    <row r="62" spans="1:7" x14ac:dyDescent="0.3">
      <c r="A62" s="1">
        <v>2</v>
      </c>
      <c r="B62" s="1">
        <v>1</v>
      </c>
      <c r="C62" s="1" t="s">
        <v>1</v>
      </c>
      <c r="D62" s="1">
        <v>37</v>
      </c>
      <c r="E62" s="1" t="s">
        <v>1</v>
      </c>
      <c r="F62" s="1">
        <v>5</v>
      </c>
      <c r="G62" s="1">
        <v>0</v>
      </c>
    </row>
    <row r="63" spans="1:7" x14ac:dyDescent="0.3">
      <c r="A63" s="1">
        <v>2</v>
      </c>
      <c r="B63" s="1">
        <v>1</v>
      </c>
      <c r="C63" s="1" t="s">
        <v>1</v>
      </c>
      <c r="D63" s="1">
        <v>50</v>
      </c>
      <c r="E63" s="1" t="s">
        <v>1</v>
      </c>
      <c r="F63" s="1">
        <v>24</v>
      </c>
      <c r="G63" s="1">
        <v>0</v>
      </c>
    </row>
    <row r="64" spans="1:7" x14ac:dyDescent="0.3">
      <c r="A64" s="1">
        <v>2</v>
      </c>
      <c r="B64" s="1">
        <v>1</v>
      </c>
      <c r="C64" s="1" t="s">
        <v>1</v>
      </c>
      <c r="D64" s="1">
        <v>28</v>
      </c>
      <c r="E64" s="1" t="s">
        <v>1</v>
      </c>
      <c r="F64" s="1">
        <v>22</v>
      </c>
      <c r="G64" s="1">
        <v>0</v>
      </c>
    </row>
    <row r="65" spans="1:7" x14ac:dyDescent="0.3">
      <c r="A65" s="1">
        <v>2</v>
      </c>
      <c r="B65" s="1">
        <v>1</v>
      </c>
      <c r="C65" s="1" t="s">
        <v>1</v>
      </c>
      <c r="D65" s="1">
        <v>31</v>
      </c>
      <c r="E65" s="1" t="s">
        <v>1</v>
      </c>
      <c r="F65" s="1">
        <v>17</v>
      </c>
      <c r="G65" s="1">
        <v>0</v>
      </c>
    </row>
    <row r="66" spans="1:7" x14ac:dyDescent="0.3">
      <c r="A66" s="1">
        <v>2</v>
      </c>
      <c r="B66" s="1">
        <v>1</v>
      </c>
      <c r="C66" s="1" t="s">
        <v>1</v>
      </c>
      <c r="D66" s="1">
        <v>31</v>
      </c>
      <c r="E66" s="1" t="s">
        <v>1</v>
      </c>
      <c r="F66" s="1">
        <v>7</v>
      </c>
      <c r="G66" s="1">
        <v>0</v>
      </c>
    </row>
    <row r="67" spans="1:7" x14ac:dyDescent="0.3">
      <c r="A67" s="1">
        <v>2</v>
      </c>
      <c r="B67" s="1">
        <v>1</v>
      </c>
      <c r="C67" s="1" t="s">
        <v>1</v>
      </c>
      <c r="D67" s="1">
        <v>22</v>
      </c>
      <c r="E67" s="1" t="s">
        <v>1</v>
      </c>
      <c r="F67" s="1">
        <v>39</v>
      </c>
      <c r="G67" s="1">
        <v>1</v>
      </c>
    </row>
    <row r="68" spans="1:7" x14ac:dyDescent="0.3">
      <c r="A68" s="1">
        <v>2</v>
      </c>
      <c r="B68" s="1">
        <v>1</v>
      </c>
      <c r="C68" s="1" t="s">
        <v>1</v>
      </c>
      <c r="D68" s="1">
        <v>19</v>
      </c>
      <c r="E68" s="1" t="s">
        <v>1</v>
      </c>
      <c r="F68" s="1">
        <v>35</v>
      </c>
      <c r="G68" s="1">
        <v>1</v>
      </c>
    </row>
    <row r="69" spans="1:7" x14ac:dyDescent="0.3">
      <c r="A69" s="1">
        <v>2</v>
      </c>
      <c r="B69" s="1">
        <v>1</v>
      </c>
      <c r="C69" s="1" t="s">
        <v>1</v>
      </c>
      <c r="D69" s="1">
        <v>46</v>
      </c>
      <c r="E69" s="1" t="s">
        <v>1</v>
      </c>
      <c r="F69" s="1">
        <v>24</v>
      </c>
      <c r="G69" s="1">
        <v>0</v>
      </c>
    </row>
    <row r="70" spans="1:7" x14ac:dyDescent="0.3">
      <c r="A70" s="1">
        <v>2</v>
      </c>
      <c r="B70" s="1">
        <v>1</v>
      </c>
      <c r="C70" s="1" t="s">
        <v>1</v>
      </c>
      <c r="D70" s="1">
        <v>1</v>
      </c>
      <c r="E70" s="1" t="s">
        <v>1</v>
      </c>
      <c r="F70" s="1">
        <v>12</v>
      </c>
      <c r="G70" s="1">
        <v>1</v>
      </c>
    </row>
    <row r="71" spans="1:7" x14ac:dyDescent="0.3">
      <c r="A71" s="1">
        <v>2</v>
      </c>
      <c r="B71" s="1">
        <v>1</v>
      </c>
      <c r="C71" s="1" t="s">
        <v>1</v>
      </c>
      <c r="D71" s="1">
        <v>12</v>
      </c>
      <c r="E71" s="1" t="s">
        <v>1</v>
      </c>
      <c r="F71" s="1">
        <v>21</v>
      </c>
      <c r="G71" s="1">
        <v>1</v>
      </c>
    </row>
    <row r="72" spans="1:7" x14ac:dyDescent="0.3">
      <c r="A72" s="1">
        <v>2</v>
      </c>
      <c r="B72" s="1">
        <v>1</v>
      </c>
      <c r="C72" s="1" t="s">
        <v>1</v>
      </c>
      <c r="D72" s="1">
        <v>9</v>
      </c>
      <c r="E72" s="1" t="s">
        <v>1</v>
      </c>
      <c r="F72" s="1">
        <v>26</v>
      </c>
      <c r="G72" s="1">
        <v>1</v>
      </c>
    </row>
    <row r="73" spans="1:7" x14ac:dyDescent="0.3">
      <c r="A73" s="1">
        <v>2</v>
      </c>
      <c r="B73" s="1">
        <v>1</v>
      </c>
      <c r="C73" s="1" t="s">
        <v>1</v>
      </c>
      <c r="D73" s="1">
        <v>30</v>
      </c>
      <c r="E73" s="1" t="s">
        <v>1</v>
      </c>
      <c r="F73" s="1">
        <v>61</v>
      </c>
      <c r="G73" s="1">
        <v>1</v>
      </c>
    </row>
    <row r="74" spans="1:7" x14ac:dyDescent="0.3">
      <c r="A74" s="1">
        <v>2</v>
      </c>
      <c r="B74" s="1">
        <v>1</v>
      </c>
      <c r="C74" s="1" t="s">
        <v>1</v>
      </c>
      <c r="D74" s="1">
        <v>35</v>
      </c>
      <c r="E74" s="1" t="s">
        <v>1</v>
      </c>
      <c r="F74" s="1">
        <v>26</v>
      </c>
      <c r="G74" s="1">
        <v>0</v>
      </c>
    </row>
    <row r="75" spans="1:7" x14ac:dyDescent="0.3">
      <c r="A75" s="1">
        <v>2</v>
      </c>
      <c r="B75" s="1">
        <v>1</v>
      </c>
      <c r="C75" s="1" t="s">
        <v>1</v>
      </c>
      <c r="D75" s="1">
        <v>14</v>
      </c>
      <c r="E75" s="1" t="s">
        <v>1</v>
      </c>
      <c r="F75" s="1">
        <v>2</v>
      </c>
      <c r="G75" s="1">
        <v>0</v>
      </c>
    </row>
    <row r="76" spans="1:7" x14ac:dyDescent="0.3">
      <c r="A76" s="1">
        <v>2</v>
      </c>
      <c r="B76" s="1">
        <v>1</v>
      </c>
      <c r="C76" s="1" t="s">
        <v>1</v>
      </c>
      <c r="D76" s="1">
        <v>2</v>
      </c>
      <c r="E76" s="1" t="s">
        <v>1</v>
      </c>
      <c r="F76" s="1">
        <v>39</v>
      </c>
      <c r="G76" s="1">
        <v>1</v>
      </c>
    </row>
    <row r="77" spans="1:7" x14ac:dyDescent="0.3">
      <c r="A77" s="1">
        <v>2</v>
      </c>
      <c r="B77" s="1">
        <v>1</v>
      </c>
      <c r="C77" s="1" t="s">
        <v>1</v>
      </c>
      <c r="D77" s="1">
        <v>47</v>
      </c>
      <c r="E77" s="1" t="s">
        <v>1</v>
      </c>
      <c r="F77" s="1">
        <v>16</v>
      </c>
      <c r="G77" s="1">
        <v>0</v>
      </c>
    </row>
    <row r="78" spans="1:7" x14ac:dyDescent="0.3">
      <c r="A78" s="1">
        <v>2</v>
      </c>
      <c r="B78" s="1">
        <v>1</v>
      </c>
      <c r="C78" s="1" t="s">
        <v>1</v>
      </c>
      <c r="D78" s="1">
        <v>42</v>
      </c>
      <c r="E78" s="1" t="s">
        <v>1</v>
      </c>
      <c r="F78" s="1">
        <v>37</v>
      </c>
      <c r="G78" s="1">
        <v>0</v>
      </c>
    </row>
    <row r="79" spans="1:7" x14ac:dyDescent="0.3">
      <c r="A79" s="1">
        <v>2</v>
      </c>
      <c r="B79" s="1">
        <v>1</v>
      </c>
      <c r="C79" s="1" t="s">
        <v>1</v>
      </c>
      <c r="D79" s="1">
        <v>22</v>
      </c>
      <c r="E79" s="1" t="s">
        <v>1</v>
      </c>
      <c r="F79" s="1">
        <v>45</v>
      </c>
      <c r="G79" s="1">
        <v>1</v>
      </c>
    </row>
    <row r="80" spans="1:7" x14ac:dyDescent="0.3">
      <c r="A80" s="1">
        <v>2</v>
      </c>
      <c r="B80" s="1">
        <v>1</v>
      </c>
      <c r="C80" s="1" t="s">
        <v>1</v>
      </c>
      <c r="D80" s="1">
        <v>11</v>
      </c>
      <c r="E80" s="1" t="s">
        <v>1</v>
      </c>
      <c r="F80" s="1">
        <v>3</v>
      </c>
      <c r="G80" s="1">
        <v>0</v>
      </c>
    </row>
    <row r="81" spans="1:7" x14ac:dyDescent="0.3">
      <c r="A81" s="1">
        <v>2</v>
      </c>
      <c r="B81" s="1">
        <v>1</v>
      </c>
      <c r="C81" s="1" t="s">
        <v>1</v>
      </c>
      <c r="D81" s="1">
        <v>53</v>
      </c>
      <c r="E81" s="1" t="s">
        <v>1</v>
      </c>
      <c r="F81" s="1">
        <v>27</v>
      </c>
      <c r="G81" s="1">
        <v>0</v>
      </c>
    </row>
    <row r="82" spans="1:7" x14ac:dyDescent="0.3">
      <c r="A82" s="1">
        <v>2</v>
      </c>
      <c r="B82" s="1">
        <v>1</v>
      </c>
      <c r="C82" s="1" t="s">
        <v>1</v>
      </c>
      <c r="D82" s="1">
        <v>30</v>
      </c>
      <c r="E82" s="1" t="s">
        <v>1</v>
      </c>
      <c r="F82" s="1">
        <v>36</v>
      </c>
      <c r="G82" s="1">
        <v>1</v>
      </c>
    </row>
    <row r="83" spans="1:7" x14ac:dyDescent="0.3">
      <c r="A83" s="1">
        <v>2</v>
      </c>
      <c r="B83" s="1">
        <v>1</v>
      </c>
      <c r="C83" s="1" t="s">
        <v>1</v>
      </c>
      <c r="D83" s="1">
        <v>26</v>
      </c>
      <c r="E83" s="1" t="s">
        <v>1</v>
      </c>
      <c r="F83" s="1">
        <v>31</v>
      </c>
      <c r="G83" s="1">
        <v>1</v>
      </c>
    </row>
    <row r="84" spans="1:7" x14ac:dyDescent="0.3">
      <c r="A84" s="1">
        <v>2</v>
      </c>
      <c r="B84" s="1">
        <v>1</v>
      </c>
      <c r="C84" s="1" t="s">
        <v>1</v>
      </c>
      <c r="D84" s="1">
        <v>30</v>
      </c>
      <c r="E84" s="1" t="s">
        <v>1</v>
      </c>
      <c r="F84" s="1">
        <v>39</v>
      </c>
      <c r="G84" s="1">
        <v>1</v>
      </c>
    </row>
    <row r="85" spans="1:7" x14ac:dyDescent="0.3">
      <c r="A85" s="1">
        <v>2</v>
      </c>
      <c r="B85" s="1">
        <v>1</v>
      </c>
      <c r="C85" s="1" t="s">
        <v>1</v>
      </c>
      <c r="D85" s="1">
        <v>25</v>
      </c>
      <c r="E85" s="1" t="s">
        <v>1</v>
      </c>
      <c r="F85" s="1">
        <v>47</v>
      </c>
      <c r="G85" s="1">
        <v>1</v>
      </c>
    </row>
    <row r="86" spans="1:7" x14ac:dyDescent="0.3">
      <c r="A86" s="1">
        <v>2</v>
      </c>
      <c r="B86" s="1">
        <v>1</v>
      </c>
      <c r="C86" s="1" t="s">
        <v>1</v>
      </c>
      <c r="D86" s="1">
        <v>19</v>
      </c>
      <c r="E86" s="1" t="s">
        <v>1</v>
      </c>
      <c r="F86" s="1">
        <v>61</v>
      </c>
      <c r="G86" s="1">
        <v>1</v>
      </c>
    </row>
    <row r="87" spans="1:7" x14ac:dyDescent="0.3">
      <c r="A87" s="1">
        <v>2</v>
      </c>
      <c r="B87" s="1">
        <v>1</v>
      </c>
      <c r="C87" s="1" t="s">
        <v>1</v>
      </c>
      <c r="D87" s="1">
        <v>54</v>
      </c>
      <c r="E87" s="1" t="s">
        <v>1</v>
      </c>
      <c r="F87" s="1">
        <v>37</v>
      </c>
      <c r="G87" s="1">
        <v>0</v>
      </c>
    </row>
    <row r="88" spans="1:7" x14ac:dyDescent="0.3">
      <c r="A88" s="1">
        <v>2</v>
      </c>
      <c r="B88" s="1">
        <v>1</v>
      </c>
      <c r="C88" s="1" t="s">
        <v>1</v>
      </c>
      <c r="D88" s="1">
        <v>5</v>
      </c>
      <c r="E88" s="1" t="s">
        <v>1</v>
      </c>
      <c r="F88" s="1">
        <v>19</v>
      </c>
      <c r="G88" s="1">
        <v>1</v>
      </c>
    </row>
    <row r="89" spans="1:7" x14ac:dyDescent="0.3">
      <c r="A89" s="1">
        <v>2</v>
      </c>
      <c r="B89" s="1">
        <v>1</v>
      </c>
      <c r="C89" s="1" t="s">
        <v>1</v>
      </c>
      <c r="D89" s="1">
        <v>35</v>
      </c>
      <c r="E89" s="1" t="s">
        <v>1</v>
      </c>
      <c r="F89" s="1">
        <v>29</v>
      </c>
      <c r="G89" s="1">
        <v>0</v>
      </c>
    </row>
    <row r="90" spans="1:7" x14ac:dyDescent="0.3">
      <c r="A90" s="1">
        <v>2</v>
      </c>
      <c r="B90" s="1">
        <v>1</v>
      </c>
      <c r="C90" s="1" t="s">
        <v>1</v>
      </c>
      <c r="D90" s="1">
        <v>51</v>
      </c>
      <c r="E90" s="1" t="s">
        <v>1</v>
      </c>
      <c r="F90" s="1">
        <v>32</v>
      </c>
      <c r="G90" s="1">
        <v>0</v>
      </c>
    </row>
    <row r="91" spans="1:7" x14ac:dyDescent="0.3">
      <c r="A91" s="1">
        <v>2</v>
      </c>
      <c r="B91" s="1">
        <v>1</v>
      </c>
      <c r="C91" s="1" t="s">
        <v>1</v>
      </c>
      <c r="D91" s="1">
        <v>4</v>
      </c>
      <c r="E91" s="1" t="s">
        <v>1</v>
      </c>
      <c r="F91" s="1">
        <v>62</v>
      </c>
      <c r="G91" s="1">
        <v>1</v>
      </c>
    </row>
    <row r="92" spans="1:7" x14ac:dyDescent="0.3">
      <c r="A92" s="1">
        <v>2</v>
      </c>
      <c r="B92" s="1">
        <v>1</v>
      </c>
      <c r="C92" s="1" t="s">
        <v>1</v>
      </c>
      <c r="D92" s="1">
        <v>34</v>
      </c>
      <c r="E92" s="1" t="s">
        <v>1</v>
      </c>
      <c r="F92" s="1">
        <v>34</v>
      </c>
      <c r="G92" s="1">
        <v>0</v>
      </c>
    </row>
    <row r="93" spans="1:7" x14ac:dyDescent="0.3">
      <c r="A93" s="1">
        <v>2</v>
      </c>
      <c r="B93" s="1">
        <v>1</v>
      </c>
      <c r="C93" s="1" t="s">
        <v>1</v>
      </c>
      <c r="D93" s="1">
        <v>31</v>
      </c>
      <c r="E93" s="1" t="s">
        <v>1</v>
      </c>
      <c r="F93" s="1">
        <v>13</v>
      </c>
      <c r="G93" s="1">
        <v>0</v>
      </c>
    </row>
    <row r="94" spans="1:7" x14ac:dyDescent="0.3">
      <c r="A94" s="1">
        <v>2</v>
      </c>
      <c r="B94" s="1">
        <v>1</v>
      </c>
      <c r="C94" s="1" t="s">
        <v>1</v>
      </c>
      <c r="D94" s="1">
        <v>37</v>
      </c>
      <c r="E94" s="1" t="s">
        <v>1</v>
      </c>
      <c r="F94" s="1">
        <v>33</v>
      </c>
      <c r="G94" s="1">
        <v>0</v>
      </c>
    </row>
    <row r="95" spans="1:7" x14ac:dyDescent="0.3">
      <c r="A95" s="1">
        <v>2</v>
      </c>
      <c r="B95" s="1">
        <v>1</v>
      </c>
      <c r="C95" s="1" t="s">
        <v>1</v>
      </c>
      <c r="D95" s="1">
        <v>17</v>
      </c>
      <c r="E95" s="1" t="s">
        <v>1</v>
      </c>
      <c r="F95" s="1">
        <v>34</v>
      </c>
      <c r="G95" s="1">
        <v>1</v>
      </c>
    </row>
    <row r="96" spans="1:7" x14ac:dyDescent="0.3">
      <c r="A96" s="1">
        <v>2</v>
      </c>
      <c r="B96" s="1">
        <v>1</v>
      </c>
      <c r="C96" s="1" t="s">
        <v>1</v>
      </c>
      <c r="D96" s="1">
        <v>18</v>
      </c>
      <c r="E96" s="1" t="s">
        <v>1</v>
      </c>
      <c r="F96" s="1">
        <v>42</v>
      </c>
      <c r="G96" s="1">
        <v>1</v>
      </c>
    </row>
    <row r="97" spans="1:7" x14ac:dyDescent="0.3">
      <c r="A97" s="1">
        <v>2</v>
      </c>
      <c r="B97" s="1">
        <v>1</v>
      </c>
      <c r="C97" s="1" t="s">
        <v>1</v>
      </c>
      <c r="D97" s="1">
        <v>23</v>
      </c>
      <c r="E97" s="1" t="s">
        <v>1</v>
      </c>
      <c r="F97" s="1">
        <v>15</v>
      </c>
      <c r="G97" s="1">
        <v>0</v>
      </c>
    </row>
    <row r="98" spans="1:7" x14ac:dyDescent="0.3">
      <c r="A98" s="1">
        <v>2</v>
      </c>
      <c r="B98" s="1">
        <v>1</v>
      </c>
      <c r="C98" s="1" t="s">
        <v>1</v>
      </c>
      <c r="D98" s="1">
        <v>28</v>
      </c>
      <c r="E98" s="1" t="s">
        <v>1</v>
      </c>
      <c r="F98" s="1">
        <v>53</v>
      </c>
      <c r="G98" s="1">
        <v>1</v>
      </c>
    </row>
    <row r="99" spans="1:7" x14ac:dyDescent="0.3">
      <c r="A99" s="1">
        <v>2</v>
      </c>
      <c r="B99" s="1">
        <v>1</v>
      </c>
      <c r="C99" s="1" t="s">
        <v>1</v>
      </c>
      <c r="D99" s="1">
        <v>8</v>
      </c>
      <c r="E99" s="1" t="s">
        <v>1</v>
      </c>
      <c r="F99" s="1">
        <v>15</v>
      </c>
      <c r="G99" s="1">
        <v>1</v>
      </c>
    </row>
    <row r="100" spans="1:7" x14ac:dyDescent="0.3">
      <c r="A100" s="1">
        <v>2</v>
      </c>
      <c r="B100" s="1">
        <v>1</v>
      </c>
      <c r="C100" s="1" t="s">
        <v>1</v>
      </c>
      <c r="D100" s="1">
        <v>16</v>
      </c>
      <c r="E100" s="1" t="s">
        <v>1</v>
      </c>
      <c r="F100" s="1">
        <v>40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7919-18D6-4F49-A74C-D04D99FC84BD}">
  <dimension ref="A1:Q100"/>
  <sheetViews>
    <sheetView workbookViewId="0">
      <selection activeCell="J23" sqref="J23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0</v>
      </c>
      <c r="D1" s="1">
        <v>14</v>
      </c>
      <c r="E1" s="1" t="s">
        <v>0</v>
      </c>
      <c r="F1" s="1">
        <v>22</v>
      </c>
      <c r="G1" s="1">
        <v>1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0</v>
      </c>
      <c r="D2" s="1">
        <v>54</v>
      </c>
      <c r="E2" s="1" t="s">
        <v>0</v>
      </c>
      <c r="F2" s="1">
        <v>9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0</v>
      </c>
      <c r="D3" s="1">
        <v>31</v>
      </c>
      <c r="E3" s="1" t="s">
        <v>0</v>
      </c>
      <c r="F3" s="1">
        <v>22</v>
      </c>
      <c r="G3" s="1">
        <v>0</v>
      </c>
      <c r="I3" s="5" t="s">
        <v>6</v>
      </c>
      <c r="J3" s="5"/>
      <c r="K3" s="9">
        <f>COUNTIF($G$1:$G$100, 0)</f>
        <v>50</v>
      </c>
      <c r="L3" s="9"/>
      <c r="M3" s="9">
        <f>COUNTIFS($G$1:$G$100, 0, $B$1:$B$100, 0)</f>
        <v>27</v>
      </c>
      <c r="N3" s="9"/>
      <c r="O3" s="10">
        <f>COUNTIFS($G$1:$G$100, 0, $B$1:$B$100, 1)</f>
        <v>23</v>
      </c>
      <c r="P3" s="11"/>
      <c r="Q3" s="12" cm="1">
        <f t="array" ref="Q3">SUMPRODUCT(--($D$1:$D$100=$G$1:$G$100))</f>
        <v>2</v>
      </c>
    </row>
    <row r="4" spans="1:17" x14ac:dyDescent="0.3">
      <c r="A4" s="1">
        <v>2</v>
      </c>
      <c r="B4" s="1">
        <v>0</v>
      </c>
      <c r="C4" s="1" t="s">
        <v>0</v>
      </c>
      <c r="D4" s="1">
        <v>50</v>
      </c>
      <c r="E4" s="1" t="s">
        <v>0</v>
      </c>
      <c r="F4" s="1">
        <v>21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0</v>
      </c>
      <c r="D5" s="1">
        <v>3</v>
      </c>
      <c r="E5" s="1" t="s">
        <v>0</v>
      </c>
      <c r="F5" s="1">
        <v>19</v>
      </c>
      <c r="G5" s="1">
        <v>1</v>
      </c>
      <c r="I5" s="5" t="s">
        <v>7</v>
      </c>
      <c r="J5" s="5"/>
      <c r="K5" s="14">
        <f>COUNTIF($G$1:$G$100, 1)</f>
        <v>50</v>
      </c>
      <c r="L5" s="9"/>
      <c r="M5" s="9">
        <f>COUNTIFS($G$1:$G$100, 1, $B$1:$B$100, 0)</f>
        <v>23</v>
      </c>
      <c r="N5" s="9"/>
      <c r="O5" s="9">
        <f>COUNTIFS($G$1:$G$100, 1, $B$1:$B$100, 1)</f>
        <v>27</v>
      </c>
      <c r="P5" s="13"/>
      <c r="Q5"/>
    </row>
    <row r="6" spans="1:17" x14ac:dyDescent="0.3">
      <c r="A6" s="1">
        <v>2</v>
      </c>
      <c r="B6" s="1">
        <v>0</v>
      </c>
      <c r="C6" s="1" t="s">
        <v>0</v>
      </c>
      <c r="D6" s="1">
        <v>30</v>
      </c>
      <c r="E6" s="1" t="s">
        <v>0</v>
      </c>
      <c r="F6" s="1">
        <v>16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0</v>
      </c>
      <c r="D7" s="1">
        <v>40</v>
      </c>
      <c r="E7" s="1" t="s">
        <v>0</v>
      </c>
      <c r="F7" s="1">
        <v>17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0</v>
      </c>
      <c r="D8" s="1">
        <v>46</v>
      </c>
      <c r="E8" s="1" t="s">
        <v>0</v>
      </c>
      <c r="F8" s="1">
        <v>11</v>
      </c>
      <c r="G8" s="1">
        <v>0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0</v>
      </c>
      <c r="D9" s="1">
        <v>32</v>
      </c>
      <c r="E9" s="1" t="s">
        <v>0</v>
      </c>
      <c r="F9" s="1">
        <v>33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0</v>
      </c>
      <c r="D10" s="1">
        <v>20</v>
      </c>
      <c r="E10" s="1" t="s">
        <v>0</v>
      </c>
      <c r="F10" s="1">
        <v>23</v>
      </c>
      <c r="G10" s="1">
        <v>1</v>
      </c>
      <c r="I10" s="5" t="s">
        <v>10</v>
      </c>
      <c r="J10" s="5"/>
      <c r="K10" s="9">
        <f>AVERAGE($D$1:$D$100,)</f>
        <v>24.89108910891089</v>
      </c>
      <c r="L10" s="9"/>
      <c r="M10" s="9" cm="1">
        <f t="array" ref="M10">AVERAGE(_xlfn._xlws.FILTER($D$1:$D$100,$G$1:$G$100 = 0))</f>
        <v>31.38</v>
      </c>
      <c r="N10" s="9"/>
      <c r="O10" s="10" cm="1">
        <f t="array" ref="O10">AVERAGE(_xlfn._xlws.FILTER($D$1:$D$100,$G$1:$G$100 = 1))</f>
        <v>18.899999999999999</v>
      </c>
      <c r="P10" s="11"/>
      <c r="Q10"/>
    </row>
    <row r="11" spans="1:17" x14ac:dyDescent="0.3">
      <c r="A11" s="1">
        <v>2</v>
      </c>
      <c r="B11" s="1">
        <v>0</v>
      </c>
      <c r="C11" s="1" t="s">
        <v>0</v>
      </c>
      <c r="D11" s="1">
        <v>26</v>
      </c>
      <c r="E11" s="1" t="s">
        <v>0</v>
      </c>
      <c r="F11" s="1">
        <v>63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0</v>
      </c>
      <c r="D12" s="1">
        <v>22</v>
      </c>
      <c r="E12" s="1" t="s">
        <v>0</v>
      </c>
      <c r="F12" s="1">
        <v>63</v>
      </c>
      <c r="G12" s="1">
        <v>1</v>
      </c>
      <c r="I12" s="5" t="s">
        <v>11</v>
      </c>
      <c r="J12" s="5"/>
      <c r="K12" s="9">
        <f>AVERAGE($F$1:$F$100,)</f>
        <v>26.297029702970296</v>
      </c>
      <c r="L12" s="9"/>
      <c r="M12" s="9" cm="1">
        <f t="array" ref="M12">AVERAGE(_xlfn._xlws.FILTER($F$1:$F$100,$G$1:$G$100 = 0))</f>
        <v>17.440000000000001</v>
      </c>
      <c r="N12" s="9"/>
      <c r="O12" s="9" cm="1">
        <f t="array" ref="O12">AVERAGE(_xlfn._xlws.FILTER($F$1:$F$100,$G$1:$G$100 = 1))</f>
        <v>35.68</v>
      </c>
      <c r="P12" s="13"/>
      <c r="Q12"/>
    </row>
    <row r="13" spans="1:17" x14ac:dyDescent="0.3">
      <c r="A13" s="1">
        <v>2</v>
      </c>
      <c r="B13" s="1">
        <v>0</v>
      </c>
      <c r="C13" s="1" t="s">
        <v>0</v>
      </c>
      <c r="D13" s="1">
        <v>7</v>
      </c>
      <c r="E13" s="1" t="s">
        <v>0</v>
      </c>
      <c r="F13" s="1">
        <v>2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0</v>
      </c>
      <c r="D14" s="1">
        <v>48</v>
      </c>
      <c r="E14" s="1" t="s">
        <v>0</v>
      </c>
      <c r="F14" s="1">
        <v>21</v>
      </c>
      <c r="G14" s="1">
        <v>0</v>
      </c>
      <c r="I14" s="22" t="s">
        <v>12</v>
      </c>
      <c r="J14" s="11"/>
      <c r="K14" s="23" cm="1">
        <f t="array" ref="K14">AVERAGE($D$1:$D$100 - $F$1:$F$100)</f>
        <v>-1.42</v>
      </c>
      <c r="L14" s="23"/>
      <c r="M14" s="23" cm="1">
        <f t="array" ref="M14">AVERAGE(_xlfn._xlws.FILTER($D$1:$D$100 - $F$1:$F$100, G$1:G$100 = 0))</f>
        <v>13.94</v>
      </c>
      <c r="N14" s="23"/>
      <c r="O14" s="23" cm="1">
        <f t="array" ref="O14">AVERAGE(_xlfn._xlws.FILTER($D$1:$D$100 - $F$1:$F$100, G$1:G$100 = 1))</f>
        <v>-16.78</v>
      </c>
      <c r="P14" s="24"/>
      <c r="Q14"/>
    </row>
    <row r="15" spans="1:17" x14ac:dyDescent="0.3">
      <c r="A15" s="1">
        <v>2</v>
      </c>
      <c r="B15" s="1">
        <v>0</v>
      </c>
      <c r="C15" s="1" t="s">
        <v>0</v>
      </c>
      <c r="D15" s="1">
        <v>17</v>
      </c>
      <c r="E15" s="1" t="s">
        <v>0</v>
      </c>
      <c r="F15" s="1">
        <v>4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0</v>
      </c>
      <c r="D16" s="1">
        <v>34</v>
      </c>
      <c r="E16" s="1" t="s">
        <v>0</v>
      </c>
      <c r="F16" s="1">
        <v>24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0</v>
      </c>
      <c r="D17" s="1">
        <v>22</v>
      </c>
      <c r="E17" s="1" t="s">
        <v>0</v>
      </c>
      <c r="F17" s="1">
        <v>28</v>
      </c>
      <c r="G17" s="1">
        <v>1</v>
      </c>
    </row>
    <row r="18" spans="1:7" x14ac:dyDescent="0.3">
      <c r="A18" s="1">
        <v>2</v>
      </c>
      <c r="B18" s="1">
        <v>0</v>
      </c>
      <c r="C18" s="1" t="s">
        <v>0</v>
      </c>
      <c r="D18" s="1">
        <v>35</v>
      </c>
      <c r="E18" s="1" t="s">
        <v>0</v>
      </c>
      <c r="F18" s="1">
        <v>35</v>
      </c>
      <c r="G18" s="1">
        <v>0</v>
      </c>
    </row>
    <row r="19" spans="1:7" x14ac:dyDescent="0.3">
      <c r="A19" s="1">
        <v>2</v>
      </c>
      <c r="B19" s="1">
        <v>0</v>
      </c>
      <c r="C19" s="1" t="s">
        <v>0</v>
      </c>
      <c r="D19" s="1">
        <v>26</v>
      </c>
      <c r="E19" s="1" t="s">
        <v>0</v>
      </c>
      <c r="F19" s="1">
        <v>14</v>
      </c>
      <c r="G19" s="1">
        <v>0</v>
      </c>
    </row>
    <row r="20" spans="1:7" x14ac:dyDescent="0.3">
      <c r="A20" s="1">
        <v>2</v>
      </c>
      <c r="B20" s="1">
        <v>0</v>
      </c>
      <c r="C20" s="1" t="s">
        <v>0</v>
      </c>
      <c r="D20" s="1">
        <v>16</v>
      </c>
      <c r="E20" s="1" t="s">
        <v>0</v>
      </c>
      <c r="F20" s="1">
        <v>34</v>
      </c>
      <c r="G20" s="1">
        <v>1</v>
      </c>
    </row>
    <row r="21" spans="1:7" x14ac:dyDescent="0.3">
      <c r="A21" s="1">
        <v>2</v>
      </c>
      <c r="B21" s="1">
        <v>0</v>
      </c>
      <c r="C21" s="1" t="s">
        <v>0</v>
      </c>
      <c r="D21" s="1">
        <v>24</v>
      </c>
      <c r="E21" s="1" t="s">
        <v>0</v>
      </c>
      <c r="F21" s="1">
        <v>8</v>
      </c>
      <c r="G21" s="1">
        <v>0</v>
      </c>
    </row>
    <row r="22" spans="1:7" x14ac:dyDescent="0.3">
      <c r="A22" s="1">
        <v>2</v>
      </c>
      <c r="B22" s="1">
        <v>0</v>
      </c>
      <c r="C22" s="1" t="s">
        <v>0</v>
      </c>
      <c r="D22" s="1">
        <v>31</v>
      </c>
      <c r="E22" s="1" t="s">
        <v>0</v>
      </c>
      <c r="F22" s="1">
        <v>33</v>
      </c>
      <c r="G22" s="1">
        <v>1</v>
      </c>
    </row>
    <row r="23" spans="1:7" x14ac:dyDescent="0.3">
      <c r="A23" s="1">
        <v>2</v>
      </c>
      <c r="B23" s="1">
        <v>0</v>
      </c>
      <c r="C23" s="1" t="s">
        <v>0</v>
      </c>
      <c r="D23" s="1">
        <v>22</v>
      </c>
      <c r="E23" s="1" t="s">
        <v>0</v>
      </c>
      <c r="F23" s="1">
        <v>37</v>
      </c>
      <c r="G23" s="1">
        <v>1</v>
      </c>
    </row>
    <row r="24" spans="1:7" x14ac:dyDescent="0.3">
      <c r="A24" s="1">
        <v>2</v>
      </c>
      <c r="B24" s="1">
        <v>0</v>
      </c>
      <c r="C24" s="1" t="s">
        <v>0</v>
      </c>
      <c r="D24" s="1">
        <v>23</v>
      </c>
      <c r="E24" s="1" t="s">
        <v>0</v>
      </c>
      <c r="F24" s="1">
        <v>12</v>
      </c>
      <c r="G24" s="1">
        <v>0</v>
      </c>
    </row>
    <row r="25" spans="1:7" x14ac:dyDescent="0.3">
      <c r="A25" s="1">
        <v>2</v>
      </c>
      <c r="B25" s="1">
        <v>0</v>
      </c>
      <c r="C25" s="1" t="s">
        <v>0</v>
      </c>
      <c r="D25" s="1">
        <v>27</v>
      </c>
      <c r="E25" s="1" t="s">
        <v>0</v>
      </c>
      <c r="F25" s="1">
        <v>30</v>
      </c>
      <c r="G25" s="1">
        <v>1</v>
      </c>
    </row>
    <row r="26" spans="1:7" x14ac:dyDescent="0.3">
      <c r="A26" s="1">
        <v>2</v>
      </c>
      <c r="B26" s="1">
        <v>0</v>
      </c>
      <c r="C26" s="1" t="s">
        <v>0</v>
      </c>
      <c r="D26" s="1">
        <v>14</v>
      </c>
      <c r="E26" s="1" t="s">
        <v>0</v>
      </c>
      <c r="F26" s="1">
        <v>46</v>
      </c>
      <c r="G26" s="1">
        <v>1</v>
      </c>
    </row>
    <row r="27" spans="1:7" x14ac:dyDescent="0.3">
      <c r="A27" s="1">
        <v>2</v>
      </c>
      <c r="B27" s="1">
        <v>0</v>
      </c>
      <c r="C27" s="1" t="s">
        <v>0</v>
      </c>
      <c r="D27" s="1">
        <v>23</v>
      </c>
      <c r="E27" s="1" t="s">
        <v>0</v>
      </c>
      <c r="F27" s="1">
        <v>42</v>
      </c>
      <c r="G27" s="1">
        <v>1</v>
      </c>
    </row>
    <row r="28" spans="1:7" x14ac:dyDescent="0.3">
      <c r="A28" s="1">
        <v>2</v>
      </c>
      <c r="B28" s="1">
        <v>0</v>
      </c>
      <c r="C28" s="1" t="s">
        <v>0</v>
      </c>
      <c r="D28" s="1">
        <v>10</v>
      </c>
      <c r="E28" s="1" t="s">
        <v>0</v>
      </c>
      <c r="F28" s="1">
        <v>20</v>
      </c>
      <c r="G28" s="1">
        <v>1</v>
      </c>
    </row>
    <row r="29" spans="1:7" x14ac:dyDescent="0.3">
      <c r="A29" s="1">
        <v>2</v>
      </c>
      <c r="B29" s="1">
        <v>0</v>
      </c>
      <c r="C29" s="1" t="s">
        <v>0</v>
      </c>
      <c r="D29" s="1">
        <v>7</v>
      </c>
      <c r="E29" s="1" t="s">
        <v>0</v>
      </c>
      <c r="F29" s="1">
        <v>54</v>
      </c>
      <c r="G29" s="1">
        <v>1</v>
      </c>
    </row>
    <row r="30" spans="1:7" x14ac:dyDescent="0.3">
      <c r="A30" s="1">
        <v>2</v>
      </c>
      <c r="B30" s="1">
        <v>0</v>
      </c>
      <c r="C30" s="1" t="s">
        <v>0</v>
      </c>
      <c r="D30" s="1">
        <v>26</v>
      </c>
      <c r="E30" s="1" t="s">
        <v>0</v>
      </c>
      <c r="F30" s="1">
        <v>22</v>
      </c>
      <c r="G30" s="1">
        <v>0</v>
      </c>
    </row>
    <row r="31" spans="1:7" x14ac:dyDescent="0.3">
      <c r="A31" s="1">
        <v>2</v>
      </c>
      <c r="B31" s="1">
        <v>0</v>
      </c>
      <c r="C31" s="1" t="s">
        <v>0</v>
      </c>
      <c r="D31" s="1">
        <v>13</v>
      </c>
      <c r="E31" s="1" t="s">
        <v>0</v>
      </c>
      <c r="F31" s="1">
        <v>17</v>
      </c>
      <c r="G31" s="1">
        <v>1</v>
      </c>
    </row>
    <row r="32" spans="1:7" x14ac:dyDescent="0.3">
      <c r="A32" s="1">
        <v>2</v>
      </c>
      <c r="B32" s="1">
        <v>0</v>
      </c>
      <c r="C32" s="1" t="s">
        <v>0</v>
      </c>
      <c r="D32" s="1">
        <v>52</v>
      </c>
      <c r="E32" s="1" t="s">
        <v>0</v>
      </c>
      <c r="F32" s="1">
        <v>37</v>
      </c>
      <c r="G32" s="1">
        <v>0</v>
      </c>
    </row>
    <row r="33" spans="1:7" x14ac:dyDescent="0.3">
      <c r="A33" s="1">
        <v>2</v>
      </c>
      <c r="B33" s="1">
        <v>0</v>
      </c>
      <c r="C33" s="1" t="s">
        <v>0</v>
      </c>
      <c r="D33" s="1">
        <v>3</v>
      </c>
      <c r="E33" s="1" t="s">
        <v>0</v>
      </c>
      <c r="F33" s="1">
        <v>55</v>
      </c>
      <c r="G33" s="1">
        <v>1</v>
      </c>
    </row>
    <row r="34" spans="1:7" x14ac:dyDescent="0.3">
      <c r="A34" s="1">
        <v>2</v>
      </c>
      <c r="B34" s="1">
        <v>0</v>
      </c>
      <c r="C34" s="1" t="s">
        <v>0</v>
      </c>
      <c r="D34" s="1">
        <v>34</v>
      </c>
      <c r="E34" s="1" t="s">
        <v>0</v>
      </c>
      <c r="F34" s="1">
        <v>20</v>
      </c>
      <c r="G34" s="1">
        <v>0</v>
      </c>
    </row>
    <row r="35" spans="1:7" x14ac:dyDescent="0.3">
      <c r="A35" s="1">
        <v>2</v>
      </c>
      <c r="B35" s="1">
        <v>0</v>
      </c>
      <c r="C35" s="1" t="s">
        <v>0</v>
      </c>
      <c r="D35" s="1">
        <v>35</v>
      </c>
      <c r="E35" s="1" t="s">
        <v>0</v>
      </c>
      <c r="F35" s="1">
        <v>28</v>
      </c>
      <c r="G35" s="1">
        <v>0</v>
      </c>
    </row>
    <row r="36" spans="1:7" x14ac:dyDescent="0.3">
      <c r="A36" s="1">
        <v>2</v>
      </c>
      <c r="B36" s="1">
        <v>0</v>
      </c>
      <c r="C36" s="1" t="s">
        <v>0</v>
      </c>
      <c r="D36" s="1">
        <v>31</v>
      </c>
      <c r="E36" s="1" t="s">
        <v>0</v>
      </c>
      <c r="F36" s="1">
        <v>17</v>
      </c>
      <c r="G36" s="1">
        <v>0</v>
      </c>
    </row>
    <row r="37" spans="1:7" x14ac:dyDescent="0.3">
      <c r="A37" s="1">
        <v>2</v>
      </c>
      <c r="B37" s="1">
        <v>0</v>
      </c>
      <c r="C37" s="1" t="s">
        <v>0</v>
      </c>
      <c r="D37" s="1">
        <v>0</v>
      </c>
      <c r="E37" s="1" t="s">
        <v>0</v>
      </c>
      <c r="F37" s="1">
        <v>31</v>
      </c>
      <c r="G37" s="1">
        <v>1</v>
      </c>
    </row>
    <row r="38" spans="1:7" x14ac:dyDescent="0.3">
      <c r="A38" s="1">
        <v>2</v>
      </c>
      <c r="B38" s="1">
        <v>0</v>
      </c>
      <c r="C38" s="1" t="s">
        <v>0</v>
      </c>
      <c r="D38" s="1">
        <v>21</v>
      </c>
      <c r="E38" s="1" t="s">
        <v>0</v>
      </c>
      <c r="F38" s="1">
        <v>14</v>
      </c>
      <c r="G38" s="1">
        <v>0</v>
      </c>
    </row>
    <row r="39" spans="1:7" x14ac:dyDescent="0.3">
      <c r="A39" s="1">
        <v>2</v>
      </c>
      <c r="B39" s="1">
        <v>0</v>
      </c>
      <c r="C39" s="1" t="s">
        <v>0</v>
      </c>
      <c r="D39" s="1">
        <v>4</v>
      </c>
      <c r="E39" s="1" t="s">
        <v>0</v>
      </c>
      <c r="F39" s="1">
        <v>21</v>
      </c>
      <c r="G39" s="1">
        <v>1</v>
      </c>
    </row>
    <row r="40" spans="1:7" x14ac:dyDescent="0.3">
      <c r="A40" s="1">
        <v>2</v>
      </c>
      <c r="B40" s="1">
        <v>0</v>
      </c>
      <c r="C40" s="1" t="s">
        <v>0</v>
      </c>
      <c r="D40" s="1">
        <v>45</v>
      </c>
      <c r="E40" s="1" t="s">
        <v>0</v>
      </c>
      <c r="F40" s="1">
        <v>30</v>
      </c>
      <c r="G40" s="1">
        <v>0</v>
      </c>
    </row>
    <row r="41" spans="1:7" x14ac:dyDescent="0.3">
      <c r="A41" s="1">
        <v>2</v>
      </c>
      <c r="B41" s="1">
        <v>0</v>
      </c>
      <c r="C41" s="1" t="s">
        <v>0</v>
      </c>
      <c r="D41" s="1">
        <v>41</v>
      </c>
      <c r="E41" s="1" t="s">
        <v>0</v>
      </c>
      <c r="F41" s="1">
        <v>10</v>
      </c>
      <c r="G41" s="1">
        <v>0</v>
      </c>
    </row>
    <row r="42" spans="1:7" x14ac:dyDescent="0.3">
      <c r="A42" s="1">
        <v>2</v>
      </c>
      <c r="B42" s="1">
        <v>0</v>
      </c>
      <c r="C42" s="1" t="s">
        <v>0</v>
      </c>
      <c r="D42" s="1">
        <v>1</v>
      </c>
      <c r="E42" s="1" t="s">
        <v>0</v>
      </c>
      <c r="F42" s="1">
        <v>11</v>
      </c>
      <c r="G42" s="1">
        <v>1</v>
      </c>
    </row>
    <row r="43" spans="1:7" x14ac:dyDescent="0.3">
      <c r="A43" s="1">
        <v>2</v>
      </c>
      <c r="B43" s="1">
        <v>0</v>
      </c>
      <c r="C43" s="1" t="s">
        <v>0</v>
      </c>
      <c r="D43" s="1">
        <v>26</v>
      </c>
      <c r="E43" s="1" t="s">
        <v>0</v>
      </c>
      <c r="F43" s="1">
        <v>45</v>
      </c>
      <c r="G43" s="1">
        <v>1</v>
      </c>
    </row>
    <row r="44" spans="1:7" x14ac:dyDescent="0.3">
      <c r="A44" s="1">
        <v>2</v>
      </c>
      <c r="B44" s="1">
        <v>0</v>
      </c>
      <c r="C44" s="1" t="s">
        <v>0</v>
      </c>
      <c r="D44" s="1">
        <v>18</v>
      </c>
      <c r="E44" s="1" t="s">
        <v>0</v>
      </c>
      <c r="F44" s="1">
        <v>13</v>
      </c>
      <c r="G44" s="1">
        <v>0</v>
      </c>
    </row>
    <row r="45" spans="1:7" x14ac:dyDescent="0.3">
      <c r="A45" s="1">
        <v>2</v>
      </c>
      <c r="B45" s="1">
        <v>0</v>
      </c>
      <c r="C45" s="1" t="s">
        <v>0</v>
      </c>
      <c r="D45" s="1">
        <v>24</v>
      </c>
      <c r="E45" s="1" t="s">
        <v>0</v>
      </c>
      <c r="F45" s="1">
        <v>48</v>
      </c>
      <c r="G45" s="1">
        <v>1</v>
      </c>
    </row>
    <row r="46" spans="1:7" x14ac:dyDescent="0.3">
      <c r="A46" s="1">
        <v>2</v>
      </c>
      <c r="B46" s="1">
        <v>0</v>
      </c>
      <c r="C46" s="1" t="s">
        <v>0</v>
      </c>
      <c r="D46" s="1">
        <v>30</v>
      </c>
      <c r="E46" s="1" t="s">
        <v>0</v>
      </c>
      <c r="F46" s="1">
        <v>21</v>
      </c>
      <c r="G46" s="1">
        <v>0</v>
      </c>
    </row>
    <row r="47" spans="1:7" x14ac:dyDescent="0.3">
      <c r="A47" s="1">
        <v>2</v>
      </c>
      <c r="B47" s="1">
        <v>0</v>
      </c>
      <c r="C47" s="1" t="s">
        <v>0</v>
      </c>
      <c r="D47" s="1">
        <v>45</v>
      </c>
      <c r="E47" s="1" t="s">
        <v>0</v>
      </c>
      <c r="F47" s="1">
        <v>42</v>
      </c>
      <c r="G47" s="1">
        <v>0</v>
      </c>
    </row>
    <row r="48" spans="1:7" x14ac:dyDescent="0.3">
      <c r="A48" s="1">
        <v>2</v>
      </c>
      <c r="B48" s="1">
        <v>0</v>
      </c>
      <c r="C48" s="1" t="s">
        <v>0</v>
      </c>
      <c r="D48" s="1">
        <v>19</v>
      </c>
      <c r="E48" s="1" t="s">
        <v>0</v>
      </c>
      <c r="F48" s="1">
        <v>33</v>
      </c>
      <c r="G48" s="1">
        <v>1</v>
      </c>
    </row>
    <row r="49" spans="1:7" x14ac:dyDescent="0.3">
      <c r="A49" s="1">
        <v>2</v>
      </c>
      <c r="B49" s="1">
        <v>0</v>
      </c>
      <c r="C49" s="1" t="s">
        <v>0</v>
      </c>
      <c r="D49" s="1">
        <v>30</v>
      </c>
      <c r="E49" s="1" t="s">
        <v>0</v>
      </c>
      <c r="F49" s="1">
        <v>28</v>
      </c>
      <c r="G49" s="1">
        <v>0</v>
      </c>
    </row>
    <row r="50" spans="1:7" x14ac:dyDescent="0.3">
      <c r="A50" s="1">
        <v>2</v>
      </c>
      <c r="B50" s="1">
        <v>0</v>
      </c>
      <c r="C50" s="1" t="s">
        <v>0</v>
      </c>
      <c r="D50" s="1">
        <v>28</v>
      </c>
      <c r="E50" s="1" t="s">
        <v>0</v>
      </c>
      <c r="F50" s="1">
        <v>16</v>
      </c>
      <c r="G50" s="1">
        <v>0</v>
      </c>
    </row>
    <row r="51" spans="1:7" x14ac:dyDescent="0.3">
      <c r="A51" s="1">
        <v>2</v>
      </c>
      <c r="B51" s="1">
        <v>1</v>
      </c>
      <c r="C51" s="1" t="s">
        <v>0</v>
      </c>
      <c r="D51" s="1">
        <v>29</v>
      </c>
      <c r="E51" s="1" t="s">
        <v>0</v>
      </c>
      <c r="F51" s="1">
        <v>26</v>
      </c>
      <c r="G51" s="1">
        <v>0</v>
      </c>
    </row>
    <row r="52" spans="1:7" x14ac:dyDescent="0.3">
      <c r="A52" s="1">
        <v>2</v>
      </c>
      <c r="B52" s="1">
        <v>1</v>
      </c>
      <c r="C52" s="1" t="s">
        <v>0</v>
      </c>
      <c r="D52" s="1">
        <v>30</v>
      </c>
      <c r="E52" s="1" t="s">
        <v>0</v>
      </c>
      <c r="F52" s="1">
        <v>58</v>
      </c>
      <c r="G52" s="1">
        <v>1</v>
      </c>
    </row>
    <row r="53" spans="1:7" x14ac:dyDescent="0.3">
      <c r="A53" s="1">
        <v>2</v>
      </c>
      <c r="B53" s="1">
        <v>1</v>
      </c>
      <c r="C53" s="1" t="s">
        <v>0</v>
      </c>
      <c r="D53" s="1">
        <v>9</v>
      </c>
      <c r="E53" s="1" t="s">
        <v>0</v>
      </c>
      <c r="F53" s="1">
        <v>23</v>
      </c>
      <c r="G53" s="1">
        <v>1</v>
      </c>
    </row>
    <row r="54" spans="1:7" x14ac:dyDescent="0.3">
      <c r="A54" s="1">
        <v>2</v>
      </c>
      <c r="B54" s="1">
        <v>1</v>
      </c>
      <c r="C54" s="1" t="s">
        <v>0</v>
      </c>
      <c r="D54" s="1">
        <v>41</v>
      </c>
      <c r="E54" s="1" t="s">
        <v>0</v>
      </c>
      <c r="F54" s="1">
        <v>2</v>
      </c>
      <c r="G54" s="1">
        <v>0</v>
      </c>
    </row>
    <row r="55" spans="1:7" x14ac:dyDescent="0.3">
      <c r="A55" s="1">
        <v>2</v>
      </c>
      <c r="B55" s="1">
        <v>1</v>
      </c>
      <c r="C55" s="1" t="s">
        <v>0</v>
      </c>
      <c r="D55" s="1">
        <v>11</v>
      </c>
      <c r="E55" s="1" t="s">
        <v>0</v>
      </c>
      <c r="F55" s="1">
        <v>30</v>
      </c>
      <c r="G55" s="1">
        <v>1</v>
      </c>
    </row>
    <row r="56" spans="1:7" x14ac:dyDescent="0.3">
      <c r="A56" s="1">
        <v>2</v>
      </c>
      <c r="B56" s="1">
        <v>1</v>
      </c>
      <c r="C56" s="1" t="s">
        <v>0</v>
      </c>
      <c r="D56" s="1">
        <v>27</v>
      </c>
      <c r="E56" s="1" t="s">
        <v>0</v>
      </c>
      <c r="F56" s="1">
        <v>34</v>
      </c>
      <c r="G56" s="1">
        <v>1</v>
      </c>
    </row>
    <row r="57" spans="1:7" x14ac:dyDescent="0.3">
      <c r="A57" s="1">
        <v>2</v>
      </c>
      <c r="B57" s="1">
        <v>1</v>
      </c>
      <c r="C57" s="1" t="s">
        <v>0</v>
      </c>
      <c r="D57" s="1">
        <v>4</v>
      </c>
      <c r="E57" s="1" t="s">
        <v>0</v>
      </c>
      <c r="F57" s="1">
        <v>50</v>
      </c>
      <c r="G57" s="1">
        <v>1</v>
      </c>
    </row>
    <row r="58" spans="1:7" x14ac:dyDescent="0.3">
      <c r="A58" s="1">
        <v>2</v>
      </c>
      <c r="B58" s="1">
        <v>1</v>
      </c>
      <c r="C58" s="1" t="s">
        <v>0</v>
      </c>
      <c r="D58" s="1">
        <v>34</v>
      </c>
      <c r="E58" s="1" t="s">
        <v>0</v>
      </c>
      <c r="F58" s="1">
        <v>35</v>
      </c>
      <c r="G58" s="1">
        <v>1</v>
      </c>
    </row>
    <row r="59" spans="1:7" x14ac:dyDescent="0.3">
      <c r="A59" s="1">
        <v>2</v>
      </c>
      <c r="B59" s="1">
        <v>1</v>
      </c>
      <c r="C59" s="1" t="s">
        <v>0</v>
      </c>
      <c r="D59" s="1">
        <v>21</v>
      </c>
      <c r="E59" s="1" t="s">
        <v>0</v>
      </c>
      <c r="F59" s="1">
        <v>39</v>
      </c>
      <c r="G59" s="1">
        <v>1</v>
      </c>
    </row>
    <row r="60" spans="1:7" x14ac:dyDescent="0.3">
      <c r="A60" s="1">
        <v>2</v>
      </c>
      <c r="B60" s="1">
        <v>1</v>
      </c>
      <c r="C60" s="1" t="s">
        <v>0</v>
      </c>
      <c r="D60" s="1">
        <v>21</v>
      </c>
      <c r="E60" s="1" t="s">
        <v>0</v>
      </c>
      <c r="F60" s="1">
        <v>13</v>
      </c>
      <c r="G60" s="1">
        <v>0</v>
      </c>
    </row>
    <row r="61" spans="1:7" x14ac:dyDescent="0.3">
      <c r="A61" s="1">
        <v>2</v>
      </c>
      <c r="B61" s="1">
        <v>1</v>
      </c>
      <c r="C61" s="1" t="s">
        <v>0</v>
      </c>
      <c r="D61" s="1">
        <v>22</v>
      </c>
      <c r="E61" s="1" t="s">
        <v>0</v>
      </c>
      <c r="F61" s="1">
        <v>15</v>
      </c>
      <c r="G61" s="1">
        <v>0</v>
      </c>
    </row>
    <row r="62" spans="1:7" x14ac:dyDescent="0.3">
      <c r="A62" s="1">
        <v>2</v>
      </c>
      <c r="B62" s="1">
        <v>1</v>
      </c>
      <c r="C62" s="1" t="s">
        <v>0</v>
      </c>
      <c r="D62" s="1">
        <v>52</v>
      </c>
      <c r="E62" s="1" t="s">
        <v>0</v>
      </c>
      <c r="F62" s="1">
        <v>24</v>
      </c>
      <c r="G62" s="1">
        <v>0</v>
      </c>
    </row>
    <row r="63" spans="1:7" x14ac:dyDescent="0.3">
      <c r="A63" s="1">
        <v>2</v>
      </c>
      <c r="B63" s="1">
        <v>1</v>
      </c>
      <c r="C63" s="1" t="s">
        <v>0</v>
      </c>
      <c r="D63" s="1">
        <v>23</v>
      </c>
      <c r="E63" s="1" t="s">
        <v>0</v>
      </c>
      <c r="F63" s="1">
        <v>2</v>
      </c>
      <c r="G63" s="1">
        <v>0</v>
      </c>
    </row>
    <row r="64" spans="1:7" x14ac:dyDescent="0.3">
      <c r="A64" s="1">
        <v>2</v>
      </c>
      <c r="B64" s="1">
        <v>1</v>
      </c>
      <c r="C64" s="1" t="s">
        <v>0</v>
      </c>
      <c r="D64" s="1">
        <v>33</v>
      </c>
      <c r="E64" s="1" t="s">
        <v>0</v>
      </c>
      <c r="F64" s="1">
        <v>39</v>
      </c>
      <c r="G64" s="1">
        <v>1</v>
      </c>
    </row>
    <row r="65" spans="1:7" x14ac:dyDescent="0.3">
      <c r="A65" s="1">
        <v>2</v>
      </c>
      <c r="B65" s="1">
        <v>1</v>
      </c>
      <c r="C65" s="1" t="s">
        <v>0</v>
      </c>
      <c r="D65" s="1">
        <v>13</v>
      </c>
      <c r="E65" s="1" t="s">
        <v>0</v>
      </c>
      <c r="F65" s="1">
        <v>11</v>
      </c>
      <c r="G65" s="1">
        <v>0</v>
      </c>
    </row>
    <row r="66" spans="1:7" x14ac:dyDescent="0.3">
      <c r="A66" s="1">
        <v>2</v>
      </c>
      <c r="B66" s="1">
        <v>1</v>
      </c>
      <c r="C66" s="1" t="s">
        <v>0</v>
      </c>
      <c r="D66" s="1">
        <v>38</v>
      </c>
      <c r="E66" s="1" t="s">
        <v>0</v>
      </c>
      <c r="F66" s="1">
        <v>40</v>
      </c>
      <c r="G66" s="1">
        <v>1</v>
      </c>
    </row>
    <row r="67" spans="1:7" x14ac:dyDescent="0.3">
      <c r="A67" s="1">
        <v>2</v>
      </c>
      <c r="B67" s="1">
        <v>1</v>
      </c>
      <c r="C67" s="1" t="s">
        <v>0</v>
      </c>
      <c r="D67" s="1">
        <v>51</v>
      </c>
      <c r="E67" s="1" t="s">
        <v>0</v>
      </c>
      <c r="F67" s="1">
        <v>2</v>
      </c>
      <c r="G67" s="1">
        <v>0</v>
      </c>
    </row>
    <row r="68" spans="1:7" x14ac:dyDescent="0.3">
      <c r="A68" s="1">
        <v>2</v>
      </c>
      <c r="B68" s="1">
        <v>1</v>
      </c>
      <c r="C68" s="1" t="s">
        <v>0</v>
      </c>
      <c r="D68" s="1">
        <v>12</v>
      </c>
      <c r="E68" s="1" t="s">
        <v>0</v>
      </c>
      <c r="F68" s="1">
        <v>35</v>
      </c>
      <c r="G68" s="1">
        <v>1</v>
      </c>
    </row>
    <row r="69" spans="1:7" x14ac:dyDescent="0.3">
      <c r="A69" s="1">
        <v>2</v>
      </c>
      <c r="B69" s="1">
        <v>1</v>
      </c>
      <c r="C69" s="1" t="s">
        <v>0</v>
      </c>
      <c r="D69" s="1">
        <v>41</v>
      </c>
      <c r="E69" s="1" t="s">
        <v>0</v>
      </c>
      <c r="F69" s="1">
        <v>46</v>
      </c>
      <c r="G69" s="1">
        <v>1</v>
      </c>
    </row>
    <row r="70" spans="1:7" x14ac:dyDescent="0.3">
      <c r="A70" s="1">
        <v>2</v>
      </c>
      <c r="B70" s="1">
        <v>1</v>
      </c>
      <c r="C70" s="1" t="s">
        <v>0</v>
      </c>
      <c r="D70" s="1">
        <v>6</v>
      </c>
      <c r="E70" s="1" t="s">
        <v>0</v>
      </c>
      <c r="F70" s="1">
        <v>33</v>
      </c>
      <c r="G70" s="1">
        <v>1</v>
      </c>
    </row>
    <row r="71" spans="1:7" x14ac:dyDescent="0.3">
      <c r="A71" s="1">
        <v>2</v>
      </c>
      <c r="B71" s="1">
        <v>1</v>
      </c>
      <c r="C71" s="1" t="s">
        <v>0</v>
      </c>
      <c r="D71" s="1">
        <v>47</v>
      </c>
      <c r="E71" s="1" t="s">
        <v>0</v>
      </c>
      <c r="F71" s="1">
        <v>61</v>
      </c>
      <c r="G71" s="1">
        <v>1</v>
      </c>
    </row>
    <row r="72" spans="1:7" x14ac:dyDescent="0.3">
      <c r="A72" s="1">
        <v>2</v>
      </c>
      <c r="B72" s="1">
        <v>1</v>
      </c>
      <c r="C72" s="1" t="s">
        <v>0</v>
      </c>
      <c r="D72" s="1">
        <v>35</v>
      </c>
      <c r="E72" s="1" t="s">
        <v>0</v>
      </c>
      <c r="F72" s="1">
        <v>51</v>
      </c>
      <c r="G72" s="1">
        <v>1</v>
      </c>
    </row>
    <row r="73" spans="1:7" x14ac:dyDescent="0.3">
      <c r="A73" s="1">
        <v>2</v>
      </c>
      <c r="B73" s="1">
        <v>1</v>
      </c>
      <c r="C73" s="1" t="s">
        <v>0</v>
      </c>
      <c r="D73" s="1">
        <v>33</v>
      </c>
      <c r="E73" s="1" t="s">
        <v>0</v>
      </c>
      <c r="F73" s="1">
        <v>32</v>
      </c>
      <c r="G73" s="1">
        <v>0</v>
      </c>
    </row>
    <row r="74" spans="1:7" x14ac:dyDescent="0.3">
      <c r="A74" s="1">
        <v>2</v>
      </c>
      <c r="B74" s="1">
        <v>1</v>
      </c>
      <c r="C74" s="1" t="s">
        <v>0</v>
      </c>
      <c r="D74" s="1">
        <v>3</v>
      </c>
      <c r="E74" s="1" t="s">
        <v>0</v>
      </c>
      <c r="F74" s="1">
        <v>6</v>
      </c>
      <c r="G74" s="1">
        <v>1</v>
      </c>
    </row>
    <row r="75" spans="1:7" x14ac:dyDescent="0.3">
      <c r="A75" s="1">
        <v>2</v>
      </c>
      <c r="B75" s="1">
        <v>1</v>
      </c>
      <c r="C75" s="1" t="s">
        <v>0</v>
      </c>
      <c r="D75" s="1">
        <v>28</v>
      </c>
      <c r="E75" s="1" t="s">
        <v>0</v>
      </c>
      <c r="F75" s="1">
        <v>11</v>
      </c>
      <c r="G75" s="1">
        <v>0</v>
      </c>
    </row>
    <row r="76" spans="1:7" x14ac:dyDescent="0.3">
      <c r="A76" s="1">
        <v>2</v>
      </c>
      <c r="B76" s="1">
        <v>1</v>
      </c>
      <c r="C76" s="1" t="s">
        <v>0</v>
      </c>
      <c r="D76" s="1">
        <v>20</v>
      </c>
      <c r="E76" s="1" t="s">
        <v>0</v>
      </c>
      <c r="F76" s="1">
        <v>62</v>
      </c>
      <c r="G76" s="1">
        <v>1</v>
      </c>
    </row>
    <row r="77" spans="1:7" x14ac:dyDescent="0.3">
      <c r="A77" s="1">
        <v>2</v>
      </c>
      <c r="B77" s="1">
        <v>1</v>
      </c>
      <c r="C77" s="1" t="s">
        <v>0</v>
      </c>
      <c r="D77" s="1">
        <v>33</v>
      </c>
      <c r="E77" s="1" t="s">
        <v>0</v>
      </c>
      <c r="F77" s="1">
        <v>21</v>
      </c>
      <c r="G77" s="1">
        <v>0</v>
      </c>
    </row>
    <row r="78" spans="1:7" x14ac:dyDescent="0.3">
      <c r="A78" s="1">
        <v>2</v>
      </c>
      <c r="B78" s="1">
        <v>1</v>
      </c>
      <c r="C78" s="1" t="s">
        <v>0</v>
      </c>
      <c r="D78" s="1">
        <v>37</v>
      </c>
      <c r="E78" s="1" t="s">
        <v>0</v>
      </c>
      <c r="F78" s="1">
        <v>38</v>
      </c>
      <c r="G78" s="1">
        <v>1</v>
      </c>
    </row>
    <row r="79" spans="1:7" x14ac:dyDescent="0.3">
      <c r="A79" s="1">
        <v>2</v>
      </c>
      <c r="B79" s="1">
        <v>1</v>
      </c>
      <c r="C79" s="1" t="s">
        <v>0</v>
      </c>
      <c r="D79" s="1">
        <v>10</v>
      </c>
      <c r="E79" s="1" t="s">
        <v>0</v>
      </c>
      <c r="F79" s="1">
        <v>9</v>
      </c>
      <c r="G79" s="1">
        <v>0</v>
      </c>
    </row>
    <row r="80" spans="1:7" x14ac:dyDescent="0.3">
      <c r="A80" s="1">
        <v>2</v>
      </c>
      <c r="B80" s="1">
        <v>1</v>
      </c>
      <c r="C80" s="1" t="s">
        <v>0</v>
      </c>
      <c r="D80" s="1">
        <v>1</v>
      </c>
      <c r="E80" s="1" t="s">
        <v>0</v>
      </c>
      <c r="F80" s="1">
        <v>21</v>
      </c>
      <c r="G80" s="1">
        <v>1</v>
      </c>
    </row>
    <row r="81" spans="1:7" x14ac:dyDescent="0.3">
      <c r="A81" s="1">
        <v>2</v>
      </c>
      <c r="B81" s="1">
        <v>1</v>
      </c>
      <c r="C81" s="1" t="s">
        <v>0</v>
      </c>
      <c r="D81" s="1">
        <v>51</v>
      </c>
      <c r="E81" s="1" t="s">
        <v>0</v>
      </c>
      <c r="F81" s="1">
        <v>10</v>
      </c>
      <c r="G81" s="1">
        <v>0</v>
      </c>
    </row>
    <row r="82" spans="1:7" x14ac:dyDescent="0.3">
      <c r="A82" s="1">
        <v>2</v>
      </c>
      <c r="B82" s="1">
        <v>1</v>
      </c>
      <c r="C82" s="1" t="s">
        <v>0</v>
      </c>
      <c r="D82" s="1">
        <v>25</v>
      </c>
      <c r="E82" s="1" t="s">
        <v>0</v>
      </c>
      <c r="F82" s="1">
        <v>31</v>
      </c>
      <c r="G82" s="1">
        <v>1</v>
      </c>
    </row>
    <row r="83" spans="1:7" x14ac:dyDescent="0.3">
      <c r="A83" s="1">
        <v>2</v>
      </c>
      <c r="B83" s="1">
        <v>1</v>
      </c>
      <c r="C83" s="1" t="s">
        <v>0</v>
      </c>
      <c r="D83" s="1">
        <v>35</v>
      </c>
      <c r="E83" s="1" t="s">
        <v>0</v>
      </c>
      <c r="F83" s="1">
        <v>14</v>
      </c>
      <c r="G83" s="1">
        <v>0</v>
      </c>
    </row>
    <row r="84" spans="1:7" x14ac:dyDescent="0.3">
      <c r="A84" s="1">
        <v>2</v>
      </c>
      <c r="B84" s="1">
        <v>1</v>
      </c>
      <c r="C84" s="1" t="s">
        <v>0</v>
      </c>
      <c r="D84" s="1">
        <v>26</v>
      </c>
      <c r="E84" s="1" t="s">
        <v>0</v>
      </c>
      <c r="F84" s="1">
        <v>22</v>
      </c>
      <c r="G84" s="1">
        <v>0</v>
      </c>
    </row>
    <row r="85" spans="1:7" x14ac:dyDescent="0.3">
      <c r="A85" s="1">
        <v>2</v>
      </c>
      <c r="B85" s="1">
        <v>1</v>
      </c>
      <c r="C85" s="1" t="s">
        <v>0</v>
      </c>
      <c r="D85" s="1">
        <v>14</v>
      </c>
      <c r="E85" s="1" t="s">
        <v>0</v>
      </c>
      <c r="F85" s="1">
        <v>20</v>
      </c>
      <c r="G85" s="1">
        <v>1</v>
      </c>
    </row>
    <row r="86" spans="1:7" x14ac:dyDescent="0.3">
      <c r="A86" s="1">
        <v>2</v>
      </c>
      <c r="B86" s="1">
        <v>1</v>
      </c>
      <c r="C86" s="1" t="s">
        <v>0</v>
      </c>
      <c r="D86" s="1">
        <v>21</v>
      </c>
      <c r="E86" s="1" t="s">
        <v>0</v>
      </c>
      <c r="F86" s="1">
        <v>48</v>
      </c>
      <c r="G86" s="1">
        <v>1</v>
      </c>
    </row>
    <row r="87" spans="1:7" x14ac:dyDescent="0.3">
      <c r="A87" s="1">
        <v>2</v>
      </c>
      <c r="B87" s="1">
        <v>1</v>
      </c>
      <c r="C87" s="1" t="s">
        <v>0</v>
      </c>
      <c r="D87" s="1">
        <v>42</v>
      </c>
      <c r="E87" s="1" t="s">
        <v>0</v>
      </c>
      <c r="F87" s="1">
        <v>28</v>
      </c>
      <c r="G87" s="1">
        <v>0</v>
      </c>
    </row>
    <row r="88" spans="1:7" x14ac:dyDescent="0.3">
      <c r="A88" s="1">
        <v>2</v>
      </c>
      <c r="B88" s="1">
        <v>1</v>
      </c>
      <c r="C88" s="1" t="s">
        <v>0</v>
      </c>
      <c r="D88" s="1">
        <v>9</v>
      </c>
      <c r="E88" s="1" t="s">
        <v>0</v>
      </c>
      <c r="F88" s="1">
        <v>8</v>
      </c>
      <c r="G88" s="1">
        <v>0</v>
      </c>
    </row>
    <row r="89" spans="1:7" x14ac:dyDescent="0.3">
      <c r="A89" s="1">
        <v>2</v>
      </c>
      <c r="B89" s="1">
        <v>1</v>
      </c>
      <c r="C89" s="1" t="s">
        <v>0</v>
      </c>
      <c r="D89" s="1">
        <v>26</v>
      </c>
      <c r="E89" s="1" t="s">
        <v>0</v>
      </c>
      <c r="F89" s="1">
        <v>4</v>
      </c>
      <c r="G89" s="1">
        <v>0</v>
      </c>
    </row>
    <row r="90" spans="1:7" x14ac:dyDescent="0.3">
      <c r="A90" s="1">
        <v>2</v>
      </c>
      <c r="B90" s="1">
        <v>1</v>
      </c>
      <c r="C90" s="1" t="s">
        <v>0</v>
      </c>
      <c r="D90" s="1">
        <v>21</v>
      </c>
      <c r="E90" s="1" t="s">
        <v>0</v>
      </c>
      <c r="F90" s="1">
        <v>39</v>
      </c>
      <c r="G90" s="1">
        <v>1</v>
      </c>
    </row>
    <row r="91" spans="1:7" x14ac:dyDescent="0.3">
      <c r="A91" s="1">
        <v>2</v>
      </c>
      <c r="B91" s="1">
        <v>1</v>
      </c>
      <c r="C91" s="1" t="s">
        <v>0</v>
      </c>
      <c r="D91" s="1">
        <v>23</v>
      </c>
      <c r="E91" s="1" t="s">
        <v>0</v>
      </c>
      <c r="F91" s="1">
        <v>31</v>
      </c>
      <c r="G91" s="1">
        <v>1</v>
      </c>
    </row>
    <row r="92" spans="1:7" x14ac:dyDescent="0.3">
      <c r="A92" s="1">
        <v>2</v>
      </c>
      <c r="B92" s="1">
        <v>1</v>
      </c>
      <c r="C92" s="1" t="s">
        <v>0</v>
      </c>
      <c r="D92" s="1">
        <v>6</v>
      </c>
      <c r="E92" s="1" t="s">
        <v>0</v>
      </c>
      <c r="F92" s="1">
        <v>26</v>
      </c>
      <c r="G92" s="1">
        <v>1</v>
      </c>
    </row>
    <row r="93" spans="1:7" x14ac:dyDescent="0.3">
      <c r="A93" s="1">
        <v>2</v>
      </c>
      <c r="B93" s="1">
        <v>1</v>
      </c>
      <c r="C93" s="1" t="s">
        <v>0</v>
      </c>
      <c r="D93" s="1">
        <v>31</v>
      </c>
      <c r="E93" s="1" t="s">
        <v>0</v>
      </c>
      <c r="F93" s="1">
        <v>30</v>
      </c>
      <c r="G93" s="1">
        <v>0</v>
      </c>
    </row>
    <row r="94" spans="1:7" x14ac:dyDescent="0.3">
      <c r="A94" s="1">
        <v>2</v>
      </c>
      <c r="B94" s="1">
        <v>1</v>
      </c>
      <c r="C94" s="1" t="s">
        <v>0</v>
      </c>
      <c r="D94" s="1">
        <v>26</v>
      </c>
      <c r="E94" s="1" t="s">
        <v>0</v>
      </c>
      <c r="F94" s="1">
        <v>42</v>
      </c>
      <c r="G94" s="1">
        <v>1</v>
      </c>
    </row>
    <row r="95" spans="1:7" x14ac:dyDescent="0.3">
      <c r="A95" s="1">
        <v>2</v>
      </c>
      <c r="B95" s="1">
        <v>1</v>
      </c>
      <c r="C95" s="1" t="s">
        <v>0</v>
      </c>
      <c r="D95" s="1">
        <v>16</v>
      </c>
      <c r="E95" s="1" t="s">
        <v>0</v>
      </c>
      <c r="F95" s="1">
        <v>22</v>
      </c>
      <c r="G95" s="1">
        <v>1</v>
      </c>
    </row>
    <row r="96" spans="1:7" x14ac:dyDescent="0.3">
      <c r="A96" s="1">
        <v>2</v>
      </c>
      <c r="B96" s="1">
        <v>1</v>
      </c>
      <c r="C96" s="1" t="s">
        <v>0</v>
      </c>
      <c r="D96" s="1">
        <v>5</v>
      </c>
      <c r="E96" s="1" t="s">
        <v>0</v>
      </c>
      <c r="F96" s="1">
        <v>16</v>
      </c>
      <c r="G96" s="1">
        <v>1</v>
      </c>
    </row>
    <row r="97" spans="1:7" x14ac:dyDescent="0.3">
      <c r="A97" s="1">
        <v>2</v>
      </c>
      <c r="B97" s="1">
        <v>1</v>
      </c>
      <c r="C97" s="1" t="s">
        <v>0</v>
      </c>
      <c r="D97" s="1">
        <v>25</v>
      </c>
      <c r="E97" s="1" t="s">
        <v>0</v>
      </c>
      <c r="F97" s="1">
        <v>21</v>
      </c>
      <c r="G97" s="1">
        <v>0</v>
      </c>
    </row>
    <row r="98" spans="1:7" x14ac:dyDescent="0.3">
      <c r="A98" s="1">
        <v>2</v>
      </c>
      <c r="B98" s="1">
        <v>1</v>
      </c>
      <c r="C98" s="1" t="s">
        <v>0</v>
      </c>
      <c r="D98" s="1">
        <v>42</v>
      </c>
      <c r="E98" s="1" t="s">
        <v>0</v>
      </c>
      <c r="F98" s="1">
        <v>32</v>
      </c>
      <c r="G98" s="1">
        <v>0</v>
      </c>
    </row>
    <row r="99" spans="1:7" x14ac:dyDescent="0.3">
      <c r="A99" s="1">
        <v>2</v>
      </c>
      <c r="B99" s="1">
        <v>1</v>
      </c>
      <c r="C99" s="1" t="s">
        <v>0</v>
      </c>
      <c r="D99" s="1">
        <v>2</v>
      </c>
      <c r="E99" s="1" t="s">
        <v>0</v>
      </c>
      <c r="F99" s="1">
        <v>0</v>
      </c>
      <c r="G99" s="1">
        <v>0</v>
      </c>
    </row>
    <row r="100" spans="1:7" x14ac:dyDescent="0.3">
      <c r="A100" s="1">
        <v>2</v>
      </c>
      <c r="B100" s="1">
        <v>1</v>
      </c>
      <c r="C100" s="1" t="s">
        <v>0</v>
      </c>
      <c r="D100" s="1">
        <v>23</v>
      </c>
      <c r="E100" s="1" t="s">
        <v>0</v>
      </c>
      <c r="F100" s="1">
        <v>21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E116-2502-4575-9201-8C8439F7D7B4}">
  <dimension ref="A1:Q100"/>
  <sheetViews>
    <sheetView tabSelected="1" workbookViewId="0">
      <selection activeCell="L22" sqref="L22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1</v>
      </c>
      <c r="D1" s="1">
        <v>21</v>
      </c>
      <c r="E1" s="1" t="s">
        <v>1</v>
      </c>
      <c r="F1" s="1">
        <v>51</v>
      </c>
      <c r="G1" s="1">
        <v>1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1</v>
      </c>
      <c r="D2" s="1">
        <v>12</v>
      </c>
      <c r="E2" s="1" t="s">
        <v>1</v>
      </c>
      <c r="F2" s="1">
        <v>26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1</v>
      </c>
      <c r="D3" s="1">
        <v>45</v>
      </c>
      <c r="E3" s="1" t="s">
        <v>1</v>
      </c>
      <c r="F3" s="1">
        <v>28</v>
      </c>
      <c r="G3" s="1">
        <v>0</v>
      </c>
      <c r="I3" s="5" t="s">
        <v>6</v>
      </c>
      <c r="J3" s="5"/>
      <c r="K3" s="9">
        <f>COUNTIF($G$1:$G$100, 0)</f>
        <v>53</v>
      </c>
      <c r="L3" s="9"/>
      <c r="M3" s="9">
        <f>COUNTIFS($G$1:$G$100, 0, $B$1:$B$100, 0)</f>
        <v>27</v>
      </c>
      <c r="N3" s="9"/>
      <c r="O3" s="10">
        <f>COUNTIFS($G$1:$G$100, 0, $B$1:$B$100, 1)</f>
        <v>26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1</v>
      </c>
      <c r="D4" s="1">
        <v>24</v>
      </c>
      <c r="E4" s="1" t="s">
        <v>1</v>
      </c>
      <c r="F4" s="1">
        <v>41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1</v>
      </c>
      <c r="D5" s="1">
        <v>38</v>
      </c>
      <c r="E5" s="1" t="s">
        <v>1</v>
      </c>
      <c r="F5" s="1">
        <v>23</v>
      </c>
      <c r="G5" s="1">
        <v>0</v>
      </c>
      <c r="I5" s="5" t="s">
        <v>7</v>
      </c>
      <c r="J5" s="5"/>
      <c r="K5" s="14">
        <f>COUNTIF($G$1:$G$100, 1)</f>
        <v>47</v>
      </c>
      <c r="L5" s="9"/>
      <c r="M5" s="9">
        <f>COUNTIFS($G$1:$G$100, 1, $B$1:$B$100, 0)</f>
        <v>23</v>
      </c>
      <c r="N5" s="9"/>
      <c r="O5" s="9">
        <f>COUNTIFS($G$1:$G$100, 1, $B$1:$B$100, 1)</f>
        <v>24</v>
      </c>
      <c r="P5" s="13"/>
      <c r="Q5"/>
    </row>
    <row r="6" spans="1:17" x14ac:dyDescent="0.3">
      <c r="A6" s="1">
        <v>2</v>
      </c>
      <c r="B6" s="1">
        <v>0</v>
      </c>
      <c r="C6" s="1" t="s">
        <v>1</v>
      </c>
      <c r="D6" s="1">
        <v>69</v>
      </c>
      <c r="E6" s="1" t="s">
        <v>1</v>
      </c>
      <c r="F6" s="1">
        <v>14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1</v>
      </c>
      <c r="D7" s="1">
        <v>26</v>
      </c>
      <c r="E7" s="1" t="s">
        <v>1</v>
      </c>
      <c r="F7" s="1">
        <v>32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1</v>
      </c>
      <c r="D8" s="1">
        <v>50</v>
      </c>
      <c r="E8" s="1" t="s">
        <v>1</v>
      </c>
      <c r="F8" s="1">
        <v>39</v>
      </c>
      <c r="G8" s="1">
        <v>0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1</v>
      </c>
      <c r="D9" s="1">
        <v>21</v>
      </c>
      <c r="E9" s="1" t="s">
        <v>1</v>
      </c>
      <c r="F9" s="1">
        <v>54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1</v>
      </c>
      <c r="D10" s="1">
        <v>27</v>
      </c>
      <c r="E10" s="1" t="s">
        <v>1</v>
      </c>
      <c r="F10" s="1">
        <v>26</v>
      </c>
      <c r="G10" s="1">
        <v>0</v>
      </c>
      <c r="I10" s="5" t="s">
        <v>10</v>
      </c>
      <c r="J10" s="5"/>
      <c r="K10" s="9">
        <f>AVERAGE($D$1:$D$100,)</f>
        <v>29.247524752475247</v>
      </c>
      <c r="L10" s="9"/>
      <c r="M10" s="9" cm="1">
        <f t="array" ref="M10">AVERAGE(_xlfn._xlws.FILTER($D$1:$D$100,$G$1:$G$100 = 0))</f>
        <v>36.886792452830186</v>
      </c>
      <c r="N10" s="9"/>
      <c r="O10" s="10" cm="1">
        <f t="array" ref="O10">AVERAGE(_xlfn._xlws.FILTER($D$1:$D$100,$G$1:$G$100 = 1))</f>
        <v>21.25531914893617</v>
      </c>
      <c r="P10" s="11"/>
      <c r="Q10"/>
    </row>
    <row r="11" spans="1:17" x14ac:dyDescent="0.3">
      <c r="A11" s="1">
        <v>2</v>
      </c>
      <c r="B11" s="1">
        <v>0</v>
      </c>
      <c r="C11" s="1" t="s">
        <v>1</v>
      </c>
      <c r="D11" s="1">
        <v>23</v>
      </c>
      <c r="E11" s="1" t="s">
        <v>1</v>
      </c>
      <c r="F11" s="1">
        <v>17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1</v>
      </c>
      <c r="D12" s="1">
        <v>39</v>
      </c>
      <c r="E12" s="1" t="s">
        <v>1</v>
      </c>
      <c r="F12" s="1">
        <v>34</v>
      </c>
      <c r="G12" s="1">
        <v>0</v>
      </c>
      <c r="I12" s="5" t="s">
        <v>11</v>
      </c>
      <c r="J12" s="5"/>
      <c r="K12" s="9">
        <f>AVERAGE($F$1:$F$100,)</f>
        <v>28.14851485148515</v>
      </c>
      <c r="L12" s="9"/>
      <c r="M12" s="9" cm="1">
        <f t="array" ref="M12">AVERAGE(_xlfn._xlws.FILTER($F$1:$F$100,$G$1:$G$100 = 0))</f>
        <v>23.09433962264151</v>
      </c>
      <c r="N12" s="9"/>
      <c r="O12" s="9" cm="1">
        <f t="array" ref="O12">AVERAGE(_xlfn._xlws.FILTER($F$1:$F$100,$G$1:$G$100 = 1))</f>
        <v>34.446808510638299</v>
      </c>
      <c r="P12" s="13"/>
      <c r="Q12"/>
    </row>
    <row r="13" spans="1:17" x14ac:dyDescent="0.3">
      <c r="A13" s="1">
        <v>2</v>
      </c>
      <c r="B13" s="1">
        <v>0</v>
      </c>
      <c r="C13" s="1" t="s">
        <v>1</v>
      </c>
      <c r="D13" s="1">
        <v>52</v>
      </c>
      <c r="E13" s="1" t="s">
        <v>1</v>
      </c>
      <c r="F13" s="1">
        <v>35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1</v>
      </c>
      <c r="D14" s="1">
        <v>8</v>
      </c>
      <c r="E14" s="1" t="s">
        <v>1</v>
      </c>
      <c r="F14" s="1">
        <v>4</v>
      </c>
      <c r="G14" s="1">
        <v>0</v>
      </c>
      <c r="I14" s="22" t="s">
        <v>12</v>
      </c>
      <c r="J14" s="11"/>
      <c r="K14" s="23" cm="1">
        <f t="array" ref="K14">AVERAGE($D$1:$D$100 - $F$1:$F$100)</f>
        <v>1.1100000000000001</v>
      </c>
      <c r="L14" s="23"/>
      <c r="M14" s="23" cm="1">
        <f t="array" ref="M14">AVERAGE(_xlfn._xlws.FILTER($D$1:$D$100 - $F$1:$F$100, G$1:G$100 = 0))</f>
        <v>13.79245283018868</v>
      </c>
      <c r="N14" s="23"/>
      <c r="O14" s="23" cm="1">
        <f t="array" ref="O14">AVERAGE(_xlfn._xlws.FILTER($D$1:$D$100 - $F$1:$F$100, G$1:G$100 = 1))</f>
        <v>-13.191489361702128</v>
      </c>
      <c r="P14" s="24"/>
      <c r="Q14"/>
    </row>
    <row r="15" spans="1:17" x14ac:dyDescent="0.3">
      <c r="A15" s="1">
        <v>2</v>
      </c>
      <c r="B15" s="1">
        <v>0</v>
      </c>
      <c r="C15" s="1" t="s">
        <v>1</v>
      </c>
      <c r="D15" s="1">
        <v>15</v>
      </c>
      <c r="E15" s="1" t="s">
        <v>1</v>
      </c>
      <c r="F15" s="1">
        <v>40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1</v>
      </c>
      <c r="D16" s="1">
        <v>57</v>
      </c>
      <c r="E16" s="1" t="s">
        <v>1</v>
      </c>
      <c r="F16" s="1">
        <v>38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1</v>
      </c>
      <c r="D17" s="1">
        <v>26</v>
      </c>
      <c r="E17" s="1" t="s">
        <v>1</v>
      </c>
      <c r="F17" s="1">
        <v>20</v>
      </c>
      <c r="G17" s="1">
        <v>0</v>
      </c>
    </row>
    <row r="18" spans="1:7" x14ac:dyDescent="0.3">
      <c r="A18" s="1">
        <v>2</v>
      </c>
      <c r="B18" s="1">
        <v>0</v>
      </c>
      <c r="C18" s="1" t="s">
        <v>1</v>
      </c>
      <c r="D18" s="1">
        <v>20</v>
      </c>
      <c r="E18" s="1" t="s">
        <v>1</v>
      </c>
      <c r="F18" s="1">
        <v>28</v>
      </c>
      <c r="G18" s="1">
        <v>1</v>
      </c>
    </row>
    <row r="19" spans="1:7" x14ac:dyDescent="0.3">
      <c r="A19" s="1">
        <v>2</v>
      </c>
      <c r="B19" s="1">
        <v>0</v>
      </c>
      <c r="C19" s="1" t="s">
        <v>1</v>
      </c>
      <c r="D19" s="1">
        <v>27</v>
      </c>
      <c r="E19" s="1" t="s">
        <v>1</v>
      </c>
      <c r="F19" s="1">
        <v>34</v>
      </c>
      <c r="G19" s="1">
        <v>1</v>
      </c>
    </row>
    <row r="20" spans="1:7" x14ac:dyDescent="0.3">
      <c r="A20" s="1">
        <v>2</v>
      </c>
      <c r="B20" s="1">
        <v>0</v>
      </c>
      <c r="C20" s="1" t="s">
        <v>1</v>
      </c>
      <c r="D20" s="1">
        <v>42</v>
      </c>
      <c r="E20" s="1" t="s">
        <v>1</v>
      </c>
      <c r="F20" s="1">
        <v>2</v>
      </c>
      <c r="G20" s="1">
        <v>0</v>
      </c>
    </row>
    <row r="21" spans="1:7" x14ac:dyDescent="0.3">
      <c r="A21" s="1">
        <v>2</v>
      </c>
      <c r="B21" s="1">
        <v>0</v>
      </c>
      <c r="C21" s="1" t="s">
        <v>1</v>
      </c>
      <c r="D21" s="1">
        <v>35</v>
      </c>
      <c r="E21" s="1" t="s">
        <v>1</v>
      </c>
      <c r="F21" s="1">
        <v>21</v>
      </c>
      <c r="G21" s="1">
        <v>0</v>
      </c>
    </row>
    <row r="22" spans="1:7" x14ac:dyDescent="0.3">
      <c r="A22" s="1">
        <v>2</v>
      </c>
      <c r="B22" s="1">
        <v>0</v>
      </c>
      <c r="C22" s="1" t="s">
        <v>1</v>
      </c>
      <c r="D22" s="1">
        <v>39</v>
      </c>
      <c r="E22" s="1" t="s">
        <v>1</v>
      </c>
      <c r="F22" s="1">
        <v>28</v>
      </c>
      <c r="G22" s="1">
        <v>0</v>
      </c>
    </row>
    <row r="23" spans="1:7" x14ac:dyDescent="0.3">
      <c r="A23" s="1">
        <v>2</v>
      </c>
      <c r="B23" s="1">
        <v>0</v>
      </c>
      <c r="C23" s="1" t="s">
        <v>1</v>
      </c>
      <c r="D23" s="1">
        <v>17</v>
      </c>
      <c r="E23" s="1" t="s">
        <v>1</v>
      </c>
      <c r="F23" s="1">
        <v>43</v>
      </c>
      <c r="G23" s="1">
        <v>1</v>
      </c>
    </row>
    <row r="24" spans="1:7" x14ac:dyDescent="0.3">
      <c r="A24" s="1">
        <v>2</v>
      </c>
      <c r="B24" s="1">
        <v>0</v>
      </c>
      <c r="C24" s="1" t="s">
        <v>1</v>
      </c>
      <c r="D24" s="1">
        <v>33</v>
      </c>
      <c r="E24" s="1" t="s">
        <v>1</v>
      </c>
      <c r="F24" s="1">
        <v>18</v>
      </c>
      <c r="G24" s="1">
        <v>0</v>
      </c>
    </row>
    <row r="25" spans="1:7" x14ac:dyDescent="0.3">
      <c r="A25" s="1">
        <v>2</v>
      </c>
      <c r="B25" s="1">
        <v>0</v>
      </c>
      <c r="C25" s="1" t="s">
        <v>1</v>
      </c>
      <c r="D25" s="1">
        <v>8</v>
      </c>
      <c r="E25" s="1" t="s">
        <v>1</v>
      </c>
      <c r="F25" s="1">
        <v>32</v>
      </c>
      <c r="G25" s="1">
        <v>1</v>
      </c>
    </row>
    <row r="26" spans="1:7" x14ac:dyDescent="0.3">
      <c r="A26" s="1">
        <v>2</v>
      </c>
      <c r="B26" s="1">
        <v>0</v>
      </c>
      <c r="C26" s="1" t="s">
        <v>1</v>
      </c>
      <c r="D26" s="1">
        <v>8</v>
      </c>
      <c r="E26" s="1" t="s">
        <v>1</v>
      </c>
      <c r="F26" s="1">
        <v>22</v>
      </c>
      <c r="G26" s="1">
        <v>1</v>
      </c>
    </row>
    <row r="27" spans="1:7" x14ac:dyDescent="0.3">
      <c r="A27" s="1">
        <v>2</v>
      </c>
      <c r="B27" s="1">
        <v>0</v>
      </c>
      <c r="C27" s="1" t="s">
        <v>1</v>
      </c>
      <c r="D27" s="1">
        <v>53</v>
      </c>
      <c r="E27" s="1" t="s">
        <v>1</v>
      </c>
      <c r="F27" s="1">
        <v>14</v>
      </c>
      <c r="G27" s="1">
        <v>0</v>
      </c>
    </row>
    <row r="28" spans="1:7" x14ac:dyDescent="0.3">
      <c r="A28" s="1">
        <v>2</v>
      </c>
      <c r="B28" s="1">
        <v>0</v>
      </c>
      <c r="C28" s="1" t="s">
        <v>1</v>
      </c>
      <c r="D28" s="1">
        <v>44</v>
      </c>
      <c r="E28" s="1" t="s">
        <v>1</v>
      </c>
      <c r="F28" s="1">
        <v>21</v>
      </c>
      <c r="G28" s="1">
        <v>0</v>
      </c>
    </row>
    <row r="29" spans="1:7" x14ac:dyDescent="0.3">
      <c r="A29" s="1">
        <v>2</v>
      </c>
      <c r="B29" s="1">
        <v>0</v>
      </c>
      <c r="C29" s="1" t="s">
        <v>1</v>
      </c>
      <c r="D29" s="1">
        <v>40</v>
      </c>
      <c r="E29" s="1" t="s">
        <v>1</v>
      </c>
      <c r="F29" s="1">
        <v>39</v>
      </c>
      <c r="G29" s="1">
        <v>0</v>
      </c>
    </row>
    <row r="30" spans="1:7" x14ac:dyDescent="0.3">
      <c r="A30" s="1">
        <v>2</v>
      </c>
      <c r="B30" s="1">
        <v>0</v>
      </c>
      <c r="C30" s="1" t="s">
        <v>1</v>
      </c>
      <c r="D30" s="1">
        <v>23</v>
      </c>
      <c r="E30" s="1" t="s">
        <v>1</v>
      </c>
      <c r="F30" s="1">
        <v>25</v>
      </c>
      <c r="G30" s="1">
        <v>1</v>
      </c>
    </row>
    <row r="31" spans="1:7" x14ac:dyDescent="0.3">
      <c r="A31" s="1">
        <v>2</v>
      </c>
      <c r="B31" s="1">
        <v>0</v>
      </c>
      <c r="C31" s="1" t="s">
        <v>1</v>
      </c>
      <c r="D31" s="1">
        <v>10</v>
      </c>
      <c r="E31" s="1" t="s">
        <v>1</v>
      </c>
      <c r="F31" s="1">
        <v>29</v>
      </c>
      <c r="G31" s="1">
        <v>1</v>
      </c>
    </row>
    <row r="32" spans="1:7" x14ac:dyDescent="0.3">
      <c r="A32" s="1">
        <v>2</v>
      </c>
      <c r="B32" s="1">
        <v>0</v>
      </c>
      <c r="C32" s="1" t="s">
        <v>1</v>
      </c>
      <c r="D32" s="1">
        <v>31</v>
      </c>
      <c r="E32" s="1" t="s">
        <v>1</v>
      </c>
      <c r="F32" s="1">
        <v>34</v>
      </c>
      <c r="G32" s="1">
        <v>1</v>
      </c>
    </row>
    <row r="33" spans="1:7" x14ac:dyDescent="0.3">
      <c r="A33" s="1">
        <v>2</v>
      </c>
      <c r="B33" s="1">
        <v>0</v>
      </c>
      <c r="C33" s="1" t="s">
        <v>1</v>
      </c>
      <c r="D33" s="1">
        <v>49</v>
      </c>
      <c r="E33" s="1" t="s">
        <v>1</v>
      </c>
      <c r="F33" s="1">
        <v>44</v>
      </c>
      <c r="G33" s="1">
        <v>0</v>
      </c>
    </row>
    <row r="34" spans="1:7" x14ac:dyDescent="0.3">
      <c r="A34" s="1">
        <v>2</v>
      </c>
      <c r="B34" s="1">
        <v>0</v>
      </c>
      <c r="C34" s="1" t="s">
        <v>1</v>
      </c>
      <c r="D34" s="1">
        <v>43</v>
      </c>
      <c r="E34" s="1" t="s">
        <v>1</v>
      </c>
      <c r="F34" s="1">
        <v>34</v>
      </c>
      <c r="G34" s="1">
        <v>0</v>
      </c>
    </row>
    <row r="35" spans="1:7" x14ac:dyDescent="0.3">
      <c r="A35" s="1">
        <v>2</v>
      </c>
      <c r="B35" s="1">
        <v>0</v>
      </c>
      <c r="C35" s="1" t="s">
        <v>1</v>
      </c>
      <c r="D35" s="1">
        <v>27</v>
      </c>
      <c r="E35" s="1" t="s">
        <v>1</v>
      </c>
      <c r="F35" s="1">
        <v>11</v>
      </c>
      <c r="G35" s="1">
        <v>0</v>
      </c>
    </row>
    <row r="36" spans="1:7" x14ac:dyDescent="0.3">
      <c r="A36" s="1">
        <v>2</v>
      </c>
      <c r="B36" s="1">
        <v>0</v>
      </c>
      <c r="C36" s="1" t="s">
        <v>1</v>
      </c>
      <c r="D36" s="1">
        <v>34</v>
      </c>
      <c r="E36" s="1" t="s">
        <v>1</v>
      </c>
      <c r="F36" s="1">
        <v>39</v>
      </c>
      <c r="G36" s="1">
        <v>1</v>
      </c>
    </row>
    <row r="37" spans="1:7" x14ac:dyDescent="0.3">
      <c r="A37" s="1">
        <v>2</v>
      </c>
      <c r="B37" s="1">
        <v>0</v>
      </c>
      <c r="C37" s="1" t="s">
        <v>1</v>
      </c>
      <c r="D37" s="1">
        <v>34</v>
      </c>
      <c r="E37" s="1" t="s">
        <v>1</v>
      </c>
      <c r="F37" s="1">
        <v>39</v>
      </c>
      <c r="G37" s="1">
        <v>1</v>
      </c>
    </row>
    <row r="38" spans="1:7" x14ac:dyDescent="0.3">
      <c r="A38" s="1">
        <v>2</v>
      </c>
      <c r="B38" s="1">
        <v>0</v>
      </c>
      <c r="C38" s="1" t="s">
        <v>1</v>
      </c>
      <c r="D38" s="1">
        <v>20</v>
      </c>
      <c r="E38" s="1" t="s">
        <v>1</v>
      </c>
      <c r="F38" s="1">
        <v>23</v>
      </c>
      <c r="G38" s="1">
        <v>1</v>
      </c>
    </row>
    <row r="39" spans="1:7" x14ac:dyDescent="0.3">
      <c r="A39" s="1">
        <v>2</v>
      </c>
      <c r="B39" s="1">
        <v>0</v>
      </c>
      <c r="C39" s="1" t="s">
        <v>1</v>
      </c>
      <c r="D39" s="1">
        <v>40</v>
      </c>
      <c r="E39" s="1" t="s">
        <v>1</v>
      </c>
      <c r="F39" s="1">
        <v>30</v>
      </c>
      <c r="G39" s="1">
        <v>0</v>
      </c>
    </row>
    <row r="40" spans="1:7" x14ac:dyDescent="0.3">
      <c r="A40" s="1">
        <v>2</v>
      </c>
      <c r="B40" s="1">
        <v>0</v>
      </c>
      <c r="C40" s="1" t="s">
        <v>1</v>
      </c>
      <c r="D40" s="1">
        <v>16</v>
      </c>
      <c r="E40" s="1" t="s">
        <v>1</v>
      </c>
      <c r="F40" s="1">
        <v>23</v>
      </c>
      <c r="G40" s="1">
        <v>1</v>
      </c>
    </row>
    <row r="41" spans="1:7" x14ac:dyDescent="0.3">
      <c r="A41" s="1">
        <v>2</v>
      </c>
      <c r="B41" s="1">
        <v>0</v>
      </c>
      <c r="C41" s="1" t="s">
        <v>1</v>
      </c>
      <c r="D41" s="1">
        <v>32</v>
      </c>
      <c r="E41" s="1" t="s">
        <v>1</v>
      </c>
      <c r="F41" s="1">
        <v>47</v>
      </c>
      <c r="G41" s="1">
        <v>1</v>
      </c>
    </row>
    <row r="42" spans="1:7" x14ac:dyDescent="0.3">
      <c r="A42" s="1">
        <v>2</v>
      </c>
      <c r="B42" s="1">
        <v>0</v>
      </c>
      <c r="C42" s="1" t="s">
        <v>1</v>
      </c>
      <c r="D42" s="1">
        <v>53</v>
      </c>
      <c r="E42" s="1" t="s">
        <v>1</v>
      </c>
      <c r="F42" s="1">
        <v>2</v>
      </c>
      <c r="G42" s="1">
        <v>0</v>
      </c>
    </row>
    <row r="43" spans="1:7" x14ac:dyDescent="0.3">
      <c r="A43" s="1">
        <v>2</v>
      </c>
      <c r="B43" s="1">
        <v>0</v>
      </c>
      <c r="C43" s="1" t="s">
        <v>1</v>
      </c>
      <c r="D43" s="1">
        <v>27</v>
      </c>
      <c r="E43" s="1" t="s">
        <v>1</v>
      </c>
      <c r="F43" s="1">
        <v>17</v>
      </c>
      <c r="G43" s="1">
        <v>0</v>
      </c>
    </row>
    <row r="44" spans="1:7" x14ac:dyDescent="0.3">
      <c r="A44" s="1">
        <v>2</v>
      </c>
      <c r="B44" s="1">
        <v>0</v>
      </c>
      <c r="C44" s="1" t="s">
        <v>1</v>
      </c>
      <c r="D44" s="1">
        <v>28</v>
      </c>
      <c r="E44" s="1" t="s">
        <v>1</v>
      </c>
      <c r="F44" s="1">
        <v>32</v>
      </c>
      <c r="G44" s="1">
        <v>1</v>
      </c>
    </row>
    <row r="45" spans="1:7" x14ac:dyDescent="0.3">
      <c r="A45" s="1">
        <v>2</v>
      </c>
      <c r="B45" s="1">
        <v>0</v>
      </c>
      <c r="C45" s="1" t="s">
        <v>1</v>
      </c>
      <c r="D45" s="1">
        <v>34</v>
      </c>
      <c r="E45" s="1" t="s">
        <v>1</v>
      </c>
      <c r="F45" s="1">
        <v>44</v>
      </c>
      <c r="G45" s="1">
        <v>1</v>
      </c>
    </row>
    <row r="46" spans="1:7" x14ac:dyDescent="0.3">
      <c r="A46" s="1">
        <v>2</v>
      </c>
      <c r="B46" s="1">
        <v>0</v>
      </c>
      <c r="C46" s="1" t="s">
        <v>1</v>
      </c>
      <c r="D46" s="1">
        <v>31</v>
      </c>
      <c r="E46" s="1" t="s">
        <v>1</v>
      </c>
      <c r="F46" s="1">
        <v>26</v>
      </c>
      <c r="G46" s="1">
        <v>0</v>
      </c>
    </row>
    <row r="47" spans="1:7" x14ac:dyDescent="0.3">
      <c r="A47" s="1">
        <v>2</v>
      </c>
      <c r="B47" s="1">
        <v>0</v>
      </c>
      <c r="C47" s="1" t="s">
        <v>1</v>
      </c>
      <c r="D47" s="1">
        <v>21</v>
      </c>
      <c r="E47" s="1" t="s">
        <v>1</v>
      </c>
      <c r="F47" s="1">
        <v>16</v>
      </c>
      <c r="G47" s="1">
        <v>0</v>
      </c>
    </row>
    <row r="48" spans="1:7" x14ac:dyDescent="0.3">
      <c r="A48" s="1">
        <v>2</v>
      </c>
      <c r="B48" s="1">
        <v>0</v>
      </c>
      <c r="C48" s="1" t="s">
        <v>1</v>
      </c>
      <c r="D48" s="1">
        <v>49</v>
      </c>
      <c r="E48" s="1" t="s">
        <v>1</v>
      </c>
      <c r="F48" s="1">
        <v>37</v>
      </c>
      <c r="G48" s="1">
        <v>0</v>
      </c>
    </row>
    <row r="49" spans="1:7" x14ac:dyDescent="0.3">
      <c r="A49" s="1">
        <v>2</v>
      </c>
      <c r="B49" s="1">
        <v>0</v>
      </c>
      <c r="C49" s="1" t="s">
        <v>1</v>
      </c>
      <c r="D49" s="1">
        <v>30</v>
      </c>
      <c r="E49" s="1" t="s">
        <v>1</v>
      </c>
      <c r="F49" s="1">
        <v>34</v>
      </c>
      <c r="G49" s="1">
        <v>1</v>
      </c>
    </row>
    <row r="50" spans="1:7" x14ac:dyDescent="0.3">
      <c r="A50" s="1">
        <v>2</v>
      </c>
      <c r="B50" s="1">
        <v>0</v>
      </c>
      <c r="C50" s="1" t="s">
        <v>1</v>
      </c>
      <c r="D50" s="1">
        <v>35</v>
      </c>
      <c r="E50" s="1" t="s">
        <v>1</v>
      </c>
      <c r="F50" s="1">
        <v>47</v>
      </c>
      <c r="G50" s="1">
        <v>1</v>
      </c>
    </row>
    <row r="51" spans="1:7" x14ac:dyDescent="0.3">
      <c r="A51" s="1">
        <v>2</v>
      </c>
      <c r="B51" s="1">
        <v>1</v>
      </c>
      <c r="C51" s="1" t="s">
        <v>1</v>
      </c>
      <c r="D51" s="1">
        <v>7</v>
      </c>
      <c r="E51" s="1" t="s">
        <v>1</v>
      </c>
      <c r="F51" s="1">
        <v>22</v>
      </c>
      <c r="G51" s="1">
        <v>1</v>
      </c>
    </row>
    <row r="52" spans="1:7" x14ac:dyDescent="0.3">
      <c r="A52" s="1">
        <v>2</v>
      </c>
      <c r="B52" s="1">
        <v>1</v>
      </c>
      <c r="C52" s="1" t="s">
        <v>1</v>
      </c>
      <c r="D52" s="1">
        <v>35</v>
      </c>
      <c r="E52" s="1" t="s">
        <v>1</v>
      </c>
      <c r="F52" s="1">
        <v>29</v>
      </c>
      <c r="G52" s="1">
        <v>0</v>
      </c>
    </row>
    <row r="53" spans="1:7" x14ac:dyDescent="0.3">
      <c r="A53" s="1">
        <v>2</v>
      </c>
      <c r="B53" s="1">
        <v>1</v>
      </c>
      <c r="C53" s="1" t="s">
        <v>1</v>
      </c>
      <c r="D53" s="1">
        <v>35</v>
      </c>
      <c r="E53" s="1" t="s">
        <v>1</v>
      </c>
      <c r="F53" s="1">
        <v>32</v>
      </c>
      <c r="G53" s="1">
        <v>0</v>
      </c>
    </row>
    <row r="54" spans="1:7" x14ac:dyDescent="0.3">
      <c r="A54" s="1">
        <v>2</v>
      </c>
      <c r="B54" s="1">
        <v>1</v>
      </c>
      <c r="C54" s="1" t="s">
        <v>1</v>
      </c>
      <c r="D54" s="1">
        <v>16</v>
      </c>
      <c r="E54" s="1" t="s">
        <v>1</v>
      </c>
      <c r="F54" s="1">
        <v>42</v>
      </c>
      <c r="G54" s="1">
        <v>1</v>
      </c>
    </row>
    <row r="55" spans="1:7" x14ac:dyDescent="0.3">
      <c r="A55" s="1">
        <v>2</v>
      </c>
      <c r="B55" s="1">
        <v>1</v>
      </c>
      <c r="C55" s="1" t="s">
        <v>1</v>
      </c>
      <c r="D55" s="1">
        <v>54</v>
      </c>
      <c r="E55" s="1" t="s">
        <v>1</v>
      </c>
      <c r="F55" s="1">
        <v>29</v>
      </c>
      <c r="G55" s="1">
        <v>0</v>
      </c>
    </row>
    <row r="56" spans="1:7" x14ac:dyDescent="0.3">
      <c r="A56" s="1">
        <v>2</v>
      </c>
      <c r="B56" s="1">
        <v>1</v>
      </c>
      <c r="C56" s="1" t="s">
        <v>1</v>
      </c>
      <c r="D56" s="1">
        <v>11</v>
      </c>
      <c r="E56" s="1" t="s">
        <v>1</v>
      </c>
      <c r="F56" s="1">
        <v>19</v>
      </c>
      <c r="G56" s="1">
        <v>1</v>
      </c>
    </row>
    <row r="57" spans="1:7" x14ac:dyDescent="0.3">
      <c r="A57" s="1">
        <v>2</v>
      </c>
      <c r="B57" s="1">
        <v>1</v>
      </c>
      <c r="C57" s="1" t="s">
        <v>1</v>
      </c>
      <c r="D57" s="1">
        <v>8</v>
      </c>
      <c r="E57" s="1" t="s">
        <v>1</v>
      </c>
      <c r="F57" s="1">
        <v>26</v>
      </c>
      <c r="G57" s="1">
        <v>1</v>
      </c>
    </row>
    <row r="58" spans="1:7" x14ac:dyDescent="0.3">
      <c r="A58" s="1">
        <v>2</v>
      </c>
      <c r="B58" s="1">
        <v>1</v>
      </c>
      <c r="C58" s="1" t="s">
        <v>1</v>
      </c>
      <c r="D58" s="1">
        <v>19</v>
      </c>
      <c r="E58" s="1" t="s">
        <v>1</v>
      </c>
      <c r="F58" s="1">
        <v>28</v>
      </c>
      <c r="G58" s="1">
        <v>1</v>
      </c>
    </row>
    <row r="59" spans="1:7" x14ac:dyDescent="0.3">
      <c r="A59" s="1">
        <v>2</v>
      </c>
      <c r="B59" s="1">
        <v>1</v>
      </c>
      <c r="C59" s="1" t="s">
        <v>1</v>
      </c>
      <c r="D59" s="1">
        <v>30</v>
      </c>
      <c r="E59" s="1" t="s">
        <v>1</v>
      </c>
      <c r="F59" s="1">
        <v>15</v>
      </c>
      <c r="G59" s="1">
        <v>0</v>
      </c>
    </row>
    <row r="60" spans="1:7" x14ac:dyDescent="0.3">
      <c r="A60" s="1">
        <v>2</v>
      </c>
      <c r="B60" s="1">
        <v>1</v>
      </c>
      <c r="C60" s="1" t="s">
        <v>1</v>
      </c>
      <c r="D60" s="1">
        <v>63</v>
      </c>
      <c r="E60" s="1" t="s">
        <v>1</v>
      </c>
      <c r="F60" s="1">
        <v>27</v>
      </c>
      <c r="G60" s="1">
        <v>0</v>
      </c>
    </row>
    <row r="61" spans="1:7" x14ac:dyDescent="0.3">
      <c r="A61" s="1">
        <v>2</v>
      </c>
      <c r="B61" s="1">
        <v>1</v>
      </c>
      <c r="C61" s="1" t="s">
        <v>1</v>
      </c>
      <c r="D61" s="1">
        <v>21</v>
      </c>
      <c r="E61" s="1" t="s">
        <v>1</v>
      </c>
      <c r="F61" s="1">
        <v>25</v>
      </c>
      <c r="G61" s="1">
        <v>1</v>
      </c>
    </row>
    <row r="62" spans="1:7" x14ac:dyDescent="0.3">
      <c r="A62" s="1">
        <v>2</v>
      </c>
      <c r="B62" s="1">
        <v>1</v>
      </c>
      <c r="C62" s="1" t="s">
        <v>1</v>
      </c>
      <c r="D62" s="1">
        <v>29</v>
      </c>
      <c r="E62" s="1" t="s">
        <v>1</v>
      </c>
      <c r="F62" s="1">
        <v>39</v>
      </c>
      <c r="G62" s="1">
        <v>1</v>
      </c>
    </row>
    <row r="63" spans="1:7" x14ac:dyDescent="0.3">
      <c r="A63" s="1">
        <v>2</v>
      </c>
      <c r="B63" s="1">
        <v>1</v>
      </c>
      <c r="C63" s="1" t="s">
        <v>1</v>
      </c>
      <c r="D63" s="1">
        <v>39</v>
      </c>
      <c r="E63" s="1" t="s">
        <v>1</v>
      </c>
      <c r="F63" s="1">
        <v>32</v>
      </c>
      <c r="G63" s="1">
        <v>0</v>
      </c>
    </row>
    <row r="64" spans="1:7" x14ac:dyDescent="0.3">
      <c r="A64" s="1">
        <v>2</v>
      </c>
      <c r="B64" s="1">
        <v>1</v>
      </c>
      <c r="C64" s="1" t="s">
        <v>1</v>
      </c>
      <c r="D64" s="1">
        <v>26</v>
      </c>
      <c r="E64" s="1" t="s">
        <v>1</v>
      </c>
      <c r="F64" s="1">
        <v>22</v>
      </c>
      <c r="G64" s="1">
        <v>0</v>
      </c>
    </row>
    <row r="65" spans="1:7" x14ac:dyDescent="0.3">
      <c r="A65" s="1">
        <v>2</v>
      </c>
      <c r="B65" s="1">
        <v>1</v>
      </c>
      <c r="C65" s="1" t="s">
        <v>1</v>
      </c>
      <c r="D65" s="1">
        <v>18</v>
      </c>
      <c r="E65" s="1" t="s">
        <v>1</v>
      </c>
      <c r="F65" s="1">
        <v>21</v>
      </c>
      <c r="G65" s="1">
        <v>1</v>
      </c>
    </row>
    <row r="66" spans="1:7" x14ac:dyDescent="0.3">
      <c r="A66" s="1">
        <v>2</v>
      </c>
      <c r="B66" s="1">
        <v>1</v>
      </c>
      <c r="C66" s="1" t="s">
        <v>1</v>
      </c>
      <c r="D66" s="1">
        <v>34</v>
      </c>
      <c r="E66" s="1" t="s">
        <v>1</v>
      </c>
      <c r="F66" s="1">
        <v>29</v>
      </c>
      <c r="G66" s="1">
        <v>0</v>
      </c>
    </row>
    <row r="67" spans="1:7" x14ac:dyDescent="0.3">
      <c r="A67" s="1">
        <v>2</v>
      </c>
      <c r="B67" s="1">
        <v>1</v>
      </c>
      <c r="C67" s="1" t="s">
        <v>1</v>
      </c>
      <c r="D67" s="1">
        <v>19</v>
      </c>
      <c r="E67" s="1" t="s">
        <v>1</v>
      </c>
      <c r="F67" s="1">
        <v>38</v>
      </c>
      <c r="G67" s="1">
        <v>1</v>
      </c>
    </row>
    <row r="68" spans="1:7" x14ac:dyDescent="0.3">
      <c r="A68" s="1">
        <v>2</v>
      </c>
      <c r="B68" s="1">
        <v>1</v>
      </c>
      <c r="C68" s="1" t="s">
        <v>1</v>
      </c>
      <c r="D68" s="1">
        <v>34</v>
      </c>
      <c r="E68" s="1" t="s">
        <v>1</v>
      </c>
      <c r="F68" s="1">
        <v>12</v>
      </c>
      <c r="G68" s="1">
        <v>0</v>
      </c>
    </row>
    <row r="69" spans="1:7" x14ac:dyDescent="0.3">
      <c r="A69" s="1">
        <v>2</v>
      </c>
      <c r="B69" s="1">
        <v>1</v>
      </c>
      <c r="C69" s="1" t="s">
        <v>1</v>
      </c>
      <c r="D69" s="1">
        <v>28</v>
      </c>
      <c r="E69" s="1" t="s">
        <v>1</v>
      </c>
      <c r="F69" s="1">
        <v>24</v>
      </c>
      <c r="G69" s="1">
        <v>0</v>
      </c>
    </row>
    <row r="70" spans="1:7" x14ac:dyDescent="0.3">
      <c r="A70" s="1">
        <v>2</v>
      </c>
      <c r="B70" s="1">
        <v>1</v>
      </c>
      <c r="C70" s="1" t="s">
        <v>1</v>
      </c>
      <c r="D70" s="1">
        <v>17</v>
      </c>
      <c r="E70" s="1" t="s">
        <v>1</v>
      </c>
      <c r="F70" s="1">
        <v>27</v>
      </c>
      <c r="G70" s="1">
        <v>1</v>
      </c>
    </row>
    <row r="71" spans="1:7" x14ac:dyDescent="0.3">
      <c r="A71" s="1">
        <v>2</v>
      </c>
      <c r="B71" s="1">
        <v>1</v>
      </c>
      <c r="C71" s="1" t="s">
        <v>1</v>
      </c>
      <c r="D71" s="1">
        <v>28</v>
      </c>
      <c r="E71" s="1" t="s">
        <v>1</v>
      </c>
      <c r="F71" s="1">
        <v>19</v>
      </c>
      <c r="G71" s="1">
        <v>0</v>
      </c>
    </row>
    <row r="72" spans="1:7" x14ac:dyDescent="0.3">
      <c r="A72" s="1">
        <v>2</v>
      </c>
      <c r="B72" s="1">
        <v>1</v>
      </c>
      <c r="C72" s="1" t="s">
        <v>1</v>
      </c>
      <c r="D72" s="1">
        <v>42</v>
      </c>
      <c r="E72" s="1" t="s">
        <v>1</v>
      </c>
      <c r="F72" s="1">
        <v>49</v>
      </c>
      <c r="G72" s="1">
        <v>1</v>
      </c>
    </row>
    <row r="73" spans="1:7" x14ac:dyDescent="0.3">
      <c r="A73" s="1">
        <v>2</v>
      </c>
      <c r="B73" s="1">
        <v>1</v>
      </c>
      <c r="C73" s="1" t="s">
        <v>1</v>
      </c>
      <c r="D73" s="1">
        <v>18</v>
      </c>
      <c r="E73" s="1" t="s">
        <v>1</v>
      </c>
      <c r="F73" s="1">
        <v>24</v>
      </c>
      <c r="G73" s="1">
        <v>1</v>
      </c>
    </row>
    <row r="74" spans="1:7" x14ac:dyDescent="0.3">
      <c r="A74" s="1">
        <v>2</v>
      </c>
      <c r="B74" s="1">
        <v>1</v>
      </c>
      <c r="C74" s="1" t="s">
        <v>1</v>
      </c>
      <c r="D74" s="1">
        <v>24</v>
      </c>
      <c r="E74" s="1" t="s">
        <v>1</v>
      </c>
      <c r="F74" s="1">
        <v>37</v>
      </c>
      <c r="G74" s="1">
        <v>1</v>
      </c>
    </row>
    <row r="75" spans="1:7" x14ac:dyDescent="0.3">
      <c r="A75" s="1">
        <v>2</v>
      </c>
      <c r="B75" s="1">
        <v>1</v>
      </c>
      <c r="C75" s="1" t="s">
        <v>1</v>
      </c>
      <c r="D75" s="1">
        <v>9</v>
      </c>
      <c r="E75" s="1" t="s">
        <v>1</v>
      </c>
      <c r="F75" s="1">
        <v>9</v>
      </c>
      <c r="G75" s="1">
        <v>0</v>
      </c>
    </row>
    <row r="76" spans="1:7" x14ac:dyDescent="0.3">
      <c r="A76" s="1">
        <v>2</v>
      </c>
      <c r="B76" s="1">
        <v>1</v>
      </c>
      <c r="C76" s="1" t="s">
        <v>1</v>
      </c>
      <c r="D76" s="1">
        <v>35</v>
      </c>
      <c r="E76" s="1" t="s">
        <v>1</v>
      </c>
      <c r="F76" s="1">
        <v>26</v>
      </c>
      <c r="G76" s="1">
        <v>0</v>
      </c>
    </row>
    <row r="77" spans="1:7" x14ac:dyDescent="0.3">
      <c r="A77" s="1">
        <v>2</v>
      </c>
      <c r="B77" s="1">
        <v>1</v>
      </c>
      <c r="C77" s="1" t="s">
        <v>1</v>
      </c>
      <c r="D77" s="1">
        <v>16</v>
      </c>
      <c r="E77" s="1" t="s">
        <v>1</v>
      </c>
      <c r="F77" s="1">
        <v>63</v>
      </c>
      <c r="G77" s="1">
        <v>1</v>
      </c>
    </row>
    <row r="78" spans="1:7" x14ac:dyDescent="0.3">
      <c r="A78" s="1">
        <v>2</v>
      </c>
      <c r="B78" s="1">
        <v>1</v>
      </c>
      <c r="C78" s="1" t="s">
        <v>1</v>
      </c>
      <c r="D78" s="1">
        <v>12</v>
      </c>
      <c r="E78" s="1" t="s">
        <v>1</v>
      </c>
      <c r="F78" s="1">
        <v>28</v>
      </c>
      <c r="G78" s="1">
        <v>1</v>
      </c>
    </row>
    <row r="79" spans="1:7" x14ac:dyDescent="0.3">
      <c r="A79" s="1">
        <v>2</v>
      </c>
      <c r="B79" s="1">
        <v>1</v>
      </c>
      <c r="C79" s="1" t="s">
        <v>1</v>
      </c>
      <c r="D79" s="1">
        <v>47</v>
      </c>
      <c r="E79" s="1" t="s">
        <v>1</v>
      </c>
      <c r="F79" s="1">
        <v>7</v>
      </c>
      <c r="G79" s="1">
        <v>0</v>
      </c>
    </row>
    <row r="80" spans="1:7" x14ac:dyDescent="0.3">
      <c r="A80" s="1">
        <v>2</v>
      </c>
      <c r="B80" s="1">
        <v>1</v>
      </c>
      <c r="C80" s="1" t="s">
        <v>1</v>
      </c>
      <c r="D80" s="1">
        <v>29</v>
      </c>
      <c r="E80" s="1" t="s">
        <v>1</v>
      </c>
      <c r="F80" s="1">
        <v>35</v>
      </c>
      <c r="G80" s="1">
        <v>1</v>
      </c>
    </row>
    <row r="81" spans="1:7" x14ac:dyDescent="0.3">
      <c r="A81" s="1">
        <v>2</v>
      </c>
      <c r="B81" s="1">
        <v>1</v>
      </c>
      <c r="C81" s="1" t="s">
        <v>1</v>
      </c>
      <c r="D81" s="1">
        <v>47</v>
      </c>
      <c r="E81" s="1" t="s">
        <v>1</v>
      </c>
      <c r="F81" s="1">
        <v>31</v>
      </c>
      <c r="G81" s="1">
        <v>0</v>
      </c>
    </row>
    <row r="82" spans="1:7" x14ac:dyDescent="0.3">
      <c r="A82" s="1">
        <v>2</v>
      </c>
      <c r="B82" s="1">
        <v>1</v>
      </c>
      <c r="C82" s="1" t="s">
        <v>1</v>
      </c>
      <c r="D82" s="1">
        <v>22</v>
      </c>
      <c r="E82" s="1" t="s">
        <v>1</v>
      </c>
      <c r="F82" s="1">
        <v>31</v>
      </c>
      <c r="G82" s="1">
        <v>1</v>
      </c>
    </row>
    <row r="83" spans="1:7" x14ac:dyDescent="0.3">
      <c r="A83" s="1">
        <v>2</v>
      </c>
      <c r="B83" s="1">
        <v>1</v>
      </c>
      <c r="C83" s="1" t="s">
        <v>1</v>
      </c>
      <c r="D83" s="1">
        <v>23</v>
      </c>
      <c r="E83" s="1" t="s">
        <v>1</v>
      </c>
      <c r="F83" s="1">
        <v>12</v>
      </c>
      <c r="G83" s="1">
        <v>0</v>
      </c>
    </row>
    <row r="84" spans="1:7" x14ac:dyDescent="0.3">
      <c r="A84" s="1">
        <v>2</v>
      </c>
      <c r="B84" s="1">
        <v>1</v>
      </c>
      <c r="C84" s="1" t="s">
        <v>1</v>
      </c>
      <c r="D84" s="1">
        <v>36</v>
      </c>
      <c r="E84" s="1" t="s">
        <v>1</v>
      </c>
      <c r="F84" s="1">
        <v>31</v>
      </c>
      <c r="G84" s="1">
        <v>0</v>
      </c>
    </row>
    <row r="85" spans="1:7" x14ac:dyDescent="0.3">
      <c r="A85" s="1">
        <v>2</v>
      </c>
      <c r="B85" s="1">
        <v>1</v>
      </c>
      <c r="C85" s="1" t="s">
        <v>1</v>
      </c>
      <c r="D85" s="1">
        <v>20</v>
      </c>
      <c r="E85" s="1" t="s">
        <v>1</v>
      </c>
      <c r="F85" s="1">
        <v>33</v>
      </c>
      <c r="G85" s="1">
        <v>1</v>
      </c>
    </row>
    <row r="86" spans="1:7" x14ac:dyDescent="0.3">
      <c r="A86" s="1">
        <v>2</v>
      </c>
      <c r="B86" s="1">
        <v>1</v>
      </c>
      <c r="C86" s="1" t="s">
        <v>1</v>
      </c>
      <c r="D86" s="1">
        <v>37</v>
      </c>
      <c r="E86" s="1" t="s">
        <v>1</v>
      </c>
      <c r="F86" s="1">
        <v>46</v>
      </c>
      <c r="G86" s="1">
        <v>1</v>
      </c>
    </row>
    <row r="87" spans="1:7" x14ac:dyDescent="0.3">
      <c r="A87" s="1">
        <v>2</v>
      </c>
      <c r="B87" s="1">
        <v>1</v>
      </c>
      <c r="C87" s="1" t="s">
        <v>1</v>
      </c>
      <c r="D87" s="1">
        <v>33</v>
      </c>
      <c r="E87" s="1" t="s">
        <v>1</v>
      </c>
      <c r="F87" s="1">
        <v>29</v>
      </c>
      <c r="G87" s="1">
        <v>0</v>
      </c>
    </row>
    <row r="88" spans="1:7" x14ac:dyDescent="0.3">
      <c r="A88" s="1">
        <v>2</v>
      </c>
      <c r="B88" s="1">
        <v>1</v>
      </c>
      <c r="C88" s="1" t="s">
        <v>1</v>
      </c>
      <c r="D88" s="1">
        <v>71</v>
      </c>
      <c r="E88" s="1" t="s">
        <v>1</v>
      </c>
      <c r="F88" s="1">
        <v>50</v>
      </c>
      <c r="G88" s="1">
        <v>0</v>
      </c>
    </row>
    <row r="89" spans="1:7" x14ac:dyDescent="0.3">
      <c r="A89" s="1">
        <v>2</v>
      </c>
      <c r="B89" s="1">
        <v>1</v>
      </c>
      <c r="C89" s="1" t="s">
        <v>1</v>
      </c>
      <c r="D89" s="1">
        <v>24</v>
      </c>
      <c r="E89" s="1" t="s">
        <v>1</v>
      </c>
      <c r="F89" s="1">
        <v>39</v>
      </c>
      <c r="G89" s="1">
        <v>1</v>
      </c>
    </row>
    <row r="90" spans="1:7" x14ac:dyDescent="0.3">
      <c r="A90" s="1">
        <v>2</v>
      </c>
      <c r="B90" s="1">
        <v>1</v>
      </c>
      <c r="C90" s="1" t="s">
        <v>1</v>
      </c>
      <c r="D90" s="1">
        <v>9</v>
      </c>
      <c r="E90" s="1" t="s">
        <v>1</v>
      </c>
      <c r="F90" s="1">
        <v>5</v>
      </c>
      <c r="G90" s="1">
        <v>0</v>
      </c>
    </row>
    <row r="91" spans="1:7" x14ac:dyDescent="0.3">
      <c r="A91" s="1">
        <v>2</v>
      </c>
      <c r="B91" s="1">
        <v>1</v>
      </c>
      <c r="C91" s="1" t="s">
        <v>1</v>
      </c>
      <c r="D91" s="1">
        <v>34</v>
      </c>
      <c r="E91" s="1" t="s">
        <v>1</v>
      </c>
      <c r="F91" s="1">
        <v>29</v>
      </c>
      <c r="G91" s="1">
        <v>0</v>
      </c>
    </row>
    <row r="92" spans="1:7" x14ac:dyDescent="0.3">
      <c r="A92" s="1">
        <v>2</v>
      </c>
      <c r="B92" s="1">
        <v>1</v>
      </c>
      <c r="C92" s="1" t="s">
        <v>1</v>
      </c>
      <c r="D92" s="1">
        <v>16</v>
      </c>
      <c r="E92" s="1" t="s">
        <v>1</v>
      </c>
      <c r="F92" s="1">
        <v>22</v>
      </c>
      <c r="G92" s="1">
        <v>1</v>
      </c>
    </row>
    <row r="93" spans="1:7" x14ac:dyDescent="0.3">
      <c r="A93" s="1">
        <v>2</v>
      </c>
      <c r="B93" s="1">
        <v>1</v>
      </c>
      <c r="C93" s="1" t="s">
        <v>1</v>
      </c>
      <c r="D93" s="1">
        <v>12</v>
      </c>
      <c r="E93" s="1" t="s">
        <v>1</v>
      </c>
      <c r="F93" s="1">
        <v>5</v>
      </c>
      <c r="G93" s="1">
        <v>0</v>
      </c>
    </row>
    <row r="94" spans="1:7" x14ac:dyDescent="0.3">
      <c r="A94" s="1">
        <v>2</v>
      </c>
      <c r="B94" s="1">
        <v>1</v>
      </c>
      <c r="C94" s="1" t="s">
        <v>1</v>
      </c>
      <c r="D94" s="1">
        <v>4</v>
      </c>
      <c r="E94" s="1" t="s">
        <v>1</v>
      </c>
      <c r="F94" s="1">
        <v>33</v>
      </c>
      <c r="G94" s="1">
        <v>1</v>
      </c>
    </row>
    <row r="95" spans="1:7" x14ac:dyDescent="0.3">
      <c r="A95" s="1">
        <v>2</v>
      </c>
      <c r="B95" s="1">
        <v>1</v>
      </c>
      <c r="C95" s="1" t="s">
        <v>1</v>
      </c>
      <c r="D95" s="1">
        <v>42</v>
      </c>
      <c r="E95" s="1" t="s">
        <v>1</v>
      </c>
      <c r="F95" s="1">
        <v>22</v>
      </c>
      <c r="G95" s="1">
        <v>0</v>
      </c>
    </row>
    <row r="96" spans="1:7" x14ac:dyDescent="0.3">
      <c r="A96" s="1">
        <v>2</v>
      </c>
      <c r="B96" s="1">
        <v>1</v>
      </c>
      <c r="C96" s="1" t="s">
        <v>1</v>
      </c>
      <c r="D96" s="1">
        <v>13</v>
      </c>
      <c r="E96" s="1" t="s">
        <v>1</v>
      </c>
      <c r="F96" s="1">
        <v>15</v>
      </c>
      <c r="G96" s="1">
        <v>1</v>
      </c>
    </row>
    <row r="97" spans="1:7" x14ac:dyDescent="0.3">
      <c r="A97" s="1">
        <v>2</v>
      </c>
      <c r="B97" s="1">
        <v>1</v>
      </c>
      <c r="C97" s="1" t="s">
        <v>1</v>
      </c>
      <c r="D97" s="1">
        <v>31</v>
      </c>
      <c r="E97" s="1" t="s">
        <v>1</v>
      </c>
      <c r="F97" s="1">
        <v>58</v>
      </c>
      <c r="G97" s="1">
        <v>1</v>
      </c>
    </row>
    <row r="98" spans="1:7" x14ac:dyDescent="0.3">
      <c r="A98" s="1">
        <v>2</v>
      </c>
      <c r="B98" s="1">
        <v>1</v>
      </c>
      <c r="C98" s="1" t="s">
        <v>1</v>
      </c>
      <c r="D98" s="1">
        <v>31</v>
      </c>
      <c r="E98" s="1" t="s">
        <v>1</v>
      </c>
      <c r="F98" s="1">
        <v>27</v>
      </c>
      <c r="G98" s="1">
        <v>0</v>
      </c>
    </row>
    <row r="99" spans="1:7" x14ac:dyDescent="0.3">
      <c r="A99" s="1">
        <v>2</v>
      </c>
      <c r="B99" s="1">
        <v>1</v>
      </c>
      <c r="C99" s="1" t="s">
        <v>1</v>
      </c>
      <c r="D99" s="1">
        <v>23</v>
      </c>
      <c r="E99" s="1" t="s">
        <v>1</v>
      </c>
      <c r="F99" s="1">
        <v>21</v>
      </c>
      <c r="G99" s="1">
        <v>0</v>
      </c>
    </row>
    <row r="100" spans="1:7" x14ac:dyDescent="0.3">
      <c r="A100" s="1">
        <v>2</v>
      </c>
      <c r="B100" s="1">
        <v>1</v>
      </c>
      <c r="C100" s="1" t="s">
        <v>1</v>
      </c>
      <c r="D100" s="1">
        <v>37</v>
      </c>
      <c r="E100" s="1" t="s">
        <v>1</v>
      </c>
      <c r="F100" s="1">
        <v>12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AF29-52D7-4546-90E5-1E9B54F8636A}">
  <dimension ref="A1:Q100"/>
  <sheetViews>
    <sheetView workbookViewId="0">
      <selection activeCell="J25" sqref="J25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0</v>
      </c>
      <c r="D1" s="1">
        <v>2</v>
      </c>
      <c r="E1" s="1" t="s">
        <v>0</v>
      </c>
      <c r="F1" s="1">
        <v>46</v>
      </c>
      <c r="G1" s="1">
        <v>1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0</v>
      </c>
      <c r="D2" s="1">
        <v>49</v>
      </c>
      <c r="E2" s="1" t="s">
        <v>0</v>
      </c>
      <c r="F2" s="1">
        <v>48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0</v>
      </c>
      <c r="D3" s="1">
        <v>18</v>
      </c>
      <c r="E3" s="1" t="s">
        <v>0</v>
      </c>
      <c r="F3" s="1">
        <v>34</v>
      </c>
      <c r="G3" s="1">
        <v>1</v>
      </c>
      <c r="I3" s="5" t="s">
        <v>6</v>
      </c>
      <c r="J3" s="5"/>
      <c r="K3" s="9">
        <f>COUNTIF($G$1:$G$100, 0)</f>
        <v>44</v>
      </c>
      <c r="L3" s="9"/>
      <c r="M3" s="9">
        <f>COUNTIFS($G$1:$G$100, 0, $B$1:$B$100, 0)</f>
        <v>24</v>
      </c>
      <c r="N3" s="9"/>
      <c r="O3" s="10">
        <f>COUNTIFS($G$1:$G$100, 0, $B$1:$B$100, 1)</f>
        <v>20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0</v>
      </c>
      <c r="D4" s="1">
        <v>47</v>
      </c>
      <c r="E4" s="1" t="s">
        <v>0</v>
      </c>
      <c r="F4" s="1">
        <v>11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0</v>
      </c>
      <c r="D5" s="1">
        <v>46</v>
      </c>
      <c r="E5" s="1" t="s">
        <v>0</v>
      </c>
      <c r="F5" s="1">
        <v>2</v>
      </c>
      <c r="G5" s="1">
        <v>0</v>
      </c>
      <c r="I5" s="5" t="s">
        <v>7</v>
      </c>
      <c r="J5" s="5"/>
      <c r="K5" s="14">
        <f>COUNTIF($G$1:$G$100, 1)</f>
        <v>56</v>
      </c>
      <c r="L5" s="9"/>
      <c r="M5" s="9">
        <f>COUNTIFS($G$1:$G$100, 1, $B$1:$B$100, 0)</f>
        <v>26</v>
      </c>
      <c r="N5" s="9"/>
      <c r="O5" s="9">
        <f>COUNTIFS($G$1:$G$100, 1, $B$1:$B$100, 1)</f>
        <v>30</v>
      </c>
      <c r="P5" s="13"/>
      <c r="Q5"/>
    </row>
    <row r="6" spans="1:17" x14ac:dyDescent="0.3">
      <c r="A6" s="1">
        <v>2</v>
      </c>
      <c r="B6" s="1">
        <v>0</v>
      </c>
      <c r="C6" s="1" t="s">
        <v>0</v>
      </c>
      <c r="D6" s="1">
        <v>12</v>
      </c>
      <c r="E6" s="1" t="s">
        <v>0</v>
      </c>
      <c r="F6" s="1">
        <v>32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0</v>
      </c>
      <c r="D7" s="1">
        <v>53</v>
      </c>
      <c r="E7" s="1" t="s">
        <v>0</v>
      </c>
      <c r="F7" s="1">
        <v>20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0</v>
      </c>
      <c r="D8" s="1">
        <v>46</v>
      </c>
      <c r="E8" s="1" t="s">
        <v>0</v>
      </c>
      <c r="F8" s="1">
        <v>48</v>
      </c>
      <c r="G8" s="1">
        <v>1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0</v>
      </c>
      <c r="D9" s="1">
        <v>8</v>
      </c>
      <c r="E9" s="1" t="s">
        <v>0</v>
      </c>
      <c r="F9" s="1">
        <v>71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0</v>
      </c>
      <c r="D10" s="1">
        <v>26</v>
      </c>
      <c r="E10" s="1" t="s">
        <v>0</v>
      </c>
      <c r="F10" s="1">
        <v>23</v>
      </c>
      <c r="G10" s="1">
        <v>0</v>
      </c>
      <c r="I10" s="5" t="s">
        <v>10</v>
      </c>
      <c r="J10" s="5"/>
      <c r="K10" s="9">
        <f>AVERAGE($D$1:$D$100,)</f>
        <v>23.178217821782177</v>
      </c>
      <c r="L10" s="9"/>
      <c r="M10" s="9" cm="1">
        <f t="array" ref="M10">AVERAGE(_xlfn._xlws.FILTER($D$1:$D$100,$G$1:$G$100 = 0))</f>
        <v>33.68181818181818</v>
      </c>
      <c r="N10" s="9"/>
      <c r="O10" s="10" cm="1">
        <f t="array" ref="O10">AVERAGE(_xlfn._xlws.FILTER($D$1:$D$100,$G$1:$G$100 = 1))</f>
        <v>15.339285714285714</v>
      </c>
      <c r="P10" s="11"/>
      <c r="Q10"/>
    </row>
    <row r="11" spans="1:17" x14ac:dyDescent="0.3">
      <c r="A11" s="1">
        <v>2</v>
      </c>
      <c r="B11" s="1">
        <v>0</v>
      </c>
      <c r="C11" s="1" t="s">
        <v>0</v>
      </c>
      <c r="D11" s="1">
        <v>10</v>
      </c>
      <c r="E11" s="1" t="s">
        <v>0</v>
      </c>
      <c r="F11" s="1">
        <v>42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0</v>
      </c>
      <c r="D12" s="1">
        <v>32</v>
      </c>
      <c r="E12" s="1" t="s">
        <v>0</v>
      </c>
      <c r="F12" s="1">
        <v>18</v>
      </c>
      <c r="G12" s="1">
        <v>0</v>
      </c>
      <c r="I12" s="5" t="s">
        <v>11</v>
      </c>
      <c r="J12" s="5"/>
      <c r="K12" s="9">
        <f>AVERAGE($F$1:$F$100,)</f>
        <v>28.06930693069307</v>
      </c>
      <c r="L12" s="9"/>
      <c r="M12" s="9" cm="1">
        <f t="array" ref="M12">AVERAGE(_xlfn._xlws.FILTER($F$1:$F$100,$G$1:$G$100 = 0))</f>
        <v>17.15909090909091</v>
      </c>
      <c r="N12" s="9"/>
      <c r="O12" s="9" cm="1">
        <f t="array" ref="O12">AVERAGE(_xlfn._xlws.FILTER($F$1:$F$100,$G$1:$G$100 = 1))</f>
        <v>37.142857142857146</v>
      </c>
      <c r="P12" s="13"/>
      <c r="Q12"/>
    </row>
    <row r="13" spans="1:17" x14ac:dyDescent="0.3">
      <c r="A13" s="1">
        <v>2</v>
      </c>
      <c r="B13" s="1">
        <v>0</v>
      </c>
      <c r="C13" s="1" t="s">
        <v>0</v>
      </c>
      <c r="D13" s="1">
        <v>33</v>
      </c>
      <c r="E13" s="1" t="s">
        <v>0</v>
      </c>
      <c r="F13" s="1">
        <v>26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0</v>
      </c>
      <c r="D14" s="1">
        <v>17</v>
      </c>
      <c r="E14" s="1" t="s">
        <v>0</v>
      </c>
      <c r="F14" s="1">
        <v>58</v>
      </c>
      <c r="G14" s="1">
        <v>1</v>
      </c>
      <c r="I14" s="22" t="s">
        <v>12</v>
      </c>
      <c r="J14" s="11"/>
      <c r="K14" s="23" cm="1">
        <f t="array" ref="K14">AVERAGE($D$1:$D$100 - $F$1:$F$100)</f>
        <v>-4.9400000000000004</v>
      </c>
      <c r="L14" s="23"/>
      <c r="M14" s="23" cm="1">
        <f t="array" ref="M14">AVERAGE(_xlfn._xlws.FILTER($D$1:$D$100 - $F$1:$F$100, G$1:G$100 = 0))</f>
        <v>16.522727272727273</v>
      </c>
      <c r="N14" s="23"/>
      <c r="O14" s="23" cm="1">
        <f t="array" ref="O14">AVERAGE(_xlfn._xlws.FILTER($D$1:$D$100 - $F$1:$F$100, G$1:G$100 = 1))</f>
        <v>-21.803571428571427</v>
      </c>
      <c r="P14" s="24"/>
      <c r="Q14"/>
    </row>
    <row r="15" spans="1:17" x14ac:dyDescent="0.3">
      <c r="A15" s="1">
        <v>2</v>
      </c>
      <c r="B15" s="1">
        <v>0</v>
      </c>
      <c r="C15" s="1" t="s">
        <v>0</v>
      </c>
      <c r="D15" s="1">
        <v>37</v>
      </c>
      <c r="E15" s="1" t="s">
        <v>0</v>
      </c>
      <c r="F15" s="1">
        <v>18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0</v>
      </c>
      <c r="D16" s="1">
        <v>12</v>
      </c>
      <c r="E16" s="1" t="s">
        <v>0</v>
      </c>
      <c r="F16" s="1">
        <v>7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0</v>
      </c>
      <c r="D17" s="1">
        <v>2</v>
      </c>
      <c r="E17" s="1" t="s">
        <v>0</v>
      </c>
      <c r="F17" s="1">
        <v>16</v>
      </c>
      <c r="G17" s="1">
        <v>1</v>
      </c>
    </row>
    <row r="18" spans="1:7" x14ac:dyDescent="0.3">
      <c r="A18" s="1">
        <v>2</v>
      </c>
      <c r="B18" s="1">
        <v>0</v>
      </c>
      <c r="C18" s="1" t="s">
        <v>0</v>
      </c>
      <c r="D18" s="1">
        <v>37</v>
      </c>
      <c r="E18" s="1" t="s">
        <v>0</v>
      </c>
      <c r="F18" s="1">
        <v>9</v>
      </c>
      <c r="G18" s="1">
        <v>0</v>
      </c>
    </row>
    <row r="19" spans="1:7" x14ac:dyDescent="0.3">
      <c r="A19" s="1">
        <v>2</v>
      </c>
      <c r="B19" s="1">
        <v>0</v>
      </c>
      <c r="C19" s="1" t="s">
        <v>0</v>
      </c>
      <c r="D19" s="1">
        <v>14</v>
      </c>
      <c r="E19" s="1" t="s">
        <v>0</v>
      </c>
      <c r="F19" s="1">
        <v>28</v>
      </c>
      <c r="G19" s="1">
        <v>1</v>
      </c>
    </row>
    <row r="20" spans="1:7" x14ac:dyDescent="0.3">
      <c r="A20" s="1">
        <v>2</v>
      </c>
      <c r="B20" s="1">
        <v>0</v>
      </c>
      <c r="C20" s="1" t="s">
        <v>0</v>
      </c>
      <c r="D20" s="1">
        <v>19</v>
      </c>
      <c r="E20" s="1" t="s">
        <v>0</v>
      </c>
      <c r="F20" s="1">
        <v>2</v>
      </c>
      <c r="G20" s="1">
        <v>0</v>
      </c>
    </row>
    <row r="21" spans="1:7" x14ac:dyDescent="0.3">
      <c r="A21" s="1">
        <v>2</v>
      </c>
      <c r="B21" s="1">
        <v>0</v>
      </c>
      <c r="C21" s="1" t="s">
        <v>0</v>
      </c>
      <c r="D21" s="1">
        <v>35</v>
      </c>
      <c r="E21" s="1" t="s">
        <v>0</v>
      </c>
      <c r="F21" s="1">
        <v>2</v>
      </c>
      <c r="G21" s="1">
        <v>0</v>
      </c>
    </row>
    <row r="22" spans="1:7" x14ac:dyDescent="0.3">
      <c r="A22" s="1">
        <v>2</v>
      </c>
      <c r="B22" s="1">
        <v>0</v>
      </c>
      <c r="C22" s="1" t="s">
        <v>0</v>
      </c>
      <c r="D22" s="1">
        <v>26</v>
      </c>
      <c r="E22" s="1" t="s">
        <v>0</v>
      </c>
      <c r="F22" s="1">
        <v>27</v>
      </c>
      <c r="G22" s="1">
        <v>1</v>
      </c>
    </row>
    <row r="23" spans="1:7" x14ac:dyDescent="0.3">
      <c r="A23" s="1">
        <v>2</v>
      </c>
      <c r="B23" s="1">
        <v>0</v>
      </c>
      <c r="C23" s="1" t="s">
        <v>0</v>
      </c>
      <c r="D23" s="1">
        <v>33</v>
      </c>
      <c r="E23" s="1" t="s">
        <v>0</v>
      </c>
      <c r="F23" s="1">
        <v>6</v>
      </c>
      <c r="G23" s="1">
        <v>0</v>
      </c>
    </row>
    <row r="24" spans="1:7" x14ac:dyDescent="0.3">
      <c r="A24" s="1">
        <v>2</v>
      </c>
      <c r="B24" s="1">
        <v>0</v>
      </c>
      <c r="C24" s="1" t="s">
        <v>0</v>
      </c>
      <c r="D24" s="1">
        <v>5</v>
      </c>
      <c r="E24" s="1" t="s">
        <v>0</v>
      </c>
      <c r="F24" s="1">
        <v>19</v>
      </c>
      <c r="G24" s="1">
        <v>1</v>
      </c>
    </row>
    <row r="25" spans="1:7" x14ac:dyDescent="0.3">
      <c r="A25" s="1">
        <v>2</v>
      </c>
      <c r="B25" s="1">
        <v>0</v>
      </c>
      <c r="C25" s="1" t="s">
        <v>0</v>
      </c>
      <c r="D25" s="1">
        <v>37</v>
      </c>
      <c r="E25" s="1" t="s">
        <v>0</v>
      </c>
      <c r="F25" s="1">
        <v>24</v>
      </c>
      <c r="G25" s="1">
        <v>0</v>
      </c>
    </row>
    <row r="26" spans="1:7" x14ac:dyDescent="0.3">
      <c r="A26" s="1">
        <v>2</v>
      </c>
      <c r="B26" s="1">
        <v>0</v>
      </c>
      <c r="C26" s="1" t="s">
        <v>0</v>
      </c>
      <c r="D26" s="1">
        <v>23</v>
      </c>
      <c r="E26" s="1" t="s">
        <v>0</v>
      </c>
      <c r="F26" s="1">
        <v>48</v>
      </c>
      <c r="G26" s="1">
        <v>1</v>
      </c>
    </row>
    <row r="27" spans="1:7" x14ac:dyDescent="0.3">
      <c r="A27" s="1">
        <v>2</v>
      </c>
      <c r="B27" s="1">
        <v>0</v>
      </c>
      <c r="C27" s="1" t="s">
        <v>0</v>
      </c>
      <c r="D27" s="1">
        <v>37</v>
      </c>
      <c r="E27" s="1" t="s">
        <v>0</v>
      </c>
      <c r="F27" s="1">
        <v>25</v>
      </c>
      <c r="G27" s="1">
        <v>0</v>
      </c>
    </row>
    <row r="28" spans="1:7" x14ac:dyDescent="0.3">
      <c r="A28" s="1">
        <v>2</v>
      </c>
      <c r="B28" s="1">
        <v>0</v>
      </c>
      <c r="C28" s="1" t="s">
        <v>0</v>
      </c>
      <c r="D28" s="1">
        <v>40</v>
      </c>
      <c r="E28" s="1" t="s">
        <v>0</v>
      </c>
      <c r="F28" s="1">
        <v>47</v>
      </c>
      <c r="G28" s="1">
        <v>1</v>
      </c>
    </row>
    <row r="29" spans="1:7" x14ac:dyDescent="0.3">
      <c r="A29" s="1">
        <v>2</v>
      </c>
      <c r="B29" s="1">
        <v>0</v>
      </c>
      <c r="C29" s="1" t="s">
        <v>0</v>
      </c>
      <c r="D29" s="1">
        <v>24</v>
      </c>
      <c r="E29" s="1" t="s">
        <v>0</v>
      </c>
      <c r="F29" s="1">
        <v>34</v>
      </c>
      <c r="G29" s="1">
        <v>1</v>
      </c>
    </row>
    <row r="30" spans="1:7" x14ac:dyDescent="0.3">
      <c r="A30" s="1">
        <v>2</v>
      </c>
      <c r="B30" s="1">
        <v>0</v>
      </c>
      <c r="C30" s="1" t="s">
        <v>0</v>
      </c>
      <c r="D30" s="1">
        <v>39</v>
      </c>
      <c r="E30" s="1" t="s">
        <v>0</v>
      </c>
      <c r="F30" s="1">
        <v>33</v>
      </c>
      <c r="G30" s="1">
        <v>0</v>
      </c>
    </row>
    <row r="31" spans="1:7" x14ac:dyDescent="0.3">
      <c r="A31" s="1">
        <v>2</v>
      </c>
      <c r="B31" s="1">
        <v>0</v>
      </c>
      <c r="C31" s="1" t="s">
        <v>0</v>
      </c>
      <c r="D31" s="1">
        <v>47</v>
      </c>
      <c r="E31" s="1" t="s">
        <v>0</v>
      </c>
      <c r="F31" s="1">
        <v>14</v>
      </c>
      <c r="G31" s="1">
        <v>0</v>
      </c>
    </row>
    <row r="32" spans="1:7" x14ac:dyDescent="0.3">
      <c r="A32" s="1">
        <v>2</v>
      </c>
      <c r="B32" s="1">
        <v>0</v>
      </c>
      <c r="C32" s="1" t="s">
        <v>0</v>
      </c>
      <c r="D32" s="1">
        <v>2</v>
      </c>
      <c r="E32" s="1" t="s">
        <v>0</v>
      </c>
      <c r="F32" s="1">
        <v>21</v>
      </c>
      <c r="G32" s="1">
        <v>1</v>
      </c>
    </row>
    <row r="33" spans="1:7" x14ac:dyDescent="0.3">
      <c r="A33" s="1">
        <v>2</v>
      </c>
      <c r="B33" s="1">
        <v>0</v>
      </c>
      <c r="C33" s="1" t="s">
        <v>0</v>
      </c>
      <c r="D33" s="1">
        <v>4</v>
      </c>
      <c r="E33" s="1" t="s">
        <v>0</v>
      </c>
      <c r="F33" s="1">
        <v>42</v>
      </c>
      <c r="G33" s="1">
        <v>1</v>
      </c>
    </row>
    <row r="34" spans="1:7" x14ac:dyDescent="0.3">
      <c r="A34" s="1">
        <v>2</v>
      </c>
      <c r="B34" s="1">
        <v>0</v>
      </c>
      <c r="C34" s="1" t="s">
        <v>0</v>
      </c>
      <c r="D34" s="1">
        <v>30</v>
      </c>
      <c r="E34" s="1" t="s">
        <v>0</v>
      </c>
      <c r="F34" s="1">
        <v>29</v>
      </c>
      <c r="G34" s="1">
        <v>0</v>
      </c>
    </row>
    <row r="35" spans="1:7" x14ac:dyDescent="0.3">
      <c r="A35" s="1">
        <v>2</v>
      </c>
      <c r="B35" s="1">
        <v>0</v>
      </c>
      <c r="C35" s="1" t="s">
        <v>0</v>
      </c>
      <c r="D35" s="1">
        <v>32</v>
      </c>
      <c r="E35" s="1" t="s">
        <v>0</v>
      </c>
      <c r="F35" s="1">
        <v>4</v>
      </c>
      <c r="G35" s="1">
        <v>0</v>
      </c>
    </row>
    <row r="36" spans="1:7" x14ac:dyDescent="0.3">
      <c r="A36" s="1">
        <v>2</v>
      </c>
      <c r="B36" s="1">
        <v>0</v>
      </c>
      <c r="C36" s="1" t="s">
        <v>0</v>
      </c>
      <c r="D36" s="1">
        <v>7</v>
      </c>
      <c r="E36" s="1" t="s">
        <v>0</v>
      </c>
      <c r="F36" s="1">
        <v>31</v>
      </c>
      <c r="G36" s="1">
        <v>1</v>
      </c>
    </row>
    <row r="37" spans="1:7" x14ac:dyDescent="0.3">
      <c r="A37" s="1">
        <v>2</v>
      </c>
      <c r="B37" s="1">
        <v>0</v>
      </c>
      <c r="C37" s="1" t="s">
        <v>0</v>
      </c>
      <c r="D37" s="1">
        <v>17</v>
      </c>
      <c r="E37" s="1" t="s">
        <v>0</v>
      </c>
      <c r="F37" s="1">
        <v>36</v>
      </c>
      <c r="G37" s="1">
        <v>1</v>
      </c>
    </row>
    <row r="38" spans="1:7" x14ac:dyDescent="0.3">
      <c r="A38" s="1">
        <v>2</v>
      </c>
      <c r="B38" s="1">
        <v>0</v>
      </c>
      <c r="C38" s="1" t="s">
        <v>0</v>
      </c>
      <c r="D38" s="1">
        <v>19</v>
      </c>
      <c r="E38" s="1" t="s">
        <v>0</v>
      </c>
      <c r="F38" s="1">
        <v>32</v>
      </c>
      <c r="G38" s="1">
        <v>1</v>
      </c>
    </row>
    <row r="39" spans="1:7" x14ac:dyDescent="0.3">
      <c r="A39" s="1">
        <v>2</v>
      </c>
      <c r="B39" s="1">
        <v>0</v>
      </c>
      <c r="C39" s="1" t="s">
        <v>0</v>
      </c>
      <c r="D39" s="1">
        <v>43</v>
      </c>
      <c r="E39" s="1" t="s">
        <v>0</v>
      </c>
      <c r="F39" s="1">
        <v>26</v>
      </c>
      <c r="G39" s="1">
        <v>0</v>
      </c>
    </row>
    <row r="40" spans="1:7" x14ac:dyDescent="0.3">
      <c r="A40" s="1">
        <v>2</v>
      </c>
      <c r="B40" s="1">
        <v>0</v>
      </c>
      <c r="C40" s="1" t="s">
        <v>0</v>
      </c>
      <c r="D40" s="1">
        <v>2</v>
      </c>
      <c r="E40" s="1" t="s">
        <v>0</v>
      </c>
      <c r="F40" s="1">
        <v>21</v>
      </c>
      <c r="G40" s="1">
        <v>1</v>
      </c>
    </row>
    <row r="41" spans="1:7" x14ac:dyDescent="0.3">
      <c r="A41" s="1">
        <v>2</v>
      </c>
      <c r="B41" s="1">
        <v>0</v>
      </c>
      <c r="C41" s="1" t="s">
        <v>0</v>
      </c>
      <c r="D41" s="1">
        <v>16</v>
      </c>
      <c r="E41" s="1" t="s">
        <v>0</v>
      </c>
      <c r="F41" s="1">
        <v>9</v>
      </c>
      <c r="G41" s="1">
        <v>0</v>
      </c>
    </row>
    <row r="42" spans="1:7" x14ac:dyDescent="0.3">
      <c r="A42" s="1">
        <v>2</v>
      </c>
      <c r="B42" s="1">
        <v>0</v>
      </c>
      <c r="C42" s="1" t="s">
        <v>0</v>
      </c>
      <c r="D42" s="1">
        <v>19</v>
      </c>
      <c r="E42" s="1" t="s">
        <v>0</v>
      </c>
      <c r="F42" s="1">
        <v>31</v>
      </c>
      <c r="G42" s="1">
        <v>1</v>
      </c>
    </row>
    <row r="43" spans="1:7" x14ac:dyDescent="0.3">
      <c r="A43" s="1">
        <v>2</v>
      </c>
      <c r="B43" s="1">
        <v>0</v>
      </c>
      <c r="C43" s="1" t="s">
        <v>0</v>
      </c>
      <c r="D43" s="1">
        <v>15</v>
      </c>
      <c r="E43" s="1" t="s">
        <v>0</v>
      </c>
      <c r="F43" s="1">
        <v>21</v>
      </c>
      <c r="G43" s="1">
        <v>1</v>
      </c>
    </row>
    <row r="44" spans="1:7" x14ac:dyDescent="0.3">
      <c r="A44" s="1">
        <v>2</v>
      </c>
      <c r="B44" s="1">
        <v>0</v>
      </c>
      <c r="C44" s="1" t="s">
        <v>0</v>
      </c>
      <c r="D44" s="1">
        <v>56</v>
      </c>
      <c r="E44" s="1" t="s">
        <v>0</v>
      </c>
      <c r="F44" s="1">
        <v>43</v>
      </c>
      <c r="G44" s="1">
        <v>0</v>
      </c>
    </row>
    <row r="45" spans="1:7" x14ac:dyDescent="0.3">
      <c r="A45" s="1">
        <v>2</v>
      </c>
      <c r="B45" s="1">
        <v>0</v>
      </c>
      <c r="C45" s="1" t="s">
        <v>0</v>
      </c>
      <c r="D45" s="1">
        <v>16</v>
      </c>
      <c r="E45" s="1" t="s">
        <v>0</v>
      </c>
      <c r="F45" s="1">
        <v>43</v>
      </c>
      <c r="G45" s="1">
        <v>1</v>
      </c>
    </row>
    <row r="46" spans="1:7" x14ac:dyDescent="0.3">
      <c r="A46" s="1">
        <v>2</v>
      </c>
      <c r="B46" s="1">
        <v>0</v>
      </c>
      <c r="C46" s="1" t="s">
        <v>0</v>
      </c>
      <c r="D46" s="1">
        <v>12</v>
      </c>
      <c r="E46" s="1" t="s">
        <v>0</v>
      </c>
      <c r="F46" s="1">
        <v>37</v>
      </c>
      <c r="G46" s="1">
        <v>1</v>
      </c>
    </row>
    <row r="47" spans="1:7" x14ac:dyDescent="0.3">
      <c r="A47" s="1">
        <v>2</v>
      </c>
      <c r="B47" s="1">
        <v>0</v>
      </c>
      <c r="C47" s="1" t="s">
        <v>0</v>
      </c>
      <c r="D47" s="1">
        <v>34</v>
      </c>
      <c r="E47" s="1" t="s">
        <v>0</v>
      </c>
      <c r="F47" s="1">
        <v>31</v>
      </c>
      <c r="G47" s="1">
        <v>0</v>
      </c>
    </row>
    <row r="48" spans="1:7" x14ac:dyDescent="0.3">
      <c r="A48" s="1">
        <v>2</v>
      </c>
      <c r="B48" s="1">
        <v>0</v>
      </c>
      <c r="C48" s="1" t="s">
        <v>0</v>
      </c>
      <c r="D48" s="1">
        <v>9</v>
      </c>
      <c r="E48" s="1" t="s">
        <v>0</v>
      </c>
      <c r="F48" s="1">
        <v>20</v>
      </c>
      <c r="G48" s="1">
        <v>1</v>
      </c>
    </row>
    <row r="49" spans="1:7" x14ac:dyDescent="0.3">
      <c r="A49" s="1">
        <v>2</v>
      </c>
      <c r="B49" s="1">
        <v>0</v>
      </c>
      <c r="C49" s="1" t="s">
        <v>0</v>
      </c>
      <c r="D49" s="1">
        <v>28</v>
      </c>
      <c r="E49" s="1" t="s">
        <v>0</v>
      </c>
      <c r="F49" s="1">
        <v>25</v>
      </c>
      <c r="G49" s="1">
        <v>0</v>
      </c>
    </row>
    <row r="50" spans="1:7" x14ac:dyDescent="0.3">
      <c r="A50" s="1">
        <v>2</v>
      </c>
      <c r="B50" s="1">
        <v>0</v>
      </c>
      <c r="C50" s="1" t="s">
        <v>0</v>
      </c>
      <c r="D50" s="1">
        <v>17</v>
      </c>
      <c r="E50" s="1" t="s">
        <v>0</v>
      </c>
      <c r="F50" s="1">
        <v>31</v>
      </c>
      <c r="G50" s="1">
        <v>1</v>
      </c>
    </row>
    <row r="51" spans="1:7" x14ac:dyDescent="0.3">
      <c r="A51" s="1">
        <v>2</v>
      </c>
      <c r="B51" s="1">
        <v>1</v>
      </c>
      <c r="C51" s="1" t="s">
        <v>0</v>
      </c>
      <c r="D51" s="1">
        <v>2</v>
      </c>
      <c r="E51" s="1" t="s">
        <v>0</v>
      </c>
      <c r="F51" s="1">
        <v>58</v>
      </c>
      <c r="G51" s="1">
        <v>1</v>
      </c>
    </row>
    <row r="52" spans="1:7" x14ac:dyDescent="0.3">
      <c r="A52" s="1">
        <v>2</v>
      </c>
      <c r="B52" s="1">
        <v>1</v>
      </c>
      <c r="C52" s="1" t="s">
        <v>0</v>
      </c>
      <c r="D52" s="1">
        <v>30</v>
      </c>
      <c r="E52" s="1" t="s">
        <v>0</v>
      </c>
      <c r="F52" s="1">
        <v>45</v>
      </c>
      <c r="G52" s="1">
        <v>1</v>
      </c>
    </row>
    <row r="53" spans="1:7" x14ac:dyDescent="0.3">
      <c r="A53" s="1">
        <v>2</v>
      </c>
      <c r="B53" s="1">
        <v>1</v>
      </c>
      <c r="C53" s="1" t="s">
        <v>0</v>
      </c>
      <c r="D53" s="1">
        <v>38</v>
      </c>
      <c r="E53" s="1" t="s">
        <v>0</v>
      </c>
      <c r="F53" s="1">
        <v>25</v>
      </c>
      <c r="G53" s="1">
        <v>0</v>
      </c>
    </row>
    <row r="54" spans="1:7" x14ac:dyDescent="0.3">
      <c r="A54" s="1">
        <v>2</v>
      </c>
      <c r="B54" s="1">
        <v>1</v>
      </c>
      <c r="C54" s="1" t="s">
        <v>0</v>
      </c>
      <c r="D54" s="1">
        <v>37</v>
      </c>
      <c r="E54" s="1" t="s">
        <v>0</v>
      </c>
      <c r="F54" s="1">
        <v>14</v>
      </c>
      <c r="G54" s="1">
        <v>0</v>
      </c>
    </row>
    <row r="55" spans="1:7" x14ac:dyDescent="0.3">
      <c r="A55" s="1">
        <v>2</v>
      </c>
      <c r="B55" s="1">
        <v>1</v>
      </c>
      <c r="C55" s="1" t="s">
        <v>0</v>
      </c>
      <c r="D55" s="1">
        <v>12</v>
      </c>
      <c r="E55" s="1" t="s">
        <v>0</v>
      </c>
      <c r="F55" s="1">
        <v>7</v>
      </c>
      <c r="G55" s="1">
        <v>0</v>
      </c>
    </row>
    <row r="56" spans="1:7" x14ac:dyDescent="0.3">
      <c r="A56" s="1">
        <v>2</v>
      </c>
      <c r="B56" s="1">
        <v>1</v>
      </c>
      <c r="C56" s="1" t="s">
        <v>0</v>
      </c>
      <c r="D56" s="1">
        <v>27</v>
      </c>
      <c r="E56" s="1" t="s">
        <v>0</v>
      </c>
      <c r="F56" s="1">
        <v>23</v>
      </c>
      <c r="G56" s="1">
        <v>0</v>
      </c>
    </row>
    <row r="57" spans="1:7" x14ac:dyDescent="0.3">
      <c r="A57" s="1">
        <v>2</v>
      </c>
      <c r="B57" s="1">
        <v>1</v>
      </c>
      <c r="C57" s="1" t="s">
        <v>0</v>
      </c>
      <c r="D57" s="1">
        <v>34</v>
      </c>
      <c r="E57" s="1" t="s">
        <v>0</v>
      </c>
      <c r="F57" s="1">
        <v>27</v>
      </c>
      <c r="G57" s="1">
        <v>0</v>
      </c>
    </row>
    <row r="58" spans="1:7" x14ac:dyDescent="0.3">
      <c r="A58" s="1">
        <v>2</v>
      </c>
      <c r="B58" s="1">
        <v>1</v>
      </c>
      <c r="C58" s="1" t="s">
        <v>0</v>
      </c>
      <c r="D58" s="1">
        <v>29</v>
      </c>
      <c r="E58" s="1" t="s">
        <v>0</v>
      </c>
      <c r="F58" s="1">
        <v>30</v>
      </c>
      <c r="G58" s="1">
        <v>1</v>
      </c>
    </row>
    <row r="59" spans="1:7" x14ac:dyDescent="0.3">
      <c r="A59" s="1">
        <v>2</v>
      </c>
      <c r="B59" s="1">
        <v>1</v>
      </c>
      <c r="C59" s="1" t="s">
        <v>0</v>
      </c>
      <c r="D59" s="1">
        <v>32</v>
      </c>
      <c r="E59" s="1" t="s">
        <v>0</v>
      </c>
      <c r="F59" s="1">
        <v>26</v>
      </c>
      <c r="G59" s="1">
        <v>0</v>
      </c>
    </row>
    <row r="60" spans="1:7" x14ac:dyDescent="0.3">
      <c r="A60" s="1">
        <v>2</v>
      </c>
      <c r="B60" s="1">
        <v>1</v>
      </c>
      <c r="C60" s="1" t="s">
        <v>0</v>
      </c>
      <c r="D60" s="1">
        <v>39</v>
      </c>
      <c r="E60" s="1" t="s">
        <v>0</v>
      </c>
      <c r="F60" s="1">
        <v>40</v>
      </c>
      <c r="G60" s="1">
        <v>1</v>
      </c>
    </row>
    <row r="61" spans="1:7" x14ac:dyDescent="0.3">
      <c r="A61" s="1">
        <v>2</v>
      </c>
      <c r="B61" s="1">
        <v>1</v>
      </c>
      <c r="C61" s="1" t="s">
        <v>0</v>
      </c>
      <c r="D61" s="1">
        <v>29</v>
      </c>
      <c r="E61" s="1" t="s">
        <v>0</v>
      </c>
      <c r="F61" s="1">
        <v>49</v>
      </c>
      <c r="G61" s="1">
        <v>1</v>
      </c>
    </row>
    <row r="62" spans="1:7" x14ac:dyDescent="0.3">
      <c r="A62" s="1">
        <v>2</v>
      </c>
      <c r="B62" s="1">
        <v>1</v>
      </c>
      <c r="C62" s="1" t="s">
        <v>0</v>
      </c>
      <c r="D62" s="1">
        <v>24</v>
      </c>
      <c r="E62" s="1" t="s">
        <v>0</v>
      </c>
      <c r="F62" s="1">
        <v>2</v>
      </c>
      <c r="G62" s="1">
        <v>0</v>
      </c>
    </row>
    <row r="63" spans="1:7" x14ac:dyDescent="0.3">
      <c r="A63" s="1">
        <v>2</v>
      </c>
      <c r="B63" s="1">
        <v>1</v>
      </c>
      <c r="C63" s="1" t="s">
        <v>0</v>
      </c>
      <c r="D63" s="1">
        <v>24</v>
      </c>
      <c r="E63" s="1" t="s">
        <v>0</v>
      </c>
      <c r="F63" s="1">
        <v>48</v>
      </c>
      <c r="G63" s="1">
        <v>1</v>
      </c>
    </row>
    <row r="64" spans="1:7" x14ac:dyDescent="0.3">
      <c r="A64" s="1">
        <v>2</v>
      </c>
      <c r="B64" s="1">
        <v>1</v>
      </c>
      <c r="C64" s="1" t="s">
        <v>0</v>
      </c>
      <c r="D64" s="1">
        <v>22</v>
      </c>
      <c r="E64" s="1" t="s">
        <v>0</v>
      </c>
      <c r="F64" s="1">
        <v>9</v>
      </c>
      <c r="G64" s="1">
        <v>0</v>
      </c>
    </row>
    <row r="65" spans="1:7" x14ac:dyDescent="0.3">
      <c r="A65" s="1">
        <v>2</v>
      </c>
      <c r="B65" s="1">
        <v>1</v>
      </c>
      <c r="C65" s="1" t="s">
        <v>0</v>
      </c>
      <c r="D65" s="1">
        <v>15</v>
      </c>
      <c r="E65" s="1" t="s">
        <v>0</v>
      </c>
      <c r="F65" s="1">
        <v>36</v>
      </c>
      <c r="G65" s="1">
        <v>1</v>
      </c>
    </row>
    <row r="66" spans="1:7" x14ac:dyDescent="0.3">
      <c r="A66" s="1">
        <v>2</v>
      </c>
      <c r="B66" s="1">
        <v>1</v>
      </c>
      <c r="C66" s="1" t="s">
        <v>0</v>
      </c>
      <c r="D66" s="1">
        <v>18</v>
      </c>
      <c r="E66" s="1" t="s">
        <v>0</v>
      </c>
      <c r="F66" s="1">
        <v>50</v>
      </c>
      <c r="G66" s="1">
        <v>1</v>
      </c>
    </row>
    <row r="67" spans="1:7" x14ac:dyDescent="0.3">
      <c r="A67" s="1">
        <v>2</v>
      </c>
      <c r="B67" s="1">
        <v>1</v>
      </c>
      <c r="C67" s="1" t="s">
        <v>0</v>
      </c>
      <c r="D67" s="1">
        <v>44</v>
      </c>
      <c r="E67" s="1" t="s">
        <v>0</v>
      </c>
      <c r="F67" s="1">
        <v>23</v>
      </c>
      <c r="G67" s="1">
        <v>0</v>
      </c>
    </row>
    <row r="68" spans="1:7" x14ac:dyDescent="0.3">
      <c r="A68" s="1">
        <v>2</v>
      </c>
      <c r="B68" s="1">
        <v>1</v>
      </c>
      <c r="C68" s="1" t="s">
        <v>0</v>
      </c>
      <c r="D68" s="1">
        <v>2</v>
      </c>
      <c r="E68" s="1" t="s">
        <v>0</v>
      </c>
      <c r="F68" s="1">
        <v>44</v>
      </c>
      <c r="G68" s="1">
        <v>1</v>
      </c>
    </row>
    <row r="69" spans="1:7" x14ac:dyDescent="0.3">
      <c r="A69" s="1">
        <v>2</v>
      </c>
      <c r="B69" s="1">
        <v>1</v>
      </c>
      <c r="C69" s="1" t="s">
        <v>0</v>
      </c>
      <c r="D69" s="1">
        <v>0</v>
      </c>
      <c r="E69" s="1" t="s">
        <v>0</v>
      </c>
      <c r="F69" s="1">
        <v>52</v>
      </c>
      <c r="G69" s="1">
        <v>1</v>
      </c>
    </row>
    <row r="70" spans="1:7" x14ac:dyDescent="0.3">
      <c r="A70" s="1">
        <v>2</v>
      </c>
      <c r="B70" s="1">
        <v>1</v>
      </c>
      <c r="C70" s="1" t="s">
        <v>0</v>
      </c>
      <c r="D70" s="1">
        <v>38</v>
      </c>
      <c r="E70" s="1" t="s">
        <v>0</v>
      </c>
      <c r="F70" s="1">
        <v>12</v>
      </c>
      <c r="G70" s="1">
        <v>0</v>
      </c>
    </row>
    <row r="71" spans="1:7" x14ac:dyDescent="0.3">
      <c r="A71" s="1">
        <v>2</v>
      </c>
      <c r="B71" s="1">
        <v>1</v>
      </c>
      <c r="C71" s="1" t="s">
        <v>0</v>
      </c>
      <c r="D71" s="1">
        <v>40</v>
      </c>
      <c r="E71" s="1" t="s">
        <v>0</v>
      </c>
      <c r="F71" s="1">
        <v>13</v>
      </c>
      <c r="G71" s="1">
        <v>0</v>
      </c>
    </row>
    <row r="72" spans="1:7" x14ac:dyDescent="0.3">
      <c r="A72" s="1">
        <v>2</v>
      </c>
      <c r="B72" s="1">
        <v>1</v>
      </c>
      <c r="C72" s="1" t="s">
        <v>0</v>
      </c>
      <c r="D72" s="1">
        <v>20</v>
      </c>
      <c r="E72" s="1" t="s">
        <v>0</v>
      </c>
      <c r="F72" s="1">
        <v>54</v>
      </c>
      <c r="G72" s="1">
        <v>1</v>
      </c>
    </row>
    <row r="73" spans="1:7" x14ac:dyDescent="0.3">
      <c r="A73" s="1">
        <v>2</v>
      </c>
      <c r="B73" s="1">
        <v>1</v>
      </c>
      <c r="C73" s="1" t="s">
        <v>0</v>
      </c>
      <c r="D73" s="1">
        <v>37</v>
      </c>
      <c r="E73" s="1" t="s">
        <v>0</v>
      </c>
      <c r="F73" s="1">
        <v>28</v>
      </c>
      <c r="G73" s="1">
        <v>0</v>
      </c>
    </row>
    <row r="74" spans="1:7" x14ac:dyDescent="0.3">
      <c r="A74" s="1">
        <v>2</v>
      </c>
      <c r="B74" s="1">
        <v>1</v>
      </c>
      <c r="C74" s="1" t="s">
        <v>0</v>
      </c>
      <c r="D74" s="1">
        <v>13</v>
      </c>
      <c r="E74" s="1" t="s">
        <v>0</v>
      </c>
      <c r="F74" s="1">
        <v>46</v>
      </c>
      <c r="G74" s="1">
        <v>1</v>
      </c>
    </row>
    <row r="75" spans="1:7" x14ac:dyDescent="0.3">
      <c r="A75" s="1">
        <v>2</v>
      </c>
      <c r="B75" s="1">
        <v>1</v>
      </c>
      <c r="C75" s="1" t="s">
        <v>0</v>
      </c>
      <c r="D75" s="1">
        <v>2</v>
      </c>
      <c r="E75" s="1" t="s">
        <v>0</v>
      </c>
      <c r="F75" s="1">
        <v>33</v>
      </c>
      <c r="G75" s="1">
        <v>1</v>
      </c>
    </row>
    <row r="76" spans="1:7" x14ac:dyDescent="0.3">
      <c r="A76" s="1">
        <v>2</v>
      </c>
      <c r="B76" s="1">
        <v>1</v>
      </c>
      <c r="C76" s="1" t="s">
        <v>0</v>
      </c>
      <c r="D76" s="1">
        <v>9</v>
      </c>
      <c r="E76" s="1" t="s">
        <v>0</v>
      </c>
      <c r="F76" s="1">
        <v>18</v>
      </c>
      <c r="G76" s="1">
        <v>1</v>
      </c>
    </row>
    <row r="77" spans="1:7" x14ac:dyDescent="0.3">
      <c r="A77" s="1">
        <v>2</v>
      </c>
      <c r="B77" s="1">
        <v>1</v>
      </c>
      <c r="C77" s="1" t="s">
        <v>0</v>
      </c>
      <c r="D77" s="1">
        <v>14</v>
      </c>
      <c r="E77" s="1" t="s">
        <v>0</v>
      </c>
      <c r="F77" s="1">
        <v>30</v>
      </c>
      <c r="G77" s="1">
        <v>1</v>
      </c>
    </row>
    <row r="78" spans="1:7" x14ac:dyDescent="0.3">
      <c r="A78" s="1">
        <v>2</v>
      </c>
      <c r="B78" s="1">
        <v>1</v>
      </c>
      <c r="C78" s="1" t="s">
        <v>0</v>
      </c>
      <c r="D78" s="1">
        <v>20</v>
      </c>
      <c r="E78" s="1" t="s">
        <v>0</v>
      </c>
      <c r="F78" s="1">
        <v>7</v>
      </c>
      <c r="G78" s="1">
        <v>0</v>
      </c>
    </row>
    <row r="79" spans="1:7" x14ac:dyDescent="0.3">
      <c r="A79" s="1">
        <v>2</v>
      </c>
      <c r="B79" s="1">
        <v>1</v>
      </c>
      <c r="C79" s="1" t="s">
        <v>0</v>
      </c>
      <c r="D79" s="1">
        <v>15</v>
      </c>
      <c r="E79" s="1" t="s">
        <v>0</v>
      </c>
      <c r="F79" s="1">
        <v>1</v>
      </c>
      <c r="G79" s="1">
        <v>0</v>
      </c>
    </row>
    <row r="80" spans="1:7" x14ac:dyDescent="0.3">
      <c r="A80" s="1">
        <v>2</v>
      </c>
      <c r="B80" s="1">
        <v>1</v>
      </c>
      <c r="C80" s="1" t="s">
        <v>0</v>
      </c>
      <c r="D80" s="1">
        <v>10</v>
      </c>
      <c r="E80" s="1" t="s">
        <v>0</v>
      </c>
      <c r="F80" s="1">
        <v>21</v>
      </c>
      <c r="G80" s="1">
        <v>1</v>
      </c>
    </row>
    <row r="81" spans="1:7" x14ac:dyDescent="0.3">
      <c r="A81" s="1">
        <v>2</v>
      </c>
      <c r="B81" s="1">
        <v>1</v>
      </c>
      <c r="C81" s="1" t="s">
        <v>0</v>
      </c>
      <c r="D81" s="1">
        <v>27</v>
      </c>
      <c r="E81" s="1" t="s">
        <v>0</v>
      </c>
      <c r="F81" s="1">
        <v>33</v>
      </c>
      <c r="G81" s="1">
        <v>1</v>
      </c>
    </row>
    <row r="82" spans="1:7" x14ac:dyDescent="0.3">
      <c r="A82" s="1">
        <v>2</v>
      </c>
      <c r="B82" s="1">
        <v>1</v>
      </c>
      <c r="C82" s="1" t="s">
        <v>0</v>
      </c>
      <c r="D82" s="1">
        <v>5</v>
      </c>
      <c r="E82" s="1" t="s">
        <v>0</v>
      </c>
      <c r="F82" s="1">
        <v>28</v>
      </c>
      <c r="G82" s="1">
        <v>1</v>
      </c>
    </row>
    <row r="83" spans="1:7" x14ac:dyDescent="0.3">
      <c r="A83" s="1">
        <v>2</v>
      </c>
      <c r="B83" s="1">
        <v>1</v>
      </c>
      <c r="C83" s="1" t="s">
        <v>0</v>
      </c>
      <c r="D83" s="1">
        <v>15</v>
      </c>
      <c r="E83" s="1" t="s">
        <v>0</v>
      </c>
      <c r="F83" s="1">
        <v>45</v>
      </c>
      <c r="G83" s="1">
        <v>1</v>
      </c>
    </row>
    <row r="84" spans="1:7" x14ac:dyDescent="0.3">
      <c r="A84" s="1">
        <v>2</v>
      </c>
      <c r="B84" s="1">
        <v>1</v>
      </c>
      <c r="C84" s="1" t="s">
        <v>0</v>
      </c>
      <c r="D84" s="1">
        <v>11</v>
      </c>
      <c r="E84" s="1" t="s">
        <v>0</v>
      </c>
      <c r="F84" s="1">
        <v>43</v>
      </c>
      <c r="G84" s="1">
        <v>1</v>
      </c>
    </row>
    <row r="85" spans="1:7" x14ac:dyDescent="0.3">
      <c r="A85" s="1">
        <v>2</v>
      </c>
      <c r="B85" s="1">
        <v>1</v>
      </c>
      <c r="C85" s="1" t="s">
        <v>0</v>
      </c>
      <c r="D85" s="1">
        <v>2</v>
      </c>
      <c r="E85" s="1" t="s">
        <v>0</v>
      </c>
      <c r="F85" s="1">
        <v>40</v>
      </c>
      <c r="G85" s="1">
        <v>1</v>
      </c>
    </row>
    <row r="86" spans="1:7" x14ac:dyDescent="0.3">
      <c r="A86" s="1">
        <v>2</v>
      </c>
      <c r="B86" s="1">
        <v>1</v>
      </c>
      <c r="C86" s="1" t="s">
        <v>0</v>
      </c>
      <c r="D86" s="1">
        <v>23</v>
      </c>
      <c r="E86" s="1" t="s">
        <v>0</v>
      </c>
      <c r="F86" s="1">
        <v>52</v>
      </c>
      <c r="G86" s="1">
        <v>1</v>
      </c>
    </row>
    <row r="87" spans="1:7" x14ac:dyDescent="0.3">
      <c r="A87" s="1">
        <v>2</v>
      </c>
      <c r="B87" s="1">
        <v>1</v>
      </c>
      <c r="C87" s="1" t="s">
        <v>0</v>
      </c>
      <c r="D87" s="1">
        <v>35</v>
      </c>
      <c r="E87" s="1" t="s">
        <v>0</v>
      </c>
      <c r="F87" s="1">
        <v>19</v>
      </c>
      <c r="G87" s="1">
        <v>0</v>
      </c>
    </row>
    <row r="88" spans="1:7" x14ac:dyDescent="0.3">
      <c r="A88" s="1">
        <v>2</v>
      </c>
      <c r="B88" s="1">
        <v>1</v>
      </c>
      <c r="C88" s="1" t="s">
        <v>0</v>
      </c>
      <c r="D88" s="1">
        <v>16</v>
      </c>
      <c r="E88" s="1" t="s">
        <v>0</v>
      </c>
      <c r="F88" s="1">
        <v>0</v>
      </c>
      <c r="G88" s="1">
        <v>0</v>
      </c>
    </row>
    <row r="89" spans="1:7" x14ac:dyDescent="0.3">
      <c r="A89" s="1">
        <v>2</v>
      </c>
      <c r="B89" s="1">
        <v>1</v>
      </c>
      <c r="C89" s="1" t="s">
        <v>0</v>
      </c>
      <c r="D89" s="1">
        <v>30</v>
      </c>
      <c r="E89" s="1" t="s">
        <v>0</v>
      </c>
      <c r="F89" s="1">
        <v>47</v>
      </c>
      <c r="G89" s="1">
        <v>1</v>
      </c>
    </row>
    <row r="90" spans="1:7" x14ac:dyDescent="0.3">
      <c r="A90" s="1">
        <v>2</v>
      </c>
      <c r="B90" s="1">
        <v>1</v>
      </c>
      <c r="C90" s="1" t="s">
        <v>0</v>
      </c>
      <c r="D90" s="1">
        <v>7</v>
      </c>
      <c r="E90" s="1" t="s">
        <v>0</v>
      </c>
      <c r="F90" s="1">
        <v>31</v>
      </c>
      <c r="G90" s="1">
        <v>1</v>
      </c>
    </row>
    <row r="91" spans="1:7" x14ac:dyDescent="0.3">
      <c r="A91" s="1">
        <v>2</v>
      </c>
      <c r="B91" s="1">
        <v>1</v>
      </c>
      <c r="C91" s="1" t="s">
        <v>0</v>
      </c>
      <c r="D91" s="1">
        <v>49</v>
      </c>
      <c r="E91" s="1" t="s">
        <v>0</v>
      </c>
      <c r="F91" s="1">
        <v>31</v>
      </c>
      <c r="G91" s="1">
        <v>0</v>
      </c>
    </row>
    <row r="92" spans="1:7" x14ac:dyDescent="0.3">
      <c r="A92" s="1">
        <v>2</v>
      </c>
      <c r="B92" s="1">
        <v>1</v>
      </c>
      <c r="C92" s="1" t="s">
        <v>0</v>
      </c>
      <c r="D92" s="1">
        <v>43</v>
      </c>
      <c r="E92" s="1" t="s">
        <v>0</v>
      </c>
      <c r="F92" s="1">
        <v>2</v>
      </c>
      <c r="G92" s="1">
        <v>0</v>
      </c>
    </row>
    <row r="93" spans="1:7" x14ac:dyDescent="0.3">
      <c r="A93" s="1">
        <v>2</v>
      </c>
      <c r="B93" s="1">
        <v>1</v>
      </c>
      <c r="C93" s="1" t="s">
        <v>0</v>
      </c>
      <c r="D93" s="1">
        <v>28</v>
      </c>
      <c r="E93" s="1" t="s">
        <v>0</v>
      </c>
      <c r="F93" s="1">
        <v>7</v>
      </c>
      <c r="G93" s="1">
        <v>0</v>
      </c>
    </row>
    <row r="94" spans="1:7" x14ac:dyDescent="0.3">
      <c r="A94" s="1">
        <v>2</v>
      </c>
      <c r="B94" s="1">
        <v>1</v>
      </c>
      <c r="C94" s="1" t="s">
        <v>0</v>
      </c>
      <c r="D94" s="1">
        <v>21</v>
      </c>
      <c r="E94" s="1" t="s">
        <v>0</v>
      </c>
      <c r="F94" s="1">
        <v>30</v>
      </c>
      <c r="G94" s="1">
        <v>1</v>
      </c>
    </row>
    <row r="95" spans="1:7" x14ac:dyDescent="0.3">
      <c r="A95" s="1">
        <v>2</v>
      </c>
      <c r="B95" s="1">
        <v>1</v>
      </c>
      <c r="C95" s="1" t="s">
        <v>0</v>
      </c>
      <c r="D95" s="1">
        <v>15</v>
      </c>
      <c r="E95" s="1" t="s">
        <v>0</v>
      </c>
      <c r="F95" s="1">
        <v>23</v>
      </c>
      <c r="G95" s="1">
        <v>1</v>
      </c>
    </row>
    <row r="96" spans="1:7" x14ac:dyDescent="0.3">
      <c r="A96" s="1">
        <v>2</v>
      </c>
      <c r="B96" s="1">
        <v>1</v>
      </c>
      <c r="C96" s="1" t="s">
        <v>0</v>
      </c>
      <c r="D96" s="1">
        <v>33</v>
      </c>
      <c r="E96" s="1" t="s">
        <v>0</v>
      </c>
      <c r="F96" s="1">
        <v>24</v>
      </c>
      <c r="G96" s="1">
        <v>0</v>
      </c>
    </row>
    <row r="97" spans="1:7" x14ac:dyDescent="0.3">
      <c r="A97" s="1">
        <v>2</v>
      </c>
      <c r="B97" s="1">
        <v>1</v>
      </c>
      <c r="C97" s="1" t="s">
        <v>0</v>
      </c>
      <c r="D97" s="1">
        <v>2</v>
      </c>
      <c r="E97" s="1" t="s">
        <v>0</v>
      </c>
      <c r="F97" s="1">
        <v>36</v>
      </c>
      <c r="G97" s="1">
        <v>1</v>
      </c>
    </row>
    <row r="98" spans="1:7" x14ac:dyDescent="0.3">
      <c r="A98" s="1">
        <v>2</v>
      </c>
      <c r="B98" s="1">
        <v>1</v>
      </c>
      <c r="C98" s="1" t="s">
        <v>0</v>
      </c>
      <c r="D98" s="1">
        <v>25</v>
      </c>
      <c r="E98" s="1" t="s">
        <v>0</v>
      </c>
      <c r="F98" s="1">
        <v>37</v>
      </c>
      <c r="G98" s="1">
        <v>1</v>
      </c>
    </row>
    <row r="99" spans="1:7" x14ac:dyDescent="0.3">
      <c r="A99" s="1">
        <v>2</v>
      </c>
      <c r="B99" s="1">
        <v>1</v>
      </c>
      <c r="C99" s="1" t="s">
        <v>0</v>
      </c>
      <c r="D99" s="1">
        <v>34</v>
      </c>
      <c r="E99" s="1" t="s">
        <v>0</v>
      </c>
      <c r="F99" s="1">
        <v>42</v>
      </c>
      <c r="G99" s="1">
        <v>1</v>
      </c>
    </row>
    <row r="100" spans="1:7" x14ac:dyDescent="0.3">
      <c r="A100" s="1">
        <v>2</v>
      </c>
      <c r="B100" s="1">
        <v>1</v>
      </c>
      <c r="C100" s="1" t="s">
        <v>0</v>
      </c>
      <c r="D100" s="1">
        <v>0</v>
      </c>
      <c r="E100" s="1" t="s">
        <v>0</v>
      </c>
      <c r="F100" s="1">
        <v>23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3BEC-5CE2-4B77-868E-313E5169E4FE}">
  <dimension ref="A1:Q100"/>
  <sheetViews>
    <sheetView workbookViewId="0">
      <selection activeCell="M24" sqref="M24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1</v>
      </c>
      <c r="D1" s="1">
        <v>51</v>
      </c>
      <c r="E1" s="1" t="s">
        <v>1</v>
      </c>
      <c r="F1" s="1">
        <v>5</v>
      </c>
      <c r="G1" s="1">
        <v>0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1</v>
      </c>
      <c r="D2" s="1">
        <v>47</v>
      </c>
      <c r="E2" s="1" t="s">
        <v>1</v>
      </c>
      <c r="F2" s="1">
        <v>53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1</v>
      </c>
      <c r="D3" s="1">
        <v>24</v>
      </c>
      <c r="E3" s="1" t="s">
        <v>1</v>
      </c>
      <c r="F3" s="1">
        <v>27</v>
      </c>
      <c r="G3" s="1">
        <v>1</v>
      </c>
      <c r="I3" s="5" t="s">
        <v>6</v>
      </c>
      <c r="J3" s="5"/>
      <c r="K3" s="9">
        <f>COUNTIF($G$1:$G$100, 0)</f>
        <v>50</v>
      </c>
      <c r="L3" s="9"/>
      <c r="M3" s="9">
        <f>COUNTIFS($G$1:$G$100, 0, $B$1:$B$100, 0)</f>
        <v>28</v>
      </c>
      <c r="N3" s="9"/>
      <c r="O3" s="10">
        <f>COUNTIFS($G$1:$G$100, 0, $B$1:$B$100, 1)</f>
        <v>22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1</v>
      </c>
      <c r="D4" s="1">
        <v>43</v>
      </c>
      <c r="E4" s="1" t="s">
        <v>1</v>
      </c>
      <c r="F4" s="1">
        <v>9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1</v>
      </c>
      <c r="D5" s="1">
        <v>22</v>
      </c>
      <c r="E5" s="1" t="s">
        <v>1</v>
      </c>
      <c r="F5" s="1">
        <v>36</v>
      </c>
      <c r="G5" s="1">
        <v>1</v>
      </c>
      <c r="I5" s="5" t="s">
        <v>7</v>
      </c>
      <c r="J5" s="5"/>
      <c r="K5" s="14">
        <f>COUNTIF($G$1:$G$100, 1)</f>
        <v>50</v>
      </c>
      <c r="L5" s="9"/>
      <c r="M5" s="9">
        <f>COUNTIFS($G$1:$G$100, 1, $B$1:$B$100, 0)</f>
        <v>22</v>
      </c>
      <c r="N5" s="9"/>
      <c r="O5" s="9">
        <f>COUNTIFS($G$1:$G$100, 1, $B$1:$B$100, 1)</f>
        <v>28</v>
      </c>
      <c r="P5" s="13"/>
      <c r="Q5"/>
    </row>
    <row r="6" spans="1:17" x14ac:dyDescent="0.3">
      <c r="A6" s="1">
        <v>2</v>
      </c>
      <c r="B6" s="1">
        <v>0</v>
      </c>
      <c r="C6" s="1" t="s">
        <v>1</v>
      </c>
      <c r="D6" s="1">
        <v>5</v>
      </c>
      <c r="E6" s="1" t="s">
        <v>1</v>
      </c>
      <c r="F6" s="1">
        <v>19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1</v>
      </c>
      <c r="D7" s="1">
        <v>47</v>
      </c>
      <c r="E7" s="1" t="s">
        <v>1</v>
      </c>
      <c r="F7" s="1">
        <v>19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1</v>
      </c>
      <c r="D8" s="1">
        <v>26</v>
      </c>
      <c r="E8" s="1" t="s">
        <v>1</v>
      </c>
      <c r="F8" s="1">
        <v>33</v>
      </c>
      <c r="G8" s="1">
        <v>1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1</v>
      </c>
      <c r="D9" s="1">
        <v>18</v>
      </c>
      <c r="E9" s="1" t="s">
        <v>1</v>
      </c>
      <c r="F9" s="1">
        <v>28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1</v>
      </c>
      <c r="D10" s="1">
        <v>14</v>
      </c>
      <c r="E10" s="1" t="s">
        <v>1</v>
      </c>
      <c r="F10" s="1">
        <v>14</v>
      </c>
      <c r="G10" s="1">
        <v>0</v>
      </c>
      <c r="I10" s="5" t="s">
        <v>10</v>
      </c>
      <c r="J10" s="5"/>
      <c r="K10" s="9">
        <f>AVERAGE($D$1:$D$100,)</f>
        <v>29.297029702970296</v>
      </c>
      <c r="L10" s="9"/>
      <c r="M10" s="9" cm="1">
        <f t="array" ref="M10">AVERAGE(_xlfn._xlws.FILTER($D$1:$D$100,$G$1:$G$100 = 0))</f>
        <v>36.82</v>
      </c>
      <c r="N10" s="9"/>
      <c r="O10" s="10" cm="1">
        <f t="array" ref="O10">AVERAGE(_xlfn._xlws.FILTER($D$1:$D$100,$G$1:$G$100 = 1))</f>
        <v>22.36</v>
      </c>
      <c r="P10" s="11"/>
      <c r="Q10"/>
    </row>
    <row r="11" spans="1:17" x14ac:dyDescent="0.3">
      <c r="A11" s="1">
        <v>2</v>
      </c>
      <c r="B11" s="1">
        <v>0</v>
      </c>
      <c r="C11" s="1" t="s">
        <v>1</v>
      </c>
      <c r="D11" s="1">
        <v>16</v>
      </c>
      <c r="E11" s="1" t="s">
        <v>1</v>
      </c>
      <c r="F11" s="1">
        <v>30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1</v>
      </c>
      <c r="D12" s="1">
        <v>28</v>
      </c>
      <c r="E12" s="1" t="s">
        <v>1</v>
      </c>
      <c r="F12" s="1">
        <v>31</v>
      </c>
      <c r="G12" s="1">
        <v>1</v>
      </c>
      <c r="I12" s="5" t="s">
        <v>11</v>
      </c>
      <c r="J12" s="5"/>
      <c r="K12" s="9">
        <f>AVERAGE($F$1:$F$100,)</f>
        <v>27.257425742574256</v>
      </c>
      <c r="L12" s="9"/>
      <c r="M12" s="9" cm="1">
        <f t="array" ref="M12">AVERAGE(_xlfn._xlws.FILTER($F$1:$F$100,$G$1:$G$100 = 0))</f>
        <v>18.399999999999999</v>
      </c>
      <c r="N12" s="9"/>
      <c r="O12" s="9" cm="1">
        <f t="array" ref="O12">AVERAGE(_xlfn._xlws.FILTER($F$1:$F$100,$G$1:$G$100 = 1))</f>
        <v>36.659999999999997</v>
      </c>
      <c r="P12" s="13"/>
      <c r="Q12"/>
    </row>
    <row r="13" spans="1:17" x14ac:dyDescent="0.3">
      <c r="A13" s="1">
        <v>2</v>
      </c>
      <c r="B13" s="1">
        <v>0</v>
      </c>
      <c r="C13" s="1" t="s">
        <v>1</v>
      </c>
      <c r="D13" s="1">
        <v>50</v>
      </c>
      <c r="E13" s="1" t="s">
        <v>1</v>
      </c>
      <c r="F13" s="1">
        <v>28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1</v>
      </c>
      <c r="D14" s="1">
        <v>19</v>
      </c>
      <c r="E14" s="1" t="s">
        <v>1</v>
      </c>
      <c r="F14" s="1">
        <v>17</v>
      </c>
      <c r="G14" s="1">
        <v>0</v>
      </c>
      <c r="I14" s="22" t="s">
        <v>12</v>
      </c>
      <c r="J14" s="11"/>
      <c r="K14" s="23" cm="1">
        <f t="array" ref="K14">AVERAGE($D$1:$D$100 - $F$1:$F$100)</f>
        <v>2.06</v>
      </c>
      <c r="L14" s="23"/>
      <c r="M14" s="23" cm="1">
        <f t="array" ref="M14">AVERAGE(_xlfn._xlws.FILTER($D$1:$D$100 - $F$1:$F$100, G$1:G$100 = 0))</f>
        <v>18.420000000000002</v>
      </c>
      <c r="N14" s="23"/>
      <c r="O14" s="23" cm="1">
        <f t="array" ref="O14">AVERAGE(_xlfn._xlws.FILTER($D$1:$D$100 - $F$1:$F$100, G$1:G$100 = 1))</f>
        <v>-14.3</v>
      </c>
      <c r="P14" s="24"/>
      <c r="Q14"/>
    </row>
    <row r="15" spans="1:17" x14ac:dyDescent="0.3">
      <c r="A15" s="1">
        <v>2</v>
      </c>
      <c r="B15" s="1">
        <v>0</v>
      </c>
      <c r="C15" s="1" t="s">
        <v>1</v>
      </c>
      <c r="D15" s="1">
        <v>45</v>
      </c>
      <c r="E15" s="1" t="s">
        <v>1</v>
      </c>
      <c r="F15" s="1">
        <v>33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1</v>
      </c>
      <c r="D16" s="1">
        <v>53</v>
      </c>
      <c r="E16" s="1" t="s">
        <v>1</v>
      </c>
      <c r="F16" s="1">
        <v>11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1</v>
      </c>
      <c r="D17" s="1">
        <v>38</v>
      </c>
      <c r="E17" s="1" t="s">
        <v>1</v>
      </c>
      <c r="F17" s="1">
        <v>39</v>
      </c>
      <c r="G17" s="1">
        <v>1</v>
      </c>
    </row>
    <row r="18" spans="1:7" x14ac:dyDescent="0.3">
      <c r="A18" s="1">
        <v>2</v>
      </c>
      <c r="B18" s="1">
        <v>0</v>
      </c>
      <c r="C18" s="1" t="s">
        <v>1</v>
      </c>
      <c r="D18" s="1">
        <v>28</v>
      </c>
      <c r="E18" s="1" t="s">
        <v>1</v>
      </c>
      <c r="F18" s="1">
        <v>34</v>
      </c>
      <c r="G18" s="1">
        <v>1</v>
      </c>
    </row>
    <row r="19" spans="1:7" x14ac:dyDescent="0.3">
      <c r="A19" s="1">
        <v>2</v>
      </c>
      <c r="B19" s="1">
        <v>0</v>
      </c>
      <c r="C19" s="1" t="s">
        <v>1</v>
      </c>
      <c r="D19" s="1">
        <v>17</v>
      </c>
      <c r="E19" s="1" t="s">
        <v>1</v>
      </c>
      <c r="F19" s="1">
        <v>0</v>
      </c>
      <c r="G19" s="1">
        <v>0</v>
      </c>
    </row>
    <row r="20" spans="1:7" x14ac:dyDescent="0.3">
      <c r="A20" s="1">
        <v>2</v>
      </c>
      <c r="B20" s="1">
        <v>0</v>
      </c>
      <c r="C20" s="1" t="s">
        <v>1</v>
      </c>
      <c r="D20" s="1">
        <v>19</v>
      </c>
      <c r="E20" s="1" t="s">
        <v>1</v>
      </c>
      <c r="F20" s="1">
        <v>32</v>
      </c>
      <c r="G20" s="1">
        <v>1</v>
      </c>
    </row>
    <row r="21" spans="1:7" x14ac:dyDescent="0.3">
      <c r="A21" s="1">
        <v>2</v>
      </c>
      <c r="B21" s="1">
        <v>0</v>
      </c>
      <c r="C21" s="1" t="s">
        <v>1</v>
      </c>
      <c r="D21" s="1">
        <v>35</v>
      </c>
      <c r="E21" s="1" t="s">
        <v>1</v>
      </c>
      <c r="F21" s="1">
        <v>11</v>
      </c>
      <c r="G21" s="1">
        <v>0</v>
      </c>
    </row>
    <row r="22" spans="1:7" x14ac:dyDescent="0.3">
      <c r="A22" s="1">
        <v>2</v>
      </c>
      <c r="B22" s="1">
        <v>0</v>
      </c>
      <c r="C22" s="1" t="s">
        <v>1</v>
      </c>
      <c r="D22" s="1">
        <v>45</v>
      </c>
      <c r="E22" s="1" t="s">
        <v>1</v>
      </c>
      <c r="F22" s="1">
        <v>37</v>
      </c>
      <c r="G22" s="1">
        <v>0</v>
      </c>
    </row>
    <row r="23" spans="1:7" x14ac:dyDescent="0.3">
      <c r="A23" s="1">
        <v>2</v>
      </c>
      <c r="B23" s="1">
        <v>0</v>
      </c>
      <c r="C23" s="1" t="s">
        <v>1</v>
      </c>
      <c r="D23" s="1">
        <v>27</v>
      </c>
      <c r="E23" s="1" t="s">
        <v>1</v>
      </c>
      <c r="F23" s="1">
        <v>56</v>
      </c>
      <c r="G23" s="1">
        <v>1</v>
      </c>
    </row>
    <row r="24" spans="1:7" x14ac:dyDescent="0.3">
      <c r="A24" s="1">
        <v>2</v>
      </c>
      <c r="B24" s="1">
        <v>0</v>
      </c>
      <c r="C24" s="1" t="s">
        <v>1</v>
      </c>
      <c r="D24" s="1">
        <v>15</v>
      </c>
      <c r="E24" s="1" t="s">
        <v>1</v>
      </c>
      <c r="F24" s="1">
        <v>4</v>
      </c>
      <c r="G24" s="1">
        <v>0</v>
      </c>
    </row>
    <row r="25" spans="1:7" x14ac:dyDescent="0.3">
      <c r="A25" s="1">
        <v>2</v>
      </c>
      <c r="B25" s="1">
        <v>0</v>
      </c>
      <c r="C25" s="1" t="s">
        <v>1</v>
      </c>
      <c r="D25" s="1">
        <v>20</v>
      </c>
      <c r="E25" s="1" t="s">
        <v>1</v>
      </c>
      <c r="F25" s="1">
        <v>33</v>
      </c>
      <c r="G25" s="1">
        <v>1</v>
      </c>
    </row>
    <row r="26" spans="1:7" x14ac:dyDescent="0.3">
      <c r="A26" s="1">
        <v>2</v>
      </c>
      <c r="B26" s="1">
        <v>0</v>
      </c>
      <c r="C26" s="1" t="s">
        <v>1</v>
      </c>
      <c r="D26" s="1">
        <v>49</v>
      </c>
      <c r="E26" s="1" t="s">
        <v>1</v>
      </c>
      <c r="F26" s="1">
        <v>20</v>
      </c>
      <c r="G26" s="1">
        <v>0</v>
      </c>
    </row>
    <row r="27" spans="1:7" x14ac:dyDescent="0.3">
      <c r="A27" s="1">
        <v>2</v>
      </c>
      <c r="B27" s="1">
        <v>0</v>
      </c>
      <c r="C27" s="1" t="s">
        <v>1</v>
      </c>
      <c r="D27" s="1">
        <v>29</v>
      </c>
      <c r="E27" s="1" t="s">
        <v>1</v>
      </c>
      <c r="F27" s="1">
        <v>6</v>
      </c>
      <c r="G27" s="1">
        <v>0</v>
      </c>
    </row>
    <row r="28" spans="1:7" x14ac:dyDescent="0.3">
      <c r="A28" s="1">
        <v>2</v>
      </c>
      <c r="B28" s="1">
        <v>0</v>
      </c>
      <c r="C28" s="1" t="s">
        <v>1</v>
      </c>
      <c r="D28" s="1">
        <v>40</v>
      </c>
      <c r="E28" s="1" t="s">
        <v>1</v>
      </c>
      <c r="F28" s="1">
        <v>21</v>
      </c>
      <c r="G28" s="1">
        <v>0</v>
      </c>
    </row>
    <row r="29" spans="1:7" x14ac:dyDescent="0.3">
      <c r="A29" s="1">
        <v>2</v>
      </c>
      <c r="B29" s="1">
        <v>0</v>
      </c>
      <c r="C29" s="1" t="s">
        <v>1</v>
      </c>
      <c r="D29" s="1">
        <v>25</v>
      </c>
      <c r="E29" s="1" t="s">
        <v>1</v>
      </c>
      <c r="F29" s="1">
        <v>25</v>
      </c>
      <c r="G29" s="1">
        <v>0</v>
      </c>
    </row>
    <row r="30" spans="1:7" x14ac:dyDescent="0.3">
      <c r="A30" s="1">
        <v>2</v>
      </c>
      <c r="B30" s="1">
        <v>0</v>
      </c>
      <c r="C30" s="1" t="s">
        <v>1</v>
      </c>
      <c r="D30" s="1">
        <v>43</v>
      </c>
      <c r="E30" s="1" t="s">
        <v>1</v>
      </c>
      <c r="F30" s="1">
        <v>6</v>
      </c>
      <c r="G30" s="1">
        <v>0</v>
      </c>
    </row>
    <row r="31" spans="1:7" x14ac:dyDescent="0.3">
      <c r="A31" s="1">
        <v>2</v>
      </c>
      <c r="B31" s="1">
        <v>0</v>
      </c>
      <c r="C31" s="1" t="s">
        <v>1</v>
      </c>
      <c r="D31" s="1">
        <v>57</v>
      </c>
      <c r="E31" s="1" t="s">
        <v>1</v>
      </c>
      <c r="F31" s="1">
        <v>25</v>
      </c>
      <c r="G31" s="1">
        <v>0</v>
      </c>
    </row>
    <row r="32" spans="1:7" x14ac:dyDescent="0.3">
      <c r="A32" s="1">
        <v>2</v>
      </c>
      <c r="B32" s="1">
        <v>0</v>
      </c>
      <c r="C32" s="1" t="s">
        <v>1</v>
      </c>
      <c r="D32" s="1">
        <v>16</v>
      </c>
      <c r="E32" s="1" t="s">
        <v>1</v>
      </c>
      <c r="F32" s="1">
        <v>12</v>
      </c>
      <c r="G32" s="1">
        <v>0</v>
      </c>
    </row>
    <row r="33" spans="1:7" x14ac:dyDescent="0.3">
      <c r="A33" s="1">
        <v>2</v>
      </c>
      <c r="B33" s="1">
        <v>0</v>
      </c>
      <c r="C33" s="1" t="s">
        <v>1</v>
      </c>
      <c r="D33" s="1">
        <v>42</v>
      </c>
      <c r="E33" s="1" t="s">
        <v>1</v>
      </c>
      <c r="F33" s="1">
        <v>2</v>
      </c>
      <c r="G33" s="1">
        <v>0</v>
      </c>
    </row>
    <row r="34" spans="1:7" x14ac:dyDescent="0.3">
      <c r="A34" s="1">
        <v>2</v>
      </c>
      <c r="B34" s="1">
        <v>0</v>
      </c>
      <c r="C34" s="1" t="s">
        <v>1</v>
      </c>
      <c r="D34" s="1">
        <v>16</v>
      </c>
      <c r="E34" s="1" t="s">
        <v>1</v>
      </c>
      <c r="F34" s="1">
        <v>26</v>
      </c>
      <c r="G34" s="1">
        <v>1</v>
      </c>
    </row>
    <row r="35" spans="1:7" x14ac:dyDescent="0.3">
      <c r="A35" s="1">
        <v>2</v>
      </c>
      <c r="B35" s="1">
        <v>0</v>
      </c>
      <c r="C35" s="1" t="s">
        <v>1</v>
      </c>
      <c r="D35" s="1">
        <v>69</v>
      </c>
      <c r="E35" s="1" t="s">
        <v>1</v>
      </c>
      <c r="F35" s="1">
        <v>35</v>
      </c>
      <c r="G35" s="1">
        <v>0</v>
      </c>
    </row>
    <row r="36" spans="1:7" x14ac:dyDescent="0.3">
      <c r="A36" s="1">
        <v>2</v>
      </c>
      <c r="B36" s="1">
        <v>0</v>
      </c>
      <c r="C36" s="1" t="s">
        <v>1</v>
      </c>
      <c r="D36" s="1">
        <v>23</v>
      </c>
      <c r="E36" s="1" t="s">
        <v>1</v>
      </c>
      <c r="F36" s="1">
        <v>5</v>
      </c>
      <c r="G36" s="1">
        <v>0</v>
      </c>
    </row>
    <row r="37" spans="1:7" x14ac:dyDescent="0.3">
      <c r="A37" s="1">
        <v>2</v>
      </c>
      <c r="B37" s="1">
        <v>0</v>
      </c>
      <c r="C37" s="1" t="s">
        <v>1</v>
      </c>
      <c r="D37" s="1">
        <v>36</v>
      </c>
      <c r="E37" s="1" t="s">
        <v>1</v>
      </c>
      <c r="F37" s="1">
        <v>41</v>
      </c>
      <c r="G37" s="1">
        <v>1</v>
      </c>
    </row>
    <row r="38" spans="1:7" x14ac:dyDescent="0.3">
      <c r="A38" s="1">
        <v>2</v>
      </c>
      <c r="B38" s="1">
        <v>0</v>
      </c>
      <c r="C38" s="1" t="s">
        <v>1</v>
      </c>
      <c r="D38" s="1">
        <v>26</v>
      </c>
      <c r="E38" s="1" t="s">
        <v>1</v>
      </c>
      <c r="F38" s="1">
        <v>26</v>
      </c>
      <c r="G38" s="1">
        <v>0</v>
      </c>
    </row>
    <row r="39" spans="1:7" x14ac:dyDescent="0.3">
      <c r="A39" s="1">
        <v>2</v>
      </c>
      <c r="B39" s="1">
        <v>0</v>
      </c>
      <c r="C39" s="1" t="s">
        <v>1</v>
      </c>
      <c r="D39" s="1">
        <v>16</v>
      </c>
      <c r="E39" s="1" t="s">
        <v>1</v>
      </c>
      <c r="F39" s="1">
        <v>35</v>
      </c>
      <c r="G39" s="1">
        <v>1</v>
      </c>
    </row>
    <row r="40" spans="1:7" x14ac:dyDescent="0.3">
      <c r="A40" s="1">
        <v>2</v>
      </c>
      <c r="B40" s="1">
        <v>0</v>
      </c>
      <c r="C40" s="1" t="s">
        <v>1</v>
      </c>
      <c r="D40" s="1">
        <v>30</v>
      </c>
      <c r="E40" s="1" t="s">
        <v>1</v>
      </c>
      <c r="F40" s="1">
        <v>48</v>
      </c>
      <c r="G40" s="1">
        <v>1</v>
      </c>
    </row>
    <row r="41" spans="1:7" x14ac:dyDescent="0.3">
      <c r="A41" s="1">
        <v>2</v>
      </c>
      <c r="B41" s="1">
        <v>0</v>
      </c>
      <c r="C41" s="1" t="s">
        <v>1</v>
      </c>
      <c r="D41" s="1">
        <v>36</v>
      </c>
      <c r="E41" s="1" t="s">
        <v>1</v>
      </c>
      <c r="F41" s="1">
        <v>54</v>
      </c>
      <c r="G41" s="1">
        <v>1</v>
      </c>
    </row>
    <row r="42" spans="1:7" x14ac:dyDescent="0.3">
      <c r="A42" s="1">
        <v>2</v>
      </c>
      <c r="B42" s="1">
        <v>0</v>
      </c>
      <c r="C42" s="1" t="s">
        <v>1</v>
      </c>
      <c r="D42" s="1">
        <v>31</v>
      </c>
      <c r="E42" s="1" t="s">
        <v>1</v>
      </c>
      <c r="F42" s="1">
        <v>22</v>
      </c>
      <c r="G42" s="1">
        <v>0</v>
      </c>
    </row>
    <row r="43" spans="1:7" x14ac:dyDescent="0.3">
      <c r="A43" s="1">
        <v>2</v>
      </c>
      <c r="B43" s="1">
        <v>0</v>
      </c>
      <c r="C43" s="1" t="s">
        <v>1</v>
      </c>
      <c r="D43" s="1">
        <v>22</v>
      </c>
      <c r="E43" s="1" t="s">
        <v>1</v>
      </c>
      <c r="F43" s="1">
        <v>8</v>
      </c>
      <c r="G43" s="1">
        <v>0</v>
      </c>
    </row>
    <row r="44" spans="1:7" x14ac:dyDescent="0.3">
      <c r="A44" s="1">
        <v>2</v>
      </c>
      <c r="B44" s="1">
        <v>0</v>
      </c>
      <c r="C44" s="1" t="s">
        <v>1</v>
      </c>
      <c r="D44" s="1">
        <v>12</v>
      </c>
      <c r="E44" s="1" t="s">
        <v>1</v>
      </c>
      <c r="F44" s="1">
        <v>14</v>
      </c>
      <c r="G44" s="1">
        <v>1</v>
      </c>
    </row>
    <row r="45" spans="1:7" x14ac:dyDescent="0.3">
      <c r="A45" s="1">
        <v>2</v>
      </c>
      <c r="B45" s="1">
        <v>0</v>
      </c>
      <c r="C45" s="1" t="s">
        <v>1</v>
      </c>
      <c r="D45" s="1">
        <v>25</v>
      </c>
      <c r="E45" s="1" t="s">
        <v>1</v>
      </c>
      <c r="F45" s="1">
        <v>42</v>
      </c>
      <c r="G45" s="1">
        <v>1</v>
      </c>
    </row>
    <row r="46" spans="1:7" x14ac:dyDescent="0.3">
      <c r="A46" s="1">
        <v>2</v>
      </c>
      <c r="B46" s="1">
        <v>0</v>
      </c>
      <c r="C46" s="1" t="s">
        <v>1</v>
      </c>
      <c r="D46" s="1">
        <v>28</v>
      </c>
      <c r="E46" s="1" t="s">
        <v>1</v>
      </c>
      <c r="F46" s="1">
        <v>40</v>
      </c>
      <c r="G46" s="1">
        <v>1</v>
      </c>
    </row>
    <row r="47" spans="1:7" x14ac:dyDescent="0.3">
      <c r="A47" s="1">
        <v>2</v>
      </c>
      <c r="B47" s="1">
        <v>0</v>
      </c>
      <c r="C47" s="1" t="s">
        <v>1</v>
      </c>
      <c r="D47" s="1">
        <v>29</v>
      </c>
      <c r="E47" s="1" t="s">
        <v>1</v>
      </c>
      <c r="F47" s="1">
        <v>23</v>
      </c>
      <c r="G47" s="1">
        <v>0</v>
      </c>
    </row>
    <row r="48" spans="1:7" x14ac:dyDescent="0.3">
      <c r="A48" s="1">
        <v>2</v>
      </c>
      <c r="B48" s="1">
        <v>0</v>
      </c>
      <c r="C48" s="1" t="s">
        <v>1</v>
      </c>
      <c r="D48" s="1">
        <v>52</v>
      </c>
      <c r="E48" s="1" t="s">
        <v>1</v>
      </c>
      <c r="F48" s="1">
        <v>23</v>
      </c>
      <c r="G48" s="1">
        <v>0</v>
      </c>
    </row>
    <row r="49" spans="1:7" x14ac:dyDescent="0.3">
      <c r="A49" s="1">
        <v>2</v>
      </c>
      <c r="B49" s="1">
        <v>0</v>
      </c>
      <c r="C49" s="1" t="s">
        <v>1</v>
      </c>
      <c r="D49" s="1">
        <v>11</v>
      </c>
      <c r="E49" s="1" t="s">
        <v>1</v>
      </c>
      <c r="F49" s="1">
        <v>32</v>
      </c>
      <c r="G49" s="1">
        <v>1</v>
      </c>
    </row>
    <row r="50" spans="1:7" x14ac:dyDescent="0.3">
      <c r="A50" s="1">
        <v>2</v>
      </c>
      <c r="B50" s="1">
        <v>0</v>
      </c>
      <c r="C50" s="1" t="s">
        <v>1</v>
      </c>
      <c r="D50" s="1">
        <v>20</v>
      </c>
      <c r="E50" s="1" t="s">
        <v>1</v>
      </c>
      <c r="F50" s="1">
        <v>19</v>
      </c>
      <c r="G50" s="1">
        <v>0</v>
      </c>
    </row>
    <row r="51" spans="1:7" x14ac:dyDescent="0.3">
      <c r="A51" s="1">
        <v>2</v>
      </c>
      <c r="B51" s="1">
        <v>1</v>
      </c>
      <c r="C51" s="1" t="s">
        <v>1</v>
      </c>
      <c r="D51" s="1">
        <v>35</v>
      </c>
      <c r="E51" s="1" t="s">
        <v>1</v>
      </c>
      <c r="F51" s="1">
        <v>32</v>
      </c>
      <c r="G51" s="1">
        <v>0</v>
      </c>
    </row>
    <row r="52" spans="1:7" x14ac:dyDescent="0.3">
      <c r="A52" s="1">
        <v>2</v>
      </c>
      <c r="B52" s="1">
        <v>1</v>
      </c>
      <c r="C52" s="1" t="s">
        <v>1</v>
      </c>
      <c r="D52" s="1">
        <v>42</v>
      </c>
      <c r="E52" s="1" t="s">
        <v>1</v>
      </c>
      <c r="F52" s="1">
        <v>15</v>
      </c>
      <c r="G52" s="1">
        <v>0</v>
      </c>
    </row>
    <row r="53" spans="1:7" x14ac:dyDescent="0.3">
      <c r="A53" s="1">
        <v>2</v>
      </c>
      <c r="B53" s="1">
        <v>1</v>
      </c>
      <c r="C53" s="1" t="s">
        <v>1</v>
      </c>
      <c r="D53" s="1">
        <v>68</v>
      </c>
      <c r="E53" s="1" t="s">
        <v>1</v>
      </c>
      <c r="F53" s="1">
        <v>27</v>
      </c>
      <c r="G53" s="1">
        <v>0</v>
      </c>
    </row>
    <row r="54" spans="1:7" x14ac:dyDescent="0.3">
      <c r="A54" s="1">
        <v>2</v>
      </c>
      <c r="B54" s="1">
        <v>1</v>
      </c>
      <c r="C54" s="1" t="s">
        <v>1</v>
      </c>
      <c r="D54" s="1">
        <v>13</v>
      </c>
      <c r="E54" s="1" t="s">
        <v>1</v>
      </c>
      <c r="F54" s="1">
        <v>25</v>
      </c>
      <c r="G54" s="1">
        <v>1</v>
      </c>
    </row>
    <row r="55" spans="1:7" x14ac:dyDescent="0.3">
      <c r="A55" s="1">
        <v>2</v>
      </c>
      <c r="B55" s="1">
        <v>1</v>
      </c>
      <c r="C55" s="1" t="s">
        <v>1</v>
      </c>
      <c r="D55" s="1">
        <v>9</v>
      </c>
      <c r="E55" s="1" t="s">
        <v>1</v>
      </c>
      <c r="F55" s="1">
        <v>25</v>
      </c>
      <c r="G55" s="1">
        <v>1</v>
      </c>
    </row>
    <row r="56" spans="1:7" x14ac:dyDescent="0.3">
      <c r="A56" s="1">
        <v>2</v>
      </c>
      <c r="B56" s="1">
        <v>1</v>
      </c>
      <c r="C56" s="1" t="s">
        <v>1</v>
      </c>
      <c r="D56" s="1">
        <v>69</v>
      </c>
      <c r="E56" s="1" t="s">
        <v>1</v>
      </c>
      <c r="F56" s="1">
        <v>24</v>
      </c>
      <c r="G56" s="1">
        <v>0</v>
      </c>
    </row>
    <row r="57" spans="1:7" x14ac:dyDescent="0.3">
      <c r="A57" s="1">
        <v>2</v>
      </c>
      <c r="B57" s="1">
        <v>1</v>
      </c>
      <c r="C57" s="1" t="s">
        <v>1</v>
      </c>
      <c r="D57" s="1">
        <v>37</v>
      </c>
      <c r="E57" s="1" t="s">
        <v>1</v>
      </c>
      <c r="F57" s="1">
        <v>36</v>
      </c>
      <c r="G57" s="1">
        <v>0</v>
      </c>
    </row>
    <row r="58" spans="1:7" x14ac:dyDescent="0.3">
      <c r="A58" s="1">
        <v>2</v>
      </c>
      <c r="B58" s="1">
        <v>1</v>
      </c>
      <c r="C58" s="1" t="s">
        <v>1</v>
      </c>
      <c r="D58" s="1">
        <v>18</v>
      </c>
      <c r="E58" s="1" t="s">
        <v>1</v>
      </c>
      <c r="F58" s="1">
        <v>41</v>
      </c>
      <c r="G58" s="1">
        <v>1</v>
      </c>
    </row>
    <row r="59" spans="1:7" x14ac:dyDescent="0.3">
      <c r="A59" s="1">
        <v>2</v>
      </c>
      <c r="B59" s="1">
        <v>1</v>
      </c>
      <c r="C59" s="1" t="s">
        <v>1</v>
      </c>
      <c r="D59" s="1">
        <v>27</v>
      </c>
      <c r="E59" s="1" t="s">
        <v>1</v>
      </c>
      <c r="F59" s="1">
        <v>31</v>
      </c>
      <c r="G59" s="1">
        <v>1</v>
      </c>
    </row>
    <row r="60" spans="1:7" x14ac:dyDescent="0.3">
      <c r="A60" s="1">
        <v>2</v>
      </c>
      <c r="B60" s="1">
        <v>1</v>
      </c>
      <c r="C60" s="1" t="s">
        <v>1</v>
      </c>
      <c r="D60" s="1">
        <v>28</v>
      </c>
      <c r="E60" s="1" t="s">
        <v>1</v>
      </c>
      <c r="F60" s="1">
        <v>27</v>
      </c>
      <c r="G60" s="1">
        <v>0</v>
      </c>
    </row>
    <row r="61" spans="1:7" x14ac:dyDescent="0.3">
      <c r="A61" s="1">
        <v>2</v>
      </c>
      <c r="B61" s="1">
        <v>1</v>
      </c>
      <c r="C61" s="1" t="s">
        <v>1</v>
      </c>
      <c r="D61" s="1">
        <v>50</v>
      </c>
      <c r="E61" s="1" t="s">
        <v>1</v>
      </c>
      <c r="F61" s="1">
        <v>38</v>
      </c>
      <c r="G61" s="1">
        <v>0</v>
      </c>
    </row>
    <row r="62" spans="1:7" x14ac:dyDescent="0.3">
      <c r="A62" s="1">
        <v>2</v>
      </c>
      <c r="B62" s="1">
        <v>1</v>
      </c>
      <c r="C62" s="1" t="s">
        <v>1</v>
      </c>
      <c r="D62" s="1">
        <v>23</v>
      </c>
      <c r="E62" s="1" t="s">
        <v>1</v>
      </c>
      <c r="F62" s="1">
        <v>32</v>
      </c>
      <c r="G62" s="1">
        <v>1</v>
      </c>
    </row>
    <row r="63" spans="1:7" x14ac:dyDescent="0.3">
      <c r="A63" s="1">
        <v>2</v>
      </c>
      <c r="B63" s="1">
        <v>1</v>
      </c>
      <c r="C63" s="1" t="s">
        <v>1</v>
      </c>
      <c r="D63" s="1">
        <v>21</v>
      </c>
      <c r="E63" s="1" t="s">
        <v>1</v>
      </c>
      <c r="F63" s="1">
        <v>27</v>
      </c>
      <c r="G63" s="1">
        <v>1</v>
      </c>
    </row>
    <row r="64" spans="1:7" x14ac:dyDescent="0.3">
      <c r="A64" s="1">
        <v>2</v>
      </c>
      <c r="B64" s="1">
        <v>1</v>
      </c>
      <c r="C64" s="1" t="s">
        <v>1</v>
      </c>
      <c r="D64" s="1">
        <v>36</v>
      </c>
      <c r="E64" s="1" t="s">
        <v>1</v>
      </c>
      <c r="F64" s="1">
        <v>21</v>
      </c>
      <c r="G64" s="1">
        <v>0</v>
      </c>
    </row>
    <row r="65" spans="1:7" x14ac:dyDescent="0.3">
      <c r="A65" s="1">
        <v>2</v>
      </c>
      <c r="B65" s="1">
        <v>1</v>
      </c>
      <c r="C65" s="1" t="s">
        <v>1</v>
      </c>
      <c r="D65" s="1">
        <v>47</v>
      </c>
      <c r="E65" s="1" t="s">
        <v>1</v>
      </c>
      <c r="F65" s="1">
        <v>50</v>
      </c>
      <c r="G65" s="1">
        <v>1</v>
      </c>
    </row>
    <row r="66" spans="1:7" x14ac:dyDescent="0.3">
      <c r="A66" s="1">
        <v>2</v>
      </c>
      <c r="B66" s="1">
        <v>1</v>
      </c>
      <c r="C66" s="1" t="s">
        <v>1</v>
      </c>
      <c r="D66" s="1">
        <v>23</v>
      </c>
      <c r="E66" s="1" t="s">
        <v>1</v>
      </c>
      <c r="F66" s="1">
        <v>40</v>
      </c>
      <c r="G66" s="1">
        <v>1</v>
      </c>
    </row>
    <row r="67" spans="1:7" x14ac:dyDescent="0.3">
      <c r="A67" s="1">
        <v>2</v>
      </c>
      <c r="B67" s="1">
        <v>1</v>
      </c>
      <c r="C67" s="1" t="s">
        <v>1</v>
      </c>
      <c r="D67" s="1">
        <v>37</v>
      </c>
      <c r="E67" s="1" t="s">
        <v>1</v>
      </c>
      <c r="F67" s="1">
        <v>68</v>
      </c>
      <c r="G67" s="1">
        <v>1</v>
      </c>
    </row>
    <row r="68" spans="1:7" x14ac:dyDescent="0.3">
      <c r="A68" s="1">
        <v>2</v>
      </c>
      <c r="B68" s="1">
        <v>1</v>
      </c>
      <c r="C68" s="1" t="s">
        <v>1</v>
      </c>
      <c r="D68" s="1">
        <v>19</v>
      </c>
      <c r="E68" s="1" t="s">
        <v>1</v>
      </c>
      <c r="F68" s="1">
        <v>5</v>
      </c>
      <c r="G68" s="1">
        <v>0</v>
      </c>
    </row>
    <row r="69" spans="1:7" x14ac:dyDescent="0.3">
      <c r="A69" s="1">
        <v>2</v>
      </c>
      <c r="B69" s="1">
        <v>1</v>
      </c>
      <c r="C69" s="1" t="s">
        <v>1</v>
      </c>
      <c r="D69" s="1">
        <v>15</v>
      </c>
      <c r="E69" s="1" t="s">
        <v>1</v>
      </c>
      <c r="F69" s="1">
        <v>56</v>
      </c>
      <c r="G69" s="1">
        <v>1</v>
      </c>
    </row>
    <row r="70" spans="1:7" x14ac:dyDescent="0.3">
      <c r="A70" s="1">
        <v>2</v>
      </c>
      <c r="B70" s="1">
        <v>1</v>
      </c>
      <c r="C70" s="1" t="s">
        <v>1</v>
      </c>
      <c r="D70" s="1">
        <v>31</v>
      </c>
      <c r="E70" s="1" t="s">
        <v>1</v>
      </c>
      <c r="F70" s="1">
        <v>17</v>
      </c>
      <c r="G70" s="1">
        <v>0</v>
      </c>
    </row>
    <row r="71" spans="1:7" x14ac:dyDescent="0.3">
      <c r="A71" s="1">
        <v>2</v>
      </c>
      <c r="B71" s="1">
        <v>1</v>
      </c>
      <c r="C71" s="1" t="s">
        <v>1</v>
      </c>
      <c r="D71" s="1">
        <v>53</v>
      </c>
      <c r="E71" s="1" t="s">
        <v>1</v>
      </c>
      <c r="F71" s="1">
        <v>12</v>
      </c>
      <c r="G71" s="1">
        <v>0</v>
      </c>
    </row>
    <row r="72" spans="1:7" x14ac:dyDescent="0.3">
      <c r="A72" s="1">
        <v>2</v>
      </c>
      <c r="B72" s="1">
        <v>1</v>
      </c>
      <c r="C72" s="1" t="s">
        <v>1</v>
      </c>
      <c r="D72" s="1">
        <v>30</v>
      </c>
      <c r="E72" s="1" t="s">
        <v>1</v>
      </c>
      <c r="F72" s="1">
        <v>5</v>
      </c>
      <c r="G72" s="1">
        <v>0</v>
      </c>
    </row>
    <row r="73" spans="1:7" x14ac:dyDescent="0.3">
      <c r="A73" s="1">
        <v>2</v>
      </c>
      <c r="B73" s="1">
        <v>1</v>
      </c>
      <c r="C73" s="1" t="s">
        <v>1</v>
      </c>
      <c r="D73" s="1">
        <v>29</v>
      </c>
      <c r="E73" s="1" t="s">
        <v>1</v>
      </c>
      <c r="F73" s="1">
        <v>36</v>
      </c>
      <c r="G73" s="1">
        <v>1</v>
      </c>
    </row>
    <row r="74" spans="1:7" x14ac:dyDescent="0.3">
      <c r="A74" s="1">
        <v>2</v>
      </c>
      <c r="B74" s="1">
        <v>1</v>
      </c>
      <c r="C74" s="1" t="s">
        <v>1</v>
      </c>
      <c r="D74" s="1">
        <v>19</v>
      </c>
      <c r="E74" s="1" t="s">
        <v>1</v>
      </c>
      <c r="F74" s="1">
        <v>39</v>
      </c>
      <c r="G74" s="1">
        <v>1</v>
      </c>
    </row>
    <row r="75" spans="1:7" x14ac:dyDescent="0.3">
      <c r="A75" s="1">
        <v>2</v>
      </c>
      <c r="B75" s="1">
        <v>1</v>
      </c>
      <c r="C75" s="1" t="s">
        <v>1</v>
      </c>
      <c r="D75" s="1">
        <v>31</v>
      </c>
      <c r="E75" s="1" t="s">
        <v>1</v>
      </c>
      <c r="F75" s="1">
        <v>8</v>
      </c>
      <c r="G75" s="1">
        <v>0</v>
      </c>
    </row>
    <row r="76" spans="1:7" x14ac:dyDescent="0.3">
      <c r="A76" s="1">
        <v>2</v>
      </c>
      <c r="B76" s="1">
        <v>1</v>
      </c>
      <c r="C76" s="1" t="s">
        <v>1</v>
      </c>
      <c r="D76" s="1">
        <v>33</v>
      </c>
      <c r="E76" s="1" t="s">
        <v>1</v>
      </c>
      <c r="F76" s="1">
        <v>26</v>
      </c>
      <c r="G76" s="1">
        <v>0</v>
      </c>
    </row>
    <row r="77" spans="1:7" x14ac:dyDescent="0.3">
      <c r="A77" s="1">
        <v>2</v>
      </c>
      <c r="B77" s="1">
        <v>1</v>
      </c>
      <c r="C77" s="1" t="s">
        <v>1</v>
      </c>
      <c r="D77" s="1">
        <v>23</v>
      </c>
      <c r="E77" s="1" t="s">
        <v>1</v>
      </c>
      <c r="F77" s="1">
        <v>50</v>
      </c>
      <c r="G77" s="1">
        <v>1</v>
      </c>
    </row>
    <row r="78" spans="1:7" x14ac:dyDescent="0.3">
      <c r="A78" s="1">
        <v>2</v>
      </c>
      <c r="B78" s="1">
        <v>1</v>
      </c>
      <c r="C78" s="1" t="s">
        <v>1</v>
      </c>
      <c r="D78" s="1">
        <v>28</v>
      </c>
      <c r="E78" s="1" t="s">
        <v>1</v>
      </c>
      <c r="F78" s="1">
        <v>2</v>
      </c>
      <c r="G78" s="1">
        <v>0</v>
      </c>
    </row>
    <row r="79" spans="1:7" x14ac:dyDescent="0.3">
      <c r="A79" s="1">
        <v>2</v>
      </c>
      <c r="B79" s="1">
        <v>1</v>
      </c>
      <c r="C79" s="1" t="s">
        <v>1</v>
      </c>
      <c r="D79" s="1">
        <v>35</v>
      </c>
      <c r="E79" s="1" t="s">
        <v>1</v>
      </c>
      <c r="F79" s="1">
        <v>50</v>
      </c>
      <c r="G79" s="1">
        <v>1</v>
      </c>
    </row>
    <row r="80" spans="1:7" x14ac:dyDescent="0.3">
      <c r="A80" s="1">
        <v>2</v>
      </c>
      <c r="B80" s="1">
        <v>1</v>
      </c>
      <c r="C80" s="1" t="s">
        <v>1</v>
      </c>
      <c r="D80" s="1">
        <v>26</v>
      </c>
      <c r="E80" s="1" t="s">
        <v>1</v>
      </c>
      <c r="F80" s="1">
        <v>25</v>
      </c>
      <c r="G80" s="1">
        <v>0</v>
      </c>
    </row>
    <row r="81" spans="1:7" x14ac:dyDescent="0.3">
      <c r="A81" s="1">
        <v>2</v>
      </c>
      <c r="B81" s="1">
        <v>1</v>
      </c>
      <c r="C81" s="1" t="s">
        <v>1</v>
      </c>
      <c r="D81" s="1">
        <v>30</v>
      </c>
      <c r="E81" s="1" t="s">
        <v>1</v>
      </c>
      <c r="F81" s="1">
        <v>54</v>
      </c>
      <c r="G81" s="1">
        <v>1</v>
      </c>
    </row>
    <row r="82" spans="1:7" x14ac:dyDescent="0.3">
      <c r="A82" s="1">
        <v>2</v>
      </c>
      <c r="B82" s="1">
        <v>1</v>
      </c>
      <c r="C82" s="1" t="s">
        <v>1</v>
      </c>
      <c r="D82" s="1">
        <v>3</v>
      </c>
      <c r="E82" s="1" t="s">
        <v>1</v>
      </c>
      <c r="F82" s="1">
        <v>30</v>
      </c>
      <c r="G82" s="1">
        <v>1</v>
      </c>
    </row>
    <row r="83" spans="1:7" x14ac:dyDescent="0.3">
      <c r="A83" s="1">
        <v>2</v>
      </c>
      <c r="B83" s="1">
        <v>1</v>
      </c>
      <c r="C83" s="1" t="s">
        <v>1</v>
      </c>
      <c r="D83" s="1">
        <v>24</v>
      </c>
      <c r="E83" s="1" t="s">
        <v>1</v>
      </c>
      <c r="F83" s="1">
        <v>11</v>
      </c>
      <c r="G83" s="1">
        <v>0</v>
      </c>
    </row>
    <row r="84" spans="1:7" x14ac:dyDescent="0.3">
      <c r="A84" s="1">
        <v>2</v>
      </c>
      <c r="B84" s="1">
        <v>1</v>
      </c>
      <c r="C84" s="1" t="s">
        <v>1</v>
      </c>
      <c r="D84" s="1">
        <v>39</v>
      </c>
      <c r="E84" s="1" t="s">
        <v>1</v>
      </c>
      <c r="F84" s="1">
        <v>26</v>
      </c>
      <c r="G84" s="1">
        <v>0</v>
      </c>
    </row>
    <row r="85" spans="1:7" x14ac:dyDescent="0.3">
      <c r="A85" s="1">
        <v>2</v>
      </c>
      <c r="B85" s="1">
        <v>1</v>
      </c>
      <c r="C85" s="1" t="s">
        <v>1</v>
      </c>
      <c r="D85" s="1">
        <v>2</v>
      </c>
      <c r="E85" s="1" t="s">
        <v>1</v>
      </c>
      <c r="F85" s="1">
        <v>21</v>
      </c>
      <c r="G85" s="1">
        <v>1</v>
      </c>
    </row>
    <row r="86" spans="1:7" x14ac:dyDescent="0.3">
      <c r="A86" s="1">
        <v>2</v>
      </c>
      <c r="B86" s="1">
        <v>1</v>
      </c>
      <c r="C86" s="1" t="s">
        <v>1</v>
      </c>
      <c r="D86" s="1">
        <v>2</v>
      </c>
      <c r="E86" s="1" t="s">
        <v>1</v>
      </c>
      <c r="F86" s="1">
        <v>8</v>
      </c>
      <c r="G86" s="1">
        <v>1</v>
      </c>
    </row>
    <row r="87" spans="1:7" x14ac:dyDescent="0.3">
      <c r="A87" s="1">
        <v>2</v>
      </c>
      <c r="B87" s="1">
        <v>1</v>
      </c>
      <c r="C87" s="1" t="s">
        <v>1</v>
      </c>
      <c r="D87" s="1">
        <v>49</v>
      </c>
      <c r="E87" s="1" t="s">
        <v>1</v>
      </c>
      <c r="F87" s="1">
        <v>30</v>
      </c>
      <c r="G87" s="1">
        <v>0</v>
      </c>
    </row>
    <row r="88" spans="1:7" x14ac:dyDescent="0.3">
      <c r="A88" s="1">
        <v>2</v>
      </c>
      <c r="B88" s="1">
        <v>1</v>
      </c>
      <c r="C88" s="1" t="s">
        <v>1</v>
      </c>
      <c r="D88" s="1">
        <v>34</v>
      </c>
      <c r="E88" s="1" t="s">
        <v>1</v>
      </c>
      <c r="F88" s="1">
        <v>40</v>
      </c>
      <c r="G88" s="1">
        <v>1</v>
      </c>
    </row>
    <row r="89" spans="1:7" x14ac:dyDescent="0.3">
      <c r="A89" s="1">
        <v>2</v>
      </c>
      <c r="B89" s="1">
        <v>1</v>
      </c>
      <c r="C89" s="1" t="s">
        <v>1</v>
      </c>
      <c r="D89" s="1">
        <v>42</v>
      </c>
      <c r="E89" s="1" t="s">
        <v>1</v>
      </c>
      <c r="F89" s="1">
        <v>35</v>
      </c>
      <c r="G89" s="1">
        <v>0</v>
      </c>
    </row>
    <row r="90" spans="1:7" x14ac:dyDescent="0.3">
      <c r="A90" s="1">
        <v>2</v>
      </c>
      <c r="B90" s="1">
        <v>1</v>
      </c>
      <c r="C90" s="1" t="s">
        <v>1</v>
      </c>
      <c r="D90" s="1">
        <v>10</v>
      </c>
      <c r="E90" s="1" t="s">
        <v>1</v>
      </c>
      <c r="F90" s="1">
        <v>29</v>
      </c>
      <c r="G90" s="1">
        <v>1</v>
      </c>
    </row>
    <row r="91" spans="1:7" x14ac:dyDescent="0.3">
      <c r="A91" s="1">
        <v>2</v>
      </c>
      <c r="B91" s="1">
        <v>1</v>
      </c>
      <c r="C91" s="1" t="s">
        <v>1</v>
      </c>
      <c r="D91" s="1">
        <v>26</v>
      </c>
      <c r="E91" s="1" t="s">
        <v>1</v>
      </c>
      <c r="F91" s="1">
        <v>36</v>
      </c>
      <c r="G91" s="1">
        <v>1</v>
      </c>
    </row>
    <row r="92" spans="1:7" x14ac:dyDescent="0.3">
      <c r="A92" s="1">
        <v>2</v>
      </c>
      <c r="B92" s="1">
        <v>1</v>
      </c>
      <c r="C92" s="1" t="s">
        <v>1</v>
      </c>
      <c r="D92" s="1">
        <v>19</v>
      </c>
      <c r="E92" s="1" t="s">
        <v>1</v>
      </c>
      <c r="F92" s="1">
        <v>45</v>
      </c>
      <c r="G92" s="1">
        <v>1</v>
      </c>
    </row>
    <row r="93" spans="1:7" x14ac:dyDescent="0.3">
      <c r="A93" s="1">
        <v>2</v>
      </c>
      <c r="B93" s="1">
        <v>1</v>
      </c>
      <c r="C93" s="1" t="s">
        <v>1</v>
      </c>
      <c r="D93" s="1">
        <v>38</v>
      </c>
      <c r="E93" s="1" t="s">
        <v>1</v>
      </c>
      <c r="F93" s="1">
        <v>41</v>
      </c>
      <c r="G93" s="1">
        <v>1</v>
      </c>
    </row>
    <row r="94" spans="1:7" x14ac:dyDescent="0.3">
      <c r="A94" s="1">
        <v>2</v>
      </c>
      <c r="B94" s="1">
        <v>1</v>
      </c>
      <c r="C94" s="1" t="s">
        <v>1</v>
      </c>
      <c r="D94" s="1">
        <v>23</v>
      </c>
      <c r="E94" s="1" t="s">
        <v>1</v>
      </c>
      <c r="F94" s="1">
        <v>9</v>
      </c>
      <c r="G94" s="1">
        <v>0</v>
      </c>
    </row>
    <row r="95" spans="1:7" x14ac:dyDescent="0.3">
      <c r="A95" s="1">
        <v>2</v>
      </c>
      <c r="B95" s="1">
        <v>1</v>
      </c>
      <c r="C95" s="1" t="s">
        <v>1</v>
      </c>
      <c r="D95" s="1">
        <v>41</v>
      </c>
      <c r="E95" s="1" t="s">
        <v>1</v>
      </c>
      <c r="F95" s="1">
        <v>23</v>
      </c>
      <c r="G95" s="1">
        <v>0</v>
      </c>
    </row>
    <row r="96" spans="1:7" x14ac:dyDescent="0.3">
      <c r="A96" s="1">
        <v>2</v>
      </c>
      <c r="B96" s="1">
        <v>1</v>
      </c>
      <c r="C96" s="1" t="s">
        <v>1</v>
      </c>
      <c r="D96" s="1">
        <v>9</v>
      </c>
      <c r="E96" s="1" t="s">
        <v>1</v>
      </c>
      <c r="F96" s="1">
        <v>20</v>
      </c>
      <c r="G96" s="1">
        <v>1</v>
      </c>
    </row>
    <row r="97" spans="1:7" x14ac:dyDescent="0.3">
      <c r="A97" s="1">
        <v>2</v>
      </c>
      <c r="B97" s="1">
        <v>1</v>
      </c>
      <c r="C97" s="1" t="s">
        <v>1</v>
      </c>
      <c r="D97" s="1">
        <v>42</v>
      </c>
      <c r="E97" s="1" t="s">
        <v>1</v>
      </c>
      <c r="F97" s="1">
        <v>51</v>
      </c>
      <c r="G97" s="1">
        <v>1</v>
      </c>
    </row>
    <row r="98" spans="1:7" x14ac:dyDescent="0.3">
      <c r="A98" s="1">
        <v>2</v>
      </c>
      <c r="B98" s="1">
        <v>1</v>
      </c>
      <c r="C98" s="1" t="s">
        <v>1</v>
      </c>
      <c r="D98" s="1">
        <v>8</v>
      </c>
      <c r="E98" s="1" t="s">
        <v>1</v>
      </c>
      <c r="F98" s="1">
        <v>29</v>
      </c>
      <c r="G98" s="1">
        <v>1</v>
      </c>
    </row>
    <row r="99" spans="1:7" x14ac:dyDescent="0.3">
      <c r="A99" s="1">
        <v>2</v>
      </c>
      <c r="B99" s="1">
        <v>1</v>
      </c>
      <c r="C99" s="1" t="s">
        <v>1</v>
      </c>
      <c r="D99" s="1">
        <v>2</v>
      </c>
      <c r="E99" s="1" t="s">
        <v>1</v>
      </c>
      <c r="F99" s="1">
        <v>33</v>
      </c>
      <c r="G99" s="1">
        <v>1</v>
      </c>
    </row>
    <row r="100" spans="1:7" x14ac:dyDescent="0.3">
      <c r="A100" s="1">
        <v>2</v>
      </c>
      <c r="B100" s="1">
        <v>1</v>
      </c>
      <c r="C100" s="1" t="s">
        <v>1</v>
      </c>
      <c r="D100" s="1">
        <v>26</v>
      </c>
      <c r="E100" s="1" t="s">
        <v>1</v>
      </c>
      <c r="F100" s="1">
        <v>43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D078-30E7-426C-9DFF-30E1BDDBB420}">
  <dimension ref="A1:Q100"/>
  <sheetViews>
    <sheetView workbookViewId="0">
      <selection activeCell="K23" sqref="K23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0</v>
      </c>
      <c r="D1" s="1">
        <v>8</v>
      </c>
      <c r="E1" s="1" t="s">
        <v>0</v>
      </c>
      <c r="F1" s="1">
        <v>48</v>
      </c>
      <c r="G1" s="1">
        <v>1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0</v>
      </c>
      <c r="D2" s="1">
        <v>22</v>
      </c>
      <c r="E2" s="1" t="s">
        <v>0</v>
      </c>
      <c r="F2" s="1">
        <v>21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0</v>
      </c>
      <c r="D3" s="1">
        <v>13</v>
      </c>
      <c r="E3" s="1" t="s">
        <v>0</v>
      </c>
      <c r="F3" s="1">
        <v>11</v>
      </c>
      <c r="G3" s="1">
        <v>0</v>
      </c>
      <c r="I3" s="5" t="s">
        <v>6</v>
      </c>
      <c r="J3" s="5"/>
      <c r="K3" s="9">
        <f>COUNTIF($G$1:$G$100, 0)</f>
        <v>57</v>
      </c>
      <c r="L3" s="9"/>
      <c r="M3" s="9">
        <f>COUNTIFS($G$1:$G$100, 0, $B$1:$B$100, 0)</f>
        <v>31</v>
      </c>
      <c r="N3" s="9"/>
      <c r="O3" s="10">
        <f>COUNTIFS($G$1:$G$100, 0, $B$1:$B$100, 1)</f>
        <v>26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0</v>
      </c>
      <c r="D4" s="1">
        <v>26</v>
      </c>
      <c r="E4" s="1" t="s">
        <v>0</v>
      </c>
      <c r="F4" s="1">
        <v>58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0</v>
      </c>
      <c r="D5" s="1">
        <v>41</v>
      </c>
      <c r="E5" s="1" t="s">
        <v>0</v>
      </c>
      <c r="F5" s="1">
        <v>17</v>
      </c>
      <c r="G5" s="1">
        <v>0</v>
      </c>
      <c r="I5" s="5" t="s">
        <v>7</v>
      </c>
      <c r="J5" s="5"/>
      <c r="K5" s="14">
        <f>COUNTIF($G$1:$G$100, 1)</f>
        <v>43</v>
      </c>
      <c r="L5" s="9"/>
      <c r="M5" s="9">
        <f>COUNTIFS($G$1:$G$100, 1, $B$1:$B$100, 0)</f>
        <v>19</v>
      </c>
      <c r="N5" s="9"/>
      <c r="O5" s="9">
        <f>COUNTIFS($G$1:$G$100, 1, $B$1:$B$100, 1)</f>
        <v>24</v>
      </c>
      <c r="P5" s="13"/>
      <c r="Q5"/>
    </row>
    <row r="6" spans="1:17" x14ac:dyDescent="0.3">
      <c r="A6" s="1">
        <v>2</v>
      </c>
      <c r="B6" s="1">
        <v>0</v>
      </c>
      <c r="C6" s="1" t="s">
        <v>0</v>
      </c>
      <c r="D6" s="1">
        <v>39</v>
      </c>
      <c r="E6" s="1" t="s">
        <v>0</v>
      </c>
      <c r="F6" s="1">
        <v>29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0</v>
      </c>
      <c r="D7" s="1">
        <v>40</v>
      </c>
      <c r="E7" s="1" t="s">
        <v>0</v>
      </c>
      <c r="F7" s="1">
        <v>5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0</v>
      </c>
      <c r="D8" s="1">
        <v>37</v>
      </c>
      <c r="E8" s="1" t="s">
        <v>0</v>
      </c>
      <c r="F8" s="1">
        <v>2</v>
      </c>
      <c r="G8" s="1">
        <v>0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0</v>
      </c>
      <c r="D9" s="1">
        <v>37</v>
      </c>
      <c r="E9" s="1" t="s">
        <v>0</v>
      </c>
      <c r="F9" s="1">
        <v>28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0</v>
      </c>
      <c r="D10" s="1">
        <v>43</v>
      </c>
      <c r="E10" s="1" t="s">
        <v>0</v>
      </c>
      <c r="F10" s="1">
        <v>22</v>
      </c>
      <c r="G10" s="1">
        <v>0</v>
      </c>
      <c r="I10" s="5" t="s">
        <v>10</v>
      </c>
      <c r="J10" s="5"/>
      <c r="K10" s="9">
        <f>AVERAGE($D$1:$D$100,)</f>
        <v>26.910891089108912</v>
      </c>
      <c r="L10" s="9"/>
      <c r="M10" s="9" cm="1">
        <f t="array" ref="M10">AVERAGE(_xlfn._xlws.FILTER($D$1:$D$100,$G$1:$G$100 = 0))</f>
        <v>36.017543859649123</v>
      </c>
      <c r="N10" s="9"/>
      <c r="O10" s="10" cm="1">
        <f t="array" ref="O10">AVERAGE(_xlfn._xlws.FILTER($D$1:$D$100,$G$1:$G$100 = 1))</f>
        <v>15.465116279069768</v>
      </c>
      <c r="P10" s="11"/>
      <c r="Q10"/>
    </row>
    <row r="11" spans="1:17" x14ac:dyDescent="0.3">
      <c r="A11" s="1">
        <v>2</v>
      </c>
      <c r="B11" s="1">
        <v>0</v>
      </c>
      <c r="C11" s="1" t="s">
        <v>0</v>
      </c>
      <c r="D11" s="1">
        <v>21</v>
      </c>
      <c r="E11" s="1" t="s">
        <v>0</v>
      </c>
      <c r="F11" s="1">
        <v>27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0</v>
      </c>
      <c r="D12" s="1">
        <v>19</v>
      </c>
      <c r="E12" s="1" t="s">
        <v>0</v>
      </c>
      <c r="F12" s="1">
        <v>20</v>
      </c>
      <c r="G12" s="1">
        <v>1</v>
      </c>
      <c r="I12" s="5" t="s">
        <v>11</v>
      </c>
      <c r="J12" s="5"/>
      <c r="K12" s="9">
        <f>AVERAGE($F$1:$F$100,)</f>
        <v>24.504950495049506</v>
      </c>
      <c r="L12" s="9"/>
      <c r="M12" s="9" cm="1">
        <f t="array" ref="M12">AVERAGE(_xlfn._xlws.FILTER($F$1:$F$100,$G$1:$G$100 = 0))</f>
        <v>17.578947368421051</v>
      </c>
      <c r="N12" s="9"/>
      <c r="O12" s="9" cm="1">
        <f t="array" ref="O12">AVERAGE(_xlfn._xlws.FILTER($F$1:$F$100,$G$1:$G$100 = 1))</f>
        <v>34.255813953488371</v>
      </c>
      <c r="P12" s="13"/>
      <c r="Q12"/>
    </row>
    <row r="13" spans="1:17" x14ac:dyDescent="0.3">
      <c r="A13" s="1">
        <v>2</v>
      </c>
      <c r="B13" s="1">
        <v>0</v>
      </c>
      <c r="C13" s="1" t="s">
        <v>0</v>
      </c>
      <c r="D13" s="1">
        <v>22</v>
      </c>
      <c r="E13" s="1" t="s">
        <v>0</v>
      </c>
      <c r="F13" s="1">
        <v>17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0</v>
      </c>
      <c r="D14" s="1">
        <v>11</v>
      </c>
      <c r="E14" s="1" t="s">
        <v>0</v>
      </c>
      <c r="F14" s="1">
        <v>35</v>
      </c>
      <c r="G14" s="1">
        <v>1</v>
      </c>
      <c r="I14" s="22" t="s">
        <v>12</v>
      </c>
      <c r="J14" s="11"/>
      <c r="K14" s="23" cm="1">
        <f t="array" ref="K14">AVERAGE($D$1:$D$100 - $F$1:$F$100)</f>
        <v>2.4300000000000002</v>
      </c>
      <c r="L14" s="23"/>
      <c r="M14" s="23" cm="1">
        <f t="array" ref="M14">AVERAGE(_xlfn._xlws.FILTER($D$1:$D$100 - $F$1:$F$100, G$1:G$100 = 0))</f>
        <v>18.438596491228068</v>
      </c>
      <c r="N14" s="23"/>
      <c r="O14" s="23" cm="1">
        <f t="array" ref="O14">AVERAGE(_xlfn._xlws.FILTER($D$1:$D$100 - $F$1:$F$100, G$1:G$100 = 1))</f>
        <v>-18.790697674418606</v>
      </c>
      <c r="P14" s="24"/>
      <c r="Q14"/>
    </row>
    <row r="15" spans="1:17" x14ac:dyDescent="0.3">
      <c r="A15" s="1">
        <v>2</v>
      </c>
      <c r="B15" s="1">
        <v>0</v>
      </c>
      <c r="C15" s="1" t="s">
        <v>0</v>
      </c>
      <c r="D15" s="1">
        <v>0</v>
      </c>
      <c r="E15" s="1" t="s">
        <v>0</v>
      </c>
      <c r="F15" s="1">
        <v>63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0</v>
      </c>
      <c r="D16" s="1">
        <v>64</v>
      </c>
      <c r="E16" s="1" t="s">
        <v>0</v>
      </c>
      <c r="F16" s="1">
        <v>40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0</v>
      </c>
      <c r="D17" s="1">
        <v>2</v>
      </c>
      <c r="E17" s="1" t="s">
        <v>0</v>
      </c>
      <c r="F17" s="1">
        <v>25</v>
      </c>
      <c r="G17" s="1">
        <v>1</v>
      </c>
    </row>
    <row r="18" spans="1:7" x14ac:dyDescent="0.3">
      <c r="A18" s="1">
        <v>2</v>
      </c>
      <c r="B18" s="1">
        <v>0</v>
      </c>
      <c r="C18" s="1" t="s">
        <v>0</v>
      </c>
      <c r="D18" s="1">
        <v>24</v>
      </c>
      <c r="E18" s="1" t="s">
        <v>0</v>
      </c>
      <c r="F18" s="1">
        <v>2</v>
      </c>
      <c r="G18" s="1">
        <v>0</v>
      </c>
    </row>
    <row r="19" spans="1:7" x14ac:dyDescent="0.3">
      <c r="A19" s="1">
        <v>2</v>
      </c>
      <c r="B19" s="1">
        <v>0</v>
      </c>
      <c r="C19" s="1" t="s">
        <v>0</v>
      </c>
      <c r="D19" s="1">
        <v>23</v>
      </c>
      <c r="E19" s="1" t="s">
        <v>0</v>
      </c>
      <c r="F19" s="1">
        <v>32</v>
      </c>
      <c r="G19" s="1">
        <v>1</v>
      </c>
    </row>
    <row r="20" spans="1:7" x14ac:dyDescent="0.3">
      <c r="A20" s="1">
        <v>2</v>
      </c>
      <c r="B20" s="1">
        <v>0</v>
      </c>
      <c r="C20" s="1" t="s">
        <v>0</v>
      </c>
      <c r="D20" s="1">
        <v>26</v>
      </c>
      <c r="E20" s="1" t="s">
        <v>0</v>
      </c>
      <c r="F20" s="1">
        <v>22</v>
      </c>
      <c r="G20" s="1">
        <v>0</v>
      </c>
    </row>
    <row r="21" spans="1:7" x14ac:dyDescent="0.3">
      <c r="A21" s="1">
        <v>2</v>
      </c>
      <c r="B21" s="1">
        <v>0</v>
      </c>
      <c r="C21" s="1" t="s">
        <v>0</v>
      </c>
      <c r="D21" s="1">
        <v>39</v>
      </c>
      <c r="E21" s="1" t="s">
        <v>0</v>
      </c>
      <c r="F21" s="1">
        <v>27</v>
      </c>
      <c r="G21" s="1">
        <v>0</v>
      </c>
    </row>
    <row r="22" spans="1:7" x14ac:dyDescent="0.3">
      <c r="A22" s="1">
        <v>2</v>
      </c>
      <c r="B22" s="1">
        <v>0</v>
      </c>
      <c r="C22" s="1" t="s">
        <v>0</v>
      </c>
      <c r="D22" s="1">
        <v>27</v>
      </c>
      <c r="E22" s="1" t="s">
        <v>0</v>
      </c>
      <c r="F22" s="1">
        <v>32</v>
      </c>
      <c r="G22" s="1">
        <v>1</v>
      </c>
    </row>
    <row r="23" spans="1:7" x14ac:dyDescent="0.3">
      <c r="A23" s="1">
        <v>2</v>
      </c>
      <c r="B23" s="1">
        <v>0</v>
      </c>
      <c r="C23" s="1" t="s">
        <v>0</v>
      </c>
      <c r="D23" s="1">
        <v>62</v>
      </c>
      <c r="E23" s="1" t="s">
        <v>0</v>
      </c>
      <c r="F23" s="1">
        <v>4</v>
      </c>
      <c r="G23" s="1">
        <v>0</v>
      </c>
    </row>
    <row r="24" spans="1:7" x14ac:dyDescent="0.3">
      <c r="A24" s="1">
        <v>2</v>
      </c>
      <c r="B24" s="1">
        <v>0</v>
      </c>
      <c r="C24" s="1" t="s">
        <v>0</v>
      </c>
      <c r="D24" s="1">
        <v>29</v>
      </c>
      <c r="E24" s="1" t="s">
        <v>0</v>
      </c>
      <c r="F24" s="1">
        <v>5</v>
      </c>
      <c r="G24" s="1">
        <v>0</v>
      </c>
    </row>
    <row r="25" spans="1:7" x14ac:dyDescent="0.3">
      <c r="A25" s="1">
        <v>2</v>
      </c>
      <c r="B25" s="1">
        <v>0</v>
      </c>
      <c r="C25" s="1" t="s">
        <v>0</v>
      </c>
      <c r="D25" s="1">
        <v>35</v>
      </c>
      <c r="E25" s="1" t="s">
        <v>0</v>
      </c>
      <c r="F25" s="1">
        <v>0</v>
      </c>
      <c r="G25" s="1">
        <v>0</v>
      </c>
    </row>
    <row r="26" spans="1:7" x14ac:dyDescent="0.3">
      <c r="A26" s="1">
        <v>2</v>
      </c>
      <c r="B26" s="1">
        <v>0</v>
      </c>
      <c r="C26" s="1" t="s">
        <v>0</v>
      </c>
      <c r="D26" s="1">
        <v>30</v>
      </c>
      <c r="E26" s="1" t="s">
        <v>0</v>
      </c>
      <c r="F26" s="1">
        <v>12</v>
      </c>
      <c r="G26" s="1">
        <v>0</v>
      </c>
    </row>
    <row r="27" spans="1:7" x14ac:dyDescent="0.3">
      <c r="A27" s="1">
        <v>2</v>
      </c>
      <c r="B27" s="1">
        <v>0</v>
      </c>
      <c r="C27" s="1" t="s">
        <v>0</v>
      </c>
      <c r="D27" s="1">
        <v>21</v>
      </c>
      <c r="E27" s="1" t="s">
        <v>0</v>
      </c>
      <c r="F27" s="1">
        <v>17</v>
      </c>
      <c r="G27" s="1">
        <v>0</v>
      </c>
    </row>
    <row r="28" spans="1:7" x14ac:dyDescent="0.3">
      <c r="A28" s="1">
        <v>2</v>
      </c>
      <c r="B28" s="1">
        <v>0</v>
      </c>
      <c r="C28" s="1" t="s">
        <v>0</v>
      </c>
      <c r="D28" s="1">
        <v>27</v>
      </c>
      <c r="E28" s="1" t="s">
        <v>0</v>
      </c>
      <c r="F28" s="1">
        <v>15</v>
      </c>
      <c r="G28" s="1">
        <v>0</v>
      </c>
    </row>
    <row r="29" spans="1:7" x14ac:dyDescent="0.3">
      <c r="A29" s="1">
        <v>2</v>
      </c>
      <c r="B29" s="1">
        <v>0</v>
      </c>
      <c r="C29" s="1" t="s">
        <v>0</v>
      </c>
      <c r="D29" s="1">
        <v>12</v>
      </c>
      <c r="E29" s="1" t="s">
        <v>0</v>
      </c>
      <c r="F29" s="1">
        <v>17</v>
      </c>
      <c r="G29" s="1">
        <v>1</v>
      </c>
    </row>
    <row r="30" spans="1:7" x14ac:dyDescent="0.3">
      <c r="A30" s="1">
        <v>2</v>
      </c>
      <c r="B30" s="1">
        <v>0</v>
      </c>
      <c r="C30" s="1" t="s">
        <v>0</v>
      </c>
      <c r="D30" s="1">
        <v>50</v>
      </c>
      <c r="E30" s="1" t="s">
        <v>0</v>
      </c>
      <c r="F30" s="1">
        <v>14</v>
      </c>
      <c r="G30" s="1">
        <v>0</v>
      </c>
    </row>
    <row r="31" spans="1:7" x14ac:dyDescent="0.3">
      <c r="A31" s="1">
        <v>2</v>
      </c>
      <c r="B31" s="1">
        <v>0</v>
      </c>
      <c r="C31" s="1" t="s">
        <v>0</v>
      </c>
      <c r="D31" s="1">
        <v>40</v>
      </c>
      <c r="E31" s="1" t="s">
        <v>0</v>
      </c>
      <c r="F31" s="1">
        <v>12</v>
      </c>
      <c r="G31" s="1">
        <v>0</v>
      </c>
    </row>
    <row r="32" spans="1:7" x14ac:dyDescent="0.3">
      <c r="A32" s="1">
        <v>2</v>
      </c>
      <c r="B32" s="1">
        <v>0</v>
      </c>
      <c r="C32" s="1" t="s">
        <v>0</v>
      </c>
      <c r="D32" s="1">
        <v>24</v>
      </c>
      <c r="E32" s="1" t="s">
        <v>0</v>
      </c>
      <c r="F32" s="1">
        <v>2</v>
      </c>
      <c r="G32" s="1">
        <v>0</v>
      </c>
    </row>
    <row r="33" spans="1:7" x14ac:dyDescent="0.3">
      <c r="A33" s="1">
        <v>2</v>
      </c>
      <c r="B33" s="1">
        <v>0</v>
      </c>
      <c r="C33" s="1" t="s">
        <v>0</v>
      </c>
      <c r="D33" s="1">
        <v>30</v>
      </c>
      <c r="E33" s="1" t="s">
        <v>0</v>
      </c>
      <c r="F33" s="1">
        <v>18</v>
      </c>
      <c r="G33" s="1">
        <v>0</v>
      </c>
    </row>
    <row r="34" spans="1:7" x14ac:dyDescent="0.3">
      <c r="A34" s="1">
        <v>2</v>
      </c>
      <c r="B34" s="1">
        <v>0</v>
      </c>
      <c r="C34" s="1" t="s">
        <v>0</v>
      </c>
      <c r="D34" s="1">
        <v>22</v>
      </c>
      <c r="E34" s="1" t="s">
        <v>0</v>
      </c>
      <c r="F34" s="1">
        <v>38</v>
      </c>
      <c r="G34" s="1">
        <v>1</v>
      </c>
    </row>
    <row r="35" spans="1:7" x14ac:dyDescent="0.3">
      <c r="A35" s="1">
        <v>2</v>
      </c>
      <c r="B35" s="1">
        <v>0</v>
      </c>
      <c r="C35" s="1" t="s">
        <v>0</v>
      </c>
      <c r="D35" s="1">
        <v>7</v>
      </c>
      <c r="E35" s="1" t="s">
        <v>0</v>
      </c>
      <c r="F35" s="1">
        <v>36</v>
      </c>
      <c r="G35" s="1">
        <v>1</v>
      </c>
    </row>
    <row r="36" spans="1:7" x14ac:dyDescent="0.3">
      <c r="A36" s="1">
        <v>2</v>
      </c>
      <c r="B36" s="1">
        <v>0</v>
      </c>
      <c r="C36" s="1" t="s">
        <v>0</v>
      </c>
      <c r="D36" s="1">
        <v>28</v>
      </c>
      <c r="E36" s="1" t="s">
        <v>0</v>
      </c>
      <c r="F36" s="1">
        <v>28</v>
      </c>
      <c r="G36" s="1">
        <v>0</v>
      </c>
    </row>
    <row r="37" spans="1:7" x14ac:dyDescent="0.3">
      <c r="A37" s="1">
        <v>2</v>
      </c>
      <c r="B37" s="1">
        <v>0</v>
      </c>
      <c r="C37" s="1" t="s">
        <v>0</v>
      </c>
      <c r="D37" s="1">
        <v>19</v>
      </c>
      <c r="E37" s="1" t="s">
        <v>0</v>
      </c>
      <c r="F37" s="1">
        <v>21</v>
      </c>
      <c r="G37" s="1">
        <v>1</v>
      </c>
    </row>
    <row r="38" spans="1:7" x14ac:dyDescent="0.3">
      <c r="A38" s="1">
        <v>2</v>
      </c>
      <c r="B38" s="1">
        <v>0</v>
      </c>
      <c r="C38" s="1" t="s">
        <v>0</v>
      </c>
      <c r="D38" s="1">
        <v>11</v>
      </c>
      <c r="E38" s="1" t="s">
        <v>0</v>
      </c>
      <c r="F38" s="1">
        <v>27</v>
      </c>
      <c r="G38" s="1">
        <v>1</v>
      </c>
    </row>
    <row r="39" spans="1:7" x14ac:dyDescent="0.3">
      <c r="A39" s="1">
        <v>2</v>
      </c>
      <c r="B39" s="1">
        <v>0</v>
      </c>
      <c r="C39" s="1" t="s">
        <v>0</v>
      </c>
      <c r="D39" s="1">
        <v>47</v>
      </c>
      <c r="E39" s="1" t="s">
        <v>0</v>
      </c>
      <c r="F39" s="1">
        <v>35</v>
      </c>
      <c r="G39" s="1">
        <v>0</v>
      </c>
    </row>
    <row r="40" spans="1:7" x14ac:dyDescent="0.3">
      <c r="A40" s="1">
        <v>2</v>
      </c>
      <c r="B40" s="1">
        <v>0</v>
      </c>
      <c r="C40" s="1" t="s">
        <v>0</v>
      </c>
      <c r="D40" s="1">
        <v>9</v>
      </c>
      <c r="E40" s="1" t="s">
        <v>0</v>
      </c>
      <c r="F40" s="1">
        <v>9</v>
      </c>
      <c r="G40" s="1">
        <v>0</v>
      </c>
    </row>
    <row r="41" spans="1:7" x14ac:dyDescent="0.3">
      <c r="A41" s="1">
        <v>2</v>
      </c>
      <c r="B41" s="1">
        <v>0</v>
      </c>
      <c r="C41" s="1" t="s">
        <v>0</v>
      </c>
      <c r="D41" s="1">
        <v>63</v>
      </c>
      <c r="E41" s="1" t="s">
        <v>0</v>
      </c>
      <c r="F41" s="1">
        <v>2</v>
      </c>
      <c r="G41" s="1">
        <v>0</v>
      </c>
    </row>
    <row r="42" spans="1:7" x14ac:dyDescent="0.3">
      <c r="A42" s="1">
        <v>2</v>
      </c>
      <c r="B42" s="1">
        <v>0</v>
      </c>
      <c r="C42" s="1" t="s">
        <v>0</v>
      </c>
      <c r="D42" s="1">
        <v>19</v>
      </c>
      <c r="E42" s="1" t="s">
        <v>0</v>
      </c>
      <c r="F42" s="1">
        <v>35</v>
      </c>
      <c r="G42" s="1">
        <v>1</v>
      </c>
    </row>
    <row r="43" spans="1:7" x14ac:dyDescent="0.3">
      <c r="A43" s="1">
        <v>2</v>
      </c>
      <c r="B43" s="1">
        <v>0</v>
      </c>
      <c r="C43" s="1" t="s">
        <v>0</v>
      </c>
      <c r="D43" s="1">
        <v>45</v>
      </c>
      <c r="E43" s="1" t="s">
        <v>0</v>
      </c>
      <c r="F43" s="1">
        <v>8</v>
      </c>
      <c r="G43" s="1">
        <v>0</v>
      </c>
    </row>
    <row r="44" spans="1:7" x14ac:dyDescent="0.3">
      <c r="A44" s="1">
        <v>2</v>
      </c>
      <c r="B44" s="1">
        <v>0</v>
      </c>
      <c r="C44" s="1" t="s">
        <v>0</v>
      </c>
      <c r="D44" s="1">
        <v>32</v>
      </c>
      <c r="E44" s="1" t="s">
        <v>0</v>
      </c>
      <c r="F44" s="1">
        <v>17</v>
      </c>
      <c r="G44" s="1">
        <v>0</v>
      </c>
    </row>
    <row r="45" spans="1:7" x14ac:dyDescent="0.3">
      <c r="A45" s="1">
        <v>2</v>
      </c>
      <c r="B45" s="1">
        <v>0</v>
      </c>
      <c r="C45" s="1" t="s">
        <v>0</v>
      </c>
      <c r="D45" s="1">
        <v>28</v>
      </c>
      <c r="E45" s="1" t="s">
        <v>0</v>
      </c>
      <c r="F45" s="1">
        <v>48</v>
      </c>
      <c r="G45" s="1">
        <v>1</v>
      </c>
    </row>
    <row r="46" spans="1:7" x14ac:dyDescent="0.3">
      <c r="A46" s="1">
        <v>2</v>
      </c>
      <c r="B46" s="1">
        <v>0</v>
      </c>
      <c r="C46" s="1" t="s">
        <v>0</v>
      </c>
      <c r="D46" s="1">
        <v>46</v>
      </c>
      <c r="E46" s="1" t="s">
        <v>0</v>
      </c>
      <c r="F46" s="1">
        <v>13</v>
      </c>
      <c r="G46" s="1">
        <v>0</v>
      </c>
    </row>
    <row r="47" spans="1:7" x14ac:dyDescent="0.3">
      <c r="A47" s="1">
        <v>2</v>
      </c>
      <c r="B47" s="1">
        <v>0</v>
      </c>
      <c r="C47" s="1" t="s">
        <v>0</v>
      </c>
      <c r="D47" s="1">
        <v>21</v>
      </c>
      <c r="E47" s="1" t="s">
        <v>0</v>
      </c>
      <c r="F47" s="1">
        <v>24</v>
      </c>
      <c r="G47" s="1">
        <v>1</v>
      </c>
    </row>
    <row r="48" spans="1:7" x14ac:dyDescent="0.3">
      <c r="A48" s="1">
        <v>2</v>
      </c>
      <c r="B48" s="1">
        <v>0</v>
      </c>
      <c r="C48" s="1" t="s">
        <v>0</v>
      </c>
      <c r="D48" s="1">
        <v>38</v>
      </c>
      <c r="E48" s="1" t="s">
        <v>0</v>
      </c>
      <c r="F48" s="1">
        <v>2</v>
      </c>
      <c r="G48" s="1">
        <v>0</v>
      </c>
    </row>
    <row r="49" spans="1:7" x14ac:dyDescent="0.3">
      <c r="A49" s="1">
        <v>2</v>
      </c>
      <c r="B49" s="1">
        <v>0</v>
      </c>
      <c r="C49" s="1" t="s">
        <v>0</v>
      </c>
      <c r="D49" s="1">
        <v>8</v>
      </c>
      <c r="E49" s="1" t="s">
        <v>0</v>
      </c>
      <c r="F49" s="1">
        <v>16</v>
      </c>
      <c r="G49" s="1">
        <v>1</v>
      </c>
    </row>
    <row r="50" spans="1:7" x14ac:dyDescent="0.3">
      <c r="A50" s="1">
        <v>2</v>
      </c>
      <c r="B50" s="1">
        <v>0</v>
      </c>
      <c r="C50" s="1" t="s">
        <v>0</v>
      </c>
      <c r="D50" s="1">
        <v>10</v>
      </c>
      <c r="E50" s="1" t="s">
        <v>0</v>
      </c>
      <c r="F50" s="1">
        <v>20</v>
      </c>
      <c r="G50" s="1">
        <v>1</v>
      </c>
    </row>
    <row r="51" spans="1:7" x14ac:dyDescent="0.3">
      <c r="A51" s="1">
        <v>2</v>
      </c>
      <c r="B51" s="1">
        <v>1</v>
      </c>
      <c r="C51" s="1" t="s">
        <v>0</v>
      </c>
      <c r="D51" s="1">
        <v>41</v>
      </c>
      <c r="E51" s="1" t="s">
        <v>0</v>
      </c>
      <c r="F51" s="1">
        <v>44</v>
      </c>
      <c r="G51" s="1">
        <v>1</v>
      </c>
    </row>
    <row r="52" spans="1:7" x14ac:dyDescent="0.3">
      <c r="A52" s="1">
        <v>2</v>
      </c>
      <c r="B52" s="1">
        <v>1</v>
      </c>
      <c r="C52" s="1" t="s">
        <v>0</v>
      </c>
      <c r="D52" s="1">
        <v>13</v>
      </c>
      <c r="E52" s="1" t="s">
        <v>0</v>
      </c>
      <c r="F52" s="1">
        <v>20</v>
      </c>
      <c r="G52" s="1">
        <v>1</v>
      </c>
    </row>
    <row r="53" spans="1:7" x14ac:dyDescent="0.3">
      <c r="A53" s="1">
        <v>2</v>
      </c>
      <c r="B53" s="1">
        <v>1</v>
      </c>
      <c r="C53" s="1" t="s">
        <v>0</v>
      </c>
      <c r="D53" s="1">
        <v>13</v>
      </c>
      <c r="E53" s="1" t="s">
        <v>0</v>
      </c>
      <c r="F53" s="1">
        <v>41</v>
      </c>
      <c r="G53" s="1">
        <v>1</v>
      </c>
    </row>
    <row r="54" spans="1:7" x14ac:dyDescent="0.3">
      <c r="A54" s="1">
        <v>2</v>
      </c>
      <c r="B54" s="1">
        <v>1</v>
      </c>
      <c r="C54" s="1" t="s">
        <v>0</v>
      </c>
      <c r="D54" s="1">
        <v>9</v>
      </c>
      <c r="E54" s="1" t="s">
        <v>0</v>
      </c>
      <c r="F54" s="1">
        <v>18</v>
      </c>
      <c r="G54" s="1">
        <v>1</v>
      </c>
    </row>
    <row r="55" spans="1:7" x14ac:dyDescent="0.3">
      <c r="A55" s="1">
        <v>2</v>
      </c>
      <c r="B55" s="1">
        <v>1</v>
      </c>
      <c r="C55" s="1" t="s">
        <v>0</v>
      </c>
      <c r="D55" s="1">
        <v>8</v>
      </c>
      <c r="E55" s="1" t="s">
        <v>0</v>
      </c>
      <c r="F55" s="1">
        <v>30</v>
      </c>
      <c r="G55" s="1">
        <v>1</v>
      </c>
    </row>
    <row r="56" spans="1:7" x14ac:dyDescent="0.3">
      <c r="A56" s="1">
        <v>2</v>
      </c>
      <c r="B56" s="1">
        <v>1</v>
      </c>
      <c r="C56" s="1" t="s">
        <v>0</v>
      </c>
      <c r="D56" s="1">
        <v>13</v>
      </c>
      <c r="E56" s="1" t="s">
        <v>0</v>
      </c>
      <c r="F56" s="1">
        <v>29</v>
      </c>
      <c r="G56" s="1">
        <v>1</v>
      </c>
    </row>
    <row r="57" spans="1:7" x14ac:dyDescent="0.3">
      <c r="A57" s="1">
        <v>2</v>
      </c>
      <c r="B57" s="1">
        <v>1</v>
      </c>
      <c r="C57" s="1" t="s">
        <v>0</v>
      </c>
      <c r="D57" s="1">
        <v>18</v>
      </c>
      <c r="E57" s="1" t="s">
        <v>0</v>
      </c>
      <c r="F57" s="1">
        <v>36</v>
      </c>
      <c r="G57" s="1">
        <v>1</v>
      </c>
    </row>
    <row r="58" spans="1:7" x14ac:dyDescent="0.3">
      <c r="A58" s="1">
        <v>2</v>
      </c>
      <c r="B58" s="1">
        <v>1</v>
      </c>
      <c r="C58" s="1" t="s">
        <v>0</v>
      </c>
      <c r="D58" s="1">
        <v>31</v>
      </c>
      <c r="E58" s="1" t="s">
        <v>0</v>
      </c>
      <c r="F58" s="1">
        <v>22</v>
      </c>
      <c r="G58" s="1">
        <v>0</v>
      </c>
    </row>
    <row r="59" spans="1:7" x14ac:dyDescent="0.3">
      <c r="A59" s="1">
        <v>2</v>
      </c>
      <c r="B59" s="1">
        <v>1</v>
      </c>
      <c r="C59" s="1" t="s">
        <v>0</v>
      </c>
      <c r="D59" s="1">
        <v>46</v>
      </c>
      <c r="E59" s="1" t="s">
        <v>0</v>
      </c>
      <c r="F59" s="1">
        <v>8</v>
      </c>
      <c r="G59" s="1">
        <v>0</v>
      </c>
    </row>
    <row r="60" spans="1:7" x14ac:dyDescent="0.3">
      <c r="A60" s="1">
        <v>2</v>
      </c>
      <c r="B60" s="1">
        <v>1</v>
      </c>
      <c r="C60" s="1" t="s">
        <v>0</v>
      </c>
      <c r="D60" s="1">
        <v>31</v>
      </c>
      <c r="E60" s="1" t="s">
        <v>0</v>
      </c>
      <c r="F60" s="1">
        <v>25</v>
      </c>
      <c r="G60" s="1">
        <v>0</v>
      </c>
    </row>
    <row r="61" spans="1:7" x14ac:dyDescent="0.3">
      <c r="A61" s="1">
        <v>2</v>
      </c>
      <c r="B61" s="1">
        <v>1</v>
      </c>
      <c r="C61" s="1" t="s">
        <v>0</v>
      </c>
      <c r="D61" s="1">
        <v>17</v>
      </c>
      <c r="E61" s="1" t="s">
        <v>0</v>
      </c>
      <c r="F61" s="1">
        <v>36</v>
      </c>
      <c r="G61" s="1">
        <v>1</v>
      </c>
    </row>
    <row r="62" spans="1:7" x14ac:dyDescent="0.3">
      <c r="A62" s="1">
        <v>2</v>
      </c>
      <c r="B62" s="1">
        <v>1</v>
      </c>
      <c r="C62" s="1" t="s">
        <v>0</v>
      </c>
      <c r="D62" s="1">
        <v>42</v>
      </c>
      <c r="E62" s="1" t="s">
        <v>0</v>
      </c>
      <c r="F62" s="1">
        <v>15</v>
      </c>
      <c r="G62" s="1">
        <v>0</v>
      </c>
    </row>
    <row r="63" spans="1:7" x14ac:dyDescent="0.3">
      <c r="A63" s="1">
        <v>2</v>
      </c>
      <c r="B63" s="1">
        <v>1</v>
      </c>
      <c r="C63" s="1" t="s">
        <v>0</v>
      </c>
      <c r="D63" s="1">
        <v>29</v>
      </c>
      <c r="E63" s="1" t="s">
        <v>0</v>
      </c>
      <c r="F63" s="1">
        <v>16</v>
      </c>
      <c r="G63" s="1">
        <v>0</v>
      </c>
    </row>
    <row r="64" spans="1:7" x14ac:dyDescent="0.3">
      <c r="A64" s="1">
        <v>2</v>
      </c>
      <c r="B64" s="1">
        <v>1</v>
      </c>
      <c r="C64" s="1" t="s">
        <v>0</v>
      </c>
      <c r="D64" s="1">
        <v>34</v>
      </c>
      <c r="E64" s="1" t="s">
        <v>0</v>
      </c>
      <c r="F64" s="1">
        <v>21</v>
      </c>
      <c r="G64" s="1">
        <v>0</v>
      </c>
    </row>
    <row r="65" spans="1:7" x14ac:dyDescent="0.3">
      <c r="A65" s="1">
        <v>2</v>
      </c>
      <c r="B65" s="1">
        <v>1</v>
      </c>
      <c r="C65" s="1" t="s">
        <v>0</v>
      </c>
      <c r="D65" s="1">
        <v>57</v>
      </c>
      <c r="E65" s="1" t="s">
        <v>0</v>
      </c>
      <c r="F65" s="1">
        <v>34</v>
      </c>
      <c r="G65" s="1">
        <v>0</v>
      </c>
    </row>
    <row r="66" spans="1:7" x14ac:dyDescent="0.3">
      <c r="A66" s="1">
        <v>2</v>
      </c>
      <c r="B66" s="1">
        <v>1</v>
      </c>
      <c r="C66" s="1" t="s">
        <v>0</v>
      </c>
      <c r="D66" s="1">
        <v>25</v>
      </c>
      <c r="E66" s="1" t="s">
        <v>0</v>
      </c>
      <c r="F66" s="1">
        <v>34</v>
      </c>
      <c r="G66" s="1">
        <v>1</v>
      </c>
    </row>
    <row r="67" spans="1:7" x14ac:dyDescent="0.3">
      <c r="A67" s="1">
        <v>2</v>
      </c>
      <c r="B67" s="1">
        <v>1</v>
      </c>
      <c r="C67" s="1" t="s">
        <v>0</v>
      </c>
      <c r="D67" s="1">
        <v>44</v>
      </c>
      <c r="E67" s="1" t="s">
        <v>0</v>
      </c>
      <c r="F67" s="1">
        <v>4</v>
      </c>
      <c r="G67" s="1">
        <v>0</v>
      </c>
    </row>
    <row r="68" spans="1:7" x14ac:dyDescent="0.3">
      <c r="A68" s="1">
        <v>2</v>
      </c>
      <c r="B68" s="1">
        <v>1</v>
      </c>
      <c r="C68" s="1" t="s">
        <v>0</v>
      </c>
      <c r="D68" s="1">
        <v>37</v>
      </c>
      <c r="E68" s="1" t="s">
        <v>0</v>
      </c>
      <c r="F68" s="1">
        <v>29</v>
      </c>
      <c r="G68" s="1">
        <v>0</v>
      </c>
    </row>
    <row r="69" spans="1:7" x14ac:dyDescent="0.3">
      <c r="A69" s="1">
        <v>2</v>
      </c>
      <c r="B69" s="1">
        <v>1</v>
      </c>
      <c r="C69" s="1" t="s">
        <v>0</v>
      </c>
      <c r="D69" s="1">
        <v>16</v>
      </c>
      <c r="E69" s="1" t="s">
        <v>0</v>
      </c>
      <c r="F69" s="1">
        <v>11</v>
      </c>
      <c r="G69" s="1">
        <v>0</v>
      </c>
    </row>
    <row r="70" spans="1:7" x14ac:dyDescent="0.3">
      <c r="A70" s="1">
        <v>2</v>
      </c>
      <c r="B70" s="1">
        <v>1</v>
      </c>
      <c r="C70" s="1" t="s">
        <v>0</v>
      </c>
      <c r="D70" s="1">
        <v>4</v>
      </c>
      <c r="E70" s="1" t="s">
        <v>0</v>
      </c>
      <c r="F70" s="1">
        <v>22</v>
      </c>
      <c r="G70" s="1">
        <v>1</v>
      </c>
    </row>
    <row r="71" spans="1:7" x14ac:dyDescent="0.3">
      <c r="A71" s="1">
        <v>2</v>
      </c>
      <c r="B71" s="1">
        <v>1</v>
      </c>
      <c r="C71" s="1" t="s">
        <v>0</v>
      </c>
      <c r="D71" s="1">
        <v>47</v>
      </c>
      <c r="E71" s="1" t="s">
        <v>0</v>
      </c>
      <c r="F71" s="1">
        <v>43</v>
      </c>
      <c r="G71" s="1">
        <v>0</v>
      </c>
    </row>
    <row r="72" spans="1:7" x14ac:dyDescent="0.3">
      <c r="A72" s="1">
        <v>2</v>
      </c>
      <c r="B72" s="1">
        <v>1</v>
      </c>
      <c r="C72" s="1" t="s">
        <v>0</v>
      </c>
      <c r="D72" s="1">
        <v>12</v>
      </c>
      <c r="E72" s="1" t="s">
        <v>0</v>
      </c>
      <c r="F72" s="1">
        <v>27</v>
      </c>
      <c r="G72" s="1">
        <v>1</v>
      </c>
    </row>
    <row r="73" spans="1:7" x14ac:dyDescent="0.3">
      <c r="A73" s="1">
        <v>2</v>
      </c>
      <c r="B73" s="1">
        <v>1</v>
      </c>
      <c r="C73" s="1" t="s">
        <v>0</v>
      </c>
      <c r="D73" s="1">
        <v>12</v>
      </c>
      <c r="E73" s="1" t="s">
        <v>0</v>
      </c>
      <c r="F73" s="1">
        <v>29</v>
      </c>
      <c r="G73" s="1">
        <v>1</v>
      </c>
    </row>
    <row r="74" spans="1:7" x14ac:dyDescent="0.3">
      <c r="A74" s="1">
        <v>2</v>
      </c>
      <c r="B74" s="1">
        <v>1</v>
      </c>
      <c r="C74" s="1" t="s">
        <v>0</v>
      </c>
      <c r="D74" s="1">
        <v>32</v>
      </c>
      <c r="E74" s="1" t="s">
        <v>0</v>
      </c>
      <c r="F74" s="1">
        <v>29</v>
      </c>
      <c r="G74" s="1">
        <v>0</v>
      </c>
    </row>
    <row r="75" spans="1:7" x14ac:dyDescent="0.3">
      <c r="A75" s="1">
        <v>2</v>
      </c>
      <c r="B75" s="1">
        <v>1</v>
      </c>
      <c r="C75" s="1" t="s">
        <v>0</v>
      </c>
      <c r="D75" s="1">
        <v>25</v>
      </c>
      <c r="E75" s="1" t="s">
        <v>0</v>
      </c>
      <c r="F75" s="1">
        <v>91</v>
      </c>
      <c r="G75" s="1">
        <v>1</v>
      </c>
    </row>
    <row r="76" spans="1:7" x14ac:dyDescent="0.3">
      <c r="A76" s="1">
        <v>2</v>
      </c>
      <c r="B76" s="1">
        <v>1</v>
      </c>
      <c r="C76" s="1" t="s">
        <v>0</v>
      </c>
      <c r="D76" s="1">
        <v>20</v>
      </c>
      <c r="E76" s="1" t="s">
        <v>0</v>
      </c>
      <c r="F76" s="1">
        <v>37</v>
      </c>
      <c r="G76" s="1">
        <v>1</v>
      </c>
    </row>
    <row r="77" spans="1:7" x14ac:dyDescent="0.3">
      <c r="A77" s="1">
        <v>2</v>
      </c>
      <c r="B77" s="1">
        <v>1</v>
      </c>
      <c r="C77" s="1" t="s">
        <v>0</v>
      </c>
      <c r="D77" s="1">
        <v>2</v>
      </c>
      <c r="E77" s="1" t="s">
        <v>0</v>
      </c>
      <c r="F77" s="1">
        <v>33</v>
      </c>
      <c r="G77" s="1">
        <v>1</v>
      </c>
    </row>
    <row r="78" spans="1:7" x14ac:dyDescent="0.3">
      <c r="A78" s="1">
        <v>2</v>
      </c>
      <c r="B78" s="1">
        <v>1</v>
      </c>
      <c r="C78" s="1" t="s">
        <v>0</v>
      </c>
      <c r="D78" s="1">
        <v>36</v>
      </c>
      <c r="E78" s="1" t="s">
        <v>0</v>
      </c>
      <c r="F78" s="1">
        <v>34</v>
      </c>
      <c r="G78" s="1">
        <v>0</v>
      </c>
    </row>
    <row r="79" spans="1:7" x14ac:dyDescent="0.3">
      <c r="A79" s="1">
        <v>2</v>
      </c>
      <c r="B79" s="1">
        <v>1</v>
      </c>
      <c r="C79" s="1" t="s">
        <v>0</v>
      </c>
      <c r="D79" s="1">
        <v>3</v>
      </c>
      <c r="E79" s="1" t="s">
        <v>0</v>
      </c>
      <c r="F79" s="1">
        <v>16</v>
      </c>
      <c r="G79" s="1">
        <v>1</v>
      </c>
    </row>
    <row r="80" spans="1:7" x14ac:dyDescent="0.3">
      <c r="A80" s="1">
        <v>2</v>
      </c>
      <c r="B80" s="1">
        <v>1</v>
      </c>
      <c r="C80" s="1" t="s">
        <v>0</v>
      </c>
      <c r="D80" s="1">
        <v>41</v>
      </c>
      <c r="E80" s="1" t="s">
        <v>0</v>
      </c>
      <c r="F80" s="1">
        <v>49</v>
      </c>
      <c r="G80" s="1">
        <v>1</v>
      </c>
    </row>
    <row r="81" spans="1:7" x14ac:dyDescent="0.3">
      <c r="A81" s="1">
        <v>2</v>
      </c>
      <c r="B81" s="1">
        <v>1</v>
      </c>
      <c r="C81" s="1" t="s">
        <v>0</v>
      </c>
      <c r="D81" s="1">
        <v>30</v>
      </c>
      <c r="E81" s="1" t="s">
        <v>0</v>
      </c>
      <c r="F81" s="1">
        <v>16</v>
      </c>
      <c r="G81" s="1">
        <v>0</v>
      </c>
    </row>
    <row r="82" spans="1:7" x14ac:dyDescent="0.3">
      <c r="A82" s="1">
        <v>2</v>
      </c>
      <c r="B82" s="1">
        <v>1</v>
      </c>
      <c r="C82" s="1" t="s">
        <v>0</v>
      </c>
      <c r="D82" s="1">
        <v>46</v>
      </c>
      <c r="E82" s="1" t="s">
        <v>0</v>
      </c>
      <c r="F82" s="1">
        <v>40</v>
      </c>
      <c r="G82" s="1">
        <v>0</v>
      </c>
    </row>
    <row r="83" spans="1:7" x14ac:dyDescent="0.3">
      <c r="A83" s="1">
        <v>2</v>
      </c>
      <c r="B83" s="1">
        <v>1</v>
      </c>
      <c r="C83" s="1" t="s">
        <v>0</v>
      </c>
      <c r="D83" s="1">
        <v>19</v>
      </c>
      <c r="E83" s="1" t="s">
        <v>0</v>
      </c>
      <c r="F83" s="1">
        <v>25</v>
      </c>
      <c r="G83" s="1">
        <v>1</v>
      </c>
    </row>
    <row r="84" spans="1:7" x14ac:dyDescent="0.3">
      <c r="A84" s="1">
        <v>2</v>
      </c>
      <c r="B84" s="1">
        <v>1</v>
      </c>
      <c r="C84" s="1" t="s">
        <v>0</v>
      </c>
      <c r="D84" s="1">
        <v>0</v>
      </c>
      <c r="E84" s="1" t="s">
        <v>0</v>
      </c>
      <c r="F84" s="1">
        <v>50</v>
      </c>
      <c r="G84" s="1">
        <v>1</v>
      </c>
    </row>
    <row r="85" spans="1:7" x14ac:dyDescent="0.3">
      <c r="A85" s="1">
        <v>2</v>
      </c>
      <c r="B85" s="1">
        <v>1</v>
      </c>
      <c r="C85" s="1" t="s">
        <v>0</v>
      </c>
      <c r="D85" s="1">
        <v>9</v>
      </c>
      <c r="E85" s="1" t="s">
        <v>0</v>
      </c>
      <c r="F85" s="1">
        <v>40</v>
      </c>
      <c r="G85" s="1">
        <v>1</v>
      </c>
    </row>
    <row r="86" spans="1:7" x14ac:dyDescent="0.3">
      <c r="A86" s="1">
        <v>2</v>
      </c>
      <c r="B86" s="1">
        <v>1</v>
      </c>
      <c r="C86" s="1" t="s">
        <v>0</v>
      </c>
      <c r="D86" s="1">
        <v>35</v>
      </c>
      <c r="E86" s="1" t="s">
        <v>0</v>
      </c>
      <c r="F86" s="1">
        <v>0</v>
      </c>
      <c r="G86" s="1">
        <v>0</v>
      </c>
    </row>
    <row r="87" spans="1:7" x14ac:dyDescent="0.3">
      <c r="A87" s="1">
        <v>2</v>
      </c>
      <c r="B87" s="1">
        <v>1</v>
      </c>
      <c r="C87" s="1" t="s">
        <v>0</v>
      </c>
      <c r="D87" s="1">
        <v>50</v>
      </c>
      <c r="E87" s="1" t="s">
        <v>0</v>
      </c>
      <c r="F87" s="1">
        <v>35</v>
      </c>
      <c r="G87" s="1">
        <v>0</v>
      </c>
    </row>
    <row r="88" spans="1:7" x14ac:dyDescent="0.3">
      <c r="A88" s="1">
        <v>2</v>
      </c>
      <c r="B88" s="1">
        <v>1</v>
      </c>
      <c r="C88" s="1" t="s">
        <v>0</v>
      </c>
      <c r="D88" s="1">
        <v>24</v>
      </c>
      <c r="E88" s="1" t="s">
        <v>0</v>
      </c>
      <c r="F88" s="1">
        <v>2</v>
      </c>
      <c r="G88" s="1">
        <v>0</v>
      </c>
    </row>
    <row r="89" spans="1:7" x14ac:dyDescent="0.3">
      <c r="A89" s="1">
        <v>2</v>
      </c>
      <c r="B89" s="1">
        <v>1</v>
      </c>
      <c r="C89" s="1" t="s">
        <v>0</v>
      </c>
      <c r="D89" s="1">
        <v>5</v>
      </c>
      <c r="E89" s="1" t="s">
        <v>0</v>
      </c>
      <c r="F89" s="1">
        <v>27</v>
      </c>
      <c r="G89" s="1">
        <v>1</v>
      </c>
    </row>
    <row r="90" spans="1:7" x14ac:dyDescent="0.3">
      <c r="A90" s="1">
        <v>2</v>
      </c>
      <c r="B90" s="1">
        <v>1</v>
      </c>
      <c r="C90" s="1" t="s">
        <v>0</v>
      </c>
      <c r="D90" s="1">
        <v>44</v>
      </c>
      <c r="E90" s="1" t="s">
        <v>0</v>
      </c>
      <c r="F90" s="1">
        <v>19</v>
      </c>
      <c r="G90" s="1">
        <v>0</v>
      </c>
    </row>
    <row r="91" spans="1:7" x14ac:dyDescent="0.3">
      <c r="A91" s="1">
        <v>2</v>
      </c>
      <c r="B91" s="1">
        <v>1</v>
      </c>
      <c r="C91" s="1" t="s">
        <v>0</v>
      </c>
      <c r="D91" s="1">
        <v>42</v>
      </c>
      <c r="E91" s="1" t="s">
        <v>0</v>
      </c>
      <c r="F91" s="1">
        <v>27</v>
      </c>
      <c r="G91" s="1">
        <v>0</v>
      </c>
    </row>
    <row r="92" spans="1:7" x14ac:dyDescent="0.3">
      <c r="A92" s="1">
        <v>2</v>
      </c>
      <c r="B92" s="1">
        <v>1</v>
      </c>
      <c r="C92" s="1" t="s">
        <v>0</v>
      </c>
      <c r="D92" s="1">
        <v>16</v>
      </c>
      <c r="E92" s="1" t="s">
        <v>0</v>
      </c>
      <c r="F92" s="1">
        <v>43</v>
      </c>
      <c r="G92" s="1">
        <v>1</v>
      </c>
    </row>
    <row r="93" spans="1:7" x14ac:dyDescent="0.3">
      <c r="A93" s="1">
        <v>2</v>
      </c>
      <c r="B93" s="1">
        <v>1</v>
      </c>
      <c r="C93" s="1" t="s">
        <v>0</v>
      </c>
      <c r="D93" s="1">
        <v>35</v>
      </c>
      <c r="E93" s="1" t="s">
        <v>0</v>
      </c>
      <c r="F93" s="1">
        <v>2</v>
      </c>
      <c r="G93" s="1">
        <v>0</v>
      </c>
    </row>
    <row r="94" spans="1:7" x14ac:dyDescent="0.3">
      <c r="A94" s="1">
        <v>2</v>
      </c>
      <c r="B94" s="1">
        <v>1</v>
      </c>
      <c r="C94" s="1" t="s">
        <v>0</v>
      </c>
      <c r="D94" s="1">
        <v>37</v>
      </c>
      <c r="E94" s="1" t="s">
        <v>0</v>
      </c>
      <c r="F94" s="1">
        <v>9</v>
      </c>
      <c r="G94" s="1">
        <v>0</v>
      </c>
    </row>
    <row r="95" spans="1:7" x14ac:dyDescent="0.3">
      <c r="A95" s="1">
        <v>2</v>
      </c>
      <c r="B95" s="1">
        <v>1</v>
      </c>
      <c r="C95" s="1" t="s">
        <v>0</v>
      </c>
      <c r="D95" s="1">
        <v>27</v>
      </c>
      <c r="E95" s="1" t="s">
        <v>0</v>
      </c>
      <c r="F95" s="1">
        <v>18</v>
      </c>
      <c r="G95" s="1">
        <v>0</v>
      </c>
    </row>
    <row r="96" spans="1:7" x14ac:dyDescent="0.3">
      <c r="A96" s="1">
        <v>2</v>
      </c>
      <c r="B96" s="1">
        <v>1</v>
      </c>
      <c r="C96" s="1" t="s">
        <v>0</v>
      </c>
      <c r="D96" s="1">
        <v>17</v>
      </c>
      <c r="E96" s="1" t="s">
        <v>0</v>
      </c>
      <c r="F96" s="1">
        <v>44</v>
      </c>
      <c r="G96" s="1">
        <v>1</v>
      </c>
    </row>
    <row r="97" spans="1:7" x14ac:dyDescent="0.3">
      <c r="A97" s="1">
        <v>2</v>
      </c>
      <c r="B97" s="1">
        <v>1</v>
      </c>
      <c r="C97" s="1" t="s">
        <v>0</v>
      </c>
      <c r="D97" s="1">
        <v>29</v>
      </c>
      <c r="E97" s="1" t="s">
        <v>0</v>
      </c>
      <c r="F97" s="1">
        <v>28</v>
      </c>
      <c r="G97" s="1">
        <v>0</v>
      </c>
    </row>
    <row r="98" spans="1:7" x14ac:dyDescent="0.3">
      <c r="A98" s="1">
        <v>2</v>
      </c>
      <c r="B98" s="1">
        <v>1</v>
      </c>
      <c r="C98" s="1" t="s">
        <v>0</v>
      </c>
      <c r="D98" s="1">
        <v>26</v>
      </c>
      <c r="E98" s="1" t="s">
        <v>0</v>
      </c>
      <c r="F98" s="1">
        <v>24</v>
      </c>
      <c r="G98" s="1">
        <v>0</v>
      </c>
    </row>
    <row r="99" spans="1:7" x14ac:dyDescent="0.3">
      <c r="A99" s="1">
        <v>2</v>
      </c>
      <c r="B99" s="1">
        <v>1</v>
      </c>
      <c r="C99" s="1" t="s">
        <v>0</v>
      </c>
      <c r="D99" s="1">
        <v>29</v>
      </c>
      <c r="E99" s="1" t="s">
        <v>0</v>
      </c>
      <c r="F99" s="1">
        <v>30</v>
      </c>
      <c r="G99" s="1">
        <v>1</v>
      </c>
    </row>
    <row r="100" spans="1:7" x14ac:dyDescent="0.3">
      <c r="A100" s="1">
        <v>2</v>
      </c>
      <c r="B100" s="1">
        <v>1</v>
      </c>
      <c r="C100" s="1" t="s">
        <v>0</v>
      </c>
      <c r="D100" s="1">
        <v>43</v>
      </c>
      <c r="E100" s="1" t="s">
        <v>0</v>
      </c>
      <c r="F100" s="1">
        <v>35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572B-46A6-4B17-AD67-5007D62CB874}">
  <dimension ref="A1:Q100"/>
  <sheetViews>
    <sheetView workbookViewId="0">
      <selection activeCell="N21" sqref="N21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1</v>
      </c>
      <c r="D1" s="1">
        <v>55</v>
      </c>
      <c r="E1" s="1" t="s">
        <v>1</v>
      </c>
      <c r="F1" s="1">
        <v>57</v>
      </c>
      <c r="G1" s="1">
        <v>1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1</v>
      </c>
      <c r="D2" s="1">
        <v>29</v>
      </c>
      <c r="E2" s="1" t="s">
        <v>1</v>
      </c>
      <c r="F2" s="1">
        <v>43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1</v>
      </c>
      <c r="D3" s="1">
        <v>32</v>
      </c>
      <c r="E3" s="1" t="s">
        <v>1</v>
      </c>
      <c r="F3" s="1">
        <v>37</v>
      </c>
      <c r="G3" s="1">
        <v>1</v>
      </c>
      <c r="I3" s="5" t="s">
        <v>6</v>
      </c>
      <c r="J3" s="5"/>
      <c r="K3" s="9">
        <f>COUNTIF($G$1:$G$100, 0)</f>
        <v>63</v>
      </c>
      <c r="L3" s="9"/>
      <c r="M3" s="9">
        <f>COUNTIFS($G$1:$G$100, 0, $B$1:$B$100, 0)</f>
        <v>31</v>
      </c>
      <c r="N3" s="9"/>
      <c r="O3" s="10">
        <f>COUNTIFS($G$1:$G$100, 0, $B$1:$B$100, 1)</f>
        <v>32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1</v>
      </c>
      <c r="D4" s="1">
        <v>64</v>
      </c>
      <c r="E4" s="1" t="s">
        <v>1</v>
      </c>
      <c r="F4" s="1">
        <v>25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1</v>
      </c>
      <c r="D5" s="1">
        <v>57</v>
      </c>
      <c r="E5" s="1" t="s">
        <v>1</v>
      </c>
      <c r="F5" s="1">
        <v>14</v>
      </c>
      <c r="G5" s="1">
        <v>0</v>
      </c>
      <c r="I5" s="5" t="s">
        <v>7</v>
      </c>
      <c r="J5" s="5"/>
      <c r="K5" s="14">
        <f>COUNTIF($G$1:$G$100, 1)</f>
        <v>37</v>
      </c>
      <c r="L5" s="9"/>
      <c r="M5" s="9">
        <f>COUNTIFS($G$1:$G$100, 1, $B$1:$B$100, 0)</f>
        <v>19</v>
      </c>
      <c r="N5" s="9"/>
      <c r="O5" s="9">
        <f>COUNTIFS($G$1:$G$100, 1, $B$1:$B$100, 1)</f>
        <v>18</v>
      </c>
      <c r="P5" s="13"/>
      <c r="Q5"/>
    </row>
    <row r="6" spans="1:17" x14ac:dyDescent="0.3">
      <c r="A6" s="1">
        <v>2</v>
      </c>
      <c r="B6" s="1">
        <v>0</v>
      </c>
      <c r="C6" s="1" t="s">
        <v>1</v>
      </c>
      <c r="D6" s="1">
        <v>23</v>
      </c>
      <c r="E6" s="1" t="s">
        <v>1</v>
      </c>
      <c r="F6" s="1">
        <v>25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1</v>
      </c>
      <c r="D7" s="1">
        <v>31</v>
      </c>
      <c r="E7" s="1" t="s">
        <v>1</v>
      </c>
      <c r="F7" s="1">
        <v>41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1</v>
      </c>
      <c r="D8" s="1">
        <v>28</v>
      </c>
      <c r="E8" s="1" t="s">
        <v>1</v>
      </c>
      <c r="F8" s="1">
        <v>3</v>
      </c>
      <c r="G8" s="1">
        <v>0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1</v>
      </c>
      <c r="D9" s="1">
        <v>45</v>
      </c>
      <c r="E9" s="1" t="s">
        <v>1</v>
      </c>
      <c r="F9" s="1">
        <v>36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1</v>
      </c>
      <c r="D10" s="1">
        <v>18</v>
      </c>
      <c r="E10" s="1" t="s">
        <v>1</v>
      </c>
      <c r="F10" s="1">
        <v>49</v>
      </c>
      <c r="G10" s="1">
        <v>1</v>
      </c>
      <c r="I10" s="5" t="s">
        <v>10</v>
      </c>
      <c r="J10" s="5"/>
      <c r="K10" s="9">
        <f>AVERAGE($D$1:$D$100,)</f>
        <v>32.712871287128714</v>
      </c>
      <c r="L10" s="9"/>
      <c r="M10" s="9" cm="1">
        <f t="array" ref="M10">AVERAGE(_xlfn._xlws.FILTER($D$1:$D$100,$G$1:$G$100 = 0))</f>
        <v>39.476190476190474</v>
      </c>
      <c r="N10" s="9"/>
      <c r="O10" s="10" cm="1">
        <f t="array" ref="O10">AVERAGE(_xlfn._xlws.FILTER($D$1:$D$100,$G$1:$G$100 = 1))</f>
        <v>22.081081081081081</v>
      </c>
      <c r="P10" s="11"/>
      <c r="Q10"/>
    </row>
    <row r="11" spans="1:17" x14ac:dyDescent="0.3">
      <c r="A11" s="1">
        <v>2</v>
      </c>
      <c r="B11" s="1">
        <v>0</v>
      </c>
      <c r="C11" s="1" t="s">
        <v>1</v>
      </c>
      <c r="D11" s="1">
        <v>49</v>
      </c>
      <c r="E11" s="1" t="s">
        <v>1</v>
      </c>
      <c r="F11" s="1">
        <v>0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1</v>
      </c>
      <c r="D12" s="1">
        <v>29</v>
      </c>
      <c r="E12" s="1" t="s">
        <v>1</v>
      </c>
      <c r="F12" s="1">
        <v>11</v>
      </c>
      <c r="G12" s="1">
        <v>0</v>
      </c>
      <c r="I12" s="5" t="s">
        <v>11</v>
      </c>
      <c r="J12" s="5"/>
      <c r="K12" s="9">
        <f>AVERAGE($F$1:$F$100,)</f>
        <v>26.059405940594058</v>
      </c>
      <c r="L12" s="9"/>
      <c r="M12" s="9" cm="1">
        <f t="array" ref="M12">AVERAGE(_xlfn._xlws.FILTER($F$1:$F$100,$G$1:$G$100 = 0))</f>
        <v>20.047619047619047</v>
      </c>
      <c r="N12" s="9"/>
      <c r="O12" s="9" cm="1">
        <f t="array" ref="O12">AVERAGE(_xlfn._xlws.FILTER($F$1:$F$100,$G$1:$G$100 = 1))</f>
        <v>37</v>
      </c>
      <c r="P12" s="13"/>
      <c r="Q12"/>
    </row>
    <row r="13" spans="1:17" x14ac:dyDescent="0.3">
      <c r="A13" s="1">
        <v>2</v>
      </c>
      <c r="B13" s="1">
        <v>0</v>
      </c>
      <c r="C13" s="1" t="s">
        <v>1</v>
      </c>
      <c r="D13" s="1">
        <v>50</v>
      </c>
      <c r="E13" s="1" t="s">
        <v>1</v>
      </c>
      <c r="F13" s="1">
        <v>22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1</v>
      </c>
      <c r="D14" s="1">
        <v>25</v>
      </c>
      <c r="E14" s="1" t="s">
        <v>1</v>
      </c>
      <c r="F14" s="1">
        <v>15</v>
      </c>
      <c r="G14" s="1">
        <v>0</v>
      </c>
      <c r="I14" s="22" t="s">
        <v>12</v>
      </c>
      <c r="J14" s="11"/>
      <c r="K14" s="23" cm="1">
        <f t="array" ref="K14">AVERAGE($D$1:$D$100 - $F$1:$F$100)</f>
        <v>6.72</v>
      </c>
      <c r="L14" s="23"/>
      <c r="M14" s="23" cm="1">
        <f t="array" ref="M14">AVERAGE(_xlfn._xlws.FILTER($D$1:$D$100 - $F$1:$F$100, G$1:G$100 = 0))</f>
        <v>19.428571428571427</v>
      </c>
      <c r="N14" s="23"/>
      <c r="O14" s="23" cm="1">
        <f t="array" ref="O14">AVERAGE(_xlfn._xlws.FILTER($D$1:$D$100 - $F$1:$F$100, G$1:G$100 = 1))</f>
        <v>-14.918918918918919</v>
      </c>
      <c r="P14" s="24"/>
      <c r="Q14"/>
    </row>
    <row r="15" spans="1:17" x14ac:dyDescent="0.3">
      <c r="A15" s="1">
        <v>2</v>
      </c>
      <c r="B15" s="1">
        <v>0</v>
      </c>
      <c r="C15" s="1" t="s">
        <v>1</v>
      </c>
      <c r="D15" s="1">
        <v>30</v>
      </c>
      <c r="E15" s="1" t="s">
        <v>1</v>
      </c>
      <c r="F15" s="1">
        <v>29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1</v>
      </c>
      <c r="D16" s="1">
        <v>19</v>
      </c>
      <c r="E16" s="1" t="s">
        <v>1</v>
      </c>
      <c r="F16" s="1">
        <v>35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1</v>
      </c>
      <c r="D17" s="1">
        <v>26</v>
      </c>
      <c r="E17" s="1" t="s">
        <v>1</v>
      </c>
      <c r="F17" s="1">
        <v>39</v>
      </c>
      <c r="G17" s="1">
        <v>1</v>
      </c>
    </row>
    <row r="18" spans="1:7" x14ac:dyDescent="0.3">
      <c r="A18" s="1">
        <v>2</v>
      </c>
      <c r="B18" s="1">
        <v>0</v>
      </c>
      <c r="C18" s="1" t="s">
        <v>1</v>
      </c>
      <c r="D18" s="1">
        <v>53</v>
      </c>
      <c r="E18" s="1" t="s">
        <v>1</v>
      </c>
      <c r="F18" s="1">
        <v>24</v>
      </c>
      <c r="G18" s="1">
        <v>0</v>
      </c>
    </row>
    <row r="19" spans="1:7" x14ac:dyDescent="0.3">
      <c r="A19" s="1">
        <v>2</v>
      </c>
      <c r="B19" s="1">
        <v>0</v>
      </c>
      <c r="C19" s="1" t="s">
        <v>1</v>
      </c>
      <c r="D19" s="1">
        <v>24</v>
      </c>
      <c r="E19" s="1" t="s">
        <v>1</v>
      </c>
      <c r="F19" s="1">
        <v>44</v>
      </c>
      <c r="G19" s="1">
        <v>1</v>
      </c>
    </row>
    <row r="20" spans="1:7" x14ac:dyDescent="0.3">
      <c r="A20" s="1">
        <v>2</v>
      </c>
      <c r="B20" s="1">
        <v>0</v>
      </c>
      <c r="C20" s="1" t="s">
        <v>1</v>
      </c>
      <c r="D20" s="1">
        <v>54</v>
      </c>
      <c r="E20" s="1" t="s">
        <v>1</v>
      </c>
      <c r="F20" s="1">
        <v>8</v>
      </c>
      <c r="G20" s="1">
        <v>0</v>
      </c>
    </row>
    <row r="21" spans="1:7" x14ac:dyDescent="0.3">
      <c r="A21" s="1">
        <v>2</v>
      </c>
      <c r="B21" s="1">
        <v>0</v>
      </c>
      <c r="C21" s="1" t="s">
        <v>1</v>
      </c>
      <c r="D21" s="1">
        <v>43</v>
      </c>
      <c r="E21" s="1" t="s">
        <v>1</v>
      </c>
      <c r="F21" s="1">
        <v>39</v>
      </c>
      <c r="G21" s="1">
        <v>0</v>
      </c>
    </row>
    <row r="22" spans="1:7" x14ac:dyDescent="0.3">
      <c r="A22" s="1">
        <v>2</v>
      </c>
      <c r="B22" s="1">
        <v>0</v>
      </c>
      <c r="C22" s="1" t="s">
        <v>1</v>
      </c>
      <c r="D22" s="1">
        <v>31</v>
      </c>
      <c r="E22" s="1" t="s">
        <v>1</v>
      </c>
      <c r="F22" s="1">
        <v>10</v>
      </c>
      <c r="G22" s="1">
        <v>0</v>
      </c>
    </row>
    <row r="23" spans="1:7" x14ac:dyDescent="0.3">
      <c r="A23" s="1">
        <v>2</v>
      </c>
      <c r="B23" s="1">
        <v>0</v>
      </c>
      <c r="C23" s="1" t="s">
        <v>1</v>
      </c>
      <c r="D23" s="1">
        <v>30</v>
      </c>
      <c r="E23" s="1" t="s">
        <v>1</v>
      </c>
      <c r="F23" s="1">
        <v>16</v>
      </c>
      <c r="G23" s="1">
        <v>0</v>
      </c>
    </row>
    <row r="24" spans="1:7" x14ac:dyDescent="0.3">
      <c r="A24" s="1">
        <v>2</v>
      </c>
      <c r="B24" s="1">
        <v>0</v>
      </c>
      <c r="C24" s="1" t="s">
        <v>1</v>
      </c>
      <c r="D24" s="1">
        <v>27</v>
      </c>
      <c r="E24" s="1" t="s">
        <v>1</v>
      </c>
      <c r="F24" s="1">
        <v>35</v>
      </c>
      <c r="G24" s="1">
        <v>1</v>
      </c>
    </row>
    <row r="25" spans="1:7" x14ac:dyDescent="0.3">
      <c r="A25" s="1">
        <v>2</v>
      </c>
      <c r="B25" s="1">
        <v>0</v>
      </c>
      <c r="C25" s="1" t="s">
        <v>1</v>
      </c>
      <c r="D25" s="1">
        <v>36</v>
      </c>
      <c r="E25" s="1" t="s">
        <v>1</v>
      </c>
      <c r="F25" s="1">
        <v>30</v>
      </c>
      <c r="G25" s="1">
        <v>0</v>
      </c>
    </row>
    <row r="26" spans="1:7" x14ac:dyDescent="0.3">
      <c r="A26" s="1">
        <v>2</v>
      </c>
      <c r="B26" s="1">
        <v>0</v>
      </c>
      <c r="C26" s="1" t="s">
        <v>1</v>
      </c>
      <c r="D26" s="1">
        <v>2</v>
      </c>
      <c r="E26" s="1" t="s">
        <v>1</v>
      </c>
      <c r="F26" s="1">
        <v>42</v>
      </c>
      <c r="G26" s="1">
        <v>1</v>
      </c>
    </row>
    <row r="27" spans="1:7" x14ac:dyDescent="0.3">
      <c r="A27" s="1">
        <v>2</v>
      </c>
      <c r="B27" s="1">
        <v>0</v>
      </c>
      <c r="C27" s="1" t="s">
        <v>1</v>
      </c>
      <c r="D27" s="1">
        <v>40</v>
      </c>
      <c r="E27" s="1" t="s">
        <v>1</v>
      </c>
      <c r="F27" s="1">
        <v>19</v>
      </c>
      <c r="G27" s="1">
        <v>0</v>
      </c>
    </row>
    <row r="28" spans="1:7" x14ac:dyDescent="0.3">
      <c r="A28" s="1">
        <v>2</v>
      </c>
      <c r="B28" s="1">
        <v>0</v>
      </c>
      <c r="C28" s="1" t="s">
        <v>1</v>
      </c>
      <c r="D28" s="1">
        <v>33</v>
      </c>
      <c r="E28" s="1" t="s">
        <v>1</v>
      </c>
      <c r="F28" s="1">
        <v>15</v>
      </c>
      <c r="G28" s="1">
        <v>0</v>
      </c>
    </row>
    <row r="29" spans="1:7" x14ac:dyDescent="0.3">
      <c r="A29" s="1">
        <v>2</v>
      </c>
      <c r="B29" s="1">
        <v>0</v>
      </c>
      <c r="C29" s="1" t="s">
        <v>1</v>
      </c>
      <c r="D29" s="1">
        <v>46</v>
      </c>
      <c r="E29" s="1" t="s">
        <v>1</v>
      </c>
      <c r="F29" s="1">
        <v>0</v>
      </c>
      <c r="G29" s="1">
        <v>0</v>
      </c>
    </row>
    <row r="30" spans="1:7" x14ac:dyDescent="0.3">
      <c r="A30" s="1">
        <v>2</v>
      </c>
      <c r="B30" s="1">
        <v>0</v>
      </c>
      <c r="C30" s="1" t="s">
        <v>1</v>
      </c>
      <c r="D30" s="1">
        <v>10</v>
      </c>
      <c r="E30" s="1" t="s">
        <v>1</v>
      </c>
      <c r="F30" s="1">
        <v>41</v>
      </c>
      <c r="G30" s="1">
        <v>1</v>
      </c>
    </row>
    <row r="31" spans="1:7" x14ac:dyDescent="0.3">
      <c r="A31" s="1">
        <v>2</v>
      </c>
      <c r="B31" s="1">
        <v>0</v>
      </c>
      <c r="C31" s="1" t="s">
        <v>1</v>
      </c>
      <c r="D31" s="1">
        <v>25</v>
      </c>
      <c r="E31" s="1" t="s">
        <v>1</v>
      </c>
      <c r="F31" s="1">
        <v>4</v>
      </c>
      <c r="G31" s="1">
        <v>0</v>
      </c>
    </row>
    <row r="32" spans="1:7" x14ac:dyDescent="0.3">
      <c r="A32" s="1">
        <v>2</v>
      </c>
      <c r="B32" s="1">
        <v>0</v>
      </c>
      <c r="C32" s="1" t="s">
        <v>1</v>
      </c>
      <c r="D32" s="1">
        <v>0</v>
      </c>
      <c r="E32" s="1" t="s">
        <v>1</v>
      </c>
      <c r="F32" s="1">
        <v>27</v>
      </c>
      <c r="G32" s="1">
        <v>1</v>
      </c>
    </row>
    <row r="33" spans="1:7" x14ac:dyDescent="0.3">
      <c r="A33" s="1">
        <v>2</v>
      </c>
      <c r="B33" s="1">
        <v>0</v>
      </c>
      <c r="C33" s="1" t="s">
        <v>1</v>
      </c>
      <c r="D33" s="1">
        <v>31</v>
      </c>
      <c r="E33" s="1" t="s">
        <v>1</v>
      </c>
      <c r="F33" s="1">
        <v>23</v>
      </c>
      <c r="G33" s="1">
        <v>0</v>
      </c>
    </row>
    <row r="34" spans="1:7" x14ac:dyDescent="0.3">
      <c r="A34" s="1">
        <v>2</v>
      </c>
      <c r="B34" s="1">
        <v>0</v>
      </c>
      <c r="C34" s="1" t="s">
        <v>1</v>
      </c>
      <c r="D34" s="1">
        <v>20</v>
      </c>
      <c r="E34" s="1" t="s">
        <v>1</v>
      </c>
      <c r="F34" s="1">
        <v>20</v>
      </c>
      <c r="G34" s="1">
        <v>0</v>
      </c>
    </row>
    <row r="35" spans="1:7" x14ac:dyDescent="0.3">
      <c r="A35" s="1">
        <v>2</v>
      </c>
      <c r="B35" s="1">
        <v>0</v>
      </c>
      <c r="C35" s="1" t="s">
        <v>1</v>
      </c>
      <c r="D35" s="1">
        <v>26</v>
      </c>
      <c r="E35" s="1" t="s">
        <v>1</v>
      </c>
      <c r="F35" s="1">
        <v>27</v>
      </c>
      <c r="G35" s="1">
        <v>1</v>
      </c>
    </row>
    <row r="36" spans="1:7" x14ac:dyDescent="0.3">
      <c r="A36" s="1">
        <v>2</v>
      </c>
      <c r="B36" s="1">
        <v>0</v>
      </c>
      <c r="C36" s="1" t="s">
        <v>1</v>
      </c>
      <c r="D36" s="1">
        <v>38</v>
      </c>
      <c r="E36" s="1" t="s">
        <v>1</v>
      </c>
      <c r="F36" s="1">
        <v>25</v>
      </c>
      <c r="G36" s="1">
        <v>0</v>
      </c>
    </row>
    <row r="37" spans="1:7" x14ac:dyDescent="0.3">
      <c r="A37" s="1">
        <v>2</v>
      </c>
      <c r="B37" s="1">
        <v>0</v>
      </c>
      <c r="C37" s="1" t="s">
        <v>1</v>
      </c>
      <c r="D37" s="1">
        <v>41</v>
      </c>
      <c r="E37" s="1" t="s">
        <v>1</v>
      </c>
      <c r="F37" s="1">
        <v>35</v>
      </c>
      <c r="G37" s="1">
        <v>0</v>
      </c>
    </row>
    <row r="38" spans="1:7" x14ac:dyDescent="0.3">
      <c r="A38" s="1">
        <v>2</v>
      </c>
      <c r="B38" s="1">
        <v>0</v>
      </c>
      <c r="C38" s="1" t="s">
        <v>1</v>
      </c>
      <c r="D38" s="1">
        <v>16</v>
      </c>
      <c r="E38" s="1" t="s">
        <v>1</v>
      </c>
      <c r="F38" s="1">
        <v>30</v>
      </c>
      <c r="G38" s="1">
        <v>1</v>
      </c>
    </row>
    <row r="39" spans="1:7" x14ac:dyDescent="0.3">
      <c r="A39" s="1">
        <v>2</v>
      </c>
      <c r="B39" s="1">
        <v>0</v>
      </c>
      <c r="C39" s="1" t="s">
        <v>1</v>
      </c>
      <c r="D39" s="1">
        <v>38</v>
      </c>
      <c r="E39" s="1" t="s">
        <v>1</v>
      </c>
      <c r="F39" s="1">
        <v>37</v>
      </c>
      <c r="G39" s="1">
        <v>0</v>
      </c>
    </row>
    <row r="40" spans="1:7" x14ac:dyDescent="0.3">
      <c r="A40" s="1">
        <v>2</v>
      </c>
      <c r="B40" s="1">
        <v>0</v>
      </c>
      <c r="C40" s="1" t="s">
        <v>1</v>
      </c>
      <c r="D40" s="1">
        <v>28</v>
      </c>
      <c r="E40" s="1" t="s">
        <v>1</v>
      </c>
      <c r="F40" s="1">
        <v>18</v>
      </c>
      <c r="G40" s="1">
        <v>0</v>
      </c>
    </row>
    <row r="41" spans="1:7" x14ac:dyDescent="0.3">
      <c r="A41" s="1">
        <v>2</v>
      </c>
      <c r="B41" s="1">
        <v>0</v>
      </c>
      <c r="C41" s="1" t="s">
        <v>1</v>
      </c>
      <c r="D41" s="1">
        <v>40</v>
      </c>
      <c r="E41" s="1" t="s">
        <v>1</v>
      </c>
      <c r="F41" s="1">
        <v>26</v>
      </c>
      <c r="G41" s="1">
        <v>0</v>
      </c>
    </row>
    <row r="42" spans="1:7" x14ac:dyDescent="0.3">
      <c r="A42" s="1">
        <v>2</v>
      </c>
      <c r="B42" s="1">
        <v>0</v>
      </c>
      <c r="C42" s="1" t="s">
        <v>1</v>
      </c>
      <c r="D42" s="1">
        <v>21</v>
      </c>
      <c r="E42" s="1" t="s">
        <v>1</v>
      </c>
      <c r="F42" s="1">
        <v>6</v>
      </c>
      <c r="G42" s="1">
        <v>0</v>
      </c>
    </row>
    <row r="43" spans="1:7" x14ac:dyDescent="0.3">
      <c r="A43" s="1">
        <v>2</v>
      </c>
      <c r="B43" s="1">
        <v>0</v>
      </c>
      <c r="C43" s="1" t="s">
        <v>1</v>
      </c>
      <c r="D43" s="1">
        <v>79</v>
      </c>
      <c r="E43" s="1" t="s">
        <v>1</v>
      </c>
      <c r="F43" s="1">
        <v>10</v>
      </c>
      <c r="G43" s="1">
        <v>0</v>
      </c>
    </row>
    <row r="44" spans="1:7" x14ac:dyDescent="0.3">
      <c r="A44" s="1">
        <v>2</v>
      </c>
      <c r="B44" s="1">
        <v>0</v>
      </c>
      <c r="C44" s="1" t="s">
        <v>1</v>
      </c>
      <c r="D44" s="1">
        <v>42</v>
      </c>
      <c r="E44" s="1" t="s">
        <v>1</v>
      </c>
      <c r="F44" s="1">
        <v>6</v>
      </c>
      <c r="G44" s="1">
        <v>0</v>
      </c>
    </row>
    <row r="45" spans="1:7" x14ac:dyDescent="0.3">
      <c r="A45" s="1">
        <v>2</v>
      </c>
      <c r="B45" s="1">
        <v>0</v>
      </c>
      <c r="C45" s="1" t="s">
        <v>1</v>
      </c>
      <c r="D45" s="1">
        <v>40</v>
      </c>
      <c r="E45" s="1" t="s">
        <v>1</v>
      </c>
      <c r="F45" s="1">
        <v>56</v>
      </c>
      <c r="G45" s="1">
        <v>1</v>
      </c>
    </row>
    <row r="46" spans="1:7" x14ac:dyDescent="0.3">
      <c r="A46" s="1">
        <v>2</v>
      </c>
      <c r="B46" s="1">
        <v>0</v>
      </c>
      <c r="C46" s="1" t="s">
        <v>1</v>
      </c>
      <c r="D46" s="1">
        <v>25</v>
      </c>
      <c r="E46" s="1" t="s">
        <v>1</v>
      </c>
      <c r="F46" s="1">
        <v>29</v>
      </c>
      <c r="G46" s="1">
        <v>1</v>
      </c>
    </row>
    <row r="47" spans="1:7" x14ac:dyDescent="0.3">
      <c r="A47" s="1">
        <v>2</v>
      </c>
      <c r="B47" s="1">
        <v>0</v>
      </c>
      <c r="C47" s="1" t="s">
        <v>1</v>
      </c>
      <c r="D47" s="1">
        <v>36</v>
      </c>
      <c r="E47" s="1" t="s">
        <v>1</v>
      </c>
      <c r="F47" s="1">
        <v>39</v>
      </c>
      <c r="G47" s="1">
        <v>1</v>
      </c>
    </row>
    <row r="48" spans="1:7" x14ac:dyDescent="0.3">
      <c r="A48" s="1">
        <v>2</v>
      </c>
      <c r="B48" s="1">
        <v>0</v>
      </c>
      <c r="C48" s="1" t="s">
        <v>1</v>
      </c>
      <c r="D48" s="1">
        <v>20</v>
      </c>
      <c r="E48" s="1" t="s">
        <v>1</v>
      </c>
      <c r="F48" s="1">
        <v>9</v>
      </c>
      <c r="G48" s="1">
        <v>0</v>
      </c>
    </row>
    <row r="49" spans="1:7" x14ac:dyDescent="0.3">
      <c r="A49" s="1">
        <v>2</v>
      </c>
      <c r="B49" s="1">
        <v>0</v>
      </c>
      <c r="C49" s="1" t="s">
        <v>1</v>
      </c>
      <c r="D49" s="1">
        <v>11</v>
      </c>
      <c r="E49" s="1" t="s">
        <v>1</v>
      </c>
      <c r="F49" s="1">
        <v>48</v>
      </c>
      <c r="G49" s="1">
        <v>1</v>
      </c>
    </row>
    <row r="50" spans="1:7" x14ac:dyDescent="0.3">
      <c r="A50" s="1">
        <v>2</v>
      </c>
      <c r="B50" s="1">
        <v>0</v>
      </c>
      <c r="C50" s="1" t="s">
        <v>1</v>
      </c>
      <c r="D50" s="1">
        <v>50</v>
      </c>
      <c r="E50" s="1" t="s">
        <v>1</v>
      </c>
      <c r="F50" s="1">
        <v>20</v>
      </c>
      <c r="G50" s="1">
        <v>0</v>
      </c>
    </row>
    <row r="51" spans="1:7" x14ac:dyDescent="0.3">
      <c r="A51" s="1">
        <v>2</v>
      </c>
      <c r="B51" s="1">
        <v>1</v>
      </c>
      <c r="C51" s="1" t="s">
        <v>1</v>
      </c>
      <c r="D51" s="1">
        <v>14</v>
      </c>
      <c r="E51" s="1" t="s">
        <v>1</v>
      </c>
      <c r="F51" s="1">
        <v>36</v>
      </c>
      <c r="G51" s="1">
        <v>1</v>
      </c>
    </row>
    <row r="52" spans="1:7" x14ac:dyDescent="0.3">
      <c r="A52" s="1">
        <v>2</v>
      </c>
      <c r="B52" s="1">
        <v>1</v>
      </c>
      <c r="C52" s="1" t="s">
        <v>1</v>
      </c>
      <c r="D52" s="1">
        <v>23</v>
      </c>
      <c r="E52" s="1" t="s">
        <v>1</v>
      </c>
      <c r="F52" s="1">
        <v>37</v>
      </c>
      <c r="G52" s="1">
        <v>1</v>
      </c>
    </row>
    <row r="53" spans="1:7" x14ac:dyDescent="0.3">
      <c r="A53" s="1">
        <v>2</v>
      </c>
      <c r="B53" s="1">
        <v>1</v>
      </c>
      <c r="C53" s="1" t="s">
        <v>1</v>
      </c>
      <c r="D53" s="1">
        <v>25</v>
      </c>
      <c r="E53" s="1" t="s">
        <v>1</v>
      </c>
      <c r="F53" s="1">
        <v>39</v>
      </c>
      <c r="G53" s="1">
        <v>1</v>
      </c>
    </row>
    <row r="54" spans="1:7" x14ac:dyDescent="0.3">
      <c r="A54" s="1">
        <v>2</v>
      </c>
      <c r="B54" s="1">
        <v>1</v>
      </c>
      <c r="C54" s="1" t="s">
        <v>1</v>
      </c>
      <c r="D54" s="1">
        <v>59</v>
      </c>
      <c r="E54" s="1" t="s">
        <v>1</v>
      </c>
      <c r="F54" s="1">
        <v>4</v>
      </c>
      <c r="G54" s="1">
        <v>0</v>
      </c>
    </row>
    <row r="55" spans="1:7" x14ac:dyDescent="0.3">
      <c r="A55" s="1">
        <v>2</v>
      </c>
      <c r="B55" s="1">
        <v>1</v>
      </c>
      <c r="C55" s="1" t="s">
        <v>1</v>
      </c>
      <c r="D55" s="1">
        <v>35</v>
      </c>
      <c r="E55" s="1" t="s">
        <v>1</v>
      </c>
      <c r="F55" s="1">
        <v>33</v>
      </c>
      <c r="G55" s="1">
        <v>0</v>
      </c>
    </row>
    <row r="56" spans="1:7" x14ac:dyDescent="0.3">
      <c r="A56" s="1">
        <v>2</v>
      </c>
      <c r="B56" s="1">
        <v>1</v>
      </c>
      <c r="C56" s="1" t="s">
        <v>1</v>
      </c>
      <c r="D56" s="1">
        <v>50</v>
      </c>
      <c r="E56" s="1" t="s">
        <v>1</v>
      </c>
      <c r="F56" s="1">
        <v>26</v>
      </c>
      <c r="G56" s="1">
        <v>0</v>
      </c>
    </row>
    <row r="57" spans="1:7" x14ac:dyDescent="0.3">
      <c r="A57" s="1">
        <v>2</v>
      </c>
      <c r="B57" s="1">
        <v>1</v>
      </c>
      <c r="C57" s="1" t="s">
        <v>1</v>
      </c>
      <c r="D57" s="1">
        <v>13</v>
      </c>
      <c r="E57" s="1" t="s">
        <v>1</v>
      </c>
      <c r="F57" s="1">
        <v>27</v>
      </c>
      <c r="G57" s="1">
        <v>1</v>
      </c>
    </row>
    <row r="58" spans="1:7" x14ac:dyDescent="0.3">
      <c r="A58" s="1">
        <v>2</v>
      </c>
      <c r="B58" s="1">
        <v>1</v>
      </c>
      <c r="C58" s="1" t="s">
        <v>1</v>
      </c>
      <c r="D58" s="1">
        <v>34</v>
      </c>
      <c r="E58" s="1" t="s">
        <v>1</v>
      </c>
      <c r="F58" s="1">
        <v>28</v>
      </c>
      <c r="G58" s="1">
        <v>0</v>
      </c>
    </row>
    <row r="59" spans="1:7" x14ac:dyDescent="0.3">
      <c r="A59" s="1">
        <v>2</v>
      </c>
      <c r="B59" s="1">
        <v>1</v>
      </c>
      <c r="C59" s="1" t="s">
        <v>1</v>
      </c>
      <c r="D59" s="1">
        <v>30</v>
      </c>
      <c r="E59" s="1" t="s">
        <v>1</v>
      </c>
      <c r="F59" s="1">
        <v>14</v>
      </c>
      <c r="G59" s="1">
        <v>0</v>
      </c>
    </row>
    <row r="60" spans="1:7" x14ac:dyDescent="0.3">
      <c r="A60" s="1">
        <v>2</v>
      </c>
      <c r="B60" s="1">
        <v>1</v>
      </c>
      <c r="C60" s="1" t="s">
        <v>1</v>
      </c>
      <c r="D60" s="1">
        <v>53</v>
      </c>
      <c r="E60" s="1" t="s">
        <v>1</v>
      </c>
      <c r="F60" s="1">
        <v>32</v>
      </c>
      <c r="G60" s="1">
        <v>0</v>
      </c>
    </row>
    <row r="61" spans="1:7" x14ac:dyDescent="0.3">
      <c r="A61" s="1">
        <v>2</v>
      </c>
      <c r="B61" s="1">
        <v>1</v>
      </c>
      <c r="C61" s="1" t="s">
        <v>1</v>
      </c>
      <c r="D61" s="1">
        <v>56</v>
      </c>
      <c r="E61" s="1" t="s">
        <v>1</v>
      </c>
      <c r="F61" s="1">
        <v>34</v>
      </c>
      <c r="G61" s="1">
        <v>0</v>
      </c>
    </row>
    <row r="62" spans="1:7" x14ac:dyDescent="0.3">
      <c r="A62" s="1">
        <v>2</v>
      </c>
      <c r="B62" s="1">
        <v>1</v>
      </c>
      <c r="C62" s="1" t="s">
        <v>1</v>
      </c>
      <c r="D62" s="1">
        <v>18</v>
      </c>
      <c r="E62" s="1" t="s">
        <v>1</v>
      </c>
      <c r="F62" s="1">
        <v>10</v>
      </c>
      <c r="G62" s="1">
        <v>0</v>
      </c>
    </row>
    <row r="63" spans="1:7" x14ac:dyDescent="0.3">
      <c r="A63" s="1">
        <v>2</v>
      </c>
      <c r="B63" s="1">
        <v>1</v>
      </c>
      <c r="C63" s="1" t="s">
        <v>1</v>
      </c>
      <c r="D63" s="1">
        <v>40</v>
      </c>
      <c r="E63" s="1" t="s">
        <v>1</v>
      </c>
      <c r="F63" s="1">
        <v>29</v>
      </c>
      <c r="G63" s="1">
        <v>0</v>
      </c>
    </row>
    <row r="64" spans="1:7" x14ac:dyDescent="0.3">
      <c r="A64" s="1">
        <v>2</v>
      </c>
      <c r="B64" s="1">
        <v>1</v>
      </c>
      <c r="C64" s="1" t="s">
        <v>1</v>
      </c>
      <c r="D64" s="1">
        <v>38</v>
      </c>
      <c r="E64" s="1" t="s">
        <v>1</v>
      </c>
      <c r="F64" s="1">
        <v>38</v>
      </c>
      <c r="G64" s="1">
        <v>0</v>
      </c>
    </row>
    <row r="65" spans="1:7" x14ac:dyDescent="0.3">
      <c r="A65" s="1">
        <v>2</v>
      </c>
      <c r="B65" s="1">
        <v>1</v>
      </c>
      <c r="C65" s="1" t="s">
        <v>1</v>
      </c>
      <c r="D65" s="1">
        <v>43</v>
      </c>
      <c r="E65" s="1" t="s">
        <v>1</v>
      </c>
      <c r="F65" s="1">
        <v>8</v>
      </c>
      <c r="G65" s="1">
        <v>0</v>
      </c>
    </row>
    <row r="66" spans="1:7" x14ac:dyDescent="0.3">
      <c r="A66" s="1">
        <v>2</v>
      </c>
      <c r="B66" s="1">
        <v>1</v>
      </c>
      <c r="C66" s="1" t="s">
        <v>1</v>
      </c>
      <c r="D66" s="1">
        <v>31</v>
      </c>
      <c r="E66" s="1" t="s">
        <v>1</v>
      </c>
      <c r="F66" s="1">
        <v>16</v>
      </c>
      <c r="G66" s="1">
        <v>0</v>
      </c>
    </row>
    <row r="67" spans="1:7" x14ac:dyDescent="0.3">
      <c r="A67" s="1">
        <v>2</v>
      </c>
      <c r="B67" s="1">
        <v>1</v>
      </c>
      <c r="C67" s="1" t="s">
        <v>1</v>
      </c>
      <c r="D67" s="1">
        <v>12</v>
      </c>
      <c r="E67" s="1" t="s">
        <v>1</v>
      </c>
      <c r="F67" s="1">
        <v>39</v>
      </c>
      <c r="G67" s="1">
        <v>1</v>
      </c>
    </row>
    <row r="68" spans="1:7" x14ac:dyDescent="0.3">
      <c r="A68" s="1">
        <v>2</v>
      </c>
      <c r="B68" s="1">
        <v>1</v>
      </c>
      <c r="C68" s="1" t="s">
        <v>1</v>
      </c>
      <c r="D68" s="1">
        <v>38</v>
      </c>
      <c r="E68" s="1" t="s">
        <v>1</v>
      </c>
      <c r="F68" s="1">
        <v>19</v>
      </c>
      <c r="G68" s="1">
        <v>0</v>
      </c>
    </row>
    <row r="69" spans="1:7" x14ac:dyDescent="0.3">
      <c r="A69" s="1">
        <v>2</v>
      </c>
      <c r="B69" s="1">
        <v>1</v>
      </c>
      <c r="C69" s="1" t="s">
        <v>1</v>
      </c>
      <c r="D69" s="1">
        <v>13</v>
      </c>
      <c r="E69" s="1" t="s">
        <v>1</v>
      </c>
      <c r="F69" s="1">
        <v>8</v>
      </c>
      <c r="G69" s="1">
        <v>0</v>
      </c>
    </row>
    <row r="70" spans="1:7" x14ac:dyDescent="0.3">
      <c r="A70" s="1">
        <v>2</v>
      </c>
      <c r="B70" s="1">
        <v>1</v>
      </c>
      <c r="C70" s="1" t="s">
        <v>1</v>
      </c>
      <c r="D70" s="1">
        <v>41</v>
      </c>
      <c r="E70" s="1" t="s">
        <v>1</v>
      </c>
      <c r="F70" s="1">
        <v>47</v>
      </c>
      <c r="G70" s="1">
        <v>1</v>
      </c>
    </row>
    <row r="71" spans="1:7" x14ac:dyDescent="0.3">
      <c r="A71" s="1">
        <v>2</v>
      </c>
      <c r="B71" s="1">
        <v>1</v>
      </c>
      <c r="C71" s="1" t="s">
        <v>1</v>
      </c>
      <c r="D71" s="1">
        <v>31</v>
      </c>
      <c r="E71" s="1" t="s">
        <v>1</v>
      </c>
      <c r="F71" s="1">
        <v>13</v>
      </c>
      <c r="G71" s="1">
        <v>0</v>
      </c>
    </row>
    <row r="72" spans="1:7" x14ac:dyDescent="0.3">
      <c r="A72" s="1">
        <v>2</v>
      </c>
      <c r="B72" s="1">
        <v>1</v>
      </c>
      <c r="C72" s="1" t="s">
        <v>1</v>
      </c>
      <c r="D72" s="1">
        <v>0</v>
      </c>
      <c r="E72" s="1" t="s">
        <v>1</v>
      </c>
      <c r="F72" s="1">
        <v>39</v>
      </c>
      <c r="G72" s="1">
        <v>1</v>
      </c>
    </row>
    <row r="73" spans="1:7" x14ac:dyDescent="0.3">
      <c r="A73" s="1">
        <v>2</v>
      </c>
      <c r="B73" s="1">
        <v>1</v>
      </c>
      <c r="C73" s="1" t="s">
        <v>1</v>
      </c>
      <c r="D73" s="1">
        <v>47</v>
      </c>
      <c r="E73" s="1" t="s">
        <v>1</v>
      </c>
      <c r="F73" s="1">
        <v>15</v>
      </c>
      <c r="G73" s="1">
        <v>0</v>
      </c>
    </row>
    <row r="74" spans="1:7" x14ac:dyDescent="0.3">
      <c r="A74" s="1">
        <v>2</v>
      </c>
      <c r="B74" s="1">
        <v>1</v>
      </c>
      <c r="C74" s="1" t="s">
        <v>1</v>
      </c>
      <c r="D74" s="1">
        <v>17</v>
      </c>
      <c r="E74" s="1" t="s">
        <v>1</v>
      </c>
      <c r="F74" s="1">
        <v>12</v>
      </c>
      <c r="G74" s="1">
        <v>0</v>
      </c>
    </row>
    <row r="75" spans="1:7" x14ac:dyDescent="0.3">
      <c r="A75" s="1">
        <v>2</v>
      </c>
      <c r="B75" s="1">
        <v>1</v>
      </c>
      <c r="C75" s="1" t="s">
        <v>1</v>
      </c>
      <c r="D75" s="1">
        <v>50</v>
      </c>
      <c r="E75" s="1" t="s">
        <v>1</v>
      </c>
      <c r="F75" s="1">
        <v>42</v>
      </c>
      <c r="G75" s="1">
        <v>0</v>
      </c>
    </row>
    <row r="76" spans="1:7" x14ac:dyDescent="0.3">
      <c r="A76" s="1">
        <v>2</v>
      </c>
      <c r="B76" s="1">
        <v>1</v>
      </c>
      <c r="C76" s="1" t="s">
        <v>1</v>
      </c>
      <c r="D76" s="1">
        <v>9</v>
      </c>
      <c r="E76" s="1" t="s">
        <v>1</v>
      </c>
      <c r="F76" s="1">
        <v>28</v>
      </c>
      <c r="G76" s="1">
        <v>1</v>
      </c>
    </row>
    <row r="77" spans="1:7" x14ac:dyDescent="0.3">
      <c r="A77" s="1">
        <v>2</v>
      </c>
      <c r="B77" s="1">
        <v>1</v>
      </c>
      <c r="C77" s="1" t="s">
        <v>1</v>
      </c>
      <c r="D77" s="1">
        <v>23</v>
      </c>
      <c r="E77" s="1" t="s">
        <v>1</v>
      </c>
      <c r="F77" s="1">
        <v>15</v>
      </c>
      <c r="G77" s="1">
        <v>0</v>
      </c>
    </row>
    <row r="78" spans="1:7" x14ac:dyDescent="0.3">
      <c r="A78" s="1">
        <v>2</v>
      </c>
      <c r="B78" s="1">
        <v>1</v>
      </c>
      <c r="C78" s="1" t="s">
        <v>1</v>
      </c>
      <c r="D78" s="1">
        <v>33</v>
      </c>
      <c r="E78" s="1" t="s">
        <v>1</v>
      </c>
      <c r="F78" s="1">
        <v>41</v>
      </c>
      <c r="G78" s="1">
        <v>1</v>
      </c>
    </row>
    <row r="79" spans="1:7" x14ac:dyDescent="0.3">
      <c r="A79" s="1">
        <v>2</v>
      </c>
      <c r="B79" s="1">
        <v>1</v>
      </c>
      <c r="C79" s="1" t="s">
        <v>1</v>
      </c>
      <c r="D79" s="1">
        <v>12</v>
      </c>
      <c r="E79" s="1" t="s">
        <v>1</v>
      </c>
      <c r="F79" s="1">
        <v>19</v>
      </c>
      <c r="G79" s="1">
        <v>1</v>
      </c>
    </row>
    <row r="80" spans="1:7" x14ac:dyDescent="0.3">
      <c r="A80" s="1">
        <v>2</v>
      </c>
      <c r="B80" s="1">
        <v>1</v>
      </c>
      <c r="C80" s="1" t="s">
        <v>1</v>
      </c>
      <c r="D80" s="1">
        <v>28</v>
      </c>
      <c r="E80" s="1" t="s">
        <v>1</v>
      </c>
      <c r="F80" s="1">
        <v>36</v>
      </c>
      <c r="G80" s="1">
        <v>1</v>
      </c>
    </row>
    <row r="81" spans="1:7" x14ac:dyDescent="0.3">
      <c r="A81" s="1">
        <v>2</v>
      </c>
      <c r="B81" s="1">
        <v>1</v>
      </c>
      <c r="C81" s="1" t="s">
        <v>1</v>
      </c>
      <c r="D81" s="1">
        <v>36</v>
      </c>
      <c r="E81" s="1" t="s">
        <v>1</v>
      </c>
      <c r="F81" s="1">
        <v>22</v>
      </c>
      <c r="G81" s="1">
        <v>0</v>
      </c>
    </row>
    <row r="82" spans="1:7" x14ac:dyDescent="0.3">
      <c r="A82" s="1">
        <v>2</v>
      </c>
      <c r="B82" s="1">
        <v>1</v>
      </c>
      <c r="C82" s="1" t="s">
        <v>1</v>
      </c>
      <c r="D82" s="1">
        <v>46</v>
      </c>
      <c r="E82" s="1" t="s">
        <v>1</v>
      </c>
      <c r="F82" s="1">
        <v>15</v>
      </c>
      <c r="G82" s="1">
        <v>0</v>
      </c>
    </row>
    <row r="83" spans="1:7" x14ac:dyDescent="0.3">
      <c r="A83" s="1">
        <v>2</v>
      </c>
      <c r="B83" s="1">
        <v>1</v>
      </c>
      <c r="C83" s="1" t="s">
        <v>1</v>
      </c>
      <c r="D83" s="1">
        <v>52</v>
      </c>
      <c r="E83" s="1" t="s">
        <v>1</v>
      </c>
      <c r="F83" s="1">
        <v>47</v>
      </c>
      <c r="G83" s="1">
        <v>0</v>
      </c>
    </row>
    <row r="84" spans="1:7" x14ac:dyDescent="0.3">
      <c r="A84" s="1">
        <v>2</v>
      </c>
      <c r="B84" s="1">
        <v>1</v>
      </c>
      <c r="C84" s="1" t="s">
        <v>1</v>
      </c>
      <c r="D84" s="1">
        <v>51</v>
      </c>
      <c r="E84" s="1" t="s">
        <v>1</v>
      </c>
      <c r="F84" s="1">
        <v>19</v>
      </c>
      <c r="G84" s="1">
        <v>0</v>
      </c>
    </row>
    <row r="85" spans="1:7" x14ac:dyDescent="0.3">
      <c r="A85" s="1">
        <v>2</v>
      </c>
      <c r="B85" s="1">
        <v>1</v>
      </c>
      <c r="C85" s="1" t="s">
        <v>1</v>
      </c>
      <c r="D85" s="1">
        <v>40</v>
      </c>
      <c r="E85" s="1" t="s">
        <v>1</v>
      </c>
      <c r="F85" s="1">
        <v>28</v>
      </c>
      <c r="G85" s="1">
        <v>0</v>
      </c>
    </row>
    <row r="86" spans="1:7" x14ac:dyDescent="0.3">
      <c r="A86" s="1">
        <v>2</v>
      </c>
      <c r="B86" s="1">
        <v>1</v>
      </c>
      <c r="C86" s="1" t="s">
        <v>1</v>
      </c>
      <c r="D86" s="1">
        <v>39</v>
      </c>
      <c r="E86" s="1" t="s">
        <v>1</v>
      </c>
      <c r="F86" s="1">
        <v>14</v>
      </c>
      <c r="G86" s="1">
        <v>0</v>
      </c>
    </row>
    <row r="87" spans="1:7" x14ac:dyDescent="0.3">
      <c r="A87" s="1">
        <v>2</v>
      </c>
      <c r="B87" s="1">
        <v>1</v>
      </c>
      <c r="C87" s="1" t="s">
        <v>1</v>
      </c>
      <c r="D87" s="1">
        <v>58</v>
      </c>
      <c r="E87" s="1" t="s">
        <v>1</v>
      </c>
      <c r="F87" s="1">
        <v>40</v>
      </c>
      <c r="G87" s="1">
        <v>0</v>
      </c>
    </row>
    <row r="88" spans="1:7" x14ac:dyDescent="0.3">
      <c r="A88" s="1">
        <v>2</v>
      </c>
      <c r="B88" s="1">
        <v>1</v>
      </c>
      <c r="C88" s="1" t="s">
        <v>1</v>
      </c>
      <c r="D88" s="1">
        <v>38</v>
      </c>
      <c r="E88" s="1" t="s">
        <v>1</v>
      </c>
      <c r="F88" s="1">
        <v>32</v>
      </c>
      <c r="G88" s="1">
        <v>0</v>
      </c>
    </row>
    <row r="89" spans="1:7" x14ac:dyDescent="0.3">
      <c r="A89" s="1">
        <v>2</v>
      </c>
      <c r="B89" s="1">
        <v>1</v>
      </c>
      <c r="C89" s="1" t="s">
        <v>1</v>
      </c>
      <c r="D89" s="1">
        <v>20</v>
      </c>
      <c r="E89" s="1" t="s">
        <v>1</v>
      </c>
      <c r="F89" s="1">
        <v>30</v>
      </c>
      <c r="G89" s="1">
        <v>1</v>
      </c>
    </row>
    <row r="90" spans="1:7" x14ac:dyDescent="0.3">
      <c r="A90" s="1">
        <v>2</v>
      </c>
      <c r="B90" s="1">
        <v>1</v>
      </c>
      <c r="C90" s="1" t="s">
        <v>1</v>
      </c>
      <c r="D90" s="1">
        <v>43</v>
      </c>
      <c r="E90" s="1" t="s">
        <v>1</v>
      </c>
      <c r="F90" s="1">
        <v>52</v>
      </c>
      <c r="G90" s="1">
        <v>1</v>
      </c>
    </row>
    <row r="91" spans="1:7" x14ac:dyDescent="0.3">
      <c r="A91" s="1">
        <v>2</v>
      </c>
      <c r="B91" s="1">
        <v>1</v>
      </c>
      <c r="C91" s="1" t="s">
        <v>1</v>
      </c>
      <c r="D91" s="1">
        <v>30</v>
      </c>
      <c r="E91" s="1" t="s">
        <v>1</v>
      </c>
      <c r="F91" s="1">
        <v>33</v>
      </c>
      <c r="G91" s="1">
        <v>1</v>
      </c>
    </row>
    <row r="92" spans="1:7" x14ac:dyDescent="0.3">
      <c r="A92" s="1">
        <v>2</v>
      </c>
      <c r="B92" s="1">
        <v>1</v>
      </c>
      <c r="C92" s="1" t="s">
        <v>1</v>
      </c>
      <c r="D92" s="1">
        <v>27</v>
      </c>
      <c r="E92" s="1" t="s">
        <v>1</v>
      </c>
      <c r="F92" s="1">
        <v>43</v>
      </c>
      <c r="G92" s="1">
        <v>1</v>
      </c>
    </row>
    <row r="93" spans="1:7" x14ac:dyDescent="0.3">
      <c r="A93" s="1">
        <v>2</v>
      </c>
      <c r="B93" s="1">
        <v>1</v>
      </c>
      <c r="C93" s="1" t="s">
        <v>1</v>
      </c>
      <c r="D93" s="1">
        <v>4</v>
      </c>
      <c r="E93" s="1" t="s">
        <v>1</v>
      </c>
      <c r="F93" s="1">
        <v>29</v>
      </c>
      <c r="G93" s="1">
        <v>1</v>
      </c>
    </row>
    <row r="94" spans="1:7" x14ac:dyDescent="0.3">
      <c r="A94" s="1">
        <v>2</v>
      </c>
      <c r="B94" s="1">
        <v>1</v>
      </c>
      <c r="C94" s="1" t="s">
        <v>1</v>
      </c>
      <c r="D94" s="1">
        <v>37</v>
      </c>
      <c r="E94" s="1" t="s">
        <v>1</v>
      </c>
      <c r="F94" s="1">
        <v>9</v>
      </c>
      <c r="G94" s="1">
        <v>0</v>
      </c>
    </row>
    <row r="95" spans="1:7" x14ac:dyDescent="0.3">
      <c r="A95" s="1">
        <v>2</v>
      </c>
      <c r="B95" s="1">
        <v>1</v>
      </c>
      <c r="C95" s="1" t="s">
        <v>1</v>
      </c>
      <c r="D95" s="1">
        <v>6</v>
      </c>
      <c r="E95" s="1" t="s">
        <v>1</v>
      </c>
      <c r="F95" s="1">
        <v>16</v>
      </c>
      <c r="G95" s="1">
        <v>1</v>
      </c>
    </row>
    <row r="96" spans="1:7" x14ac:dyDescent="0.3">
      <c r="A96" s="1">
        <v>2</v>
      </c>
      <c r="B96" s="1">
        <v>1</v>
      </c>
      <c r="C96" s="1" t="s">
        <v>1</v>
      </c>
      <c r="D96" s="1">
        <v>52</v>
      </c>
      <c r="E96" s="1" t="s">
        <v>1</v>
      </c>
      <c r="F96" s="1">
        <v>14</v>
      </c>
      <c r="G96" s="1">
        <v>0</v>
      </c>
    </row>
    <row r="97" spans="1:7" x14ac:dyDescent="0.3">
      <c r="A97" s="1">
        <v>2</v>
      </c>
      <c r="B97" s="1">
        <v>1</v>
      </c>
      <c r="C97" s="1" t="s">
        <v>1</v>
      </c>
      <c r="D97" s="1">
        <v>41</v>
      </c>
      <c r="E97" s="1" t="s">
        <v>1</v>
      </c>
      <c r="F97" s="1">
        <v>22</v>
      </c>
      <c r="G97" s="1">
        <v>0</v>
      </c>
    </row>
    <row r="98" spans="1:7" x14ac:dyDescent="0.3">
      <c r="A98" s="1">
        <v>2</v>
      </c>
      <c r="B98" s="1">
        <v>1</v>
      </c>
      <c r="C98" s="1" t="s">
        <v>1</v>
      </c>
      <c r="D98" s="1">
        <v>27</v>
      </c>
      <c r="E98" s="1" t="s">
        <v>1</v>
      </c>
      <c r="F98" s="1">
        <v>34</v>
      </c>
      <c r="G98" s="1">
        <v>1</v>
      </c>
    </row>
    <row r="99" spans="1:7" x14ac:dyDescent="0.3">
      <c r="A99" s="1">
        <v>2</v>
      </c>
      <c r="B99" s="1">
        <v>1</v>
      </c>
      <c r="C99" s="1" t="s">
        <v>1</v>
      </c>
      <c r="D99" s="1">
        <v>46</v>
      </c>
      <c r="E99" s="1" t="s">
        <v>1</v>
      </c>
      <c r="F99" s="1">
        <v>37</v>
      </c>
      <c r="G99" s="1">
        <v>0</v>
      </c>
    </row>
    <row r="100" spans="1:7" x14ac:dyDescent="0.3">
      <c r="A100" s="1">
        <v>2</v>
      </c>
      <c r="B100" s="1">
        <v>1</v>
      </c>
      <c r="C100" s="1" t="s">
        <v>1</v>
      </c>
      <c r="D100" s="1">
        <v>29</v>
      </c>
      <c r="E100" s="1" t="s">
        <v>1</v>
      </c>
      <c r="F100" s="1">
        <v>13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21C3-C451-4655-B181-0B0342AFEF98}">
  <dimension ref="A1:Q100"/>
  <sheetViews>
    <sheetView workbookViewId="0">
      <selection activeCell="L25" sqref="L25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0</v>
      </c>
      <c r="D1" s="1">
        <v>41</v>
      </c>
      <c r="E1" s="1" t="s">
        <v>0</v>
      </c>
      <c r="F1" s="1">
        <v>27</v>
      </c>
      <c r="G1" s="1">
        <v>0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0</v>
      </c>
      <c r="D2" s="1">
        <v>21</v>
      </c>
      <c r="E2" s="1" t="s">
        <v>0</v>
      </c>
      <c r="F2" s="1">
        <v>7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0</v>
      </c>
      <c r="D3" s="1">
        <v>8</v>
      </c>
      <c r="E3" s="1" t="s">
        <v>0</v>
      </c>
      <c r="F3" s="1">
        <v>19</v>
      </c>
      <c r="G3" s="1">
        <v>1</v>
      </c>
      <c r="I3" s="5" t="s">
        <v>6</v>
      </c>
      <c r="J3" s="5"/>
      <c r="K3" s="9">
        <f>COUNTIF($G$1:$G$100, 0)</f>
        <v>46</v>
      </c>
      <c r="L3" s="9"/>
      <c r="M3" s="9">
        <f>COUNTIFS($G$1:$G$100, 0, $B$1:$B$100, 0)</f>
        <v>23</v>
      </c>
      <c r="N3" s="9"/>
      <c r="O3" s="10">
        <f>COUNTIFS($G$1:$G$100, 0, $B$1:$B$100, 1)</f>
        <v>23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0</v>
      </c>
      <c r="D4" s="1">
        <v>56</v>
      </c>
      <c r="E4" s="1" t="s">
        <v>0</v>
      </c>
      <c r="F4" s="1">
        <v>5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0</v>
      </c>
      <c r="D5" s="1">
        <v>16</v>
      </c>
      <c r="E5" s="1" t="s">
        <v>0</v>
      </c>
      <c r="F5" s="1">
        <v>35</v>
      </c>
      <c r="G5" s="1">
        <v>1</v>
      </c>
      <c r="I5" s="5" t="s">
        <v>7</v>
      </c>
      <c r="J5" s="5"/>
      <c r="K5" s="14">
        <f>COUNTIF($G$1:$G$100, 1)</f>
        <v>54</v>
      </c>
      <c r="L5" s="9"/>
      <c r="M5" s="9">
        <f>COUNTIFS($G$1:$G$100, 1, $B$1:$B$100, 0)</f>
        <v>27</v>
      </c>
      <c r="N5" s="9"/>
      <c r="O5" s="9">
        <f>COUNTIFS($G$1:$G$100, 1, $B$1:$B$100, 1)</f>
        <v>27</v>
      </c>
      <c r="P5" s="13"/>
      <c r="Q5"/>
    </row>
    <row r="6" spans="1:17" x14ac:dyDescent="0.3">
      <c r="A6" s="1">
        <v>2</v>
      </c>
      <c r="B6" s="1">
        <v>0</v>
      </c>
      <c r="C6" s="1" t="s">
        <v>0</v>
      </c>
      <c r="D6" s="1">
        <v>2</v>
      </c>
      <c r="E6" s="1" t="s">
        <v>0</v>
      </c>
      <c r="F6" s="1">
        <v>47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0</v>
      </c>
      <c r="D7" s="1">
        <v>2</v>
      </c>
      <c r="E7" s="1" t="s">
        <v>0</v>
      </c>
      <c r="F7" s="1">
        <v>19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0</v>
      </c>
      <c r="D8" s="1">
        <v>9</v>
      </c>
      <c r="E8" s="1" t="s">
        <v>0</v>
      </c>
      <c r="F8" s="1">
        <v>20</v>
      </c>
      <c r="G8" s="1">
        <v>1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0</v>
      </c>
      <c r="D9" s="1">
        <v>19</v>
      </c>
      <c r="E9" s="1" t="s">
        <v>0</v>
      </c>
      <c r="F9" s="1">
        <v>41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0</v>
      </c>
      <c r="D10" s="1">
        <v>31</v>
      </c>
      <c r="E10" s="1" t="s">
        <v>0</v>
      </c>
      <c r="F10" s="1">
        <v>50</v>
      </c>
      <c r="G10" s="1">
        <v>1</v>
      </c>
      <c r="I10" s="5" t="s">
        <v>10</v>
      </c>
      <c r="J10" s="5"/>
      <c r="K10" s="9">
        <f>AVERAGE($D$1:$D$100,)</f>
        <v>23.970297029702969</v>
      </c>
      <c r="L10" s="9"/>
      <c r="M10" s="9" cm="1">
        <f t="array" ref="M10">AVERAGE(_xlfn._xlws.FILTER($D$1:$D$100,$G$1:$G$100 = 0))</f>
        <v>35.869565217391305</v>
      </c>
      <c r="N10" s="9"/>
      <c r="O10" s="10" cm="1">
        <f t="array" ref="O10">AVERAGE(_xlfn._xlws.FILTER($D$1:$D$100,$G$1:$G$100 = 1))</f>
        <v>14.277777777777779</v>
      </c>
      <c r="P10" s="11"/>
      <c r="Q10"/>
    </row>
    <row r="11" spans="1:17" x14ac:dyDescent="0.3">
      <c r="A11" s="1">
        <v>2</v>
      </c>
      <c r="B11" s="1">
        <v>0</v>
      </c>
      <c r="C11" s="1" t="s">
        <v>0</v>
      </c>
      <c r="D11" s="1">
        <v>11</v>
      </c>
      <c r="E11" s="1" t="s">
        <v>0</v>
      </c>
      <c r="F11" s="1">
        <v>20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0</v>
      </c>
      <c r="D12" s="1">
        <v>23</v>
      </c>
      <c r="E12" s="1" t="s">
        <v>0</v>
      </c>
      <c r="F12" s="1">
        <v>0</v>
      </c>
      <c r="G12" s="1">
        <v>0</v>
      </c>
      <c r="I12" s="5" t="s">
        <v>11</v>
      </c>
      <c r="J12" s="5"/>
      <c r="K12" s="9">
        <f>AVERAGE($F$1:$F$100,)</f>
        <v>27.079207920792079</v>
      </c>
      <c r="L12" s="9"/>
      <c r="M12" s="9" cm="1">
        <f t="array" ref="M12">AVERAGE(_xlfn._xlws.FILTER($F$1:$F$100,$G$1:$G$100 = 0))</f>
        <v>17.652173913043477</v>
      </c>
      <c r="N12" s="9"/>
      <c r="O12" s="9" cm="1">
        <f t="array" ref="O12">AVERAGE(_xlfn._xlws.FILTER($F$1:$F$100,$G$1:$G$100 = 1))</f>
        <v>35.611111111111114</v>
      </c>
      <c r="P12" s="13"/>
      <c r="Q12"/>
    </row>
    <row r="13" spans="1:17" x14ac:dyDescent="0.3">
      <c r="A13" s="1">
        <v>2</v>
      </c>
      <c r="B13" s="1">
        <v>0</v>
      </c>
      <c r="C13" s="1" t="s">
        <v>0</v>
      </c>
      <c r="D13" s="1">
        <v>24</v>
      </c>
      <c r="E13" s="1" t="s">
        <v>0</v>
      </c>
      <c r="F13" s="1">
        <v>12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0</v>
      </c>
      <c r="D14" s="1">
        <v>52</v>
      </c>
      <c r="E14" s="1" t="s">
        <v>0</v>
      </c>
      <c r="F14" s="1">
        <v>26</v>
      </c>
      <c r="G14" s="1">
        <v>0</v>
      </c>
      <c r="I14" s="22" t="s">
        <v>12</v>
      </c>
      <c r="J14" s="11"/>
      <c r="K14" s="23" cm="1">
        <f t="array" ref="K14">AVERAGE($D$1:$D$100 - $F$1:$F$100)</f>
        <v>-3.14</v>
      </c>
      <c r="L14" s="23"/>
      <c r="M14" s="23" cm="1">
        <f t="array" ref="M14">AVERAGE(_xlfn._xlws.FILTER($D$1:$D$100 - $F$1:$F$100, G$1:G$100 = 0))</f>
        <v>18.217391304347824</v>
      </c>
      <c r="N14" s="23"/>
      <c r="O14" s="23" cm="1">
        <f t="array" ref="O14">AVERAGE(_xlfn._xlws.FILTER($D$1:$D$100 - $F$1:$F$100, G$1:G$100 = 1))</f>
        <v>-21.333333333333332</v>
      </c>
      <c r="P14" s="24"/>
      <c r="Q14"/>
    </row>
    <row r="15" spans="1:17" x14ac:dyDescent="0.3">
      <c r="A15" s="1">
        <v>2</v>
      </c>
      <c r="B15" s="1">
        <v>0</v>
      </c>
      <c r="C15" s="1" t="s">
        <v>0</v>
      </c>
      <c r="D15" s="1">
        <v>11</v>
      </c>
      <c r="E15" s="1" t="s">
        <v>0</v>
      </c>
      <c r="F15" s="1">
        <v>38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0</v>
      </c>
      <c r="D16" s="1">
        <v>32</v>
      </c>
      <c r="E16" s="1" t="s">
        <v>0</v>
      </c>
      <c r="F16" s="1">
        <v>42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0</v>
      </c>
      <c r="D17" s="1">
        <v>45</v>
      </c>
      <c r="E17" s="1" t="s">
        <v>0</v>
      </c>
      <c r="F17" s="1">
        <v>17</v>
      </c>
      <c r="G17" s="1">
        <v>0</v>
      </c>
    </row>
    <row r="18" spans="1:7" x14ac:dyDescent="0.3">
      <c r="A18" s="1">
        <v>2</v>
      </c>
      <c r="B18" s="1">
        <v>0</v>
      </c>
      <c r="C18" s="1" t="s">
        <v>0</v>
      </c>
      <c r="D18" s="1">
        <v>14</v>
      </c>
      <c r="E18" s="1" t="s">
        <v>0</v>
      </c>
      <c r="F18" s="1">
        <v>26</v>
      </c>
      <c r="G18" s="1">
        <v>1</v>
      </c>
    </row>
    <row r="19" spans="1:7" x14ac:dyDescent="0.3">
      <c r="A19" s="1">
        <v>2</v>
      </c>
      <c r="B19" s="1">
        <v>0</v>
      </c>
      <c r="C19" s="1" t="s">
        <v>0</v>
      </c>
      <c r="D19" s="1">
        <v>22</v>
      </c>
      <c r="E19" s="1" t="s">
        <v>0</v>
      </c>
      <c r="F19" s="1">
        <v>0</v>
      </c>
      <c r="G19" s="1">
        <v>0</v>
      </c>
    </row>
    <row r="20" spans="1:7" x14ac:dyDescent="0.3">
      <c r="A20" s="1">
        <v>2</v>
      </c>
      <c r="B20" s="1">
        <v>0</v>
      </c>
      <c r="C20" s="1" t="s">
        <v>0</v>
      </c>
      <c r="D20" s="1">
        <v>8</v>
      </c>
      <c r="E20" s="1" t="s">
        <v>0</v>
      </c>
      <c r="F20" s="1">
        <v>39</v>
      </c>
      <c r="G20" s="1">
        <v>1</v>
      </c>
    </row>
    <row r="21" spans="1:7" x14ac:dyDescent="0.3">
      <c r="A21" s="1">
        <v>2</v>
      </c>
      <c r="B21" s="1">
        <v>0</v>
      </c>
      <c r="C21" s="1" t="s">
        <v>0</v>
      </c>
      <c r="D21" s="1">
        <v>33</v>
      </c>
      <c r="E21" s="1" t="s">
        <v>0</v>
      </c>
      <c r="F21" s="1">
        <v>21</v>
      </c>
      <c r="G21" s="1">
        <v>0</v>
      </c>
    </row>
    <row r="22" spans="1:7" x14ac:dyDescent="0.3">
      <c r="A22" s="1">
        <v>2</v>
      </c>
      <c r="B22" s="1">
        <v>0</v>
      </c>
      <c r="C22" s="1" t="s">
        <v>0</v>
      </c>
      <c r="D22" s="1">
        <v>51</v>
      </c>
      <c r="E22" s="1" t="s">
        <v>0</v>
      </c>
      <c r="F22" s="1">
        <v>51</v>
      </c>
      <c r="G22" s="1">
        <v>0</v>
      </c>
    </row>
    <row r="23" spans="1:7" x14ac:dyDescent="0.3">
      <c r="A23" s="1">
        <v>2</v>
      </c>
      <c r="B23" s="1">
        <v>0</v>
      </c>
      <c r="C23" s="1" t="s">
        <v>0</v>
      </c>
      <c r="D23" s="1">
        <v>13</v>
      </c>
      <c r="E23" s="1" t="s">
        <v>0</v>
      </c>
      <c r="F23" s="1">
        <v>65</v>
      </c>
      <c r="G23" s="1">
        <v>1</v>
      </c>
    </row>
    <row r="24" spans="1:7" x14ac:dyDescent="0.3">
      <c r="A24" s="1">
        <v>2</v>
      </c>
      <c r="B24" s="1">
        <v>0</v>
      </c>
      <c r="C24" s="1" t="s">
        <v>0</v>
      </c>
      <c r="D24" s="1">
        <v>7</v>
      </c>
      <c r="E24" s="1" t="s">
        <v>0</v>
      </c>
      <c r="F24" s="1">
        <v>29</v>
      </c>
      <c r="G24" s="1">
        <v>1</v>
      </c>
    </row>
    <row r="25" spans="1:7" x14ac:dyDescent="0.3">
      <c r="A25" s="1">
        <v>2</v>
      </c>
      <c r="B25" s="1">
        <v>0</v>
      </c>
      <c r="C25" s="1" t="s">
        <v>0</v>
      </c>
      <c r="D25" s="1">
        <v>9</v>
      </c>
      <c r="E25" s="1" t="s">
        <v>0</v>
      </c>
      <c r="F25" s="1">
        <v>49</v>
      </c>
      <c r="G25" s="1">
        <v>1</v>
      </c>
    </row>
    <row r="26" spans="1:7" x14ac:dyDescent="0.3">
      <c r="A26" s="1">
        <v>2</v>
      </c>
      <c r="B26" s="1">
        <v>0</v>
      </c>
      <c r="C26" s="1" t="s">
        <v>0</v>
      </c>
      <c r="D26" s="1">
        <v>26</v>
      </c>
      <c r="E26" s="1" t="s">
        <v>0</v>
      </c>
      <c r="F26" s="1">
        <v>23</v>
      </c>
      <c r="G26" s="1">
        <v>0</v>
      </c>
    </row>
    <row r="27" spans="1:7" x14ac:dyDescent="0.3">
      <c r="A27" s="1">
        <v>2</v>
      </c>
      <c r="B27" s="1">
        <v>0</v>
      </c>
      <c r="C27" s="1" t="s">
        <v>0</v>
      </c>
      <c r="D27" s="1">
        <v>4</v>
      </c>
      <c r="E27" s="1" t="s">
        <v>0</v>
      </c>
      <c r="F27" s="1">
        <v>30</v>
      </c>
      <c r="G27" s="1">
        <v>1</v>
      </c>
    </row>
    <row r="28" spans="1:7" x14ac:dyDescent="0.3">
      <c r="A28" s="1">
        <v>2</v>
      </c>
      <c r="B28" s="1">
        <v>0</v>
      </c>
      <c r="C28" s="1" t="s">
        <v>0</v>
      </c>
      <c r="D28" s="1">
        <v>54</v>
      </c>
      <c r="E28" s="1" t="s">
        <v>0</v>
      </c>
      <c r="F28" s="1">
        <v>12</v>
      </c>
      <c r="G28" s="1">
        <v>0</v>
      </c>
    </row>
    <row r="29" spans="1:7" x14ac:dyDescent="0.3">
      <c r="A29" s="1">
        <v>2</v>
      </c>
      <c r="B29" s="1">
        <v>0</v>
      </c>
      <c r="C29" s="1" t="s">
        <v>0</v>
      </c>
      <c r="D29" s="1">
        <v>32</v>
      </c>
      <c r="E29" s="1" t="s">
        <v>0</v>
      </c>
      <c r="F29" s="1">
        <v>36</v>
      </c>
      <c r="G29" s="1">
        <v>1</v>
      </c>
    </row>
    <row r="30" spans="1:7" x14ac:dyDescent="0.3">
      <c r="A30" s="1">
        <v>2</v>
      </c>
      <c r="B30" s="1">
        <v>0</v>
      </c>
      <c r="C30" s="1" t="s">
        <v>0</v>
      </c>
      <c r="D30" s="1">
        <v>8</v>
      </c>
      <c r="E30" s="1" t="s">
        <v>0</v>
      </c>
      <c r="F30" s="1">
        <v>47</v>
      </c>
      <c r="G30" s="1">
        <v>1</v>
      </c>
    </row>
    <row r="31" spans="1:7" x14ac:dyDescent="0.3">
      <c r="A31" s="1">
        <v>2</v>
      </c>
      <c r="B31" s="1">
        <v>0</v>
      </c>
      <c r="C31" s="1" t="s">
        <v>0</v>
      </c>
      <c r="D31" s="1">
        <v>58</v>
      </c>
      <c r="E31" s="1" t="s">
        <v>0</v>
      </c>
      <c r="F31" s="1">
        <v>21</v>
      </c>
      <c r="G31" s="1">
        <v>0</v>
      </c>
    </row>
    <row r="32" spans="1:7" x14ac:dyDescent="0.3">
      <c r="A32" s="1">
        <v>2</v>
      </c>
      <c r="B32" s="1">
        <v>0</v>
      </c>
      <c r="C32" s="1" t="s">
        <v>0</v>
      </c>
      <c r="D32" s="1">
        <v>3</v>
      </c>
      <c r="E32" s="1" t="s">
        <v>0</v>
      </c>
      <c r="F32" s="1">
        <v>21</v>
      </c>
      <c r="G32" s="1">
        <v>1</v>
      </c>
    </row>
    <row r="33" spans="1:7" x14ac:dyDescent="0.3">
      <c r="A33" s="1">
        <v>2</v>
      </c>
      <c r="B33" s="1">
        <v>0</v>
      </c>
      <c r="C33" s="1" t="s">
        <v>0</v>
      </c>
      <c r="D33" s="1">
        <v>21</v>
      </c>
      <c r="E33" s="1" t="s">
        <v>0</v>
      </c>
      <c r="F33" s="1">
        <v>17</v>
      </c>
      <c r="G33" s="1">
        <v>0</v>
      </c>
    </row>
    <row r="34" spans="1:7" x14ac:dyDescent="0.3">
      <c r="A34" s="1">
        <v>2</v>
      </c>
      <c r="B34" s="1">
        <v>0</v>
      </c>
      <c r="C34" s="1" t="s">
        <v>0</v>
      </c>
      <c r="D34" s="1">
        <v>13</v>
      </c>
      <c r="E34" s="1" t="s">
        <v>0</v>
      </c>
      <c r="F34" s="1">
        <v>53</v>
      </c>
      <c r="G34" s="1">
        <v>1</v>
      </c>
    </row>
    <row r="35" spans="1:7" x14ac:dyDescent="0.3">
      <c r="A35" s="1">
        <v>2</v>
      </c>
      <c r="B35" s="1">
        <v>0</v>
      </c>
      <c r="C35" s="1" t="s">
        <v>0</v>
      </c>
      <c r="D35" s="1">
        <v>28</v>
      </c>
      <c r="E35" s="1" t="s">
        <v>0</v>
      </c>
      <c r="F35" s="1">
        <v>57</v>
      </c>
      <c r="G35" s="1">
        <v>1</v>
      </c>
    </row>
    <row r="36" spans="1:7" x14ac:dyDescent="0.3">
      <c r="A36" s="1">
        <v>2</v>
      </c>
      <c r="B36" s="1">
        <v>0</v>
      </c>
      <c r="C36" s="1" t="s">
        <v>0</v>
      </c>
      <c r="D36" s="1">
        <v>10</v>
      </c>
      <c r="E36" s="1" t="s">
        <v>0</v>
      </c>
      <c r="F36" s="1">
        <v>55</v>
      </c>
      <c r="G36" s="1">
        <v>1</v>
      </c>
    </row>
    <row r="37" spans="1:7" x14ac:dyDescent="0.3">
      <c r="A37" s="1">
        <v>2</v>
      </c>
      <c r="B37" s="1">
        <v>0</v>
      </c>
      <c r="C37" s="1" t="s">
        <v>0</v>
      </c>
      <c r="D37" s="1">
        <v>50</v>
      </c>
      <c r="E37" s="1" t="s">
        <v>0</v>
      </c>
      <c r="F37" s="1">
        <v>34</v>
      </c>
      <c r="G37" s="1">
        <v>0</v>
      </c>
    </row>
    <row r="38" spans="1:7" x14ac:dyDescent="0.3">
      <c r="A38" s="1">
        <v>2</v>
      </c>
      <c r="B38" s="1">
        <v>0</v>
      </c>
      <c r="C38" s="1" t="s">
        <v>0</v>
      </c>
      <c r="D38" s="1">
        <v>44</v>
      </c>
      <c r="E38" s="1" t="s">
        <v>0</v>
      </c>
      <c r="F38" s="1">
        <v>30</v>
      </c>
      <c r="G38" s="1">
        <v>0</v>
      </c>
    </row>
    <row r="39" spans="1:7" x14ac:dyDescent="0.3">
      <c r="A39" s="1">
        <v>2</v>
      </c>
      <c r="B39" s="1">
        <v>0</v>
      </c>
      <c r="C39" s="1" t="s">
        <v>0</v>
      </c>
      <c r="D39" s="1">
        <v>24</v>
      </c>
      <c r="E39" s="1" t="s">
        <v>0</v>
      </c>
      <c r="F39" s="1">
        <v>4</v>
      </c>
      <c r="G39" s="1">
        <v>0</v>
      </c>
    </row>
    <row r="40" spans="1:7" x14ac:dyDescent="0.3">
      <c r="A40" s="1">
        <v>2</v>
      </c>
      <c r="B40" s="1">
        <v>0</v>
      </c>
      <c r="C40" s="1" t="s">
        <v>0</v>
      </c>
      <c r="D40" s="1">
        <v>18</v>
      </c>
      <c r="E40" s="1" t="s">
        <v>0</v>
      </c>
      <c r="F40" s="1">
        <v>36</v>
      </c>
      <c r="G40" s="1">
        <v>1</v>
      </c>
    </row>
    <row r="41" spans="1:7" x14ac:dyDescent="0.3">
      <c r="A41" s="1">
        <v>2</v>
      </c>
      <c r="B41" s="1">
        <v>0</v>
      </c>
      <c r="C41" s="1" t="s">
        <v>0</v>
      </c>
      <c r="D41" s="1">
        <v>31</v>
      </c>
      <c r="E41" s="1" t="s">
        <v>0</v>
      </c>
      <c r="F41" s="1">
        <v>9</v>
      </c>
      <c r="G41" s="1">
        <v>0</v>
      </c>
    </row>
    <row r="42" spans="1:7" x14ac:dyDescent="0.3">
      <c r="A42" s="1">
        <v>2</v>
      </c>
      <c r="B42" s="1">
        <v>0</v>
      </c>
      <c r="C42" s="1" t="s">
        <v>0</v>
      </c>
      <c r="D42" s="1">
        <v>45</v>
      </c>
      <c r="E42" s="1" t="s">
        <v>0</v>
      </c>
      <c r="F42" s="1">
        <v>15</v>
      </c>
      <c r="G42" s="1">
        <v>0</v>
      </c>
    </row>
    <row r="43" spans="1:7" x14ac:dyDescent="0.3">
      <c r="A43" s="1">
        <v>2</v>
      </c>
      <c r="B43" s="1">
        <v>0</v>
      </c>
      <c r="C43" s="1" t="s">
        <v>0</v>
      </c>
      <c r="D43" s="1">
        <v>52</v>
      </c>
      <c r="E43" s="1" t="s">
        <v>0</v>
      </c>
      <c r="F43" s="1">
        <v>2</v>
      </c>
      <c r="G43" s="1">
        <v>0</v>
      </c>
    </row>
    <row r="44" spans="1:7" x14ac:dyDescent="0.3">
      <c r="A44" s="1">
        <v>2</v>
      </c>
      <c r="B44" s="1">
        <v>0</v>
      </c>
      <c r="C44" s="1" t="s">
        <v>0</v>
      </c>
      <c r="D44" s="1">
        <v>19</v>
      </c>
      <c r="E44" s="1" t="s">
        <v>0</v>
      </c>
      <c r="F44" s="1">
        <v>31</v>
      </c>
      <c r="G44" s="1">
        <v>1</v>
      </c>
    </row>
    <row r="45" spans="1:7" x14ac:dyDescent="0.3">
      <c r="A45" s="1">
        <v>2</v>
      </c>
      <c r="B45" s="1">
        <v>0</v>
      </c>
      <c r="C45" s="1" t="s">
        <v>0</v>
      </c>
      <c r="D45" s="1">
        <v>37</v>
      </c>
      <c r="E45" s="1" t="s">
        <v>0</v>
      </c>
      <c r="F45" s="1">
        <v>13</v>
      </c>
      <c r="G45" s="1">
        <v>0</v>
      </c>
    </row>
    <row r="46" spans="1:7" x14ac:dyDescent="0.3">
      <c r="A46" s="1">
        <v>2</v>
      </c>
      <c r="B46" s="1">
        <v>0</v>
      </c>
      <c r="C46" s="1" t="s">
        <v>0</v>
      </c>
      <c r="D46" s="1">
        <v>20</v>
      </c>
      <c r="E46" s="1" t="s">
        <v>0</v>
      </c>
      <c r="F46" s="1">
        <v>21</v>
      </c>
      <c r="G46" s="1">
        <v>1</v>
      </c>
    </row>
    <row r="47" spans="1:7" x14ac:dyDescent="0.3">
      <c r="A47" s="1">
        <v>2</v>
      </c>
      <c r="B47" s="1">
        <v>0</v>
      </c>
      <c r="C47" s="1" t="s">
        <v>0</v>
      </c>
      <c r="D47" s="1">
        <v>46</v>
      </c>
      <c r="E47" s="1" t="s">
        <v>0</v>
      </c>
      <c r="F47" s="1">
        <v>0</v>
      </c>
      <c r="G47" s="1">
        <v>0</v>
      </c>
    </row>
    <row r="48" spans="1:7" x14ac:dyDescent="0.3">
      <c r="A48" s="1">
        <v>2</v>
      </c>
      <c r="B48" s="1">
        <v>0</v>
      </c>
      <c r="C48" s="1" t="s">
        <v>0</v>
      </c>
      <c r="D48" s="1">
        <v>26</v>
      </c>
      <c r="E48" s="1" t="s">
        <v>0</v>
      </c>
      <c r="F48" s="1">
        <v>43</v>
      </c>
      <c r="G48" s="1">
        <v>1</v>
      </c>
    </row>
    <row r="49" spans="1:7" x14ac:dyDescent="0.3">
      <c r="A49" s="1">
        <v>2</v>
      </c>
      <c r="B49" s="1">
        <v>0</v>
      </c>
      <c r="C49" s="1" t="s">
        <v>0</v>
      </c>
      <c r="D49" s="1">
        <v>20</v>
      </c>
      <c r="E49" s="1" t="s">
        <v>0</v>
      </c>
      <c r="F49" s="1">
        <v>29</v>
      </c>
      <c r="G49" s="1">
        <v>1</v>
      </c>
    </row>
    <row r="50" spans="1:7" x14ac:dyDescent="0.3">
      <c r="A50" s="1">
        <v>2</v>
      </c>
      <c r="B50" s="1">
        <v>0</v>
      </c>
      <c r="C50" s="1" t="s">
        <v>0</v>
      </c>
      <c r="D50" s="1">
        <v>18</v>
      </c>
      <c r="E50" s="1" t="s">
        <v>0</v>
      </c>
      <c r="F50" s="1">
        <v>18</v>
      </c>
      <c r="G50" s="1">
        <v>0</v>
      </c>
    </row>
    <row r="51" spans="1:7" x14ac:dyDescent="0.3">
      <c r="A51" s="1">
        <v>2</v>
      </c>
      <c r="B51" s="1">
        <v>1</v>
      </c>
      <c r="C51" s="1" t="s">
        <v>0</v>
      </c>
      <c r="D51" s="1">
        <v>22</v>
      </c>
      <c r="E51" s="1" t="s">
        <v>0</v>
      </c>
      <c r="F51" s="1">
        <v>52</v>
      </c>
      <c r="G51" s="1">
        <v>1</v>
      </c>
    </row>
    <row r="52" spans="1:7" x14ac:dyDescent="0.3">
      <c r="A52" s="1">
        <v>2</v>
      </c>
      <c r="B52" s="1">
        <v>1</v>
      </c>
      <c r="C52" s="1" t="s">
        <v>0</v>
      </c>
      <c r="D52" s="1">
        <v>33</v>
      </c>
      <c r="E52" s="1" t="s">
        <v>0</v>
      </c>
      <c r="F52" s="1">
        <v>31</v>
      </c>
      <c r="G52" s="1">
        <v>0</v>
      </c>
    </row>
    <row r="53" spans="1:7" x14ac:dyDescent="0.3">
      <c r="A53" s="1">
        <v>2</v>
      </c>
      <c r="B53" s="1">
        <v>1</v>
      </c>
      <c r="C53" s="1" t="s">
        <v>0</v>
      </c>
      <c r="D53" s="1">
        <v>15</v>
      </c>
      <c r="E53" s="1" t="s">
        <v>0</v>
      </c>
      <c r="F53" s="1">
        <v>10</v>
      </c>
      <c r="G53" s="1">
        <v>0</v>
      </c>
    </row>
    <row r="54" spans="1:7" x14ac:dyDescent="0.3">
      <c r="A54" s="1">
        <v>2</v>
      </c>
      <c r="B54" s="1">
        <v>1</v>
      </c>
      <c r="C54" s="1" t="s">
        <v>0</v>
      </c>
      <c r="D54" s="1">
        <v>13</v>
      </c>
      <c r="E54" s="1" t="s">
        <v>0</v>
      </c>
      <c r="F54" s="1">
        <v>29</v>
      </c>
      <c r="G54" s="1">
        <v>1</v>
      </c>
    </row>
    <row r="55" spans="1:7" x14ac:dyDescent="0.3">
      <c r="A55" s="1">
        <v>2</v>
      </c>
      <c r="B55" s="1">
        <v>1</v>
      </c>
      <c r="C55" s="1" t="s">
        <v>0</v>
      </c>
      <c r="D55" s="1">
        <v>9</v>
      </c>
      <c r="E55" s="1" t="s">
        <v>0</v>
      </c>
      <c r="F55" s="1">
        <v>37</v>
      </c>
      <c r="G55" s="1">
        <v>1</v>
      </c>
    </row>
    <row r="56" spans="1:7" x14ac:dyDescent="0.3">
      <c r="A56" s="1">
        <v>2</v>
      </c>
      <c r="B56" s="1">
        <v>1</v>
      </c>
      <c r="C56" s="1" t="s">
        <v>0</v>
      </c>
      <c r="D56" s="1">
        <v>43</v>
      </c>
      <c r="E56" s="1" t="s">
        <v>0</v>
      </c>
      <c r="F56" s="1">
        <v>27</v>
      </c>
      <c r="G56" s="1">
        <v>0</v>
      </c>
    </row>
    <row r="57" spans="1:7" x14ac:dyDescent="0.3">
      <c r="A57" s="1">
        <v>2</v>
      </c>
      <c r="B57" s="1">
        <v>1</v>
      </c>
      <c r="C57" s="1" t="s">
        <v>0</v>
      </c>
      <c r="D57" s="1">
        <v>21</v>
      </c>
      <c r="E57" s="1" t="s">
        <v>0</v>
      </c>
      <c r="F57" s="1">
        <v>11</v>
      </c>
      <c r="G57" s="1">
        <v>0</v>
      </c>
    </row>
    <row r="58" spans="1:7" x14ac:dyDescent="0.3">
      <c r="A58" s="1">
        <v>2</v>
      </c>
      <c r="B58" s="1">
        <v>1</v>
      </c>
      <c r="C58" s="1" t="s">
        <v>0</v>
      </c>
      <c r="D58" s="1">
        <v>45</v>
      </c>
      <c r="E58" s="1" t="s">
        <v>0</v>
      </c>
      <c r="F58" s="1">
        <v>37</v>
      </c>
      <c r="G58" s="1">
        <v>0</v>
      </c>
    </row>
    <row r="59" spans="1:7" x14ac:dyDescent="0.3">
      <c r="A59" s="1">
        <v>2</v>
      </c>
      <c r="B59" s="1">
        <v>1</v>
      </c>
      <c r="C59" s="1" t="s">
        <v>0</v>
      </c>
      <c r="D59" s="1">
        <v>18</v>
      </c>
      <c r="E59" s="1" t="s">
        <v>0</v>
      </c>
      <c r="F59" s="1">
        <v>49</v>
      </c>
      <c r="G59" s="1">
        <v>1</v>
      </c>
    </row>
    <row r="60" spans="1:7" x14ac:dyDescent="0.3">
      <c r="A60" s="1">
        <v>2</v>
      </c>
      <c r="B60" s="1">
        <v>1</v>
      </c>
      <c r="C60" s="1" t="s">
        <v>0</v>
      </c>
      <c r="D60" s="1">
        <v>5</v>
      </c>
      <c r="E60" s="1" t="s">
        <v>0</v>
      </c>
      <c r="F60" s="1">
        <v>9</v>
      </c>
      <c r="G60" s="1">
        <v>1</v>
      </c>
    </row>
    <row r="61" spans="1:7" x14ac:dyDescent="0.3">
      <c r="A61" s="1">
        <v>2</v>
      </c>
      <c r="B61" s="1">
        <v>1</v>
      </c>
      <c r="C61" s="1" t="s">
        <v>0</v>
      </c>
      <c r="D61" s="1">
        <v>27</v>
      </c>
      <c r="E61" s="1" t="s">
        <v>0</v>
      </c>
      <c r="F61" s="1">
        <v>14</v>
      </c>
      <c r="G61" s="1">
        <v>0</v>
      </c>
    </row>
    <row r="62" spans="1:7" x14ac:dyDescent="0.3">
      <c r="A62" s="1">
        <v>2</v>
      </c>
      <c r="B62" s="1">
        <v>1</v>
      </c>
      <c r="C62" s="1" t="s">
        <v>0</v>
      </c>
      <c r="D62" s="1">
        <v>19</v>
      </c>
      <c r="E62" s="1" t="s">
        <v>0</v>
      </c>
      <c r="F62" s="1">
        <v>49</v>
      </c>
      <c r="G62" s="1">
        <v>1</v>
      </c>
    </row>
    <row r="63" spans="1:7" x14ac:dyDescent="0.3">
      <c r="A63" s="1">
        <v>2</v>
      </c>
      <c r="B63" s="1">
        <v>1</v>
      </c>
      <c r="C63" s="1" t="s">
        <v>0</v>
      </c>
      <c r="D63" s="1">
        <v>56</v>
      </c>
      <c r="E63" s="1" t="s">
        <v>0</v>
      </c>
      <c r="F63" s="1">
        <v>13</v>
      </c>
      <c r="G63" s="1">
        <v>0</v>
      </c>
    </row>
    <row r="64" spans="1:7" x14ac:dyDescent="0.3">
      <c r="A64" s="1">
        <v>2</v>
      </c>
      <c r="B64" s="1">
        <v>1</v>
      </c>
      <c r="C64" s="1" t="s">
        <v>0</v>
      </c>
      <c r="D64" s="1">
        <v>2</v>
      </c>
      <c r="E64" s="1" t="s">
        <v>0</v>
      </c>
      <c r="F64" s="1">
        <v>13</v>
      </c>
      <c r="G64" s="1">
        <v>1</v>
      </c>
    </row>
    <row r="65" spans="1:7" x14ac:dyDescent="0.3">
      <c r="A65" s="1">
        <v>2</v>
      </c>
      <c r="B65" s="1">
        <v>1</v>
      </c>
      <c r="C65" s="1" t="s">
        <v>0</v>
      </c>
      <c r="D65" s="1">
        <v>19</v>
      </c>
      <c r="E65" s="1" t="s">
        <v>0</v>
      </c>
      <c r="F65" s="1">
        <v>27</v>
      </c>
      <c r="G65" s="1">
        <v>1</v>
      </c>
    </row>
    <row r="66" spans="1:7" x14ac:dyDescent="0.3">
      <c r="A66" s="1">
        <v>2</v>
      </c>
      <c r="B66" s="1">
        <v>1</v>
      </c>
      <c r="C66" s="1" t="s">
        <v>0</v>
      </c>
      <c r="D66" s="1">
        <v>29</v>
      </c>
      <c r="E66" s="1" t="s">
        <v>0</v>
      </c>
      <c r="F66" s="1">
        <v>21</v>
      </c>
      <c r="G66" s="1">
        <v>0</v>
      </c>
    </row>
    <row r="67" spans="1:7" x14ac:dyDescent="0.3">
      <c r="A67" s="1">
        <v>2</v>
      </c>
      <c r="B67" s="1">
        <v>1</v>
      </c>
      <c r="C67" s="1" t="s">
        <v>0</v>
      </c>
      <c r="D67" s="1">
        <v>33</v>
      </c>
      <c r="E67" s="1" t="s">
        <v>0</v>
      </c>
      <c r="F67" s="1">
        <v>48</v>
      </c>
      <c r="G67" s="1">
        <v>1</v>
      </c>
    </row>
    <row r="68" spans="1:7" x14ac:dyDescent="0.3">
      <c r="A68" s="1">
        <v>2</v>
      </c>
      <c r="B68" s="1">
        <v>1</v>
      </c>
      <c r="C68" s="1" t="s">
        <v>0</v>
      </c>
      <c r="D68" s="1">
        <v>18</v>
      </c>
      <c r="E68" s="1" t="s">
        <v>0</v>
      </c>
      <c r="F68" s="1">
        <v>57</v>
      </c>
      <c r="G68" s="1">
        <v>1</v>
      </c>
    </row>
    <row r="69" spans="1:7" x14ac:dyDescent="0.3">
      <c r="A69" s="1">
        <v>2</v>
      </c>
      <c r="B69" s="1">
        <v>1</v>
      </c>
      <c r="C69" s="1" t="s">
        <v>0</v>
      </c>
      <c r="D69" s="1">
        <v>50</v>
      </c>
      <c r="E69" s="1" t="s">
        <v>0</v>
      </c>
      <c r="F69" s="1">
        <v>39</v>
      </c>
      <c r="G69" s="1">
        <v>0</v>
      </c>
    </row>
    <row r="70" spans="1:7" x14ac:dyDescent="0.3">
      <c r="A70" s="1">
        <v>2</v>
      </c>
      <c r="B70" s="1">
        <v>1</v>
      </c>
      <c r="C70" s="1" t="s">
        <v>0</v>
      </c>
      <c r="D70" s="1">
        <v>26</v>
      </c>
      <c r="E70" s="1" t="s">
        <v>0</v>
      </c>
      <c r="F70" s="1">
        <v>21</v>
      </c>
      <c r="G70" s="1">
        <v>0</v>
      </c>
    </row>
    <row r="71" spans="1:7" x14ac:dyDescent="0.3">
      <c r="A71" s="1">
        <v>2</v>
      </c>
      <c r="B71" s="1">
        <v>1</v>
      </c>
      <c r="C71" s="1" t="s">
        <v>0</v>
      </c>
      <c r="D71" s="1">
        <v>2</v>
      </c>
      <c r="E71" s="1" t="s">
        <v>0</v>
      </c>
      <c r="F71" s="1">
        <v>19</v>
      </c>
      <c r="G71" s="1">
        <v>1</v>
      </c>
    </row>
    <row r="72" spans="1:7" x14ac:dyDescent="0.3">
      <c r="A72" s="1">
        <v>2</v>
      </c>
      <c r="B72" s="1">
        <v>1</v>
      </c>
      <c r="C72" s="1" t="s">
        <v>0</v>
      </c>
      <c r="D72" s="1">
        <v>7</v>
      </c>
      <c r="E72" s="1" t="s">
        <v>0</v>
      </c>
      <c r="F72" s="1">
        <v>14</v>
      </c>
      <c r="G72" s="1">
        <v>1</v>
      </c>
    </row>
    <row r="73" spans="1:7" x14ac:dyDescent="0.3">
      <c r="A73" s="1">
        <v>2</v>
      </c>
      <c r="B73" s="1">
        <v>1</v>
      </c>
      <c r="C73" s="1" t="s">
        <v>0</v>
      </c>
      <c r="D73" s="1">
        <v>26</v>
      </c>
      <c r="E73" s="1" t="s">
        <v>0</v>
      </c>
      <c r="F73" s="1">
        <v>46</v>
      </c>
      <c r="G73" s="1">
        <v>1</v>
      </c>
    </row>
    <row r="74" spans="1:7" x14ac:dyDescent="0.3">
      <c r="A74" s="1">
        <v>2</v>
      </c>
      <c r="B74" s="1">
        <v>1</v>
      </c>
      <c r="C74" s="1" t="s">
        <v>0</v>
      </c>
      <c r="D74" s="1">
        <v>42</v>
      </c>
      <c r="E74" s="1" t="s">
        <v>0</v>
      </c>
      <c r="F74" s="1">
        <v>9</v>
      </c>
      <c r="G74" s="1">
        <v>0</v>
      </c>
    </row>
    <row r="75" spans="1:7" x14ac:dyDescent="0.3">
      <c r="A75" s="1">
        <v>2</v>
      </c>
      <c r="B75" s="1">
        <v>1</v>
      </c>
      <c r="C75" s="1" t="s">
        <v>0</v>
      </c>
      <c r="D75" s="1">
        <v>0</v>
      </c>
      <c r="E75" s="1" t="s">
        <v>0</v>
      </c>
      <c r="F75" s="1">
        <v>47</v>
      </c>
      <c r="G75" s="1">
        <v>1</v>
      </c>
    </row>
    <row r="76" spans="1:7" x14ac:dyDescent="0.3">
      <c r="A76" s="1">
        <v>2</v>
      </c>
      <c r="B76" s="1">
        <v>1</v>
      </c>
      <c r="C76" s="1" t="s">
        <v>0</v>
      </c>
      <c r="D76" s="1">
        <v>32</v>
      </c>
      <c r="E76" s="1" t="s">
        <v>0</v>
      </c>
      <c r="F76" s="1">
        <v>11</v>
      </c>
      <c r="G76" s="1">
        <v>0</v>
      </c>
    </row>
    <row r="77" spans="1:7" x14ac:dyDescent="0.3">
      <c r="A77" s="1">
        <v>2</v>
      </c>
      <c r="B77" s="1">
        <v>1</v>
      </c>
      <c r="C77" s="1" t="s">
        <v>0</v>
      </c>
      <c r="D77" s="1">
        <v>25</v>
      </c>
      <c r="E77" s="1" t="s">
        <v>0</v>
      </c>
      <c r="F77" s="1">
        <v>33</v>
      </c>
      <c r="G77" s="1">
        <v>1</v>
      </c>
    </row>
    <row r="78" spans="1:7" x14ac:dyDescent="0.3">
      <c r="A78" s="1">
        <v>2</v>
      </c>
      <c r="B78" s="1">
        <v>1</v>
      </c>
      <c r="C78" s="1" t="s">
        <v>0</v>
      </c>
      <c r="D78" s="1">
        <v>3</v>
      </c>
      <c r="E78" s="1" t="s">
        <v>0</v>
      </c>
      <c r="F78" s="1">
        <v>44</v>
      </c>
      <c r="G78" s="1">
        <v>1</v>
      </c>
    </row>
    <row r="79" spans="1:7" x14ac:dyDescent="0.3">
      <c r="A79" s="1">
        <v>2</v>
      </c>
      <c r="B79" s="1">
        <v>1</v>
      </c>
      <c r="C79" s="1" t="s">
        <v>0</v>
      </c>
      <c r="D79" s="1">
        <v>24</v>
      </c>
      <c r="E79" s="1" t="s">
        <v>0</v>
      </c>
      <c r="F79" s="1">
        <v>2</v>
      </c>
      <c r="G79" s="1">
        <v>0</v>
      </c>
    </row>
    <row r="80" spans="1:7" x14ac:dyDescent="0.3">
      <c r="A80" s="1">
        <v>2</v>
      </c>
      <c r="B80" s="1">
        <v>1</v>
      </c>
      <c r="C80" s="1" t="s">
        <v>0</v>
      </c>
      <c r="D80" s="1">
        <v>32</v>
      </c>
      <c r="E80" s="1" t="s">
        <v>0</v>
      </c>
      <c r="F80" s="1">
        <v>31</v>
      </c>
      <c r="G80" s="1">
        <v>0</v>
      </c>
    </row>
    <row r="81" spans="1:7" x14ac:dyDescent="0.3">
      <c r="A81" s="1">
        <v>2</v>
      </c>
      <c r="B81" s="1">
        <v>1</v>
      </c>
      <c r="C81" s="1" t="s">
        <v>0</v>
      </c>
      <c r="D81" s="1">
        <v>5</v>
      </c>
      <c r="E81" s="1" t="s">
        <v>0</v>
      </c>
      <c r="F81" s="1">
        <v>5</v>
      </c>
      <c r="G81" s="1">
        <v>0</v>
      </c>
    </row>
    <row r="82" spans="1:7" x14ac:dyDescent="0.3">
      <c r="A82" s="1">
        <v>2</v>
      </c>
      <c r="B82" s="1">
        <v>1</v>
      </c>
      <c r="C82" s="1" t="s">
        <v>0</v>
      </c>
      <c r="D82" s="1">
        <v>45</v>
      </c>
      <c r="E82" s="1" t="s">
        <v>0</v>
      </c>
      <c r="F82" s="1">
        <v>44</v>
      </c>
      <c r="G82" s="1">
        <v>0</v>
      </c>
    </row>
    <row r="83" spans="1:7" x14ac:dyDescent="0.3">
      <c r="A83" s="1">
        <v>2</v>
      </c>
      <c r="B83" s="1">
        <v>1</v>
      </c>
      <c r="C83" s="1" t="s">
        <v>0</v>
      </c>
      <c r="D83" s="1">
        <v>13</v>
      </c>
      <c r="E83" s="1" t="s">
        <v>0</v>
      </c>
      <c r="F83" s="1">
        <v>23</v>
      </c>
      <c r="G83" s="1">
        <v>1</v>
      </c>
    </row>
    <row r="84" spans="1:7" x14ac:dyDescent="0.3">
      <c r="A84" s="1">
        <v>2</v>
      </c>
      <c r="B84" s="1">
        <v>1</v>
      </c>
      <c r="C84" s="1" t="s">
        <v>0</v>
      </c>
      <c r="D84" s="1">
        <v>8</v>
      </c>
      <c r="E84" s="1" t="s">
        <v>0</v>
      </c>
      <c r="F84" s="1">
        <v>40</v>
      </c>
      <c r="G84" s="1">
        <v>1</v>
      </c>
    </row>
    <row r="85" spans="1:7" x14ac:dyDescent="0.3">
      <c r="A85" s="1">
        <v>2</v>
      </c>
      <c r="B85" s="1">
        <v>1</v>
      </c>
      <c r="C85" s="1" t="s">
        <v>0</v>
      </c>
      <c r="D85" s="1">
        <v>33</v>
      </c>
      <c r="E85" s="1" t="s">
        <v>0</v>
      </c>
      <c r="F85" s="1">
        <v>1</v>
      </c>
      <c r="G85" s="1">
        <v>0</v>
      </c>
    </row>
    <row r="86" spans="1:7" x14ac:dyDescent="0.3">
      <c r="A86" s="1">
        <v>2</v>
      </c>
      <c r="B86" s="1">
        <v>1</v>
      </c>
      <c r="C86" s="1" t="s">
        <v>0</v>
      </c>
      <c r="D86" s="1">
        <v>2</v>
      </c>
      <c r="E86" s="1" t="s">
        <v>0</v>
      </c>
      <c r="F86" s="1">
        <v>34</v>
      </c>
      <c r="G86" s="1">
        <v>1</v>
      </c>
    </row>
    <row r="87" spans="1:7" x14ac:dyDescent="0.3">
      <c r="A87" s="1">
        <v>2</v>
      </c>
      <c r="B87" s="1">
        <v>1</v>
      </c>
      <c r="C87" s="1" t="s">
        <v>0</v>
      </c>
      <c r="D87" s="1">
        <v>13</v>
      </c>
      <c r="E87" s="1" t="s">
        <v>0</v>
      </c>
      <c r="F87" s="1">
        <v>15</v>
      </c>
      <c r="G87" s="1">
        <v>1</v>
      </c>
    </row>
    <row r="88" spans="1:7" x14ac:dyDescent="0.3">
      <c r="A88" s="1">
        <v>2</v>
      </c>
      <c r="B88" s="1">
        <v>1</v>
      </c>
      <c r="C88" s="1" t="s">
        <v>0</v>
      </c>
      <c r="D88" s="1">
        <v>32</v>
      </c>
      <c r="E88" s="1" t="s">
        <v>0</v>
      </c>
      <c r="F88" s="1">
        <v>15</v>
      </c>
      <c r="G88" s="1">
        <v>0</v>
      </c>
    </row>
    <row r="89" spans="1:7" x14ac:dyDescent="0.3">
      <c r="A89" s="1">
        <v>2</v>
      </c>
      <c r="B89" s="1">
        <v>1</v>
      </c>
      <c r="C89" s="1" t="s">
        <v>0</v>
      </c>
      <c r="D89" s="1">
        <v>33</v>
      </c>
      <c r="E89" s="1" t="s">
        <v>0</v>
      </c>
      <c r="F89" s="1">
        <v>19</v>
      </c>
      <c r="G89" s="1">
        <v>0</v>
      </c>
    </row>
    <row r="90" spans="1:7" x14ac:dyDescent="0.3">
      <c r="A90" s="1">
        <v>2</v>
      </c>
      <c r="B90" s="1">
        <v>1</v>
      </c>
      <c r="C90" s="1" t="s">
        <v>0</v>
      </c>
      <c r="D90" s="1">
        <v>30</v>
      </c>
      <c r="E90" s="1" t="s">
        <v>0</v>
      </c>
      <c r="F90" s="1">
        <v>29</v>
      </c>
      <c r="G90" s="1">
        <v>0</v>
      </c>
    </row>
    <row r="91" spans="1:7" x14ac:dyDescent="0.3">
      <c r="A91" s="1">
        <v>2</v>
      </c>
      <c r="B91" s="1">
        <v>1</v>
      </c>
      <c r="C91" s="1" t="s">
        <v>0</v>
      </c>
      <c r="D91" s="1">
        <v>45</v>
      </c>
      <c r="E91" s="1" t="s">
        <v>0</v>
      </c>
      <c r="F91" s="1">
        <v>50</v>
      </c>
      <c r="G91" s="1">
        <v>1</v>
      </c>
    </row>
    <row r="92" spans="1:7" x14ac:dyDescent="0.3">
      <c r="A92" s="1">
        <v>2</v>
      </c>
      <c r="B92" s="1">
        <v>1</v>
      </c>
      <c r="C92" s="1" t="s">
        <v>0</v>
      </c>
      <c r="D92" s="1">
        <v>26</v>
      </c>
      <c r="E92" s="1" t="s">
        <v>0</v>
      </c>
      <c r="F92" s="1">
        <v>58</v>
      </c>
      <c r="G92" s="1">
        <v>1</v>
      </c>
    </row>
    <row r="93" spans="1:7" x14ac:dyDescent="0.3">
      <c r="A93" s="1">
        <v>2</v>
      </c>
      <c r="B93" s="1">
        <v>1</v>
      </c>
      <c r="C93" s="1" t="s">
        <v>0</v>
      </c>
      <c r="D93" s="1">
        <v>22</v>
      </c>
      <c r="E93" s="1" t="s">
        <v>0</v>
      </c>
      <c r="F93" s="1">
        <v>28</v>
      </c>
      <c r="G93" s="1">
        <v>1</v>
      </c>
    </row>
    <row r="94" spans="1:7" x14ac:dyDescent="0.3">
      <c r="A94" s="1">
        <v>2</v>
      </c>
      <c r="B94" s="1">
        <v>1</v>
      </c>
      <c r="C94" s="1" t="s">
        <v>0</v>
      </c>
      <c r="D94" s="1">
        <v>44</v>
      </c>
      <c r="E94" s="1" t="s">
        <v>0</v>
      </c>
      <c r="F94" s="1">
        <v>23</v>
      </c>
      <c r="G94" s="1">
        <v>0</v>
      </c>
    </row>
    <row r="95" spans="1:7" x14ac:dyDescent="0.3">
      <c r="A95" s="1">
        <v>2</v>
      </c>
      <c r="B95" s="1">
        <v>1</v>
      </c>
      <c r="C95" s="1" t="s">
        <v>0</v>
      </c>
      <c r="D95" s="1">
        <v>3</v>
      </c>
      <c r="E95" s="1" t="s">
        <v>0</v>
      </c>
      <c r="F95" s="1">
        <v>19</v>
      </c>
      <c r="G95" s="1">
        <v>1</v>
      </c>
    </row>
    <row r="96" spans="1:7" x14ac:dyDescent="0.3">
      <c r="A96" s="1">
        <v>2</v>
      </c>
      <c r="B96" s="1">
        <v>1</v>
      </c>
      <c r="C96" s="1" t="s">
        <v>0</v>
      </c>
      <c r="D96" s="1">
        <v>12</v>
      </c>
      <c r="E96" s="1" t="s">
        <v>0</v>
      </c>
      <c r="F96" s="1">
        <v>37</v>
      </c>
      <c r="G96" s="1">
        <v>1</v>
      </c>
    </row>
    <row r="97" spans="1:7" x14ac:dyDescent="0.3">
      <c r="A97" s="1">
        <v>2</v>
      </c>
      <c r="B97" s="1">
        <v>1</v>
      </c>
      <c r="C97" s="1" t="s">
        <v>0</v>
      </c>
      <c r="D97" s="1">
        <v>33</v>
      </c>
      <c r="E97" s="1" t="s">
        <v>0</v>
      </c>
      <c r="F97" s="1">
        <v>19</v>
      </c>
      <c r="G97" s="1">
        <v>0</v>
      </c>
    </row>
    <row r="98" spans="1:7" x14ac:dyDescent="0.3">
      <c r="A98" s="1">
        <v>2</v>
      </c>
      <c r="B98" s="1">
        <v>1</v>
      </c>
      <c r="C98" s="1" t="s">
        <v>0</v>
      </c>
      <c r="D98" s="1">
        <v>8</v>
      </c>
      <c r="E98" s="1" t="s">
        <v>0</v>
      </c>
      <c r="F98" s="1">
        <v>29</v>
      </c>
      <c r="G98" s="1">
        <v>1</v>
      </c>
    </row>
    <row r="99" spans="1:7" x14ac:dyDescent="0.3">
      <c r="A99" s="1">
        <v>2</v>
      </c>
      <c r="B99" s="1">
        <v>1</v>
      </c>
      <c r="C99" s="1" t="s">
        <v>0</v>
      </c>
      <c r="D99" s="1">
        <v>46</v>
      </c>
      <c r="E99" s="1" t="s">
        <v>0</v>
      </c>
      <c r="F99" s="1">
        <v>16</v>
      </c>
      <c r="G99" s="1">
        <v>0</v>
      </c>
    </row>
    <row r="100" spans="1:7" x14ac:dyDescent="0.3">
      <c r="A100" s="1">
        <v>2</v>
      </c>
      <c r="B100" s="1">
        <v>1</v>
      </c>
      <c r="C100" s="1" t="s">
        <v>0</v>
      </c>
      <c r="D100" s="1">
        <v>5</v>
      </c>
      <c r="E100" s="1" t="s">
        <v>0</v>
      </c>
      <c r="F100" s="1">
        <v>19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F2EE-3FA0-409E-845B-03C17106E1EE}">
  <dimension ref="A1:Q100"/>
  <sheetViews>
    <sheetView workbookViewId="0">
      <selection activeCell="M24" sqref="M24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1</v>
      </c>
      <c r="D1" s="1">
        <v>38</v>
      </c>
      <c r="E1" s="1" t="s">
        <v>1</v>
      </c>
      <c r="F1" s="1">
        <v>48</v>
      </c>
      <c r="G1" s="1">
        <v>1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1</v>
      </c>
      <c r="D2" s="1">
        <v>49</v>
      </c>
      <c r="E2" s="1" t="s">
        <v>1</v>
      </c>
      <c r="F2" s="1">
        <v>19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1</v>
      </c>
      <c r="D3" s="1">
        <v>38</v>
      </c>
      <c r="E3" s="1" t="s">
        <v>1</v>
      </c>
      <c r="F3" s="1">
        <v>35</v>
      </c>
      <c r="G3" s="1">
        <v>0</v>
      </c>
      <c r="I3" s="5" t="s">
        <v>6</v>
      </c>
      <c r="J3" s="5"/>
      <c r="K3" s="9">
        <f>COUNTIF($G$1:$G$100, 0)</f>
        <v>68</v>
      </c>
      <c r="L3" s="9"/>
      <c r="M3" s="9">
        <f>COUNTIFS($G$1:$G$100, 0, $B$1:$B$100, 0)</f>
        <v>34</v>
      </c>
      <c r="N3" s="9"/>
      <c r="O3" s="10">
        <f>COUNTIFS($G$1:$G$100, 0, $B$1:$B$100, 1)</f>
        <v>34</v>
      </c>
      <c r="P3" s="11"/>
      <c r="Q3" s="12" cm="1">
        <f t="array" ref="Q3">SUMPRODUCT(--($D$1:$D$100=$G$1:$G$100))</f>
        <v>1</v>
      </c>
    </row>
    <row r="4" spans="1:17" x14ac:dyDescent="0.3">
      <c r="A4" s="1">
        <v>2</v>
      </c>
      <c r="B4" s="1">
        <v>0</v>
      </c>
      <c r="C4" s="1" t="s">
        <v>1</v>
      </c>
      <c r="D4" s="1">
        <v>49</v>
      </c>
      <c r="E4" s="1" t="s">
        <v>1</v>
      </c>
      <c r="F4" s="1">
        <v>31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1</v>
      </c>
      <c r="D5" s="1">
        <v>7</v>
      </c>
      <c r="E5" s="1" t="s">
        <v>1</v>
      </c>
      <c r="F5" s="1">
        <v>27</v>
      </c>
      <c r="G5" s="1">
        <v>1</v>
      </c>
      <c r="I5" s="5" t="s">
        <v>7</v>
      </c>
      <c r="J5" s="5"/>
      <c r="K5" s="14">
        <f>COUNTIF($G$1:$G$100, 1)</f>
        <v>32</v>
      </c>
      <c r="L5" s="9"/>
      <c r="M5" s="9">
        <f>COUNTIFS($G$1:$G$100, 1, $B$1:$B$100, 0)</f>
        <v>16</v>
      </c>
      <c r="N5" s="9"/>
      <c r="O5" s="9">
        <f>COUNTIFS($G$1:$G$100, 1, $B$1:$B$100, 1)</f>
        <v>16</v>
      </c>
      <c r="P5" s="13"/>
      <c r="Q5"/>
    </row>
    <row r="6" spans="1:17" x14ac:dyDescent="0.3">
      <c r="A6" s="1">
        <v>2</v>
      </c>
      <c r="B6" s="1">
        <v>0</v>
      </c>
      <c r="C6" s="1" t="s">
        <v>1</v>
      </c>
      <c r="D6" s="1">
        <v>39</v>
      </c>
      <c r="E6" s="1" t="s">
        <v>1</v>
      </c>
      <c r="F6" s="1">
        <v>10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1</v>
      </c>
      <c r="D7" s="1">
        <v>21</v>
      </c>
      <c r="E7" s="1" t="s">
        <v>1</v>
      </c>
      <c r="F7" s="1">
        <v>16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1</v>
      </c>
      <c r="D8" s="1">
        <v>52</v>
      </c>
      <c r="E8" s="1" t="s">
        <v>1</v>
      </c>
      <c r="F8" s="1">
        <v>28</v>
      </c>
      <c r="G8" s="1">
        <v>0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1</v>
      </c>
      <c r="D9" s="1">
        <v>38</v>
      </c>
      <c r="E9" s="1" t="s">
        <v>1</v>
      </c>
      <c r="F9" s="1">
        <v>29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1</v>
      </c>
      <c r="D10" s="1">
        <v>63</v>
      </c>
      <c r="E10" s="1" t="s">
        <v>1</v>
      </c>
      <c r="F10" s="1">
        <v>15</v>
      </c>
      <c r="G10" s="1">
        <v>0</v>
      </c>
      <c r="I10" s="5" t="s">
        <v>10</v>
      </c>
      <c r="J10" s="5"/>
      <c r="K10" s="9">
        <f>AVERAGE($D$1:$D$100,)</f>
        <v>30.821782178217823</v>
      </c>
      <c r="L10" s="9"/>
      <c r="M10" s="9" cm="1">
        <f t="array" ref="M10">AVERAGE(_xlfn._xlws.FILTER($D$1:$D$100,$G$1:$G$100 = 0))</f>
        <v>35.882352941176471</v>
      </c>
      <c r="N10" s="9"/>
      <c r="O10" s="10" cm="1">
        <f t="array" ref="O10">AVERAGE(_xlfn._xlws.FILTER($D$1:$D$100,$G$1:$G$100 = 1))</f>
        <v>21.03125</v>
      </c>
      <c r="P10" s="11"/>
      <c r="Q10"/>
    </row>
    <row r="11" spans="1:17" x14ac:dyDescent="0.3">
      <c r="A11" s="1">
        <v>2</v>
      </c>
      <c r="B11" s="1">
        <v>0</v>
      </c>
      <c r="C11" s="1" t="s">
        <v>1</v>
      </c>
      <c r="D11" s="1">
        <v>29</v>
      </c>
      <c r="E11" s="1" t="s">
        <v>1</v>
      </c>
      <c r="F11" s="1">
        <v>13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1</v>
      </c>
      <c r="D12" s="1">
        <v>19</v>
      </c>
      <c r="E12" s="1" t="s">
        <v>1</v>
      </c>
      <c r="F12" s="1">
        <v>35</v>
      </c>
      <c r="G12" s="1">
        <v>1</v>
      </c>
      <c r="I12" s="5" t="s">
        <v>11</v>
      </c>
      <c r="J12" s="5"/>
      <c r="K12" s="9">
        <f>AVERAGE($F$1:$F$100,)</f>
        <v>25.198019801980198</v>
      </c>
      <c r="L12" s="9"/>
      <c r="M12" s="9" cm="1">
        <f t="array" ref="M12">AVERAGE(_xlfn._xlws.FILTER($F$1:$F$100,$G$1:$G$100 = 0))</f>
        <v>21.514705882352942</v>
      </c>
      <c r="N12" s="9"/>
      <c r="O12" s="9" cm="1">
        <f t="array" ref="O12">AVERAGE(_xlfn._xlws.FILTER($F$1:$F$100,$G$1:$G$100 = 1))</f>
        <v>33.8125</v>
      </c>
      <c r="P12" s="13"/>
      <c r="Q12"/>
    </row>
    <row r="13" spans="1:17" x14ac:dyDescent="0.3">
      <c r="A13" s="1">
        <v>2</v>
      </c>
      <c r="B13" s="1">
        <v>0</v>
      </c>
      <c r="C13" s="1" t="s">
        <v>1</v>
      </c>
      <c r="D13" s="1">
        <v>17</v>
      </c>
      <c r="E13" s="1" t="s">
        <v>1</v>
      </c>
      <c r="F13" s="1">
        <v>19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1</v>
      </c>
      <c r="D14" s="1">
        <v>15</v>
      </c>
      <c r="E14" s="1" t="s">
        <v>1</v>
      </c>
      <c r="F14" s="1">
        <v>15</v>
      </c>
      <c r="G14" s="1">
        <v>0</v>
      </c>
      <c r="I14" s="22" t="s">
        <v>12</v>
      </c>
      <c r="J14" s="11"/>
      <c r="K14" s="23" cm="1">
        <f t="array" ref="K14">AVERAGE($D$1:$D$100 - $F$1:$F$100)</f>
        <v>5.68</v>
      </c>
      <c r="L14" s="23"/>
      <c r="M14" s="23" cm="1">
        <f t="array" ref="M14">AVERAGE(_xlfn._xlws.FILTER($D$1:$D$100 - $F$1:$F$100, G$1:G$100 = 0))</f>
        <v>14.367647058823529</v>
      </c>
      <c r="N14" s="23"/>
      <c r="O14" s="23" cm="1">
        <f t="array" ref="O14">AVERAGE(_xlfn._xlws.FILTER($D$1:$D$100 - $F$1:$F$100, G$1:G$100 = 1))</f>
        <v>-12.78125</v>
      </c>
      <c r="P14" s="24"/>
      <c r="Q14"/>
    </row>
    <row r="15" spans="1:17" x14ac:dyDescent="0.3">
      <c r="A15" s="1">
        <v>2</v>
      </c>
      <c r="B15" s="1">
        <v>0</v>
      </c>
      <c r="C15" s="1" t="s">
        <v>1</v>
      </c>
      <c r="D15" s="1">
        <v>35</v>
      </c>
      <c r="E15" s="1" t="s">
        <v>1</v>
      </c>
      <c r="F15" s="1">
        <v>2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1</v>
      </c>
      <c r="D16" s="1">
        <v>53</v>
      </c>
      <c r="E16" s="1" t="s">
        <v>1</v>
      </c>
      <c r="F16" s="1">
        <v>36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1</v>
      </c>
      <c r="D17" s="1">
        <v>61</v>
      </c>
      <c r="E17" s="1" t="s">
        <v>1</v>
      </c>
      <c r="F17" s="1">
        <v>12</v>
      </c>
      <c r="G17" s="1">
        <v>0</v>
      </c>
    </row>
    <row r="18" spans="1:7" x14ac:dyDescent="0.3">
      <c r="A18" s="1">
        <v>2</v>
      </c>
      <c r="B18" s="1">
        <v>0</v>
      </c>
      <c r="C18" s="1" t="s">
        <v>1</v>
      </c>
      <c r="D18" s="1">
        <v>42</v>
      </c>
      <c r="E18" s="1" t="s">
        <v>1</v>
      </c>
      <c r="F18" s="1">
        <v>18</v>
      </c>
      <c r="G18" s="1">
        <v>0</v>
      </c>
    </row>
    <row r="19" spans="1:7" x14ac:dyDescent="0.3">
      <c r="A19" s="1">
        <v>2</v>
      </c>
      <c r="B19" s="1">
        <v>0</v>
      </c>
      <c r="C19" s="1" t="s">
        <v>1</v>
      </c>
      <c r="D19" s="1">
        <v>11</v>
      </c>
      <c r="E19" s="1" t="s">
        <v>1</v>
      </c>
      <c r="F19" s="1">
        <v>44</v>
      </c>
      <c r="G19" s="1">
        <v>1</v>
      </c>
    </row>
    <row r="20" spans="1:7" x14ac:dyDescent="0.3">
      <c r="A20" s="1">
        <v>2</v>
      </c>
      <c r="B20" s="1">
        <v>0</v>
      </c>
      <c r="C20" s="1" t="s">
        <v>1</v>
      </c>
      <c r="D20" s="1">
        <v>27</v>
      </c>
      <c r="E20" s="1" t="s">
        <v>1</v>
      </c>
      <c r="F20" s="1">
        <v>30</v>
      </c>
      <c r="G20" s="1">
        <v>1</v>
      </c>
    </row>
    <row r="21" spans="1:7" x14ac:dyDescent="0.3">
      <c r="A21" s="1">
        <v>2</v>
      </c>
      <c r="B21" s="1">
        <v>0</v>
      </c>
      <c r="C21" s="1" t="s">
        <v>1</v>
      </c>
      <c r="D21" s="1">
        <v>40</v>
      </c>
      <c r="E21" s="1" t="s">
        <v>1</v>
      </c>
      <c r="F21" s="1">
        <v>30</v>
      </c>
      <c r="G21" s="1">
        <v>0</v>
      </c>
    </row>
    <row r="22" spans="1:7" x14ac:dyDescent="0.3">
      <c r="A22" s="1">
        <v>2</v>
      </c>
      <c r="B22" s="1">
        <v>0</v>
      </c>
      <c r="C22" s="1" t="s">
        <v>1</v>
      </c>
      <c r="D22" s="1">
        <v>35</v>
      </c>
      <c r="E22" s="1" t="s">
        <v>1</v>
      </c>
      <c r="F22" s="1">
        <v>28</v>
      </c>
      <c r="G22" s="1">
        <v>0</v>
      </c>
    </row>
    <row r="23" spans="1:7" x14ac:dyDescent="0.3">
      <c r="A23" s="1">
        <v>2</v>
      </c>
      <c r="B23" s="1">
        <v>0</v>
      </c>
      <c r="C23" s="1" t="s">
        <v>1</v>
      </c>
      <c r="D23" s="1">
        <v>16</v>
      </c>
      <c r="E23" s="1" t="s">
        <v>1</v>
      </c>
      <c r="F23" s="1">
        <v>38</v>
      </c>
      <c r="G23" s="1">
        <v>1</v>
      </c>
    </row>
    <row r="24" spans="1:7" x14ac:dyDescent="0.3">
      <c r="A24" s="1">
        <v>2</v>
      </c>
      <c r="B24" s="1">
        <v>0</v>
      </c>
      <c r="C24" s="1" t="s">
        <v>1</v>
      </c>
      <c r="D24" s="1">
        <v>53</v>
      </c>
      <c r="E24" s="1" t="s">
        <v>1</v>
      </c>
      <c r="F24" s="1">
        <v>27</v>
      </c>
      <c r="G24" s="1">
        <v>0</v>
      </c>
    </row>
    <row r="25" spans="1:7" x14ac:dyDescent="0.3">
      <c r="A25" s="1">
        <v>2</v>
      </c>
      <c r="B25" s="1">
        <v>0</v>
      </c>
      <c r="C25" s="1" t="s">
        <v>1</v>
      </c>
      <c r="D25" s="1">
        <v>10</v>
      </c>
      <c r="E25" s="1" t="s">
        <v>1</v>
      </c>
      <c r="F25" s="1">
        <v>50</v>
      </c>
      <c r="G25" s="1">
        <v>1</v>
      </c>
    </row>
    <row r="26" spans="1:7" x14ac:dyDescent="0.3">
      <c r="A26" s="1">
        <v>2</v>
      </c>
      <c r="B26" s="1">
        <v>0</v>
      </c>
      <c r="C26" s="1" t="s">
        <v>1</v>
      </c>
      <c r="D26" s="1">
        <v>20</v>
      </c>
      <c r="E26" s="1" t="s">
        <v>1</v>
      </c>
      <c r="F26" s="1">
        <v>30</v>
      </c>
      <c r="G26" s="1">
        <v>1</v>
      </c>
    </row>
    <row r="27" spans="1:7" x14ac:dyDescent="0.3">
      <c r="A27" s="1">
        <v>2</v>
      </c>
      <c r="B27" s="1">
        <v>0</v>
      </c>
      <c r="C27" s="1" t="s">
        <v>1</v>
      </c>
      <c r="D27" s="1">
        <v>48</v>
      </c>
      <c r="E27" s="1" t="s">
        <v>1</v>
      </c>
      <c r="F27" s="1">
        <v>26</v>
      </c>
      <c r="G27" s="1">
        <v>0</v>
      </c>
    </row>
    <row r="28" spans="1:7" x14ac:dyDescent="0.3">
      <c r="A28" s="1">
        <v>2</v>
      </c>
      <c r="B28" s="1">
        <v>0</v>
      </c>
      <c r="C28" s="1" t="s">
        <v>1</v>
      </c>
      <c r="D28" s="1">
        <v>22</v>
      </c>
      <c r="E28" s="1" t="s">
        <v>1</v>
      </c>
      <c r="F28" s="1">
        <v>25</v>
      </c>
      <c r="G28" s="1">
        <v>1</v>
      </c>
    </row>
    <row r="29" spans="1:7" x14ac:dyDescent="0.3">
      <c r="A29" s="1">
        <v>2</v>
      </c>
      <c r="B29" s="1">
        <v>0</v>
      </c>
      <c r="C29" s="1" t="s">
        <v>1</v>
      </c>
      <c r="D29" s="1">
        <v>36</v>
      </c>
      <c r="E29" s="1" t="s">
        <v>1</v>
      </c>
      <c r="F29" s="1">
        <v>33</v>
      </c>
      <c r="G29" s="1">
        <v>0</v>
      </c>
    </row>
    <row r="30" spans="1:7" x14ac:dyDescent="0.3">
      <c r="A30" s="1">
        <v>2</v>
      </c>
      <c r="B30" s="1">
        <v>0</v>
      </c>
      <c r="C30" s="1" t="s">
        <v>1</v>
      </c>
      <c r="D30" s="1">
        <v>63</v>
      </c>
      <c r="E30" s="1" t="s">
        <v>1</v>
      </c>
      <c r="F30" s="1">
        <v>42</v>
      </c>
      <c r="G30" s="1">
        <v>0</v>
      </c>
    </row>
    <row r="31" spans="1:7" x14ac:dyDescent="0.3">
      <c r="A31" s="1">
        <v>2</v>
      </c>
      <c r="B31" s="1">
        <v>0</v>
      </c>
      <c r="C31" s="1" t="s">
        <v>1</v>
      </c>
      <c r="D31" s="1">
        <v>22</v>
      </c>
      <c r="E31" s="1" t="s">
        <v>1</v>
      </c>
      <c r="F31" s="1">
        <v>9</v>
      </c>
      <c r="G31" s="1">
        <v>0</v>
      </c>
    </row>
    <row r="32" spans="1:7" x14ac:dyDescent="0.3">
      <c r="A32" s="1">
        <v>2</v>
      </c>
      <c r="B32" s="1">
        <v>0</v>
      </c>
      <c r="C32" s="1" t="s">
        <v>1</v>
      </c>
      <c r="D32" s="1">
        <v>32</v>
      </c>
      <c r="E32" s="1" t="s">
        <v>1</v>
      </c>
      <c r="F32" s="1">
        <v>45</v>
      </c>
      <c r="G32" s="1">
        <v>1</v>
      </c>
    </row>
    <row r="33" spans="1:7" x14ac:dyDescent="0.3">
      <c r="A33" s="1">
        <v>2</v>
      </c>
      <c r="B33" s="1">
        <v>0</v>
      </c>
      <c r="C33" s="1" t="s">
        <v>1</v>
      </c>
      <c r="D33" s="1">
        <v>36</v>
      </c>
      <c r="E33" s="1" t="s">
        <v>1</v>
      </c>
      <c r="F33" s="1">
        <v>20</v>
      </c>
      <c r="G33" s="1">
        <v>0</v>
      </c>
    </row>
    <row r="34" spans="1:7" x14ac:dyDescent="0.3">
      <c r="A34" s="1">
        <v>2</v>
      </c>
      <c r="B34" s="1">
        <v>0</v>
      </c>
      <c r="C34" s="1" t="s">
        <v>1</v>
      </c>
      <c r="D34" s="1">
        <v>1</v>
      </c>
      <c r="E34" s="1" t="s">
        <v>1</v>
      </c>
      <c r="F34" s="1">
        <v>47</v>
      </c>
      <c r="G34" s="1">
        <v>1</v>
      </c>
    </row>
    <row r="35" spans="1:7" x14ac:dyDescent="0.3">
      <c r="A35" s="1">
        <v>2</v>
      </c>
      <c r="B35" s="1">
        <v>0</v>
      </c>
      <c r="C35" s="1" t="s">
        <v>1</v>
      </c>
      <c r="D35" s="1">
        <v>45</v>
      </c>
      <c r="E35" s="1" t="s">
        <v>1</v>
      </c>
      <c r="F35" s="1">
        <v>40</v>
      </c>
      <c r="G35" s="1">
        <v>0</v>
      </c>
    </row>
    <row r="36" spans="1:7" x14ac:dyDescent="0.3">
      <c r="A36" s="1">
        <v>2</v>
      </c>
      <c r="B36" s="1">
        <v>0</v>
      </c>
      <c r="C36" s="1" t="s">
        <v>1</v>
      </c>
      <c r="D36" s="1">
        <v>7</v>
      </c>
      <c r="E36" s="1" t="s">
        <v>1</v>
      </c>
      <c r="F36" s="1">
        <v>15</v>
      </c>
      <c r="G36" s="1">
        <v>1</v>
      </c>
    </row>
    <row r="37" spans="1:7" x14ac:dyDescent="0.3">
      <c r="A37" s="1">
        <v>2</v>
      </c>
      <c r="B37" s="1">
        <v>0</v>
      </c>
      <c r="C37" s="1" t="s">
        <v>1</v>
      </c>
      <c r="D37" s="1">
        <v>27</v>
      </c>
      <c r="E37" s="1" t="s">
        <v>1</v>
      </c>
      <c r="F37" s="1">
        <v>19</v>
      </c>
      <c r="G37" s="1">
        <v>0</v>
      </c>
    </row>
    <row r="38" spans="1:7" x14ac:dyDescent="0.3">
      <c r="A38" s="1">
        <v>2</v>
      </c>
      <c r="B38" s="1">
        <v>0</v>
      </c>
      <c r="C38" s="1" t="s">
        <v>1</v>
      </c>
      <c r="D38" s="1">
        <v>30</v>
      </c>
      <c r="E38" s="1" t="s">
        <v>1</v>
      </c>
      <c r="F38" s="1">
        <v>12</v>
      </c>
      <c r="G38" s="1">
        <v>0</v>
      </c>
    </row>
    <row r="39" spans="1:7" x14ac:dyDescent="0.3">
      <c r="A39" s="1">
        <v>2</v>
      </c>
      <c r="B39" s="1">
        <v>0</v>
      </c>
      <c r="C39" s="1" t="s">
        <v>1</v>
      </c>
      <c r="D39" s="1">
        <v>53</v>
      </c>
      <c r="E39" s="1" t="s">
        <v>1</v>
      </c>
      <c r="F39" s="1">
        <v>44</v>
      </c>
      <c r="G39" s="1">
        <v>0</v>
      </c>
    </row>
    <row r="40" spans="1:7" x14ac:dyDescent="0.3">
      <c r="A40" s="1">
        <v>2</v>
      </c>
      <c r="B40" s="1">
        <v>0</v>
      </c>
      <c r="C40" s="1" t="s">
        <v>1</v>
      </c>
      <c r="D40" s="1">
        <v>27</v>
      </c>
      <c r="E40" s="1" t="s">
        <v>1</v>
      </c>
      <c r="F40" s="1">
        <v>34</v>
      </c>
      <c r="G40" s="1">
        <v>1</v>
      </c>
    </row>
    <row r="41" spans="1:7" x14ac:dyDescent="0.3">
      <c r="A41" s="1">
        <v>2</v>
      </c>
      <c r="B41" s="1">
        <v>0</v>
      </c>
      <c r="C41" s="1" t="s">
        <v>1</v>
      </c>
      <c r="D41" s="1">
        <v>10</v>
      </c>
      <c r="E41" s="1" t="s">
        <v>1</v>
      </c>
      <c r="F41" s="1">
        <v>13</v>
      </c>
      <c r="G41" s="1">
        <v>1</v>
      </c>
    </row>
    <row r="42" spans="1:7" x14ac:dyDescent="0.3">
      <c r="A42" s="1">
        <v>2</v>
      </c>
      <c r="B42" s="1">
        <v>0</v>
      </c>
      <c r="C42" s="1" t="s">
        <v>1</v>
      </c>
      <c r="D42" s="1">
        <v>16</v>
      </c>
      <c r="E42" s="1" t="s">
        <v>1</v>
      </c>
      <c r="F42" s="1">
        <v>43</v>
      </c>
      <c r="G42" s="1">
        <v>1</v>
      </c>
    </row>
    <row r="43" spans="1:7" x14ac:dyDescent="0.3">
      <c r="A43" s="1">
        <v>2</v>
      </c>
      <c r="B43" s="1">
        <v>0</v>
      </c>
      <c r="C43" s="1" t="s">
        <v>1</v>
      </c>
      <c r="D43" s="1">
        <v>52</v>
      </c>
      <c r="E43" s="1" t="s">
        <v>1</v>
      </c>
      <c r="F43" s="1">
        <v>27</v>
      </c>
      <c r="G43" s="1">
        <v>0</v>
      </c>
    </row>
    <row r="44" spans="1:7" x14ac:dyDescent="0.3">
      <c r="A44" s="1">
        <v>2</v>
      </c>
      <c r="B44" s="1">
        <v>0</v>
      </c>
      <c r="C44" s="1" t="s">
        <v>1</v>
      </c>
      <c r="D44" s="1">
        <v>45</v>
      </c>
      <c r="E44" s="1" t="s">
        <v>1</v>
      </c>
      <c r="F44" s="1">
        <v>19</v>
      </c>
      <c r="G44" s="1">
        <v>0</v>
      </c>
    </row>
    <row r="45" spans="1:7" x14ac:dyDescent="0.3">
      <c r="A45" s="1">
        <v>2</v>
      </c>
      <c r="B45" s="1">
        <v>0</v>
      </c>
      <c r="C45" s="1" t="s">
        <v>1</v>
      </c>
      <c r="D45" s="1">
        <v>51</v>
      </c>
      <c r="E45" s="1" t="s">
        <v>1</v>
      </c>
      <c r="F45" s="1">
        <v>24</v>
      </c>
      <c r="G45" s="1">
        <v>0</v>
      </c>
    </row>
    <row r="46" spans="1:7" x14ac:dyDescent="0.3">
      <c r="A46" s="1">
        <v>2</v>
      </c>
      <c r="B46" s="1">
        <v>0</v>
      </c>
      <c r="C46" s="1" t="s">
        <v>1</v>
      </c>
      <c r="D46" s="1">
        <v>29</v>
      </c>
      <c r="E46" s="1" t="s">
        <v>1</v>
      </c>
      <c r="F46" s="1">
        <v>24</v>
      </c>
      <c r="G46" s="1">
        <v>0</v>
      </c>
    </row>
    <row r="47" spans="1:7" x14ac:dyDescent="0.3">
      <c r="A47" s="1">
        <v>2</v>
      </c>
      <c r="B47" s="1">
        <v>0</v>
      </c>
      <c r="C47" s="1" t="s">
        <v>1</v>
      </c>
      <c r="D47" s="1">
        <v>10</v>
      </c>
      <c r="E47" s="1" t="s">
        <v>1</v>
      </c>
      <c r="F47" s="1">
        <v>7</v>
      </c>
      <c r="G47" s="1">
        <v>0</v>
      </c>
    </row>
    <row r="48" spans="1:7" x14ac:dyDescent="0.3">
      <c r="A48" s="1">
        <v>2</v>
      </c>
      <c r="B48" s="1">
        <v>0</v>
      </c>
      <c r="C48" s="1" t="s">
        <v>1</v>
      </c>
      <c r="D48" s="1">
        <v>42</v>
      </c>
      <c r="E48" s="1" t="s">
        <v>1</v>
      </c>
      <c r="F48" s="1">
        <v>16</v>
      </c>
      <c r="G48" s="1">
        <v>0</v>
      </c>
    </row>
    <row r="49" spans="1:7" x14ac:dyDescent="0.3">
      <c r="A49" s="1">
        <v>2</v>
      </c>
      <c r="B49" s="1">
        <v>0</v>
      </c>
      <c r="C49" s="1" t="s">
        <v>1</v>
      </c>
      <c r="D49" s="1">
        <v>24</v>
      </c>
      <c r="E49" s="1" t="s">
        <v>1</v>
      </c>
      <c r="F49" s="1">
        <v>16</v>
      </c>
      <c r="G49" s="1">
        <v>0</v>
      </c>
    </row>
    <row r="50" spans="1:7" x14ac:dyDescent="0.3">
      <c r="A50" s="1">
        <v>2</v>
      </c>
      <c r="B50" s="1">
        <v>0</v>
      </c>
      <c r="C50" s="1" t="s">
        <v>1</v>
      </c>
      <c r="D50" s="1">
        <v>24</v>
      </c>
      <c r="E50" s="1" t="s">
        <v>1</v>
      </c>
      <c r="F50" s="1">
        <v>22</v>
      </c>
      <c r="G50" s="1">
        <v>0</v>
      </c>
    </row>
    <row r="51" spans="1:7" x14ac:dyDescent="0.3">
      <c r="A51" s="1">
        <v>2</v>
      </c>
      <c r="B51" s="1">
        <v>1</v>
      </c>
      <c r="C51" s="1" t="s">
        <v>1</v>
      </c>
      <c r="D51" s="1">
        <v>43</v>
      </c>
      <c r="E51" s="1" t="s">
        <v>1</v>
      </c>
      <c r="F51" s="1">
        <v>35</v>
      </c>
      <c r="G51" s="1">
        <v>0</v>
      </c>
    </row>
    <row r="52" spans="1:7" x14ac:dyDescent="0.3">
      <c r="A52" s="1">
        <v>2</v>
      </c>
      <c r="B52" s="1">
        <v>1</v>
      </c>
      <c r="C52" s="1" t="s">
        <v>1</v>
      </c>
      <c r="D52" s="1">
        <v>11</v>
      </c>
      <c r="E52" s="1" t="s">
        <v>1</v>
      </c>
      <c r="F52" s="1">
        <v>6</v>
      </c>
      <c r="G52" s="1">
        <v>0</v>
      </c>
    </row>
    <row r="53" spans="1:7" x14ac:dyDescent="0.3">
      <c r="A53" s="1">
        <v>2</v>
      </c>
      <c r="B53" s="1">
        <v>1</v>
      </c>
      <c r="C53" s="1" t="s">
        <v>1</v>
      </c>
      <c r="D53" s="1">
        <v>29</v>
      </c>
      <c r="E53" s="1" t="s">
        <v>1</v>
      </c>
      <c r="F53" s="1">
        <v>3</v>
      </c>
      <c r="G53" s="1">
        <v>0</v>
      </c>
    </row>
    <row r="54" spans="1:7" x14ac:dyDescent="0.3">
      <c r="A54" s="1">
        <v>2</v>
      </c>
      <c r="B54" s="1">
        <v>1</v>
      </c>
      <c r="C54" s="1" t="s">
        <v>1</v>
      </c>
      <c r="D54" s="1">
        <v>23</v>
      </c>
      <c r="E54" s="1" t="s">
        <v>1</v>
      </c>
      <c r="F54" s="1">
        <v>16</v>
      </c>
      <c r="G54" s="1">
        <v>0</v>
      </c>
    </row>
    <row r="55" spans="1:7" x14ac:dyDescent="0.3">
      <c r="A55" s="1">
        <v>2</v>
      </c>
      <c r="B55" s="1">
        <v>1</v>
      </c>
      <c r="C55" s="1" t="s">
        <v>1</v>
      </c>
      <c r="D55" s="1">
        <v>8</v>
      </c>
      <c r="E55" s="1" t="s">
        <v>1</v>
      </c>
      <c r="F55" s="1">
        <v>18</v>
      </c>
      <c r="G55" s="1">
        <v>1</v>
      </c>
    </row>
    <row r="56" spans="1:7" x14ac:dyDescent="0.3">
      <c r="A56" s="1">
        <v>2</v>
      </c>
      <c r="B56" s="1">
        <v>1</v>
      </c>
      <c r="C56" s="1" t="s">
        <v>1</v>
      </c>
      <c r="D56" s="1">
        <v>27</v>
      </c>
      <c r="E56" s="1" t="s">
        <v>1</v>
      </c>
      <c r="F56" s="1">
        <v>14</v>
      </c>
      <c r="G56" s="1">
        <v>0</v>
      </c>
    </row>
    <row r="57" spans="1:7" x14ac:dyDescent="0.3">
      <c r="A57" s="1">
        <v>2</v>
      </c>
      <c r="B57" s="1">
        <v>1</v>
      </c>
      <c r="C57" s="1" t="s">
        <v>1</v>
      </c>
      <c r="D57" s="1">
        <v>14</v>
      </c>
      <c r="E57" s="1" t="s">
        <v>1</v>
      </c>
      <c r="F57" s="1">
        <v>14</v>
      </c>
      <c r="G57" s="1">
        <v>0</v>
      </c>
    </row>
    <row r="58" spans="1:7" x14ac:dyDescent="0.3">
      <c r="A58" s="1">
        <v>2</v>
      </c>
      <c r="B58" s="1">
        <v>1</v>
      </c>
      <c r="C58" s="1" t="s">
        <v>1</v>
      </c>
      <c r="D58" s="1">
        <v>52</v>
      </c>
      <c r="E58" s="1" t="s">
        <v>1</v>
      </c>
      <c r="F58" s="1">
        <v>39</v>
      </c>
      <c r="G58" s="1">
        <v>0</v>
      </c>
    </row>
    <row r="59" spans="1:7" x14ac:dyDescent="0.3">
      <c r="A59" s="1">
        <v>2</v>
      </c>
      <c r="B59" s="1">
        <v>1</v>
      </c>
      <c r="C59" s="1" t="s">
        <v>1</v>
      </c>
      <c r="D59" s="1">
        <v>25</v>
      </c>
      <c r="E59" s="1" t="s">
        <v>1</v>
      </c>
      <c r="F59" s="1">
        <v>22</v>
      </c>
      <c r="G59" s="1">
        <v>0</v>
      </c>
    </row>
    <row r="60" spans="1:7" x14ac:dyDescent="0.3">
      <c r="A60" s="1">
        <v>2</v>
      </c>
      <c r="B60" s="1">
        <v>1</v>
      </c>
      <c r="C60" s="1" t="s">
        <v>1</v>
      </c>
      <c r="D60" s="1">
        <v>21</v>
      </c>
      <c r="E60" s="1" t="s">
        <v>1</v>
      </c>
      <c r="F60" s="1">
        <v>9</v>
      </c>
      <c r="G60" s="1">
        <v>0</v>
      </c>
    </row>
    <row r="61" spans="1:7" x14ac:dyDescent="0.3">
      <c r="A61" s="1">
        <v>2</v>
      </c>
      <c r="B61" s="1">
        <v>1</v>
      </c>
      <c r="C61" s="1" t="s">
        <v>1</v>
      </c>
      <c r="D61" s="1">
        <v>35</v>
      </c>
      <c r="E61" s="1" t="s">
        <v>1</v>
      </c>
      <c r="F61" s="1">
        <v>2</v>
      </c>
      <c r="G61" s="1">
        <v>0</v>
      </c>
    </row>
    <row r="62" spans="1:7" x14ac:dyDescent="0.3">
      <c r="A62" s="1">
        <v>2</v>
      </c>
      <c r="B62" s="1">
        <v>1</v>
      </c>
      <c r="C62" s="1" t="s">
        <v>1</v>
      </c>
      <c r="D62" s="1">
        <v>41</v>
      </c>
      <c r="E62" s="1" t="s">
        <v>1</v>
      </c>
      <c r="F62" s="1">
        <v>39</v>
      </c>
      <c r="G62" s="1">
        <v>0</v>
      </c>
    </row>
    <row r="63" spans="1:7" x14ac:dyDescent="0.3">
      <c r="A63" s="1">
        <v>2</v>
      </c>
      <c r="B63" s="1">
        <v>1</v>
      </c>
      <c r="C63" s="1" t="s">
        <v>1</v>
      </c>
      <c r="D63" s="1">
        <v>37</v>
      </c>
      <c r="E63" s="1" t="s">
        <v>1</v>
      </c>
      <c r="F63" s="1">
        <v>9</v>
      </c>
      <c r="G63" s="1">
        <v>0</v>
      </c>
    </row>
    <row r="64" spans="1:7" x14ac:dyDescent="0.3">
      <c r="A64" s="1">
        <v>2</v>
      </c>
      <c r="B64" s="1">
        <v>1</v>
      </c>
      <c r="C64" s="1" t="s">
        <v>1</v>
      </c>
      <c r="D64" s="1">
        <v>36</v>
      </c>
      <c r="E64" s="1" t="s">
        <v>1</v>
      </c>
      <c r="F64" s="1">
        <v>45</v>
      </c>
      <c r="G64" s="1">
        <v>1</v>
      </c>
    </row>
    <row r="65" spans="1:7" x14ac:dyDescent="0.3">
      <c r="A65" s="1">
        <v>2</v>
      </c>
      <c r="B65" s="1">
        <v>1</v>
      </c>
      <c r="C65" s="1" t="s">
        <v>1</v>
      </c>
      <c r="D65" s="1">
        <v>18</v>
      </c>
      <c r="E65" s="1" t="s">
        <v>1</v>
      </c>
      <c r="F65" s="1">
        <v>20</v>
      </c>
      <c r="G65" s="1">
        <v>1</v>
      </c>
    </row>
    <row r="66" spans="1:7" x14ac:dyDescent="0.3">
      <c r="A66" s="1">
        <v>2</v>
      </c>
      <c r="B66" s="1">
        <v>1</v>
      </c>
      <c r="C66" s="1" t="s">
        <v>1</v>
      </c>
      <c r="D66" s="1">
        <v>24</v>
      </c>
      <c r="E66" s="1" t="s">
        <v>1</v>
      </c>
      <c r="F66" s="1">
        <v>21</v>
      </c>
      <c r="G66" s="1">
        <v>0</v>
      </c>
    </row>
    <row r="67" spans="1:7" x14ac:dyDescent="0.3">
      <c r="A67" s="1">
        <v>2</v>
      </c>
      <c r="B67" s="1">
        <v>1</v>
      </c>
      <c r="C67" s="1" t="s">
        <v>1</v>
      </c>
      <c r="D67" s="1">
        <v>39</v>
      </c>
      <c r="E67" s="1" t="s">
        <v>1</v>
      </c>
      <c r="F67" s="1">
        <v>45</v>
      </c>
      <c r="G67" s="1">
        <v>1</v>
      </c>
    </row>
    <row r="68" spans="1:7" x14ac:dyDescent="0.3">
      <c r="A68" s="1">
        <v>2</v>
      </c>
      <c r="B68" s="1">
        <v>1</v>
      </c>
      <c r="C68" s="1" t="s">
        <v>1</v>
      </c>
      <c r="D68" s="1">
        <v>21</v>
      </c>
      <c r="E68" s="1" t="s">
        <v>1</v>
      </c>
      <c r="F68" s="1">
        <v>15</v>
      </c>
      <c r="G68" s="1">
        <v>0</v>
      </c>
    </row>
    <row r="69" spans="1:7" x14ac:dyDescent="0.3">
      <c r="A69" s="1">
        <v>2</v>
      </c>
      <c r="B69" s="1">
        <v>1</v>
      </c>
      <c r="C69" s="1" t="s">
        <v>1</v>
      </c>
      <c r="D69" s="1">
        <v>19</v>
      </c>
      <c r="E69" s="1" t="s">
        <v>1</v>
      </c>
      <c r="F69" s="1">
        <v>28</v>
      </c>
      <c r="G69" s="1">
        <v>1</v>
      </c>
    </row>
    <row r="70" spans="1:7" x14ac:dyDescent="0.3">
      <c r="A70" s="1">
        <v>2</v>
      </c>
      <c r="B70" s="1">
        <v>1</v>
      </c>
      <c r="C70" s="1" t="s">
        <v>1</v>
      </c>
      <c r="D70" s="1">
        <v>21</v>
      </c>
      <c r="E70" s="1" t="s">
        <v>1</v>
      </c>
      <c r="F70" s="1">
        <v>29</v>
      </c>
      <c r="G70" s="1">
        <v>1</v>
      </c>
    </row>
    <row r="71" spans="1:7" x14ac:dyDescent="0.3">
      <c r="A71" s="1">
        <v>2</v>
      </c>
      <c r="B71" s="1">
        <v>1</v>
      </c>
      <c r="C71" s="1" t="s">
        <v>1</v>
      </c>
      <c r="D71" s="1">
        <v>26</v>
      </c>
      <c r="E71" s="1" t="s">
        <v>1</v>
      </c>
      <c r="F71" s="1">
        <v>28</v>
      </c>
      <c r="G71" s="1">
        <v>1</v>
      </c>
    </row>
    <row r="72" spans="1:7" x14ac:dyDescent="0.3">
      <c r="A72" s="1">
        <v>2</v>
      </c>
      <c r="B72" s="1">
        <v>1</v>
      </c>
      <c r="C72" s="1" t="s">
        <v>1</v>
      </c>
      <c r="D72" s="1">
        <v>21</v>
      </c>
      <c r="E72" s="1" t="s">
        <v>1</v>
      </c>
      <c r="F72" s="1">
        <v>24</v>
      </c>
      <c r="G72" s="1">
        <v>1</v>
      </c>
    </row>
    <row r="73" spans="1:7" x14ac:dyDescent="0.3">
      <c r="A73" s="1">
        <v>2</v>
      </c>
      <c r="B73" s="1">
        <v>1</v>
      </c>
      <c r="C73" s="1" t="s">
        <v>1</v>
      </c>
      <c r="D73" s="1">
        <v>44</v>
      </c>
      <c r="E73" s="1" t="s">
        <v>1</v>
      </c>
      <c r="F73" s="1">
        <v>25</v>
      </c>
      <c r="G73" s="1">
        <v>0</v>
      </c>
    </row>
    <row r="74" spans="1:7" x14ac:dyDescent="0.3">
      <c r="A74" s="1">
        <v>2</v>
      </c>
      <c r="B74" s="1">
        <v>1</v>
      </c>
      <c r="C74" s="1" t="s">
        <v>1</v>
      </c>
      <c r="D74" s="1">
        <v>28</v>
      </c>
      <c r="E74" s="1" t="s">
        <v>1</v>
      </c>
      <c r="F74" s="1">
        <v>20</v>
      </c>
      <c r="G74" s="1">
        <v>0</v>
      </c>
    </row>
    <row r="75" spans="1:7" x14ac:dyDescent="0.3">
      <c r="A75" s="1">
        <v>2</v>
      </c>
      <c r="B75" s="1">
        <v>1</v>
      </c>
      <c r="C75" s="1" t="s">
        <v>1</v>
      </c>
      <c r="D75" s="1">
        <v>42</v>
      </c>
      <c r="E75" s="1" t="s">
        <v>1</v>
      </c>
      <c r="F75" s="1">
        <v>32</v>
      </c>
      <c r="G75" s="1">
        <v>0</v>
      </c>
    </row>
    <row r="76" spans="1:7" x14ac:dyDescent="0.3">
      <c r="A76" s="1">
        <v>2</v>
      </c>
      <c r="B76" s="1">
        <v>1</v>
      </c>
      <c r="C76" s="1" t="s">
        <v>1</v>
      </c>
      <c r="D76" s="1">
        <v>31</v>
      </c>
      <c r="E76" s="1" t="s">
        <v>1</v>
      </c>
      <c r="F76" s="1">
        <v>56</v>
      </c>
      <c r="G76" s="1">
        <v>1</v>
      </c>
    </row>
    <row r="77" spans="1:7" x14ac:dyDescent="0.3">
      <c r="A77" s="1">
        <v>2</v>
      </c>
      <c r="B77" s="1">
        <v>1</v>
      </c>
      <c r="C77" s="1" t="s">
        <v>1</v>
      </c>
      <c r="D77" s="1">
        <v>18</v>
      </c>
      <c r="E77" s="1" t="s">
        <v>1</v>
      </c>
      <c r="F77" s="1">
        <v>4</v>
      </c>
      <c r="G77" s="1">
        <v>0</v>
      </c>
    </row>
    <row r="78" spans="1:7" x14ac:dyDescent="0.3">
      <c r="A78" s="1">
        <v>2</v>
      </c>
      <c r="B78" s="1">
        <v>1</v>
      </c>
      <c r="C78" s="1" t="s">
        <v>1</v>
      </c>
      <c r="D78" s="1">
        <v>11</v>
      </c>
      <c r="E78" s="1" t="s">
        <v>1</v>
      </c>
      <c r="F78" s="1">
        <v>9</v>
      </c>
      <c r="G78" s="1">
        <v>0</v>
      </c>
    </row>
    <row r="79" spans="1:7" x14ac:dyDescent="0.3">
      <c r="A79" s="1">
        <v>2</v>
      </c>
      <c r="B79" s="1">
        <v>1</v>
      </c>
      <c r="C79" s="1" t="s">
        <v>1</v>
      </c>
      <c r="D79" s="1">
        <v>48</v>
      </c>
      <c r="E79" s="1" t="s">
        <v>1</v>
      </c>
      <c r="F79" s="1">
        <v>27</v>
      </c>
      <c r="G79" s="1">
        <v>0</v>
      </c>
    </row>
    <row r="80" spans="1:7" x14ac:dyDescent="0.3">
      <c r="A80" s="1">
        <v>2</v>
      </c>
      <c r="B80" s="1">
        <v>1</v>
      </c>
      <c r="C80" s="1" t="s">
        <v>1</v>
      </c>
      <c r="D80" s="1">
        <v>42</v>
      </c>
      <c r="E80" s="1" t="s">
        <v>1</v>
      </c>
      <c r="F80" s="1">
        <v>37</v>
      </c>
      <c r="G80" s="1">
        <v>0</v>
      </c>
    </row>
    <row r="81" spans="1:7" x14ac:dyDescent="0.3">
      <c r="A81" s="1">
        <v>2</v>
      </c>
      <c r="B81" s="1">
        <v>1</v>
      </c>
      <c r="C81" s="1" t="s">
        <v>1</v>
      </c>
      <c r="D81" s="1">
        <v>50</v>
      </c>
      <c r="E81" s="1" t="s">
        <v>1</v>
      </c>
      <c r="F81" s="1">
        <v>45</v>
      </c>
      <c r="G81" s="1">
        <v>0</v>
      </c>
    </row>
    <row r="82" spans="1:7" x14ac:dyDescent="0.3">
      <c r="A82" s="1">
        <v>2</v>
      </c>
      <c r="B82" s="1">
        <v>1</v>
      </c>
      <c r="C82" s="1" t="s">
        <v>1</v>
      </c>
      <c r="D82" s="1">
        <v>14</v>
      </c>
      <c r="E82" s="1" t="s">
        <v>1</v>
      </c>
      <c r="F82" s="1">
        <v>18</v>
      </c>
      <c r="G82" s="1">
        <v>1</v>
      </c>
    </row>
    <row r="83" spans="1:7" x14ac:dyDescent="0.3">
      <c r="A83" s="1">
        <v>2</v>
      </c>
      <c r="B83" s="1">
        <v>1</v>
      </c>
      <c r="C83" s="1" t="s">
        <v>1</v>
      </c>
      <c r="D83" s="1">
        <v>38</v>
      </c>
      <c r="E83" s="1" t="s">
        <v>1</v>
      </c>
      <c r="F83" s="1">
        <v>14</v>
      </c>
      <c r="G83" s="1">
        <v>0</v>
      </c>
    </row>
    <row r="84" spans="1:7" x14ac:dyDescent="0.3">
      <c r="A84" s="1">
        <v>2</v>
      </c>
      <c r="B84" s="1">
        <v>1</v>
      </c>
      <c r="C84" s="1" t="s">
        <v>1</v>
      </c>
      <c r="D84" s="1">
        <v>33</v>
      </c>
      <c r="E84" s="1" t="s">
        <v>1</v>
      </c>
      <c r="F84" s="1">
        <v>16</v>
      </c>
      <c r="G84" s="1">
        <v>0</v>
      </c>
    </row>
    <row r="85" spans="1:7" x14ac:dyDescent="0.3">
      <c r="A85" s="1">
        <v>2</v>
      </c>
      <c r="B85" s="1">
        <v>1</v>
      </c>
      <c r="C85" s="1" t="s">
        <v>1</v>
      </c>
      <c r="D85" s="1">
        <v>19</v>
      </c>
      <c r="E85" s="1" t="s">
        <v>1</v>
      </c>
      <c r="F85" s="1">
        <v>31</v>
      </c>
      <c r="G85" s="1">
        <v>1</v>
      </c>
    </row>
    <row r="86" spans="1:7" x14ac:dyDescent="0.3">
      <c r="A86" s="1">
        <v>2</v>
      </c>
      <c r="B86" s="1">
        <v>1</v>
      </c>
      <c r="C86" s="1" t="s">
        <v>1</v>
      </c>
      <c r="D86" s="1">
        <v>46</v>
      </c>
      <c r="E86" s="1" t="s">
        <v>1</v>
      </c>
      <c r="F86" s="1">
        <v>45</v>
      </c>
      <c r="G86" s="1">
        <v>0</v>
      </c>
    </row>
    <row r="87" spans="1:7" x14ac:dyDescent="0.3">
      <c r="A87" s="1">
        <v>2</v>
      </c>
      <c r="B87" s="1">
        <v>1</v>
      </c>
      <c r="C87" s="1" t="s">
        <v>1</v>
      </c>
      <c r="D87" s="1">
        <v>17</v>
      </c>
      <c r="E87" s="1" t="s">
        <v>1</v>
      </c>
      <c r="F87" s="1">
        <v>10</v>
      </c>
      <c r="G87" s="1">
        <v>0</v>
      </c>
    </row>
    <row r="88" spans="1:7" x14ac:dyDescent="0.3">
      <c r="A88" s="1">
        <v>2</v>
      </c>
      <c r="B88" s="1">
        <v>1</v>
      </c>
      <c r="C88" s="1" t="s">
        <v>1</v>
      </c>
      <c r="D88" s="1">
        <v>29</v>
      </c>
      <c r="E88" s="1" t="s">
        <v>1</v>
      </c>
      <c r="F88" s="1">
        <v>26</v>
      </c>
      <c r="G88" s="1">
        <v>0</v>
      </c>
    </row>
    <row r="89" spans="1:7" x14ac:dyDescent="0.3">
      <c r="A89" s="1">
        <v>2</v>
      </c>
      <c r="B89" s="1">
        <v>1</v>
      </c>
      <c r="C89" s="1" t="s">
        <v>1</v>
      </c>
      <c r="D89" s="1">
        <v>37</v>
      </c>
      <c r="E89" s="1" t="s">
        <v>1</v>
      </c>
      <c r="F89" s="1">
        <v>53</v>
      </c>
      <c r="G89" s="1">
        <v>1</v>
      </c>
    </row>
    <row r="90" spans="1:7" x14ac:dyDescent="0.3">
      <c r="A90" s="1">
        <v>2</v>
      </c>
      <c r="B90" s="1">
        <v>1</v>
      </c>
      <c r="C90" s="1" t="s">
        <v>1</v>
      </c>
      <c r="D90" s="1">
        <v>19</v>
      </c>
      <c r="E90" s="1" t="s">
        <v>1</v>
      </c>
      <c r="F90" s="1">
        <v>11</v>
      </c>
      <c r="G90" s="1">
        <v>0</v>
      </c>
    </row>
    <row r="91" spans="1:7" x14ac:dyDescent="0.3">
      <c r="A91" s="1">
        <v>2</v>
      </c>
      <c r="B91" s="1">
        <v>1</v>
      </c>
      <c r="C91" s="1" t="s">
        <v>1</v>
      </c>
      <c r="D91" s="1">
        <v>5</v>
      </c>
      <c r="E91" s="1" t="s">
        <v>1</v>
      </c>
      <c r="F91" s="1">
        <v>4</v>
      </c>
      <c r="G91" s="1">
        <v>0</v>
      </c>
    </row>
    <row r="92" spans="1:7" x14ac:dyDescent="0.3">
      <c r="A92" s="1">
        <v>2</v>
      </c>
      <c r="B92" s="1">
        <v>1</v>
      </c>
      <c r="C92" s="1" t="s">
        <v>1</v>
      </c>
      <c r="D92" s="1">
        <v>36</v>
      </c>
      <c r="E92" s="1" t="s">
        <v>1</v>
      </c>
      <c r="F92" s="1">
        <v>25</v>
      </c>
      <c r="G92" s="1">
        <v>0</v>
      </c>
    </row>
    <row r="93" spans="1:7" x14ac:dyDescent="0.3">
      <c r="A93" s="1">
        <v>2</v>
      </c>
      <c r="B93" s="1">
        <v>1</v>
      </c>
      <c r="C93" s="1" t="s">
        <v>1</v>
      </c>
      <c r="D93" s="1">
        <v>33</v>
      </c>
      <c r="E93" s="1" t="s">
        <v>1</v>
      </c>
      <c r="F93" s="1">
        <v>23</v>
      </c>
      <c r="G93" s="1">
        <v>0</v>
      </c>
    </row>
    <row r="94" spans="1:7" x14ac:dyDescent="0.3">
      <c r="A94" s="1">
        <v>2</v>
      </c>
      <c r="B94" s="1">
        <v>1</v>
      </c>
      <c r="C94" s="1" t="s">
        <v>1</v>
      </c>
      <c r="D94" s="1">
        <v>11</v>
      </c>
      <c r="E94" s="1" t="s">
        <v>1</v>
      </c>
      <c r="F94" s="1">
        <v>21</v>
      </c>
      <c r="G94" s="1">
        <v>1</v>
      </c>
    </row>
    <row r="95" spans="1:7" x14ac:dyDescent="0.3">
      <c r="A95" s="1">
        <v>2</v>
      </c>
      <c r="B95" s="1">
        <v>1</v>
      </c>
      <c r="C95" s="1" t="s">
        <v>1</v>
      </c>
      <c r="D95" s="1">
        <v>34</v>
      </c>
      <c r="E95" s="1" t="s">
        <v>1</v>
      </c>
      <c r="F95" s="1">
        <v>35</v>
      </c>
      <c r="G95" s="1">
        <v>1</v>
      </c>
    </row>
    <row r="96" spans="1:7" x14ac:dyDescent="0.3">
      <c r="A96" s="1">
        <v>2</v>
      </c>
      <c r="B96" s="1">
        <v>1</v>
      </c>
      <c r="C96" s="1" t="s">
        <v>1</v>
      </c>
      <c r="D96" s="1">
        <v>45</v>
      </c>
      <c r="E96" s="1" t="s">
        <v>1</v>
      </c>
      <c r="F96" s="1">
        <v>12</v>
      </c>
      <c r="G96" s="1">
        <v>0</v>
      </c>
    </row>
    <row r="97" spans="1:7" x14ac:dyDescent="0.3">
      <c r="A97" s="1">
        <v>2</v>
      </c>
      <c r="B97" s="1">
        <v>1</v>
      </c>
      <c r="C97" s="1" t="s">
        <v>1</v>
      </c>
      <c r="D97" s="1">
        <v>57</v>
      </c>
      <c r="E97" s="1" t="s">
        <v>1</v>
      </c>
      <c r="F97" s="1">
        <v>24</v>
      </c>
      <c r="G97" s="1">
        <v>0</v>
      </c>
    </row>
    <row r="98" spans="1:7" x14ac:dyDescent="0.3">
      <c r="A98" s="1">
        <v>2</v>
      </c>
      <c r="B98" s="1">
        <v>1</v>
      </c>
      <c r="C98" s="1" t="s">
        <v>1</v>
      </c>
      <c r="D98" s="1">
        <v>41</v>
      </c>
      <c r="E98" s="1" t="s">
        <v>1</v>
      </c>
      <c r="F98" s="1">
        <v>55</v>
      </c>
      <c r="G98" s="1">
        <v>1</v>
      </c>
    </row>
    <row r="99" spans="1:7" x14ac:dyDescent="0.3">
      <c r="A99" s="1">
        <v>2</v>
      </c>
      <c r="B99" s="1">
        <v>1</v>
      </c>
      <c r="C99" s="1" t="s">
        <v>1</v>
      </c>
      <c r="D99" s="1">
        <v>18</v>
      </c>
      <c r="E99" s="1" t="s">
        <v>1</v>
      </c>
      <c r="F99" s="1">
        <v>33</v>
      </c>
      <c r="G99" s="1">
        <v>1</v>
      </c>
    </row>
    <row r="100" spans="1:7" x14ac:dyDescent="0.3">
      <c r="A100" s="1">
        <v>2</v>
      </c>
      <c r="B100" s="1">
        <v>1</v>
      </c>
      <c r="C100" s="1" t="s">
        <v>1</v>
      </c>
      <c r="D100" s="1">
        <v>47</v>
      </c>
      <c r="E100" s="1" t="s">
        <v>1</v>
      </c>
      <c r="F100" s="1">
        <v>46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3955-2896-4026-9D87-C4901D784F1A}">
  <dimension ref="A1:Q100"/>
  <sheetViews>
    <sheetView workbookViewId="0">
      <selection activeCell="J19" sqref="J19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24</v>
      </c>
      <c r="D1" s="1">
        <v>30</v>
      </c>
      <c r="E1" s="1" t="s">
        <v>24</v>
      </c>
      <c r="F1" s="1">
        <v>33</v>
      </c>
      <c r="G1" s="1">
        <v>1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24</v>
      </c>
      <c r="D2" s="1">
        <v>40</v>
      </c>
      <c r="E2" s="1" t="s">
        <v>24</v>
      </c>
      <c r="F2" s="1">
        <v>39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24</v>
      </c>
      <c r="D3" s="1">
        <v>30</v>
      </c>
      <c r="E3" s="1" t="s">
        <v>24</v>
      </c>
      <c r="F3" s="1">
        <v>11</v>
      </c>
      <c r="G3" s="1">
        <v>0</v>
      </c>
      <c r="I3" s="5" t="s">
        <v>6</v>
      </c>
      <c r="J3" s="5"/>
      <c r="K3" s="9">
        <f>COUNTIF($G$1:$G$100, 0)</f>
        <v>52</v>
      </c>
      <c r="L3" s="9"/>
      <c r="M3" s="9">
        <f>COUNTIFS($G$1:$G$100, 0, $B$1:$B$100, 0)</f>
        <v>29</v>
      </c>
      <c r="N3" s="9"/>
      <c r="O3" s="10">
        <f>COUNTIFS($G$1:$G$100, 0, $B$1:$B$100, 1)</f>
        <v>23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24</v>
      </c>
      <c r="D4" s="1">
        <v>21</v>
      </c>
      <c r="E4" s="1" t="s">
        <v>24</v>
      </c>
      <c r="F4" s="1">
        <v>20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24</v>
      </c>
      <c r="D5" s="1">
        <v>27</v>
      </c>
      <c r="E5" s="1" t="s">
        <v>24</v>
      </c>
      <c r="F5" s="1">
        <v>27</v>
      </c>
      <c r="G5" s="1">
        <v>0</v>
      </c>
      <c r="I5" s="5" t="s">
        <v>7</v>
      </c>
      <c r="J5" s="5"/>
      <c r="K5" s="14">
        <f>COUNTIF($G$1:$G$100, 1)</f>
        <v>48</v>
      </c>
      <c r="L5" s="9"/>
      <c r="M5" s="9">
        <f>COUNTIFS($G$1:$G$100, 1, $B$1:$B$100, 0)</f>
        <v>21</v>
      </c>
      <c r="N5" s="9"/>
      <c r="O5" s="9">
        <f>COUNTIFS($G$1:$G$100, 1, $B$1:$B$100, 1)</f>
        <v>27</v>
      </c>
      <c r="P5" s="13"/>
      <c r="Q5"/>
    </row>
    <row r="6" spans="1:17" x14ac:dyDescent="0.3">
      <c r="A6" s="1">
        <v>2</v>
      </c>
      <c r="B6" s="1">
        <v>0</v>
      </c>
      <c r="C6" s="1" t="s">
        <v>24</v>
      </c>
      <c r="D6" s="1">
        <v>41</v>
      </c>
      <c r="E6" s="1" t="s">
        <v>24</v>
      </c>
      <c r="F6" s="1">
        <v>49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24</v>
      </c>
      <c r="D7" s="1">
        <v>45</v>
      </c>
      <c r="E7" s="1" t="s">
        <v>24</v>
      </c>
      <c r="F7" s="1">
        <v>50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24</v>
      </c>
      <c r="D8" s="1">
        <v>49</v>
      </c>
      <c r="E8" s="1" t="s">
        <v>24</v>
      </c>
      <c r="F8" s="1">
        <v>52</v>
      </c>
      <c r="G8" s="1">
        <v>1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24</v>
      </c>
      <c r="D9" s="1">
        <v>34</v>
      </c>
      <c r="E9" s="1" t="s">
        <v>24</v>
      </c>
      <c r="F9" s="1">
        <v>10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24</v>
      </c>
      <c r="D10" s="1">
        <v>11</v>
      </c>
      <c r="E10" s="1" t="s">
        <v>24</v>
      </c>
      <c r="F10" s="1">
        <v>28</v>
      </c>
      <c r="G10" s="1">
        <v>1</v>
      </c>
      <c r="I10" s="5" t="s">
        <v>10</v>
      </c>
      <c r="J10" s="5"/>
      <c r="K10" s="9">
        <f>AVERAGE($D$1:$D$100,)</f>
        <v>33.356435643564353</v>
      </c>
      <c r="L10" s="9"/>
      <c r="M10" s="9" cm="1">
        <f t="array" ref="M10">AVERAGE(_xlfn._xlws.FILTER($D$1:$D$100,$G$1:$G$100 = 0))</f>
        <v>39.32692307692308</v>
      </c>
      <c r="N10" s="9"/>
      <c r="O10" s="10" cm="1">
        <f t="array" ref="O10">AVERAGE(_xlfn._xlws.FILTER($D$1:$D$100,$G$1:$G$100 = 1))</f>
        <v>27.583333333333332</v>
      </c>
      <c r="P10" s="11"/>
      <c r="Q10"/>
    </row>
    <row r="11" spans="1:17" x14ac:dyDescent="0.3">
      <c r="A11" s="1">
        <v>2</v>
      </c>
      <c r="B11" s="1">
        <v>0</v>
      </c>
      <c r="C11" s="1" t="s">
        <v>24</v>
      </c>
      <c r="D11" s="1">
        <v>48</v>
      </c>
      <c r="E11" s="1" t="s">
        <v>24</v>
      </c>
      <c r="F11" s="1">
        <v>41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24</v>
      </c>
      <c r="D12" s="1">
        <v>31</v>
      </c>
      <c r="E12" s="1" t="s">
        <v>24</v>
      </c>
      <c r="F12" s="1">
        <v>52</v>
      </c>
      <c r="G12" s="1">
        <v>1</v>
      </c>
      <c r="I12" s="5" t="s">
        <v>11</v>
      </c>
      <c r="J12" s="5"/>
      <c r="K12" s="9">
        <f>AVERAGE($F$1:$F$100,)</f>
        <v>32.89108910891089</v>
      </c>
      <c r="L12" s="9"/>
      <c r="M12" s="9" cm="1">
        <f t="array" ref="M12">AVERAGE(_xlfn._xlws.FILTER($F$1:$F$100,$G$1:$G$100 = 0))</f>
        <v>26.692307692307693</v>
      </c>
      <c r="N12" s="9"/>
      <c r="O12" s="9" cm="1">
        <f t="array" ref="O12">AVERAGE(_xlfn._xlws.FILTER($F$1:$F$100,$G$1:$G$100 = 1))</f>
        <v>40.291666666666664</v>
      </c>
      <c r="P12" s="13"/>
      <c r="Q12"/>
    </row>
    <row r="13" spans="1:17" x14ac:dyDescent="0.3">
      <c r="A13" s="1">
        <v>2</v>
      </c>
      <c r="B13" s="1">
        <v>0</v>
      </c>
      <c r="C13" s="1" t="s">
        <v>24</v>
      </c>
      <c r="D13" s="1">
        <v>31</v>
      </c>
      <c r="E13" s="1" t="s">
        <v>24</v>
      </c>
      <c r="F13" s="1">
        <v>28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24</v>
      </c>
      <c r="D14" s="1">
        <v>43</v>
      </c>
      <c r="E14" s="1" t="s">
        <v>24</v>
      </c>
      <c r="F14" s="1">
        <v>28</v>
      </c>
      <c r="G14" s="1">
        <v>0</v>
      </c>
      <c r="I14" s="22" t="s">
        <v>12</v>
      </c>
      <c r="J14" s="11"/>
      <c r="K14" s="23" cm="1">
        <f t="array" ref="K14">AVERAGE($D$1:$D$100 - $F$1:$F$100)</f>
        <v>0.47</v>
      </c>
      <c r="L14" s="23"/>
      <c r="M14" s="23" cm="1">
        <f t="array" ref="M14">AVERAGE(_xlfn._xlws.FILTER($D$1:$D$100 - $F$1:$F$100, G$1:G$100 = 0))</f>
        <v>12.634615384615385</v>
      </c>
      <c r="N14" s="23"/>
      <c r="O14" s="23" cm="1">
        <f t="array" ref="O14">AVERAGE(_xlfn._xlws.FILTER($D$1:$D$100 - $F$1:$F$100, G$1:G$100 = 1))</f>
        <v>-12.708333333333334</v>
      </c>
      <c r="P14" s="24"/>
      <c r="Q14"/>
    </row>
    <row r="15" spans="1:17" x14ac:dyDescent="0.3">
      <c r="A15" s="1">
        <v>2</v>
      </c>
      <c r="B15" s="1">
        <v>0</v>
      </c>
      <c r="C15" s="1" t="s">
        <v>24</v>
      </c>
      <c r="D15" s="1">
        <v>51</v>
      </c>
      <c r="E15" s="1" t="s">
        <v>24</v>
      </c>
      <c r="F15" s="1">
        <v>32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24</v>
      </c>
      <c r="D16" s="1">
        <v>34</v>
      </c>
      <c r="E16" s="1" t="s">
        <v>24</v>
      </c>
      <c r="F16" s="1">
        <v>30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24</v>
      </c>
      <c r="D17" s="1">
        <v>48</v>
      </c>
      <c r="E17" s="1" t="s">
        <v>24</v>
      </c>
      <c r="F17" s="1">
        <v>24</v>
      </c>
      <c r="G17" s="1">
        <v>0</v>
      </c>
    </row>
    <row r="18" spans="1:7" x14ac:dyDescent="0.3">
      <c r="A18" s="1">
        <v>2</v>
      </c>
      <c r="B18" s="1">
        <v>0</v>
      </c>
      <c r="C18" s="1" t="s">
        <v>24</v>
      </c>
      <c r="D18" s="1">
        <v>37</v>
      </c>
      <c r="E18" s="1" t="s">
        <v>24</v>
      </c>
      <c r="F18" s="1">
        <v>30</v>
      </c>
      <c r="G18" s="1">
        <v>0</v>
      </c>
    </row>
    <row r="19" spans="1:7" x14ac:dyDescent="0.3">
      <c r="A19" s="1">
        <v>2</v>
      </c>
      <c r="B19" s="1">
        <v>0</v>
      </c>
      <c r="C19" s="1" t="s">
        <v>24</v>
      </c>
      <c r="D19" s="1">
        <v>55</v>
      </c>
      <c r="E19" s="1" t="s">
        <v>24</v>
      </c>
      <c r="F19" s="1">
        <v>27</v>
      </c>
      <c r="G19" s="1">
        <v>0</v>
      </c>
    </row>
    <row r="20" spans="1:7" x14ac:dyDescent="0.3">
      <c r="A20" s="1">
        <v>2</v>
      </c>
      <c r="B20" s="1">
        <v>0</v>
      </c>
      <c r="C20" s="1" t="s">
        <v>24</v>
      </c>
      <c r="D20" s="1">
        <v>54</v>
      </c>
      <c r="E20" s="1" t="s">
        <v>24</v>
      </c>
      <c r="F20" s="1">
        <v>30</v>
      </c>
      <c r="G20" s="1">
        <v>0</v>
      </c>
    </row>
    <row r="21" spans="1:7" x14ac:dyDescent="0.3">
      <c r="A21" s="1">
        <v>2</v>
      </c>
      <c r="B21" s="1">
        <v>0</v>
      </c>
      <c r="C21" s="1" t="s">
        <v>24</v>
      </c>
      <c r="D21" s="1">
        <v>21</v>
      </c>
      <c r="E21" s="1" t="s">
        <v>24</v>
      </c>
      <c r="F21" s="1">
        <v>22</v>
      </c>
      <c r="G21" s="1">
        <v>1</v>
      </c>
    </row>
    <row r="22" spans="1:7" x14ac:dyDescent="0.3">
      <c r="A22" s="1">
        <v>2</v>
      </c>
      <c r="B22" s="1">
        <v>0</v>
      </c>
      <c r="C22" s="1" t="s">
        <v>24</v>
      </c>
      <c r="D22" s="1">
        <v>25</v>
      </c>
      <c r="E22" s="1" t="s">
        <v>24</v>
      </c>
      <c r="F22" s="1">
        <v>43</v>
      </c>
      <c r="G22" s="1">
        <v>1</v>
      </c>
    </row>
    <row r="23" spans="1:7" x14ac:dyDescent="0.3">
      <c r="A23" s="1">
        <v>2</v>
      </c>
      <c r="B23" s="1">
        <v>0</v>
      </c>
      <c r="C23" s="1" t="s">
        <v>24</v>
      </c>
      <c r="D23" s="1">
        <v>28</v>
      </c>
      <c r="E23" s="1" t="s">
        <v>24</v>
      </c>
      <c r="F23" s="1">
        <v>42</v>
      </c>
      <c r="G23" s="1">
        <v>1</v>
      </c>
    </row>
    <row r="24" spans="1:7" x14ac:dyDescent="0.3">
      <c r="A24" s="1">
        <v>2</v>
      </c>
      <c r="B24" s="1">
        <v>0</v>
      </c>
      <c r="C24" s="1" t="s">
        <v>24</v>
      </c>
      <c r="D24" s="1">
        <v>21</v>
      </c>
      <c r="E24" s="1" t="s">
        <v>24</v>
      </c>
      <c r="F24" s="1">
        <v>36</v>
      </c>
      <c r="G24" s="1">
        <v>1</v>
      </c>
    </row>
    <row r="25" spans="1:7" x14ac:dyDescent="0.3">
      <c r="A25" s="1">
        <v>2</v>
      </c>
      <c r="B25" s="1">
        <v>0</v>
      </c>
      <c r="C25" s="1" t="s">
        <v>24</v>
      </c>
      <c r="D25" s="1">
        <v>59</v>
      </c>
      <c r="E25" s="1" t="s">
        <v>24</v>
      </c>
      <c r="F25" s="1">
        <v>41</v>
      </c>
      <c r="G25" s="1">
        <v>0</v>
      </c>
    </row>
    <row r="26" spans="1:7" x14ac:dyDescent="0.3">
      <c r="A26" s="1">
        <v>2</v>
      </c>
      <c r="B26" s="1">
        <v>0</v>
      </c>
      <c r="C26" s="1" t="s">
        <v>24</v>
      </c>
      <c r="D26" s="1">
        <v>36</v>
      </c>
      <c r="E26" s="1" t="s">
        <v>24</v>
      </c>
      <c r="F26" s="1">
        <v>33</v>
      </c>
      <c r="G26" s="1">
        <v>0</v>
      </c>
    </row>
    <row r="27" spans="1:7" x14ac:dyDescent="0.3">
      <c r="A27" s="1">
        <v>2</v>
      </c>
      <c r="B27" s="1">
        <v>0</v>
      </c>
      <c r="C27" s="1" t="s">
        <v>24</v>
      </c>
      <c r="D27" s="1">
        <v>38</v>
      </c>
      <c r="E27" s="1" t="s">
        <v>24</v>
      </c>
      <c r="F27" s="1">
        <v>65</v>
      </c>
      <c r="G27" s="1">
        <v>1</v>
      </c>
    </row>
    <row r="28" spans="1:7" x14ac:dyDescent="0.3">
      <c r="A28" s="1">
        <v>2</v>
      </c>
      <c r="B28" s="1">
        <v>0</v>
      </c>
      <c r="C28" s="1" t="s">
        <v>24</v>
      </c>
      <c r="D28" s="1">
        <v>45</v>
      </c>
      <c r="E28" s="1" t="s">
        <v>24</v>
      </c>
      <c r="F28" s="1">
        <v>22</v>
      </c>
      <c r="G28" s="1">
        <v>0</v>
      </c>
    </row>
    <row r="29" spans="1:7" x14ac:dyDescent="0.3">
      <c r="A29" s="1">
        <v>2</v>
      </c>
      <c r="B29" s="1">
        <v>0</v>
      </c>
      <c r="C29" s="1" t="s">
        <v>24</v>
      </c>
      <c r="D29" s="1">
        <v>33</v>
      </c>
      <c r="E29" s="1" t="s">
        <v>24</v>
      </c>
      <c r="F29" s="1">
        <v>20</v>
      </c>
      <c r="G29" s="1">
        <v>0</v>
      </c>
    </row>
    <row r="30" spans="1:7" x14ac:dyDescent="0.3">
      <c r="A30" s="1">
        <v>2</v>
      </c>
      <c r="B30" s="1">
        <v>0</v>
      </c>
      <c r="C30" s="1" t="s">
        <v>24</v>
      </c>
      <c r="D30" s="1">
        <v>55</v>
      </c>
      <c r="E30" s="1" t="s">
        <v>24</v>
      </c>
      <c r="F30" s="1">
        <v>45</v>
      </c>
      <c r="G30" s="1">
        <v>0</v>
      </c>
    </row>
    <row r="31" spans="1:7" x14ac:dyDescent="0.3">
      <c r="A31" s="1">
        <v>2</v>
      </c>
      <c r="B31" s="1">
        <v>0</v>
      </c>
      <c r="C31" s="1" t="s">
        <v>24</v>
      </c>
      <c r="D31" s="1">
        <v>33</v>
      </c>
      <c r="E31" s="1" t="s">
        <v>24</v>
      </c>
      <c r="F31" s="1">
        <v>11</v>
      </c>
      <c r="G31" s="1">
        <v>0</v>
      </c>
    </row>
    <row r="32" spans="1:7" x14ac:dyDescent="0.3">
      <c r="A32" s="1">
        <v>2</v>
      </c>
      <c r="B32" s="1">
        <v>0</v>
      </c>
      <c r="C32" s="1" t="s">
        <v>24</v>
      </c>
      <c r="D32" s="1">
        <v>39</v>
      </c>
      <c r="E32" s="1" t="s">
        <v>24</v>
      </c>
      <c r="F32" s="1">
        <v>30</v>
      </c>
      <c r="G32" s="1">
        <v>0</v>
      </c>
    </row>
    <row r="33" spans="1:7" x14ac:dyDescent="0.3">
      <c r="A33" s="1">
        <v>2</v>
      </c>
      <c r="B33" s="1">
        <v>0</v>
      </c>
      <c r="C33" s="1" t="s">
        <v>24</v>
      </c>
      <c r="D33" s="1">
        <v>31</v>
      </c>
      <c r="E33" s="1" t="s">
        <v>24</v>
      </c>
      <c r="F33" s="1">
        <v>50</v>
      </c>
      <c r="G33" s="1">
        <v>1</v>
      </c>
    </row>
    <row r="34" spans="1:7" x14ac:dyDescent="0.3">
      <c r="A34" s="1">
        <v>2</v>
      </c>
      <c r="B34" s="1">
        <v>0</v>
      </c>
      <c r="C34" s="1" t="s">
        <v>24</v>
      </c>
      <c r="D34" s="1">
        <v>47</v>
      </c>
      <c r="E34" s="1" t="s">
        <v>24</v>
      </c>
      <c r="F34" s="1">
        <v>9</v>
      </c>
      <c r="G34" s="1">
        <v>0</v>
      </c>
    </row>
    <row r="35" spans="1:7" x14ac:dyDescent="0.3">
      <c r="A35" s="1">
        <v>2</v>
      </c>
      <c r="B35" s="1">
        <v>0</v>
      </c>
      <c r="C35" s="1" t="s">
        <v>24</v>
      </c>
      <c r="D35" s="1">
        <v>20</v>
      </c>
      <c r="E35" s="1" t="s">
        <v>24</v>
      </c>
      <c r="F35" s="1">
        <v>26</v>
      </c>
      <c r="G35" s="1">
        <v>1</v>
      </c>
    </row>
    <row r="36" spans="1:7" x14ac:dyDescent="0.3">
      <c r="A36" s="1">
        <v>2</v>
      </c>
      <c r="B36" s="1">
        <v>0</v>
      </c>
      <c r="C36" s="1" t="s">
        <v>24</v>
      </c>
      <c r="D36" s="1">
        <v>69</v>
      </c>
      <c r="E36" s="1" t="s">
        <v>24</v>
      </c>
      <c r="F36" s="1">
        <v>67</v>
      </c>
      <c r="G36" s="1">
        <v>0</v>
      </c>
    </row>
    <row r="37" spans="1:7" x14ac:dyDescent="0.3">
      <c r="A37" s="1">
        <v>2</v>
      </c>
      <c r="B37" s="1">
        <v>0</v>
      </c>
      <c r="C37" s="1" t="s">
        <v>24</v>
      </c>
      <c r="D37" s="1">
        <v>40</v>
      </c>
      <c r="E37" s="1" t="s">
        <v>24</v>
      </c>
      <c r="F37" s="1">
        <v>37</v>
      </c>
      <c r="G37" s="1">
        <v>0</v>
      </c>
    </row>
    <row r="38" spans="1:7" x14ac:dyDescent="0.3">
      <c r="A38" s="1">
        <v>2</v>
      </c>
      <c r="B38" s="1">
        <v>0</v>
      </c>
      <c r="C38" s="1" t="s">
        <v>24</v>
      </c>
      <c r="D38" s="1">
        <v>30</v>
      </c>
      <c r="E38" s="1" t="s">
        <v>24</v>
      </c>
      <c r="F38" s="1">
        <v>49</v>
      </c>
      <c r="G38" s="1">
        <v>1</v>
      </c>
    </row>
    <row r="39" spans="1:7" x14ac:dyDescent="0.3">
      <c r="A39" s="1">
        <v>2</v>
      </c>
      <c r="B39" s="1">
        <v>0</v>
      </c>
      <c r="C39" s="1" t="s">
        <v>24</v>
      </c>
      <c r="D39" s="1">
        <v>30</v>
      </c>
      <c r="E39" s="1" t="s">
        <v>24</v>
      </c>
      <c r="F39" s="1">
        <v>51</v>
      </c>
      <c r="G39" s="1">
        <v>1</v>
      </c>
    </row>
    <row r="40" spans="1:7" x14ac:dyDescent="0.3">
      <c r="A40" s="1">
        <v>2</v>
      </c>
      <c r="B40" s="1">
        <v>0</v>
      </c>
      <c r="C40" s="1" t="s">
        <v>24</v>
      </c>
      <c r="D40" s="1">
        <v>16</v>
      </c>
      <c r="E40" s="1" t="s">
        <v>24</v>
      </c>
      <c r="F40" s="1">
        <v>3</v>
      </c>
      <c r="G40" s="1">
        <v>0</v>
      </c>
    </row>
    <row r="41" spans="1:7" x14ac:dyDescent="0.3">
      <c r="A41" s="1">
        <v>2</v>
      </c>
      <c r="B41" s="1">
        <v>0</v>
      </c>
      <c r="C41" s="1" t="s">
        <v>24</v>
      </c>
      <c r="D41" s="1">
        <v>39</v>
      </c>
      <c r="E41" s="1" t="s">
        <v>24</v>
      </c>
      <c r="F41" s="1">
        <v>30</v>
      </c>
      <c r="G41" s="1">
        <v>0</v>
      </c>
    </row>
    <row r="42" spans="1:7" x14ac:dyDescent="0.3">
      <c r="A42" s="1">
        <v>2</v>
      </c>
      <c r="B42" s="1">
        <v>0</v>
      </c>
      <c r="C42" s="1" t="s">
        <v>24</v>
      </c>
      <c r="D42" s="1">
        <v>34</v>
      </c>
      <c r="E42" s="1" t="s">
        <v>24</v>
      </c>
      <c r="F42" s="1">
        <v>39</v>
      </c>
      <c r="G42" s="1">
        <v>1</v>
      </c>
    </row>
    <row r="43" spans="1:7" x14ac:dyDescent="0.3">
      <c r="A43" s="1">
        <v>2</v>
      </c>
      <c r="B43" s="1">
        <v>0</v>
      </c>
      <c r="C43" s="1" t="s">
        <v>24</v>
      </c>
      <c r="D43" s="1">
        <v>25</v>
      </c>
      <c r="E43" s="1" t="s">
        <v>24</v>
      </c>
      <c r="F43" s="1">
        <v>40</v>
      </c>
      <c r="G43" s="1">
        <v>1</v>
      </c>
    </row>
    <row r="44" spans="1:7" x14ac:dyDescent="0.3">
      <c r="A44" s="1">
        <v>2</v>
      </c>
      <c r="B44" s="1">
        <v>0</v>
      </c>
      <c r="C44" s="1" t="s">
        <v>24</v>
      </c>
      <c r="D44" s="1">
        <v>19</v>
      </c>
      <c r="E44" s="1" t="s">
        <v>24</v>
      </c>
      <c r="F44" s="1">
        <v>25</v>
      </c>
      <c r="G44" s="1">
        <v>1</v>
      </c>
    </row>
    <row r="45" spans="1:7" x14ac:dyDescent="0.3">
      <c r="A45" s="1">
        <v>2</v>
      </c>
      <c r="B45" s="1">
        <v>0</v>
      </c>
      <c r="C45" s="1" t="s">
        <v>24</v>
      </c>
      <c r="D45" s="1">
        <v>43</v>
      </c>
      <c r="E45" s="1" t="s">
        <v>24</v>
      </c>
      <c r="F45" s="1">
        <v>44</v>
      </c>
      <c r="G45" s="1">
        <v>1</v>
      </c>
    </row>
    <row r="46" spans="1:7" x14ac:dyDescent="0.3">
      <c r="A46" s="1">
        <v>2</v>
      </c>
      <c r="B46" s="1">
        <v>0</v>
      </c>
      <c r="C46" s="1" t="s">
        <v>24</v>
      </c>
      <c r="D46" s="1">
        <v>25</v>
      </c>
      <c r="E46" s="1" t="s">
        <v>24</v>
      </c>
      <c r="F46" s="1">
        <v>20</v>
      </c>
      <c r="G46" s="1">
        <v>0</v>
      </c>
    </row>
    <row r="47" spans="1:7" x14ac:dyDescent="0.3">
      <c r="A47" s="1">
        <v>2</v>
      </c>
      <c r="B47" s="1">
        <v>0</v>
      </c>
      <c r="C47" s="1" t="s">
        <v>24</v>
      </c>
      <c r="D47" s="1">
        <v>24</v>
      </c>
      <c r="E47" s="1" t="s">
        <v>24</v>
      </c>
      <c r="F47" s="1">
        <v>25</v>
      </c>
      <c r="G47" s="1">
        <v>1</v>
      </c>
    </row>
    <row r="48" spans="1:7" x14ac:dyDescent="0.3">
      <c r="A48" s="1">
        <v>2</v>
      </c>
      <c r="B48" s="1">
        <v>0</v>
      </c>
      <c r="C48" s="1" t="s">
        <v>24</v>
      </c>
      <c r="D48" s="1">
        <v>32</v>
      </c>
      <c r="E48" s="1" t="s">
        <v>24</v>
      </c>
      <c r="F48" s="1">
        <v>22</v>
      </c>
      <c r="G48" s="1">
        <v>0</v>
      </c>
    </row>
    <row r="49" spans="1:7" x14ac:dyDescent="0.3">
      <c r="A49" s="1">
        <v>2</v>
      </c>
      <c r="B49" s="1">
        <v>0</v>
      </c>
      <c r="C49" s="1" t="s">
        <v>24</v>
      </c>
      <c r="D49" s="1">
        <v>21</v>
      </c>
      <c r="E49" s="1" t="s">
        <v>24</v>
      </c>
      <c r="F49" s="1">
        <v>22</v>
      </c>
      <c r="G49" s="1">
        <v>1</v>
      </c>
    </row>
    <row r="50" spans="1:7" x14ac:dyDescent="0.3">
      <c r="A50" s="1">
        <v>2</v>
      </c>
      <c r="B50" s="1">
        <v>0</v>
      </c>
      <c r="C50" s="1" t="s">
        <v>24</v>
      </c>
      <c r="D50" s="1">
        <v>53</v>
      </c>
      <c r="E50" s="1" t="s">
        <v>24</v>
      </c>
      <c r="F50" s="1">
        <v>37</v>
      </c>
      <c r="G50" s="1">
        <v>0</v>
      </c>
    </row>
    <row r="51" spans="1:7" x14ac:dyDescent="0.3">
      <c r="A51" s="1">
        <v>2</v>
      </c>
      <c r="B51" s="1">
        <v>1</v>
      </c>
      <c r="C51" s="1" t="s">
        <v>24</v>
      </c>
      <c r="D51" s="1">
        <v>32</v>
      </c>
      <c r="E51" s="1" t="s">
        <v>24</v>
      </c>
      <c r="F51" s="1">
        <v>21</v>
      </c>
      <c r="G51" s="1">
        <v>0</v>
      </c>
    </row>
    <row r="52" spans="1:7" x14ac:dyDescent="0.3">
      <c r="A52" s="1">
        <v>2</v>
      </c>
      <c r="B52" s="1">
        <v>1</v>
      </c>
      <c r="C52" s="1" t="s">
        <v>24</v>
      </c>
      <c r="D52" s="1">
        <v>20</v>
      </c>
      <c r="E52" s="1" t="s">
        <v>24</v>
      </c>
      <c r="F52" s="1">
        <v>34</v>
      </c>
      <c r="G52" s="1">
        <v>1</v>
      </c>
    </row>
    <row r="53" spans="1:7" x14ac:dyDescent="0.3">
      <c r="A53" s="1">
        <v>2</v>
      </c>
      <c r="B53" s="1">
        <v>1</v>
      </c>
      <c r="C53" s="1" t="s">
        <v>24</v>
      </c>
      <c r="D53" s="1">
        <v>9</v>
      </c>
      <c r="E53" s="1" t="s">
        <v>24</v>
      </c>
      <c r="F53" s="1">
        <v>29</v>
      </c>
      <c r="G53" s="1">
        <v>1</v>
      </c>
    </row>
    <row r="54" spans="1:7" x14ac:dyDescent="0.3">
      <c r="A54" s="1">
        <v>2</v>
      </c>
      <c r="B54" s="1">
        <v>1</v>
      </c>
      <c r="C54" s="1" t="s">
        <v>24</v>
      </c>
      <c r="D54" s="1">
        <v>35</v>
      </c>
      <c r="E54" s="1" t="s">
        <v>24</v>
      </c>
      <c r="F54" s="1">
        <v>13</v>
      </c>
      <c r="G54" s="1">
        <v>0</v>
      </c>
    </row>
    <row r="55" spans="1:7" x14ac:dyDescent="0.3">
      <c r="A55" s="1">
        <v>2</v>
      </c>
      <c r="B55" s="1">
        <v>1</v>
      </c>
      <c r="C55" s="1" t="s">
        <v>24</v>
      </c>
      <c r="D55" s="1">
        <v>17</v>
      </c>
      <c r="E55" s="1" t="s">
        <v>24</v>
      </c>
      <c r="F55" s="1">
        <v>50</v>
      </c>
      <c r="G55" s="1">
        <v>1</v>
      </c>
    </row>
    <row r="56" spans="1:7" x14ac:dyDescent="0.3">
      <c r="A56" s="1">
        <v>2</v>
      </c>
      <c r="B56" s="1">
        <v>1</v>
      </c>
      <c r="C56" s="1" t="s">
        <v>24</v>
      </c>
      <c r="D56" s="1">
        <v>47</v>
      </c>
      <c r="E56" s="1" t="s">
        <v>24</v>
      </c>
      <c r="F56" s="1">
        <v>37</v>
      </c>
      <c r="G56" s="1">
        <v>0</v>
      </c>
    </row>
    <row r="57" spans="1:7" x14ac:dyDescent="0.3">
      <c r="A57" s="1">
        <v>2</v>
      </c>
      <c r="B57" s="1">
        <v>1</v>
      </c>
      <c r="C57" s="1" t="s">
        <v>24</v>
      </c>
      <c r="D57" s="1">
        <v>37</v>
      </c>
      <c r="E57" s="1" t="s">
        <v>24</v>
      </c>
      <c r="F57" s="1">
        <v>16</v>
      </c>
      <c r="G57" s="1">
        <v>0</v>
      </c>
    </row>
    <row r="58" spans="1:7" x14ac:dyDescent="0.3">
      <c r="A58" s="1">
        <v>2</v>
      </c>
      <c r="B58" s="1">
        <v>1</v>
      </c>
      <c r="C58" s="1" t="s">
        <v>24</v>
      </c>
      <c r="D58" s="1">
        <v>15</v>
      </c>
      <c r="E58" s="1" t="s">
        <v>24</v>
      </c>
      <c r="F58" s="1">
        <v>21</v>
      </c>
      <c r="G58" s="1">
        <v>1</v>
      </c>
    </row>
    <row r="59" spans="1:7" x14ac:dyDescent="0.3">
      <c r="A59" s="1">
        <v>2</v>
      </c>
      <c r="B59" s="1">
        <v>1</v>
      </c>
      <c r="C59" s="1" t="s">
        <v>24</v>
      </c>
      <c r="D59" s="1">
        <v>38</v>
      </c>
      <c r="E59" s="1" t="s">
        <v>24</v>
      </c>
      <c r="F59" s="1">
        <v>39</v>
      </c>
      <c r="G59" s="1">
        <v>1</v>
      </c>
    </row>
    <row r="60" spans="1:7" x14ac:dyDescent="0.3">
      <c r="A60" s="1">
        <v>2</v>
      </c>
      <c r="B60" s="1">
        <v>1</v>
      </c>
      <c r="C60" s="1" t="s">
        <v>24</v>
      </c>
      <c r="D60" s="1">
        <v>47</v>
      </c>
      <c r="E60" s="1" t="s">
        <v>24</v>
      </c>
      <c r="F60" s="1">
        <v>31</v>
      </c>
      <c r="G60" s="1">
        <v>0</v>
      </c>
    </row>
    <row r="61" spans="1:7" x14ac:dyDescent="0.3">
      <c r="A61" s="1">
        <v>2</v>
      </c>
      <c r="B61" s="1">
        <v>1</v>
      </c>
      <c r="C61" s="1" t="s">
        <v>24</v>
      </c>
      <c r="D61" s="1">
        <v>37</v>
      </c>
      <c r="E61" s="1" t="s">
        <v>24</v>
      </c>
      <c r="F61" s="1">
        <v>34</v>
      </c>
      <c r="G61" s="1">
        <v>0</v>
      </c>
    </row>
    <row r="62" spans="1:7" x14ac:dyDescent="0.3">
      <c r="A62" s="1">
        <v>2</v>
      </c>
      <c r="B62" s="1">
        <v>1</v>
      </c>
      <c r="C62" s="1" t="s">
        <v>24</v>
      </c>
      <c r="D62" s="1">
        <v>40</v>
      </c>
      <c r="E62" s="1" t="s">
        <v>24</v>
      </c>
      <c r="F62" s="1">
        <v>16</v>
      </c>
      <c r="G62" s="1">
        <v>0</v>
      </c>
    </row>
    <row r="63" spans="1:7" x14ac:dyDescent="0.3">
      <c r="A63" s="1">
        <v>2</v>
      </c>
      <c r="B63" s="1">
        <v>1</v>
      </c>
      <c r="C63" s="1" t="s">
        <v>24</v>
      </c>
      <c r="D63" s="1">
        <v>45</v>
      </c>
      <c r="E63" s="1" t="s">
        <v>24</v>
      </c>
      <c r="F63" s="1">
        <v>38</v>
      </c>
      <c r="G63" s="1">
        <v>0</v>
      </c>
    </row>
    <row r="64" spans="1:7" x14ac:dyDescent="0.3">
      <c r="A64" s="1">
        <v>2</v>
      </c>
      <c r="B64" s="1">
        <v>1</v>
      </c>
      <c r="C64" s="1" t="s">
        <v>24</v>
      </c>
      <c r="D64" s="1">
        <v>31</v>
      </c>
      <c r="E64" s="1" t="s">
        <v>24</v>
      </c>
      <c r="F64" s="1">
        <v>43</v>
      </c>
      <c r="G64" s="1">
        <v>1</v>
      </c>
    </row>
    <row r="65" spans="1:7" x14ac:dyDescent="0.3">
      <c r="A65" s="1">
        <v>2</v>
      </c>
      <c r="B65" s="1">
        <v>1</v>
      </c>
      <c r="C65" s="1" t="s">
        <v>24</v>
      </c>
      <c r="D65" s="1">
        <v>52</v>
      </c>
      <c r="E65" s="1" t="s">
        <v>24</v>
      </c>
      <c r="F65" s="1">
        <v>24</v>
      </c>
      <c r="G65" s="1">
        <v>0</v>
      </c>
    </row>
    <row r="66" spans="1:7" x14ac:dyDescent="0.3">
      <c r="A66" s="1">
        <v>2</v>
      </c>
      <c r="B66" s="1">
        <v>1</v>
      </c>
      <c r="C66" s="1" t="s">
        <v>24</v>
      </c>
      <c r="D66" s="1">
        <v>24</v>
      </c>
      <c r="E66" s="1" t="s">
        <v>24</v>
      </c>
      <c r="F66" s="1">
        <v>34</v>
      </c>
      <c r="G66" s="1">
        <v>1</v>
      </c>
    </row>
    <row r="67" spans="1:7" x14ac:dyDescent="0.3">
      <c r="A67" s="1">
        <v>2</v>
      </c>
      <c r="B67" s="1">
        <v>1</v>
      </c>
      <c r="C67" s="1" t="s">
        <v>24</v>
      </c>
      <c r="D67" s="1">
        <v>47</v>
      </c>
      <c r="E67" s="1" t="s">
        <v>24</v>
      </c>
      <c r="F67" s="1">
        <v>31</v>
      </c>
      <c r="G67" s="1">
        <v>0</v>
      </c>
    </row>
    <row r="68" spans="1:7" x14ac:dyDescent="0.3">
      <c r="A68" s="1">
        <v>2</v>
      </c>
      <c r="B68" s="1">
        <v>1</v>
      </c>
      <c r="C68" s="1" t="s">
        <v>24</v>
      </c>
      <c r="D68" s="1">
        <v>30</v>
      </c>
      <c r="E68" s="1" t="s">
        <v>24</v>
      </c>
      <c r="F68" s="1">
        <v>43</v>
      </c>
      <c r="G68" s="1">
        <v>1</v>
      </c>
    </row>
    <row r="69" spans="1:7" x14ac:dyDescent="0.3">
      <c r="A69" s="1">
        <v>2</v>
      </c>
      <c r="B69" s="1">
        <v>1</v>
      </c>
      <c r="C69" s="1" t="s">
        <v>24</v>
      </c>
      <c r="D69" s="1">
        <v>29</v>
      </c>
      <c r="E69" s="1" t="s">
        <v>24</v>
      </c>
      <c r="F69" s="1">
        <v>37</v>
      </c>
      <c r="G69" s="1">
        <v>1</v>
      </c>
    </row>
    <row r="70" spans="1:7" x14ac:dyDescent="0.3">
      <c r="A70" s="1">
        <v>2</v>
      </c>
      <c r="B70" s="1">
        <v>1</v>
      </c>
      <c r="C70" s="1" t="s">
        <v>24</v>
      </c>
      <c r="D70" s="1">
        <v>46</v>
      </c>
      <c r="E70" s="1" t="s">
        <v>24</v>
      </c>
      <c r="F70" s="1">
        <v>35</v>
      </c>
      <c r="G70" s="1">
        <v>0</v>
      </c>
    </row>
    <row r="71" spans="1:7" x14ac:dyDescent="0.3">
      <c r="A71" s="1">
        <v>2</v>
      </c>
      <c r="B71" s="1">
        <v>1</v>
      </c>
      <c r="C71" s="1" t="s">
        <v>24</v>
      </c>
      <c r="D71" s="1">
        <v>27</v>
      </c>
      <c r="E71" s="1" t="s">
        <v>24</v>
      </c>
      <c r="F71" s="1">
        <v>38</v>
      </c>
      <c r="G71" s="1">
        <v>1</v>
      </c>
    </row>
    <row r="72" spans="1:7" x14ac:dyDescent="0.3">
      <c r="A72" s="1">
        <v>2</v>
      </c>
      <c r="B72" s="1">
        <v>1</v>
      </c>
      <c r="C72" s="1" t="s">
        <v>24</v>
      </c>
      <c r="D72" s="1">
        <v>35</v>
      </c>
      <c r="E72" s="1" t="s">
        <v>24</v>
      </c>
      <c r="F72" s="1">
        <v>31</v>
      </c>
      <c r="G72" s="1">
        <v>0</v>
      </c>
    </row>
    <row r="73" spans="1:7" x14ac:dyDescent="0.3">
      <c r="A73" s="1">
        <v>2</v>
      </c>
      <c r="B73" s="1">
        <v>1</v>
      </c>
      <c r="C73" s="1" t="s">
        <v>24</v>
      </c>
      <c r="D73" s="1">
        <v>39</v>
      </c>
      <c r="E73" s="1" t="s">
        <v>24</v>
      </c>
      <c r="F73" s="1">
        <v>26</v>
      </c>
      <c r="G73" s="1">
        <v>0</v>
      </c>
    </row>
    <row r="74" spans="1:7" x14ac:dyDescent="0.3">
      <c r="A74" s="1">
        <v>2</v>
      </c>
      <c r="B74" s="1">
        <v>1</v>
      </c>
      <c r="C74" s="1" t="s">
        <v>24</v>
      </c>
      <c r="D74" s="1">
        <v>27</v>
      </c>
      <c r="E74" s="1" t="s">
        <v>24</v>
      </c>
      <c r="F74" s="1">
        <v>27</v>
      </c>
      <c r="G74" s="1">
        <v>0</v>
      </c>
    </row>
    <row r="75" spans="1:7" x14ac:dyDescent="0.3">
      <c r="A75" s="1">
        <v>2</v>
      </c>
      <c r="B75" s="1">
        <v>1</v>
      </c>
      <c r="C75" s="1" t="s">
        <v>24</v>
      </c>
      <c r="D75" s="1">
        <v>37</v>
      </c>
      <c r="E75" s="1" t="s">
        <v>24</v>
      </c>
      <c r="F75" s="1">
        <v>38</v>
      </c>
      <c r="G75" s="1">
        <v>1</v>
      </c>
    </row>
    <row r="76" spans="1:7" x14ac:dyDescent="0.3">
      <c r="A76" s="1">
        <v>2</v>
      </c>
      <c r="B76" s="1">
        <v>1</v>
      </c>
      <c r="C76" s="1" t="s">
        <v>24</v>
      </c>
      <c r="D76" s="1">
        <v>56</v>
      </c>
      <c r="E76" s="1" t="s">
        <v>24</v>
      </c>
      <c r="F76" s="1">
        <v>30</v>
      </c>
      <c r="G76" s="1">
        <v>0</v>
      </c>
    </row>
    <row r="77" spans="1:7" x14ac:dyDescent="0.3">
      <c r="A77" s="1">
        <v>2</v>
      </c>
      <c r="B77" s="1">
        <v>1</v>
      </c>
      <c r="C77" s="1" t="s">
        <v>24</v>
      </c>
      <c r="D77" s="1">
        <v>58</v>
      </c>
      <c r="E77" s="1" t="s">
        <v>24</v>
      </c>
      <c r="F77" s="1">
        <v>24</v>
      </c>
      <c r="G77" s="1">
        <v>0</v>
      </c>
    </row>
    <row r="78" spans="1:7" x14ac:dyDescent="0.3">
      <c r="A78" s="1">
        <v>2</v>
      </c>
      <c r="B78" s="1">
        <v>1</v>
      </c>
      <c r="C78" s="1" t="s">
        <v>24</v>
      </c>
      <c r="D78" s="1">
        <v>27</v>
      </c>
      <c r="E78" s="1" t="s">
        <v>24</v>
      </c>
      <c r="F78" s="1">
        <v>42</v>
      </c>
      <c r="G78" s="1">
        <v>1</v>
      </c>
    </row>
    <row r="79" spans="1:7" x14ac:dyDescent="0.3">
      <c r="A79" s="1">
        <v>2</v>
      </c>
      <c r="B79" s="1">
        <v>1</v>
      </c>
      <c r="C79" s="1" t="s">
        <v>24</v>
      </c>
      <c r="D79" s="1">
        <v>27</v>
      </c>
      <c r="E79" s="1" t="s">
        <v>24</v>
      </c>
      <c r="F79" s="1">
        <v>32</v>
      </c>
      <c r="G79" s="1">
        <v>1</v>
      </c>
    </row>
    <row r="80" spans="1:7" x14ac:dyDescent="0.3">
      <c r="A80" s="1">
        <v>2</v>
      </c>
      <c r="B80" s="1">
        <v>1</v>
      </c>
      <c r="C80" s="1" t="s">
        <v>24</v>
      </c>
      <c r="D80" s="1">
        <v>15</v>
      </c>
      <c r="E80" s="1" t="s">
        <v>24</v>
      </c>
      <c r="F80" s="1">
        <v>15</v>
      </c>
      <c r="G80" s="1">
        <v>0</v>
      </c>
    </row>
    <row r="81" spans="1:7" x14ac:dyDescent="0.3">
      <c r="A81" s="1">
        <v>2</v>
      </c>
      <c r="B81" s="1">
        <v>1</v>
      </c>
      <c r="C81" s="1" t="s">
        <v>24</v>
      </c>
      <c r="D81" s="1">
        <v>21</v>
      </c>
      <c r="E81" s="1" t="s">
        <v>24</v>
      </c>
      <c r="F81" s="1">
        <v>26</v>
      </c>
      <c r="G81" s="1">
        <v>1</v>
      </c>
    </row>
    <row r="82" spans="1:7" x14ac:dyDescent="0.3">
      <c r="A82" s="1">
        <v>2</v>
      </c>
      <c r="B82" s="1">
        <v>1</v>
      </c>
      <c r="C82" s="1" t="s">
        <v>24</v>
      </c>
      <c r="D82" s="1">
        <v>19</v>
      </c>
      <c r="E82" s="1" t="s">
        <v>24</v>
      </c>
      <c r="F82" s="1">
        <v>17</v>
      </c>
      <c r="G82" s="1">
        <v>0</v>
      </c>
    </row>
    <row r="83" spans="1:7" x14ac:dyDescent="0.3">
      <c r="A83" s="1">
        <v>2</v>
      </c>
      <c r="B83" s="1">
        <v>1</v>
      </c>
      <c r="C83" s="1" t="s">
        <v>24</v>
      </c>
      <c r="D83" s="1">
        <v>28</v>
      </c>
      <c r="E83" s="1" t="s">
        <v>24</v>
      </c>
      <c r="F83" s="1">
        <v>38</v>
      </c>
      <c r="G83" s="1">
        <v>1</v>
      </c>
    </row>
    <row r="84" spans="1:7" x14ac:dyDescent="0.3">
      <c r="A84" s="1">
        <v>2</v>
      </c>
      <c r="B84" s="1">
        <v>1</v>
      </c>
      <c r="C84" s="1" t="s">
        <v>24</v>
      </c>
      <c r="D84" s="1">
        <v>31</v>
      </c>
      <c r="E84" s="1" t="s">
        <v>24</v>
      </c>
      <c r="F84" s="1">
        <v>16</v>
      </c>
      <c r="G84" s="1">
        <v>0</v>
      </c>
    </row>
    <row r="85" spans="1:7" x14ac:dyDescent="0.3">
      <c r="A85" s="1">
        <v>2</v>
      </c>
      <c r="B85" s="1">
        <v>1</v>
      </c>
      <c r="C85" s="1" t="s">
        <v>24</v>
      </c>
      <c r="D85" s="1">
        <v>19</v>
      </c>
      <c r="E85" s="1" t="s">
        <v>24</v>
      </c>
      <c r="F85" s="1">
        <v>53</v>
      </c>
      <c r="G85" s="1">
        <v>1</v>
      </c>
    </row>
    <row r="86" spans="1:7" x14ac:dyDescent="0.3">
      <c r="A86" s="1">
        <v>2</v>
      </c>
      <c r="B86" s="1">
        <v>1</v>
      </c>
      <c r="C86" s="1" t="s">
        <v>24</v>
      </c>
      <c r="D86" s="1">
        <v>44</v>
      </c>
      <c r="E86" s="1" t="s">
        <v>24</v>
      </c>
      <c r="F86" s="1">
        <v>61</v>
      </c>
      <c r="G86" s="1">
        <v>1</v>
      </c>
    </row>
    <row r="87" spans="1:7" x14ac:dyDescent="0.3">
      <c r="A87" s="1">
        <v>2</v>
      </c>
      <c r="B87" s="1">
        <v>1</v>
      </c>
      <c r="C87" s="1" t="s">
        <v>24</v>
      </c>
      <c r="D87" s="1">
        <v>19</v>
      </c>
      <c r="E87" s="1" t="s">
        <v>24</v>
      </c>
      <c r="F87" s="1">
        <v>34</v>
      </c>
      <c r="G87" s="1">
        <v>1</v>
      </c>
    </row>
    <row r="88" spans="1:7" x14ac:dyDescent="0.3">
      <c r="A88" s="1">
        <v>2</v>
      </c>
      <c r="B88" s="1">
        <v>1</v>
      </c>
      <c r="C88" s="1" t="s">
        <v>24</v>
      </c>
      <c r="D88" s="1">
        <v>39</v>
      </c>
      <c r="E88" s="1" t="s">
        <v>24</v>
      </c>
      <c r="F88" s="1">
        <v>45</v>
      </c>
      <c r="G88" s="1">
        <v>1</v>
      </c>
    </row>
    <row r="89" spans="1:7" x14ac:dyDescent="0.3">
      <c r="A89" s="1">
        <v>2</v>
      </c>
      <c r="B89" s="1">
        <v>1</v>
      </c>
      <c r="C89" s="1" t="s">
        <v>24</v>
      </c>
      <c r="D89" s="1">
        <v>29</v>
      </c>
      <c r="E89" s="1" t="s">
        <v>24</v>
      </c>
      <c r="F89" s="1">
        <v>24</v>
      </c>
      <c r="G89" s="1">
        <v>0</v>
      </c>
    </row>
    <row r="90" spans="1:7" x14ac:dyDescent="0.3">
      <c r="A90" s="1">
        <v>2</v>
      </c>
      <c r="B90" s="1">
        <v>1</v>
      </c>
      <c r="C90" s="1" t="s">
        <v>24</v>
      </c>
      <c r="D90" s="1">
        <v>34</v>
      </c>
      <c r="E90" s="1" t="s">
        <v>24</v>
      </c>
      <c r="F90" s="1">
        <v>46</v>
      </c>
      <c r="G90" s="1">
        <v>1</v>
      </c>
    </row>
    <row r="91" spans="1:7" x14ac:dyDescent="0.3">
      <c r="A91" s="1">
        <v>2</v>
      </c>
      <c r="B91" s="1">
        <v>1</v>
      </c>
      <c r="C91" s="1" t="s">
        <v>24</v>
      </c>
      <c r="D91" s="1">
        <v>49</v>
      </c>
      <c r="E91" s="1" t="s">
        <v>24</v>
      </c>
      <c r="F91" s="1">
        <v>50</v>
      </c>
      <c r="G91" s="1">
        <v>1</v>
      </c>
    </row>
    <row r="92" spans="1:7" x14ac:dyDescent="0.3">
      <c r="A92" s="1">
        <v>2</v>
      </c>
      <c r="B92" s="1">
        <v>1</v>
      </c>
      <c r="C92" s="1" t="s">
        <v>24</v>
      </c>
      <c r="D92" s="1">
        <v>15</v>
      </c>
      <c r="E92" s="1" t="s">
        <v>24</v>
      </c>
      <c r="F92" s="1">
        <v>44</v>
      </c>
      <c r="G92" s="1">
        <v>1</v>
      </c>
    </row>
    <row r="93" spans="1:7" x14ac:dyDescent="0.3">
      <c r="A93" s="1">
        <v>2</v>
      </c>
      <c r="B93" s="1">
        <v>1</v>
      </c>
      <c r="C93" s="1" t="s">
        <v>24</v>
      </c>
      <c r="D93" s="1">
        <v>9</v>
      </c>
      <c r="E93" s="1" t="s">
        <v>24</v>
      </c>
      <c r="F93" s="1">
        <v>35</v>
      </c>
      <c r="G93" s="1">
        <v>1</v>
      </c>
    </row>
    <row r="94" spans="1:7" x14ac:dyDescent="0.3">
      <c r="A94" s="1">
        <v>2</v>
      </c>
      <c r="B94" s="1">
        <v>1</v>
      </c>
      <c r="C94" s="1" t="s">
        <v>24</v>
      </c>
      <c r="D94" s="1">
        <v>14</v>
      </c>
      <c r="E94" s="1" t="s">
        <v>24</v>
      </c>
      <c r="F94" s="1">
        <v>30</v>
      </c>
      <c r="G94" s="1">
        <v>1</v>
      </c>
    </row>
    <row r="95" spans="1:7" x14ac:dyDescent="0.3">
      <c r="A95" s="1">
        <v>2</v>
      </c>
      <c r="B95" s="1">
        <v>1</v>
      </c>
      <c r="C95" s="1" t="s">
        <v>24</v>
      </c>
      <c r="D95" s="1">
        <v>33</v>
      </c>
      <c r="E95" s="1" t="s">
        <v>24</v>
      </c>
      <c r="F95" s="1">
        <v>52</v>
      </c>
      <c r="G95" s="1">
        <v>1</v>
      </c>
    </row>
    <row r="96" spans="1:7" x14ac:dyDescent="0.3">
      <c r="A96" s="1">
        <v>2</v>
      </c>
      <c r="B96" s="1">
        <v>1</v>
      </c>
      <c r="C96" s="1" t="s">
        <v>24</v>
      </c>
      <c r="D96" s="1">
        <v>29</v>
      </c>
      <c r="E96" s="1" t="s">
        <v>24</v>
      </c>
      <c r="F96" s="1">
        <v>44</v>
      </c>
      <c r="G96" s="1">
        <v>1</v>
      </c>
    </row>
    <row r="97" spans="1:7" x14ac:dyDescent="0.3">
      <c r="A97" s="1">
        <v>2</v>
      </c>
      <c r="B97" s="1">
        <v>1</v>
      </c>
      <c r="C97" s="1" t="s">
        <v>24</v>
      </c>
      <c r="D97" s="1">
        <v>28</v>
      </c>
      <c r="E97" s="1" t="s">
        <v>24</v>
      </c>
      <c r="F97" s="1">
        <v>25</v>
      </c>
      <c r="G97" s="1">
        <v>0</v>
      </c>
    </row>
    <row r="98" spans="1:7" x14ac:dyDescent="0.3">
      <c r="A98" s="1">
        <v>2</v>
      </c>
      <c r="B98" s="1">
        <v>1</v>
      </c>
      <c r="C98" s="1" t="s">
        <v>24</v>
      </c>
      <c r="D98" s="1">
        <v>32</v>
      </c>
      <c r="E98" s="1" t="s">
        <v>24</v>
      </c>
      <c r="F98" s="1">
        <v>27</v>
      </c>
      <c r="G98" s="1">
        <v>0</v>
      </c>
    </row>
    <row r="99" spans="1:7" x14ac:dyDescent="0.3">
      <c r="A99" s="1">
        <v>2</v>
      </c>
      <c r="B99" s="1">
        <v>1</v>
      </c>
      <c r="C99" s="1" t="s">
        <v>24</v>
      </c>
      <c r="D99" s="1">
        <v>37</v>
      </c>
      <c r="E99" s="1" t="s">
        <v>24</v>
      </c>
      <c r="F99" s="1">
        <v>26</v>
      </c>
      <c r="G99" s="1">
        <v>0</v>
      </c>
    </row>
    <row r="100" spans="1:7" x14ac:dyDescent="0.3">
      <c r="A100" s="1">
        <v>2</v>
      </c>
      <c r="B100" s="1">
        <v>1</v>
      </c>
      <c r="C100" s="1" t="s">
        <v>24</v>
      </c>
      <c r="D100" s="1">
        <v>23</v>
      </c>
      <c r="E100" s="1" t="s">
        <v>24</v>
      </c>
      <c r="F100" s="1">
        <v>53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98CC-F1D5-48EA-886E-AE4DCF0C9E1D}">
  <dimension ref="A1:Q100"/>
  <sheetViews>
    <sheetView workbookViewId="0">
      <selection activeCell="R21" sqref="R21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24</v>
      </c>
      <c r="D1" s="1">
        <v>48</v>
      </c>
      <c r="E1" s="1" t="s">
        <v>24</v>
      </c>
      <c r="F1" s="1">
        <v>33</v>
      </c>
      <c r="G1" s="1">
        <v>0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24</v>
      </c>
      <c r="D2" s="1">
        <v>54</v>
      </c>
      <c r="E2" s="1" t="s">
        <v>24</v>
      </c>
      <c r="F2" s="1">
        <v>47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24</v>
      </c>
      <c r="D3" s="1">
        <v>10</v>
      </c>
      <c r="E3" s="1" t="s">
        <v>24</v>
      </c>
      <c r="F3" s="1">
        <v>22</v>
      </c>
      <c r="G3" s="1">
        <v>1</v>
      </c>
      <c r="I3" s="5" t="s">
        <v>6</v>
      </c>
      <c r="J3" s="5"/>
      <c r="K3" s="9">
        <f>COUNTIF($G$1:$G$100, 0)</f>
        <v>62</v>
      </c>
      <c r="L3" s="9"/>
      <c r="M3" s="9">
        <f>COUNTIFS($G$1:$G$100, 0, $B$1:$B$100, 0)</f>
        <v>34</v>
      </c>
      <c r="N3" s="9"/>
      <c r="O3" s="10">
        <f>COUNTIFS($G$1:$G$100, 0, $B$1:$B$100, 1)</f>
        <v>28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24</v>
      </c>
      <c r="D4" s="1">
        <v>47</v>
      </c>
      <c r="E4" s="1" t="s">
        <v>24</v>
      </c>
      <c r="F4" s="1">
        <v>29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24</v>
      </c>
      <c r="D5" s="1">
        <v>33</v>
      </c>
      <c r="E5" s="1" t="s">
        <v>24</v>
      </c>
      <c r="F5" s="1">
        <v>24</v>
      </c>
      <c r="G5" s="1">
        <v>0</v>
      </c>
      <c r="I5" s="5" t="s">
        <v>7</v>
      </c>
      <c r="J5" s="5"/>
      <c r="K5" s="14">
        <f>COUNTIF($G$1:$G$100, 1)</f>
        <v>38</v>
      </c>
      <c r="L5" s="9"/>
      <c r="M5" s="9">
        <f>COUNTIFS($G$1:$G$100, 1, $B$1:$B$100, 0)</f>
        <v>16</v>
      </c>
      <c r="N5" s="9"/>
      <c r="O5" s="9">
        <f>COUNTIFS($G$1:$G$100, 1, $B$1:$B$100, 1)</f>
        <v>22</v>
      </c>
      <c r="P5" s="13"/>
      <c r="Q5"/>
    </row>
    <row r="6" spans="1:17" x14ac:dyDescent="0.3">
      <c r="A6" s="1">
        <v>2</v>
      </c>
      <c r="B6" s="1">
        <v>0</v>
      </c>
      <c r="C6" s="1" t="s">
        <v>24</v>
      </c>
      <c r="D6" s="1">
        <v>59</v>
      </c>
      <c r="E6" s="1" t="s">
        <v>24</v>
      </c>
      <c r="F6" s="1">
        <v>38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24</v>
      </c>
      <c r="D7" s="1">
        <v>43</v>
      </c>
      <c r="E7" s="1" t="s">
        <v>24</v>
      </c>
      <c r="F7" s="1">
        <v>39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24</v>
      </c>
      <c r="D8" s="1">
        <v>43</v>
      </c>
      <c r="E8" s="1" t="s">
        <v>24</v>
      </c>
      <c r="F8" s="1">
        <v>13</v>
      </c>
      <c r="G8" s="1">
        <v>0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24</v>
      </c>
      <c r="D9" s="1">
        <v>33</v>
      </c>
      <c r="E9" s="1" t="s">
        <v>24</v>
      </c>
      <c r="F9" s="1">
        <v>48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24</v>
      </c>
      <c r="D10" s="1">
        <v>32</v>
      </c>
      <c r="E10" s="1" t="s">
        <v>24</v>
      </c>
      <c r="F10" s="1">
        <v>15</v>
      </c>
      <c r="G10" s="1">
        <v>0</v>
      </c>
      <c r="I10" s="5" t="s">
        <v>10</v>
      </c>
      <c r="J10" s="5"/>
      <c r="K10" s="9">
        <f>AVERAGE($D$1:$D$100,)</f>
        <v>35.029702970297031</v>
      </c>
      <c r="L10" s="9"/>
      <c r="M10" s="9" cm="1">
        <f t="array" ref="M10">AVERAGE(_xlfn._xlws.FILTER($D$1:$D$100,$G$1:$G$100 = 0))</f>
        <v>41.806451612903224</v>
      </c>
      <c r="N10" s="9"/>
      <c r="O10" s="10" cm="1">
        <f t="array" ref="O10">AVERAGE(_xlfn._xlws.FILTER($D$1:$D$100,$G$1:$G$100 = 1))</f>
        <v>24.894736842105264</v>
      </c>
      <c r="P10" s="11"/>
      <c r="Q10"/>
    </row>
    <row r="11" spans="1:17" x14ac:dyDescent="0.3">
      <c r="A11" s="1">
        <v>2</v>
      </c>
      <c r="B11" s="1">
        <v>0</v>
      </c>
      <c r="C11" s="1" t="s">
        <v>24</v>
      </c>
      <c r="D11" s="1">
        <v>40</v>
      </c>
      <c r="E11" s="1" t="s">
        <v>24</v>
      </c>
      <c r="F11" s="1">
        <v>28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24</v>
      </c>
      <c r="D12" s="1">
        <v>32</v>
      </c>
      <c r="E12" s="1" t="s">
        <v>24</v>
      </c>
      <c r="F12" s="1">
        <v>28</v>
      </c>
      <c r="G12" s="1">
        <v>0</v>
      </c>
      <c r="I12" s="5" t="s">
        <v>11</v>
      </c>
      <c r="J12" s="5"/>
      <c r="K12" s="9">
        <f>AVERAGE($F$1:$F$100,)</f>
        <v>31.980198019801982</v>
      </c>
      <c r="L12" s="9"/>
      <c r="M12" s="9" cm="1">
        <f t="array" ref="M12">AVERAGE(_xlfn._xlws.FILTER($F$1:$F$100,$G$1:$G$100 = 0))</f>
        <v>24.983870967741936</v>
      </c>
      <c r="N12" s="9"/>
      <c r="O12" s="9" cm="1">
        <f t="array" ref="O12">AVERAGE(_xlfn._xlws.FILTER($F$1:$F$100,$G$1:$G$100 = 1))</f>
        <v>44.236842105263158</v>
      </c>
      <c r="P12" s="13"/>
      <c r="Q12"/>
    </row>
    <row r="13" spans="1:17" x14ac:dyDescent="0.3">
      <c r="A13" s="1">
        <v>2</v>
      </c>
      <c r="B13" s="1">
        <v>0</v>
      </c>
      <c r="C13" s="1" t="s">
        <v>24</v>
      </c>
      <c r="D13" s="1">
        <v>12</v>
      </c>
      <c r="E13" s="1" t="s">
        <v>24</v>
      </c>
      <c r="F13" s="1">
        <v>40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24</v>
      </c>
      <c r="D14" s="1">
        <v>28</v>
      </c>
      <c r="E14" s="1" t="s">
        <v>24</v>
      </c>
      <c r="F14" s="1">
        <v>26</v>
      </c>
      <c r="G14" s="1">
        <v>0</v>
      </c>
      <c r="I14" s="22" t="s">
        <v>12</v>
      </c>
      <c r="J14" s="11"/>
      <c r="K14" s="23" cm="1">
        <f t="array" ref="K14">AVERAGE($D$1:$D$100 - $F$1:$F$100)</f>
        <v>3.08</v>
      </c>
      <c r="L14" s="23"/>
      <c r="M14" s="23" cm="1">
        <f t="array" ref="M14">AVERAGE(_xlfn._xlws.FILTER($D$1:$D$100 - $F$1:$F$100, G$1:G$100 = 0))</f>
        <v>16.822580645161292</v>
      </c>
      <c r="N14" s="23"/>
      <c r="O14" s="23" cm="1">
        <f t="array" ref="O14">AVERAGE(_xlfn._xlws.FILTER($D$1:$D$100 - $F$1:$F$100, G$1:G$100 = 1))</f>
        <v>-19.342105263157894</v>
      </c>
      <c r="P14" s="24"/>
      <c r="Q14"/>
    </row>
    <row r="15" spans="1:17" x14ac:dyDescent="0.3">
      <c r="A15" s="1">
        <v>2</v>
      </c>
      <c r="B15" s="1">
        <v>0</v>
      </c>
      <c r="C15" s="1" t="s">
        <v>24</v>
      </c>
      <c r="D15" s="1">
        <v>23</v>
      </c>
      <c r="E15" s="1" t="s">
        <v>24</v>
      </c>
      <c r="F15" s="1">
        <v>20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24</v>
      </c>
      <c r="D16" s="1">
        <v>30</v>
      </c>
      <c r="E16" s="1" t="s">
        <v>24</v>
      </c>
      <c r="F16" s="1">
        <v>26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24</v>
      </c>
      <c r="D17" s="1">
        <v>61</v>
      </c>
      <c r="E17" s="1" t="s">
        <v>24</v>
      </c>
      <c r="F17" s="1">
        <v>27</v>
      </c>
      <c r="G17" s="1">
        <v>0</v>
      </c>
    </row>
    <row r="18" spans="1:7" x14ac:dyDescent="0.3">
      <c r="A18" s="1">
        <v>2</v>
      </c>
      <c r="B18" s="1">
        <v>0</v>
      </c>
      <c r="C18" s="1" t="s">
        <v>24</v>
      </c>
      <c r="D18" s="1">
        <v>58</v>
      </c>
      <c r="E18" s="1" t="s">
        <v>24</v>
      </c>
      <c r="F18" s="1">
        <v>15</v>
      </c>
      <c r="G18" s="1">
        <v>0</v>
      </c>
    </row>
    <row r="19" spans="1:7" x14ac:dyDescent="0.3">
      <c r="A19" s="1">
        <v>2</v>
      </c>
      <c r="B19" s="1">
        <v>0</v>
      </c>
      <c r="C19" s="1" t="s">
        <v>24</v>
      </c>
      <c r="D19" s="1">
        <v>44</v>
      </c>
      <c r="E19" s="1" t="s">
        <v>24</v>
      </c>
      <c r="F19" s="1">
        <v>24</v>
      </c>
      <c r="G19" s="1">
        <v>0</v>
      </c>
    </row>
    <row r="20" spans="1:7" x14ac:dyDescent="0.3">
      <c r="A20" s="1">
        <v>2</v>
      </c>
      <c r="B20" s="1">
        <v>0</v>
      </c>
      <c r="C20" s="1" t="s">
        <v>24</v>
      </c>
      <c r="D20" s="1">
        <v>13</v>
      </c>
      <c r="E20" s="1" t="s">
        <v>24</v>
      </c>
      <c r="F20" s="1">
        <v>43</v>
      </c>
      <c r="G20" s="1">
        <v>1</v>
      </c>
    </row>
    <row r="21" spans="1:7" x14ac:dyDescent="0.3">
      <c r="A21" s="1">
        <v>2</v>
      </c>
      <c r="B21" s="1">
        <v>0</v>
      </c>
      <c r="C21" s="1" t="s">
        <v>24</v>
      </c>
      <c r="D21" s="1">
        <v>41</v>
      </c>
      <c r="E21" s="1" t="s">
        <v>24</v>
      </c>
      <c r="F21" s="1">
        <v>65</v>
      </c>
      <c r="G21" s="1">
        <v>1</v>
      </c>
    </row>
    <row r="22" spans="1:7" x14ac:dyDescent="0.3">
      <c r="A22" s="1">
        <v>2</v>
      </c>
      <c r="B22" s="1">
        <v>0</v>
      </c>
      <c r="C22" s="1" t="s">
        <v>24</v>
      </c>
      <c r="D22" s="1">
        <v>46</v>
      </c>
      <c r="E22" s="1" t="s">
        <v>24</v>
      </c>
      <c r="F22" s="1">
        <v>21</v>
      </c>
      <c r="G22" s="1">
        <v>0</v>
      </c>
    </row>
    <row r="23" spans="1:7" x14ac:dyDescent="0.3">
      <c r="A23" s="1">
        <v>2</v>
      </c>
      <c r="B23" s="1">
        <v>0</v>
      </c>
      <c r="C23" s="1" t="s">
        <v>24</v>
      </c>
      <c r="D23" s="1">
        <v>16</v>
      </c>
      <c r="E23" s="1" t="s">
        <v>24</v>
      </c>
      <c r="F23" s="1">
        <v>27</v>
      </c>
      <c r="G23" s="1">
        <v>1</v>
      </c>
    </row>
    <row r="24" spans="1:7" x14ac:dyDescent="0.3">
      <c r="A24" s="1">
        <v>2</v>
      </c>
      <c r="B24" s="1">
        <v>0</v>
      </c>
      <c r="C24" s="1" t="s">
        <v>24</v>
      </c>
      <c r="D24" s="1">
        <v>47</v>
      </c>
      <c r="E24" s="1" t="s">
        <v>24</v>
      </c>
      <c r="F24" s="1">
        <v>52</v>
      </c>
      <c r="G24" s="1">
        <v>1</v>
      </c>
    </row>
    <row r="25" spans="1:7" x14ac:dyDescent="0.3">
      <c r="A25" s="1">
        <v>2</v>
      </c>
      <c r="B25" s="1">
        <v>0</v>
      </c>
      <c r="C25" s="1" t="s">
        <v>24</v>
      </c>
      <c r="D25" s="1">
        <v>43</v>
      </c>
      <c r="E25" s="1" t="s">
        <v>24</v>
      </c>
      <c r="F25" s="1">
        <v>22</v>
      </c>
      <c r="G25" s="1">
        <v>0</v>
      </c>
    </row>
    <row r="26" spans="1:7" x14ac:dyDescent="0.3">
      <c r="A26" s="1">
        <v>2</v>
      </c>
      <c r="B26" s="1">
        <v>0</v>
      </c>
      <c r="C26" s="1" t="s">
        <v>24</v>
      </c>
      <c r="D26" s="1">
        <v>68</v>
      </c>
      <c r="E26" s="1" t="s">
        <v>24</v>
      </c>
      <c r="F26" s="1">
        <v>12</v>
      </c>
      <c r="G26" s="1">
        <v>0</v>
      </c>
    </row>
    <row r="27" spans="1:7" x14ac:dyDescent="0.3">
      <c r="A27" s="1">
        <v>2</v>
      </c>
      <c r="B27" s="1">
        <v>0</v>
      </c>
      <c r="C27" s="1" t="s">
        <v>24</v>
      </c>
      <c r="D27" s="1">
        <v>26</v>
      </c>
      <c r="E27" s="1" t="s">
        <v>24</v>
      </c>
      <c r="F27" s="1">
        <v>47</v>
      </c>
      <c r="G27" s="1">
        <v>1</v>
      </c>
    </row>
    <row r="28" spans="1:7" x14ac:dyDescent="0.3">
      <c r="A28" s="1">
        <v>2</v>
      </c>
      <c r="B28" s="1">
        <v>0</v>
      </c>
      <c r="C28" s="1" t="s">
        <v>24</v>
      </c>
      <c r="D28" s="1">
        <v>36</v>
      </c>
      <c r="E28" s="1" t="s">
        <v>24</v>
      </c>
      <c r="F28" s="1">
        <v>23</v>
      </c>
      <c r="G28" s="1">
        <v>0</v>
      </c>
    </row>
    <row r="29" spans="1:7" x14ac:dyDescent="0.3">
      <c r="A29" s="1">
        <v>2</v>
      </c>
      <c r="B29" s="1">
        <v>0</v>
      </c>
      <c r="C29" s="1" t="s">
        <v>24</v>
      </c>
      <c r="D29" s="1">
        <v>43</v>
      </c>
      <c r="E29" s="1" t="s">
        <v>24</v>
      </c>
      <c r="F29" s="1">
        <v>36</v>
      </c>
      <c r="G29" s="1">
        <v>0</v>
      </c>
    </row>
    <row r="30" spans="1:7" x14ac:dyDescent="0.3">
      <c r="A30" s="1">
        <v>2</v>
      </c>
      <c r="B30" s="1">
        <v>0</v>
      </c>
      <c r="C30" s="1" t="s">
        <v>24</v>
      </c>
      <c r="D30" s="1">
        <v>36</v>
      </c>
      <c r="E30" s="1" t="s">
        <v>24</v>
      </c>
      <c r="F30" s="1">
        <v>2</v>
      </c>
      <c r="G30" s="1">
        <v>0</v>
      </c>
    </row>
    <row r="31" spans="1:7" x14ac:dyDescent="0.3">
      <c r="A31" s="1">
        <v>2</v>
      </c>
      <c r="B31" s="1">
        <v>0</v>
      </c>
      <c r="C31" s="1" t="s">
        <v>24</v>
      </c>
      <c r="D31" s="1">
        <v>48</v>
      </c>
      <c r="E31" s="1" t="s">
        <v>24</v>
      </c>
      <c r="F31" s="1">
        <v>34</v>
      </c>
      <c r="G31" s="1">
        <v>0</v>
      </c>
    </row>
    <row r="32" spans="1:7" x14ac:dyDescent="0.3">
      <c r="A32" s="1">
        <v>2</v>
      </c>
      <c r="B32" s="1">
        <v>0</v>
      </c>
      <c r="C32" s="1" t="s">
        <v>24</v>
      </c>
      <c r="D32" s="1">
        <v>75</v>
      </c>
      <c r="E32" s="1" t="s">
        <v>24</v>
      </c>
      <c r="F32" s="1">
        <v>32</v>
      </c>
      <c r="G32" s="1">
        <v>0</v>
      </c>
    </row>
    <row r="33" spans="1:7" x14ac:dyDescent="0.3">
      <c r="A33" s="1">
        <v>2</v>
      </c>
      <c r="B33" s="1">
        <v>0</v>
      </c>
      <c r="C33" s="1" t="s">
        <v>24</v>
      </c>
      <c r="D33" s="1">
        <v>33</v>
      </c>
      <c r="E33" s="1" t="s">
        <v>24</v>
      </c>
      <c r="F33" s="1">
        <v>46</v>
      </c>
      <c r="G33" s="1">
        <v>1</v>
      </c>
    </row>
    <row r="34" spans="1:7" x14ac:dyDescent="0.3">
      <c r="A34" s="1">
        <v>2</v>
      </c>
      <c r="B34" s="1">
        <v>0</v>
      </c>
      <c r="C34" s="1" t="s">
        <v>24</v>
      </c>
      <c r="D34" s="1">
        <v>23</v>
      </c>
      <c r="E34" s="1" t="s">
        <v>24</v>
      </c>
      <c r="F34" s="1">
        <v>26</v>
      </c>
      <c r="G34" s="1">
        <v>1</v>
      </c>
    </row>
    <row r="35" spans="1:7" x14ac:dyDescent="0.3">
      <c r="A35" s="1">
        <v>2</v>
      </c>
      <c r="B35" s="1">
        <v>0</v>
      </c>
      <c r="C35" s="1" t="s">
        <v>24</v>
      </c>
      <c r="D35" s="1">
        <v>23</v>
      </c>
      <c r="E35" s="1" t="s">
        <v>24</v>
      </c>
      <c r="F35" s="1">
        <v>22</v>
      </c>
      <c r="G35" s="1">
        <v>0</v>
      </c>
    </row>
    <row r="36" spans="1:7" x14ac:dyDescent="0.3">
      <c r="A36" s="1">
        <v>2</v>
      </c>
      <c r="B36" s="1">
        <v>0</v>
      </c>
      <c r="C36" s="1" t="s">
        <v>24</v>
      </c>
      <c r="D36" s="1">
        <v>48</v>
      </c>
      <c r="E36" s="1" t="s">
        <v>24</v>
      </c>
      <c r="F36" s="1">
        <v>41</v>
      </c>
      <c r="G36" s="1">
        <v>0</v>
      </c>
    </row>
    <row r="37" spans="1:7" x14ac:dyDescent="0.3">
      <c r="A37" s="1">
        <v>2</v>
      </c>
      <c r="B37" s="1">
        <v>0</v>
      </c>
      <c r="C37" s="1" t="s">
        <v>24</v>
      </c>
      <c r="D37" s="1">
        <v>37</v>
      </c>
      <c r="E37" s="1" t="s">
        <v>24</v>
      </c>
      <c r="F37" s="1">
        <v>25</v>
      </c>
      <c r="G37" s="1">
        <v>0</v>
      </c>
    </row>
    <row r="38" spans="1:7" x14ac:dyDescent="0.3">
      <c r="A38" s="1">
        <v>2</v>
      </c>
      <c r="B38" s="1">
        <v>0</v>
      </c>
      <c r="C38" s="1" t="s">
        <v>24</v>
      </c>
      <c r="D38" s="1">
        <v>46</v>
      </c>
      <c r="E38" s="1" t="s">
        <v>24</v>
      </c>
      <c r="F38" s="1">
        <v>40</v>
      </c>
      <c r="G38" s="1">
        <v>0</v>
      </c>
    </row>
    <row r="39" spans="1:7" x14ac:dyDescent="0.3">
      <c r="A39" s="1">
        <v>2</v>
      </c>
      <c r="B39" s="1">
        <v>0</v>
      </c>
      <c r="C39" s="1" t="s">
        <v>24</v>
      </c>
      <c r="D39" s="1">
        <v>26</v>
      </c>
      <c r="E39" s="1" t="s">
        <v>24</v>
      </c>
      <c r="F39" s="1">
        <v>3</v>
      </c>
      <c r="G39" s="1">
        <v>0</v>
      </c>
    </row>
    <row r="40" spans="1:7" x14ac:dyDescent="0.3">
      <c r="A40" s="1">
        <v>2</v>
      </c>
      <c r="B40" s="1">
        <v>0</v>
      </c>
      <c r="C40" s="1" t="s">
        <v>24</v>
      </c>
      <c r="D40" s="1">
        <v>19</v>
      </c>
      <c r="E40" s="1" t="s">
        <v>24</v>
      </c>
      <c r="F40" s="1">
        <v>40</v>
      </c>
      <c r="G40" s="1">
        <v>1</v>
      </c>
    </row>
    <row r="41" spans="1:7" x14ac:dyDescent="0.3">
      <c r="A41" s="1">
        <v>2</v>
      </c>
      <c r="B41" s="1">
        <v>0</v>
      </c>
      <c r="C41" s="1" t="s">
        <v>24</v>
      </c>
      <c r="D41" s="1">
        <v>29</v>
      </c>
      <c r="E41" s="1" t="s">
        <v>24</v>
      </c>
      <c r="F41" s="1">
        <v>10</v>
      </c>
      <c r="G41" s="1">
        <v>0</v>
      </c>
    </row>
    <row r="42" spans="1:7" x14ac:dyDescent="0.3">
      <c r="A42" s="1">
        <v>2</v>
      </c>
      <c r="B42" s="1">
        <v>0</v>
      </c>
      <c r="C42" s="1" t="s">
        <v>24</v>
      </c>
      <c r="D42" s="1">
        <v>42</v>
      </c>
      <c r="E42" s="1" t="s">
        <v>24</v>
      </c>
      <c r="F42" s="1">
        <v>27</v>
      </c>
      <c r="G42" s="1">
        <v>0</v>
      </c>
    </row>
    <row r="43" spans="1:7" x14ac:dyDescent="0.3">
      <c r="A43" s="1">
        <v>2</v>
      </c>
      <c r="B43" s="1">
        <v>0</v>
      </c>
      <c r="C43" s="1" t="s">
        <v>24</v>
      </c>
      <c r="D43" s="1">
        <v>30</v>
      </c>
      <c r="E43" s="1" t="s">
        <v>24</v>
      </c>
      <c r="F43" s="1">
        <v>33</v>
      </c>
      <c r="G43" s="1">
        <v>1</v>
      </c>
    </row>
    <row r="44" spans="1:7" x14ac:dyDescent="0.3">
      <c r="A44" s="1">
        <v>2</v>
      </c>
      <c r="B44" s="1">
        <v>0</v>
      </c>
      <c r="C44" s="1" t="s">
        <v>24</v>
      </c>
      <c r="D44" s="1">
        <v>29</v>
      </c>
      <c r="E44" s="1" t="s">
        <v>24</v>
      </c>
      <c r="F44" s="1">
        <v>21</v>
      </c>
      <c r="G44" s="1">
        <v>0</v>
      </c>
    </row>
    <row r="45" spans="1:7" x14ac:dyDescent="0.3">
      <c r="A45" s="1">
        <v>2</v>
      </c>
      <c r="B45" s="1">
        <v>0</v>
      </c>
      <c r="C45" s="1" t="s">
        <v>24</v>
      </c>
      <c r="D45" s="1">
        <v>53</v>
      </c>
      <c r="E45" s="1" t="s">
        <v>24</v>
      </c>
      <c r="F45" s="1">
        <v>22</v>
      </c>
      <c r="G45" s="1">
        <v>0</v>
      </c>
    </row>
    <row r="46" spans="1:7" x14ac:dyDescent="0.3">
      <c r="A46" s="1">
        <v>2</v>
      </c>
      <c r="B46" s="1">
        <v>0</v>
      </c>
      <c r="C46" s="1" t="s">
        <v>24</v>
      </c>
      <c r="D46" s="1">
        <v>5</v>
      </c>
      <c r="E46" s="1" t="s">
        <v>24</v>
      </c>
      <c r="F46" s="1">
        <v>37</v>
      </c>
      <c r="G46" s="1">
        <v>1</v>
      </c>
    </row>
    <row r="47" spans="1:7" x14ac:dyDescent="0.3">
      <c r="A47" s="1">
        <v>2</v>
      </c>
      <c r="B47" s="1">
        <v>0</v>
      </c>
      <c r="C47" s="1" t="s">
        <v>24</v>
      </c>
      <c r="D47" s="1">
        <v>47</v>
      </c>
      <c r="E47" s="1" t="s">
        <v>24</v>
      </c>
      <c r="F47" s="1">
        <v>50</v>
      </c>
      <c r="G47" s="1">
        <v>1</v>
      </c>
    </row>
    <row r="48" spans="1:7" x14ac:dyDescent="0.3">
      <c r="A48" s="1">
        <v>2</v>
      </c>
      <c r="B48" s="1">
        <v>0</v>
      </c>
      <c r="C48" s="1" t="s">
        <v>24</v>
      </c>
      <c r="D48" s="1">
        <v>37</v>
      </c>
      <c r="E48" s="1" t="s">
        <v>24</v>
      </c>
      <c r="F48" s="1">
        <v>62</v>
      </c>
      <c r="G48" s="1">
        <v>1</v>
      </c>
    </row>
    <row r="49" spans="1:7" x14ac:dyDescent="0.3">
      <c r="A49" s="1">
        <v>2</v>
      </c>
      <c r="B49" s="1">
        <v>0</v>
      </c>
      <c r="C49" s="1" t="s">
        <v>24</v>
      </c>
      <c r="D49" s="1">
        <v>43</v>
      </c>
      <c r="E49" s="1" t="s">
        <v>24</v>
      </c>
      <c r="F49" s="1">
        <v>43</v>
      </c>
      <c r="G49" s="1">
        <v>0</v>
      </c>
    </row>
    <row r="50" spans="1:7" x14ac:dyDescent="0.3">
      <c r="A50" s="1">
        <v>2</v>
      </c>
      <c r="B50" s="1">
        <v>0</v>
      </c>
      <c r="C50" s="1" t="s">
        <v>24</v>
      </c>
      <c r="D50" s="1">
        <v>29</v>
      </c>
      <c r="E50" s="1" t="s">
        <v>24</v>
      </c>
      <c r="F50" s="1">
        <v>31</v>
      </c>
      <c r="G50" s="1">
        <v>1</v>
      </c>
    </row>
    <row r="51" spans="1:7" x14ac:dyDescent="0.3">
      <c r="A51" s="1">
        <v>2</v>
      </c>
      <c r="B51" s="1">
        <v>1</v>
      </c>
      <c r="C51" s="1" t="s">
        <v>24</v>
      </c>
      <c r="D51" s="1">
        <v>42</v>
      </c>
      <c r="E51" s="1" t="s">
        <v>24</v>
      </c>
      <c r="F51" s="1">
        <v>26</v>
      </c>
      <c r="G51" s="1">
        <v>0</v>
      </c>
    </row>
    <row r="52" spans="1:7" x14ac:dyDescent="0.3">
      <c r="A52" s="1">
        <v>2</v>
      </c>
      <c r="B52" s="1">
        <v>1</v>
      </c>
      <c r="C52" s="1" t="s">
        <v>24</v>
      </c>
      <c r="D52" s="1">
        <v>35</v>
      </c>
      <c r="E52" s="1" t="s">
        <v>24</v>
      </c>
      <c r="F52" s="1">
        <v>43</v>
      </c>
      <c r="G52" s="1">
        <v>1</v>
      </c>
    </row>
    <row r="53" spans="1:7" x14ac:dyDescent="0.3">
      <c r="A53" s="1">
        <v>2</v>
      </c>
      <c r="B53" s="1">
        <v>1</v>
      </c>
      <c r="C53" s="1" t="s">
        <v>24</v>
      </c>
      <c r="D53" s="1">
        <v>49</v>
      </c>
      <c r="E53" s="1" t="s">
        <v>24</v>
      </c>
      <c r="F53" s="1">
        <v>34</v>
      </c>
      <c r="G53" s="1">
        <v>0</v>
      </c>
    </row>
    <row r="54" spans="1:7" x14ac:dyDescent="0.3">
      <c r="A54" s="1">
        <v>2</v>
      </c>
      <c r="B54" s="1">
        <v>1</v>
      </c>
      <c r="C54" s="1" t="s">
        <v>24</v>
      </c>
      <c r="D54" s="1">
        <v>48</v>
      </c>
      <c r="E54" s="1" t="s">
        <v>24</v>
      </c>
      <c r="F54" s="1">
        <v>57</v>
      </c>
      <c r="G54" s="1">
        <v>1</v>
      </c>
    </row>
    <row r="55" spans="1:7" x14ac:dyDescent="0.3">
      <c r="A55" s="1">
        <v>2</v>
      </c>
      <c r="B55" s="1">
        <v>1</v>
      </c>
      <c r="C55" s="1" t="s">
        <v>24</v>
      </c>
      <c r="D55" s="1">
        <v>38</v>
      </c>
      <c r="E55" s="1" t="s">
        <v>24</v>
      </c>
      <c r="F55" s="1">
        <v>19</v>
      </c>
      <c r="G55" s="1">
        <v>0</v>
      </c>
    </row>
    <row r="56" spans="1:7" x14ac:dyDescent="0.3">
      <c r="A56" s="1">
        <v>2</v>
      </c>
      <c r="B56" s="1">
        <v>1</v>
      </c>
      <c r="C56" s="1" t="s">
        <v>24</v>
      </c>
      <c r="D56" s="1">
        <v>3</v>
      </c>
      <c r="E56" s="1" t="s">
        <v>24</v>
      </c>
      <c r="F56" s="1">
        <v>48</v>
      </c>
      <c r="G56" s="1">
        <v>1</v>
      </c>
    </row>
    <row r="57" spans="1:7" x14ac:dyDescent="0.3">
      <c r="A57" s="1">
        <v>2</v>
      </c>
      <c r="B57" s="1">
        <v>1</v>
      </c>
      <c r="C57" s="1" t="s">
        <v>24</v>
      </c>
      <c r="D57" s="1">
        <v>16</v>
      </c>
      <c r="E57" s="1" t="s">
        <v>24</v>
      </c>
      <c r="F57" s="1">
        <v>33</v>
      </c>
      <c r="G57" s="1">
        <v>1</v>
      </c>
    </row>
    <row r="58" spans="1:7" x14ac:dyDescent="0.3">
      <c r="A58" s="1">
        <v>2</v>
      </c>
      <c r="B58" s="1">
        <v>1</v>
      </c>
      <c r="C58" s="1" t="s">
        <v>24</v>
      </c>
      <c r="D58" s="1">
        <v>25</v>
      </c>
      <c r="E58" s="1" t="s">
        <v>24</v>
      </c>
      <c r="F58" s="1">
        <v>13</v>
      </c>
      <c r="G58" s="1">
        <v>0</v>
      </c>
    </row>
    <row r="59" spans="1:7" x14ac:dyDescent="0.3">
      <c r="A59" s="1">
        <v>2</v>
      </c>
      <c r="B59" s="1">
        <v>1</v>
      </c>
      <c r="C59" s="1" t="s">
        <v>24</v>
      </c>
      <c r="D59" s="1">
        <v>35</v>
      </c>
      <c r="E59" s="1" t="s">
        <v>24</v>
      </c>
      <c r="F59" s="1">
        <v>41</v>
      </c>
      <c r="G59" s="1">
        <v>1</v>
      </c>
    </row>
    <row r="60" spans="1:7" x14ac:dyDescent="0.3">
      <c r="A60" s="1">
        <v>2</v>
      </c>
      <c r="B60" s="1">
        <v>1</v>
      </c>
      <c r="C60" s="1" t="s">
        <v>24</v>
      </c>
      <c r="D60" s="1">
        <v>15</v>
      </c>
      <c r="E60" s="1" t="s">
        <v>24</v>
      </c>
      <c r="F60" s="1">
        <v>34</v>
      </c>
      <c r="G60" s="1">
        <v>1</v>
      </c>
    </row>
    <row r="61" spans="1:7" x14ac:dyDescent="0.3">
      <c r="A61" s="1">
        <v>2</v>
      </c>
      <c r="B61" s="1">
        <v>1</v>
      </c>
      <c r="C61" s="1" t="s">
        <v>24</v>
      </c>
      <c r="D61" s="1">
        <v>19</v>
      </c>
      <c r="E61" s="1" t="s">
        <v>24</v>
      </c>
      <c r="F61" s="1">
        <v>53</v>
      </c>
      <c r="G61" s="1">
        <v>1</v>
      </c>
    </row>
    <row r="62" spans="1:7" x14ac:dyDescent="0.3">
      <c r="A62" s="1">
        <v>2</v>
      </c>
      <c r="B62" s="1">
        <v>1</v>
      </c>
      <c r="C62" s="1" t="s">
        <v>24</v>
      </c>
      <c r="D62" s="1">
        <v>2</v>
      </c>
      <c r="E62" s="1" t="s">
        <v>24</v>
      </c>
      <c r="F62" s="1">
        <v>26</v>
      </c>
      <c r="G62" s="1">
        <v>1</v>
      </c>
    </row>
    <row r="63" spans="1:7" x14ac:dyDescent="0.3">
      <c r="A63" s="1">
        <v>2</v>
      </c>
      <c r="B63" s="1">
        <v>1</v>
      </c>
      <c r="C63" s="1" t="s">
        <v>24</v>
      </c>
      <c r="D63" s="1">
        <v>47</v>
      </c>
      <c r="E63" s="1" t="s">
        <v>24</v>
      </c>
      <c r="F63" s="1">
        <v>57</v>
      </c>
      <c r="G63" s="1">
        <v>1</v>
      </c>
    </row>
    <row r="64" spans="1:7" x14ac:dyDescent="0.3">
      <c r="A64" s="1">
        <v>2</v>
      </c>
      <c r="B64" s="1">
        <v>1</v>
      </c>
      <c r="C64" s="1" t="s">
        <v>24</v>
      </c>
      <c r="D64" s="1">
        <v>46</v>
      </c>
      <c r="E64" s="1" t="s">
        <v>24</v>
      </c>
      <c r="F64" s="1">
        <v>72</v>
      </c>
      <c r="G64" s="1">
        <v>1</v>
      </c>
    </row>
    <row r="65" spans="1:7" x14ac:dyDescent="0.3">
      <c r="A65" s="1">
        <v>2</v>
      </c>
      <c r="B65" s="1">
        <v>1</v>
      </c>
      <c r="C65" s="1" t="s">
        <v>24</v>
      </c>
      <c r="D65" s="1">
        <v>15</v>
      </c>
      <c r="E65" s="1" t="s">
        <v>24</v>
      </c>
      <c r="F65" s="1">
        <v>19</v>
      </c>
      <c r="G65" s="1">
        <v>1</v>
      </c>
    </row>
    <row r="66" spans="1:7" x14ac:dyDescent="0.3">
      <c r="A66" s="1">
        <v>2</v>
      </c>
      <c r="B66" s="1">
        <v>1</v>
      </c>
      <c r="C66" s="1" t="s">
        <v>24</v>
      </c>
      <c r="D66" s="1">
        <v>16</v>
      </c>
      <c r="E66" s="1" t="s">
        <v>24</v>
      </c>
      <c r="F66" s="1">
        <v>40</v>
      </c>
      <c r="G66" s="1">
        <v>1</v>
      </c>
    </row>
    <row r="67" spans="1:7" x14ac:dyDescent="0.3">
      <c r="A67" s="1">
        <v>2</v>
      </c>
      <c r="B67" s="1">
        <v>1</v>
      </c>
      <c r="C67" s="1" t="s">
        <v>24</v>
      </c>
      <c r="D67" s="1">
        <v>25</v>
      </c>
      <c r="E67" s="1" t="s">
        <v>24</v>
      </c>
      <c r="F67" s="1">
        <v>44</v>
      </c>
      <c r="G67" s="1">
        <v>1</v>
      </c>
    </row>
    <row r="68" spans="1:7" x14ac:dyDescent="0.3">
      <c r="A68" s="1">
        <v>2</v>
      </c>
      <c r="B68" s="1">
        <v>1</v>
      </c>
      <c r="C68" s="1" t="s">
        <v>24</v>
      </c>
      <c r="D68" s="1">
        <v>26</v>
      </c>
      <c r="E68" s="1" t="s">
        <v>24</v>
      </c>
      <c r="F68" s="1">
        <v>74</v>
      </c>
      <c r="G68" s="1">
        <v>1</v>
      </c>
    </row>
    <row r="69" spans="1:7" x14ac:dyDescent="0.3">
      <c r="A69" s="1">
        <v>2</v>
      </c>
      <c r="B69" s="1">
        <v>1</v>
      </c>
      <c r="C69" s="1" t="s">
        <v>24</v>
      </c>
      <c r="D69" s="1">
        <v>21</v>
      </c>
      <c r="E69" s="1" t="s">
        <v>24</v>
      </c>
      <c r="F69" s="1">
        <v>17</v>
      </c>
      <c r="G69" s="1">
        <v>0</v>
      </c>
    </row>
    <row r="70" spans="1:7" x14ac:dyDescent="0.3">
      <c r="A70" s="1">
        <v>2</v>
      </c>
      <c r="B70" s="1">
        <v>1</v>
      </c>
      <c r="C70" s="1" t="s">
        <v>24</v>
      </c>
      <c r="D70" s="1">
        <v>47</v>
      </c>
      <c r="E70" s="1" t="s">
        <v>24</v>
      </c>
      <c r="F70" s="1">
        <v>20</v>
      </c>
      <c r="G70" s="1">
        <v>0</v>
      </c>
    </row>
    <row r="71" spans="1:7" x14ac:dyDescent="0.3">
      <c r="A71" s="1">
        <v>2</v>
      </c>
      <c r="B71" s="1">
        <v>1</v>
      </c>
      <c r="C71" s="1" t="s">
        <v>24</v>
      </c>
      <c r="D71" s="1">
        <v>40</v>
      </c>
      <c r="E71" s="1" t="s">
        <v>24</v>
      </c>
      <c r="F71" s="1">
        <v>21</v>
      </c>
      <c r="G71" s="1">
        <v>0</v>
      </c>
    </row>
    <row r="72" spans="1:7" x14ac:dyDescent="0.3">
      <c r="A72" s="1">
        <v>2</v>
      </c>
      <c r="B72" s="1">
        <v>1</v>
      </c>
      <c r="C72" s="1" t="s">
        <v>24</v>
      </c>
      <c r="D72" s="1">
        <v>40</v>
      </c>
      <c r="E72" s="1" t="s">
        <v>24</v>
      </c>
      <c r="F72" s="1">
        <v>25</v>
      </c>
      <c r="G72" s="1">
        <v>0</v>
      </c>
    </row>
    <row r="73" spans="1:7" x14ac:dyDescent="0.3">
      <c r="A73" s="1">
        <v>2</v>
      </c>
      <c r="B73" s="1">
        <v>1</v>
      </c>
      <c r="C73" s="1" t="s">
        <v>24</v>
      </c>
      <c r="D73" s="1">
        <v>45</v>
      </c>
      <c r="E73" s="1" t="s">
        <v>24</v>
      </c>
      <c r="F73" s="1">
        <v>18</v>
      </c>
      <c r="G73" s="1">
        <v>0</v>
      </c>
    </row>
    <row r="74" spans="1:7" x14ac:dyDescent="0.3">
      <c r="A74" s="1">
        <v>2</v>
      </c>
      <c r="B74" s="1">
        <v>1</v>
      </c>
      <c r="C74" s="1" t="s">
        <v>24</v>
      </c>
      <c r="D74" s="1">
        <v>30</v>
      </c>
      <c r="E74" s="1" t="s">
        <v>24</v>
      </c>
      <c r="F74" s="1">
        <v>13</v>
      </c>
      <c r="G74" s="1">
        <v>0</v>
      </c>
    </row>
    <row r="75" spans="1:7" x14ac:dyDescent="0.3">
      <c r="A75" s="1">
        <v>2</v>
      </c>
      <c r="B75" s="1">
        <v>1</v>
      </c>
      <c r="C75" s="1" t="s">
        <v>24</v>
      </c>
      <c r="D75" s="1">
        <v>44</v>
      </c>
      <c r="E75" s="1" t="s">
        <v>24</v>
      </c>
      <c r="F75" s="1">
        <v>33</v>
      </c>
      <c r="G75" s="1">
        <v>0</v>
      </c>
    </row>
    <row r="76" spans="1:7" x14ac:dyDescent="0.3">
      <c r="A76" s="1">
        <v>2</v>
      </c>
      <c r="B76" s="1">
        <v>1</v>
      </c>
      <c r="C76" s="1" t="s">
        <v>24</v>
      </c>
      <c r="D76" s="1">
        <v>43</v>
      </c>
      <c r="E76" s="1" t="s">
        <v>24</v>
      </c>
      <c r="F76" s="1">
        <v>41</v>
      </c>
      <c r="G76" s="1">
        <v>0</v>
      </c>
    </row>
    <row r="77" spans="1:7" x14ac:dyDescent="0.3">
      <c r="A77" s="1">
        <v>2</v>
      </c>
      <c r="B77" s="1">
        <v>1</v>
      </c>
      <c r="C77" s="1" t="s">
        <v>24</v>
      </c>
      <c r="D77" s="1">
        <v>13</v>
      </c>
      <c r="E77" s="1" t="s">
        <v>24</v>
      </c>
      <c r="F77" s="1">
        <v>51</v>
      </c>
      <c r="G77" s="1">
        <v>1</v>
      </c>
    </row>
    <row r="78" spans="1:7" x14ac:dyDescent="0.3">
      <c r="A78" s="1">
        <v>2</v>
      </c>
      <c r="B78" s="1">
        <v>1</v>
      </c>
      <c r="C78" s="1" t="s">
        <v>24</v>
      </c>
      <c r="D78" s="1">
        <v>26</v>
      </c>
      <c r="E78" s="1" t="s">
        <v>24</v>
      </c>
      <c r="F78" s="1">
        <v>25</v>
      </c>
      <c r="G78" s="1">
        <v>0</v>
      </c>
    </row>
    <row r="79" spans="1:7" x14ac:dyDescent="0.3">
      <c r="A79" s="1">
        <v>2</v>
      </c>
      <c r="B79" s="1">
        <v>1</v>
      </c>
      <c r="C79" s="1" t="s">
        <v>24</v>
      </c>
      <c r="D79" s="1">
        <v>22</v>
      </c>
      <c r="E79" s="1" t="s">
        <v>24</v>
      </c>
      <c r="F79" s="1">
        <v>54</v>
      </c>
      <c r="G79" s="1">
        <v>1</v>
      </c>
    </row>
    <row r="80" spans="1:7" x14ac:dyDescent="0.3">
      <c r="A80" s="1">
        <v>2</v>
      </c>
      <c r="B80" s="1">
        <v>1</v>
      </c>
      <c r="C80" s="1" t="s">
        <v>24</v>
      </c>
      <c r="D80" s="1">
        <v>12</v>
      </c>
      <c r="E80" s="1" t="s">
        <v>24</v>
      </c>
      <c r="F80" s="1">
        <v>51</v>
      </c>
      <c r="G80" s="1">
        <v>1</v>
      </c>
    </row>
    <row r="81" spans="1:7" x14ac:dyDescent="0.3">
      <c r="A81" s="1">
        <v>2</v>
      </c>
      <c r="B81" s="1">
        <v>1</v>
      </c>
      <c r="C81" s="1" t="s">
        <v>24</v>
      </c>
      <c r="D81" s="1">
        <v>27</v>
      </c>
      <c r="E81" s="1" t="s">
        <v>24</v>
      </c>
      <c r="F81" s="1">
        <v>33</v>
      </c>
      <c r="G81" s="1">
        <v>1</v>
      </c>
    </row>
    <row r="82" spans="1:7" x14ac:dyDescent="0.3">
      <c r="A82" s="1">
        <v>2</v>
      </c>
      <c r="B82" s="1">
        <v>1</v>
      </c>
      <c r="C82" s="1" t="s">
        <v>24</v>
      </c>
      <c r="D82" s="1">
        <v>36</v>
      </c>
      <c r="E82" s="1" t="s">
        <v>24</v>
      </c>
      <c r="F82" s="1">
        <v>31</v>
      </c>
      <c r="G82" s="1">
        <v>0</v>
      </c>
    </row>
    <row r="83" spans="1:7" x14ac:dyDescent="0.3">
      <c r="A83" s="1">
        <v>2</v>
      </c>
      <c r="B83" s="1">
        <v>1</v>
      </c>
      <c r="C83" s="1" t="s">
        <v>24</v>
      </c>
      <c r="D83" s="1">
        <v>64</v>
      </c>
      <c r="E83" s="1" t="s">
        <v>24</v>
      </c>
      <c r="F83" s="1">
        <v>29</v>
      </c>
      <c r="G83" s="1">
        <v>0</v>
      </c>
    </row>
    <row r="84" spans="1:7" x14ac:dyDescent="0.3">
      <c r="A84" s="1">
        <v>2</v>
      </c>
      <c r="B84" s="1">
        <v>1</v>
      </c>
      <c r="C84" s="1" t="s">
        <v>24</v>
      </c>
      <c r="D84" s="1">
        <v>14</v>
      </c>
      <c r="E84" s="1" t="s">
        <v>24</v>
      </c>
      <c r="F84" s="1">
        <v>9</v>
      </c>
      <c r="G84" s="1">
        <v>0</v>
      </c>
    </row>
    <row r="85" spans="1:7" x14ac:dyDescent="0.3">
      <c r="A85" s="1">
        <v>2</v>
      </c>
      <c r="B85" s="1">
        <v>1</v>
      </c>
      <c r="C85" s="1" t="s">
        <v>24</v>
      </c>
      <c r="D85" s="1">
        <v>67</v>
      </c>
      <c r="E85" s="1" t="s">
        <v>24</v>
      </c>
      <c r="F85" s="1">
        <v>33</v>
      </c>
      <c r="G85" s="1">
        <v>0</v>
      </c>
    </row>
    <row r="86" spans="1:7" x14ac:dyDescent="0.3">
      <c r="A86" s="1">
        <v>2</v>
      </c>
      <c r="B86" s="1">
        <v>1</v>
      </c>
      <c r="C86" s="1" t="s">
        <v>24</v>
      </c>
      <c r="D86" s="1">
        <v>19</v>
      </c>
      <c r="E86" s="1" t="s">
        <v>24</v>
      </c>
      <c r="F86" s="1">
        <v>2</v>
      </c>
      <c r="G86" s="1">
        <v>0</v>
      </c>
    </row>
    <row r="87" spans="1:7" x14ac:dyDescent="0.3">
      <c r="A87" s="1">
        <v>2</v>
      </c>
      <c r="B87" s="1">
        <v>1</v>
      </c>
      <c r="C87" s="1" t="s">
        <v>24</v>
      </c>
      <c r="D87" s="1">
        <v>54</v>
      </c>
      <c r="E87" s="1" t="s">
        <v>24</v>
      </c>
      <c r="F87" s="1">
        <v>28</v>
      </c>
      <c r="G87" s="1">
        <v>0</v>
      </c>
    </row>
    <row r="88" spans="1:7" x14ac:dyDescent="0.3">
      <c r="A88" s="1">
        <v>2</v>
      </c>
      <c r="B88" s="1">
        <v>1</v>
      </c>
      <c r="C88" s="1" t="s">
        <v>24</v>
      </c>
      <c r="D88" s="1">
        <v>32</v>
      </c>
      <c r="E88" s="1" t="s">
        <v>24</v>
      </c>
      <c r="F88" s="1">
        <v>36</v>
      </c>
      <c r="G88" s="1">
        <v>1</v>
      </c>
    </row>
    <row r="89" spans="1:7" x14ac:dyDescent="0.3">
      <c r="A89" s="1">
        <v>2</v>
      </c>
      <c r="B89" s="1">
        <v>1</v>
      </c>
      <c r="C89" s="1" t="s">
        <v>24</v>
      </c>
      <c r="D89" s="1">
        <v>25</v>
      </c>
      <c r="E89" s="1" t="s">
        <v>24</v>
      </c>
      <c r="F89" s="1">
        <v>57</v>
      </c>
      <c r="G89" s="1">
        <v>1</v>
      </c>
    </row>
    <row r="90" spans="1:7" x14ac:dyDescent="0.3">
      <c r="A90" s="1">
        <v>2</v>
      </c>
      <c r="B90" s="1">
        <v>1</v>
      </c>
      <c r="C90" s="1" t="s">
        <v>24</v>
      </c>
      <c r="D90" s="1">
        <v>55</v>
      </c>
      <c r="E90" s="1" t="s">
        <v>24</v>
      </c>
      <c r="F90" s="1">
        <v>16</v>
      </c>
      <c r="G90" s="1">
        <v>0</v>
      </c>
    </row>
    <row r="91" spans="1:7" x14ac:dyDescent="0.3">
      <c r="A91" s="1">
        <v>2</v>
      </c>
      <c r="B91" s="1">
        <v>1</v>
      </c>
      <c r="C91" s="1" t="s">
        <v>24</v>
      </c>
      <c r="D91" s="1">
        <v>50</v>
      </c>
      <c r="E91" s="1" t="s">
        <v>24</v>
      </c>
      <c r="F91" s="1">
        <v>18</v>
      </c>
      <c r="G91" s="1">
        <v>0</v>
      </c>
    </row>
    <row r="92" spans="1:7" x14ac:dyDescent="0.3">
      <c r="A92" s="1">
        <v>2</v>
      </c>
      <c r="B92" s="1">
        <v>1</v>
      </c>
      <c r="C92" s="1" t="s">
        <v>24</v>
      </c>
      <c r="D92" s="1">
        <v>32</v>
      </c>
      <c r="E92" s="1" t="s">
        <v>24</v>
      </c>
      <c r="F92" s="1">
        <v>32</v>
      </c>
      <c r="G92" s="1">
        <v>0</v>
      </c>
    </row>
    <row r="93" spans="1:7" x14ac:dyDescent="0.3">
      <c r="A93" s="1">
        <v>2</v>
      </c>
      <c r="B93" s="1">
        <v>1</v>
      </c>
      <c r="C93" s="1" t="s">
        <v>24</v>
      </c>
      <c r="D93" s="1">
        <v>29</v>
      </c>
      <c r="E93" s="1" t="s">
        <v>24</v>
      </c>
      <c r="F93" s="1">
        <v>15</v>
      </c>
      <c r="G93" s="1">
        <v>0</v>
      </c>
    </row>
    <row r="94" spans="1:7" x14ac:dyDescent="0.3">
      <c r="A94" s="1">
        <v>2</v>
      </c>
      <c r="B94" s="1">
        <v>1</v>
      </c>
      <c r="C94" s="1" t="s">
        <v>24</v>
      </c>
      <c r="D94" s="1">
        <v>64</v>
      </c>
      <c r="E94" s="1" t="s">
        <v>24</v>
      </c>
      <c r="F94" s="1">
        <v>38</v>
      </c>
      <c r="G94" s="1">
        <v>0</v>
      </c>
    </row>
    <row r="95" spans="1:7" x14ac:dyDescent="0.3">
      <c r="A95" s="1">
        <v>2</v>
      </c>
      <c r="B95" s="1">
        <v>1</v>
      </c>
      <c r="C95" s="1" t="s">
        <v>24</v>
      </c>
      <c r="D95" s="1">
        <v>40</v>
      </c>
      <c r="E95" s="1" t="s">
        <v>24</v>
      </c>
      <c r="F95" s="1">
        <v>32</v>
      </c>
      <c r="G95" s="1">
        <v>0</v>
      </c>
    </row>
    <row r="96" spans="1:7" x14ac:dyDescent="0.3">
      <c r="A96" s="1">
        <v>2</v>
      </c>
      <c r="B96" s="1">
        <v>1</v>
      </c>
      <c r="C96" s="1" t="s">
        <v>24</v>
      </c>
      <c r="D96" s="1">
        <v>36</v>
      </c>
      <c r="E96" s="1" t="s">
        <v>24</v>
      </c>
      <c r="F96" s="1">
        <v>55</v>
      </c>
      <c r="G96" s="1">
        <v>1</v>
      </c>
    </row>
    <row r="97" spans="1:7" x14ac:dyDescent="0.3">
      <c r="A97" s="1">
        <v>2</v>
      </c>
      <c r="B97" s="1">
        <v>1</v>
      </c>
      <c r="C97" s="1" t="s">
        <v>24</v>
      </c>
      <c r="D97" s="1">
        <v>10</v>
      </c>
      <c r="E97" s="1" t="s">
        <v>24</v>
      </c>
      <c r="F97" s="1">
        <v>34</v>
      </c>
      <c r="G97" s="1">
        <v>1</v>
      </c>
    </row>
    <row r="98" spans="1:7" x14ac:dyDescent="0.3">
      <c r="A98" s="1">
        <v>2</v>
      </c>
      <c r="B98" s="1">
        <v>1</v>
      </c>
      <c r="C98" s="1" t="s">
        <v>24</v>
      </c>
      <c r="D98" s="1">
        <v>48</v>
      </c>
      <c r="E98" s="1" t="s">
        <v>24</v>
      </c>
      <c r="F98" s="1">
        <v>44</v>
      </c>
      <c r="G98" s="1">
        <v>0</v>
      </c>
    </row>
    <row r="99" spans="1:7" x14ac:dyDescent="0.3">
      <c r="A99" s="1">
        <v>2</v>
      </c>
      <c r="B99" s="1">
        <v>1</v>
      </c>
      <c r="C99" s="1" t="s">
        <v>24</v>
      </c>
      <c r="D99" s="1">
        <v>42</v>
      </c>
      <c r="E99" s="1" t="s">
        <v>24</v>
      </c>
      <c r="F99" s="1">
        <v>24</v>
      </c>
      <c r="G99" s="1">
        <v>0</v>
      </c>
    </row>
    <row r="100" spans="1:7" x14ac:dyDescent="0.3">
      <c r="A100" s="1">
        <v>2</v>
      </c>
      <c r="B100" s="1">
        <v>1</v>
      </c>
      <c r="C100" s="1" t="s">
        <v>24</v>
      </c>
      <c r="D100" s="1">
        <v>42</v>
      </c>
      <c r="E100" s="1" t="s">
        <v>24</v>
      </c>
      <c r="F100" s="1">
        <v>25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71EC-2DEA-4057-827B-7327A2D1C91B}">
  <dimension ref="A1:Q100"/>
  <sheetViews>
    <sheetView workbookViewId="0">
      <selection activeCell="I22" sqref="I22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24</v>
      </c>
      <c r="D1" s="1">
        <v>8</v>
      </c>
      <c r="E1" s="1" t="s">
        <v>24</v>
      </c>
      <c r="F1" s="1">
        <v>20</v>
      </c>
      <c r="G1" s="1">
        <v>1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24</v>
      </c>
      <c r="D2" s="1">
        <v>26</v>
      </c>
      <c r="E2" s="1" t="s">
        <v>24</v>
      </c>
      <c r="F2" s="1">
        <v>16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24</v>
      </c>
      <c r="D3" s="1">
        <v>16</v>
      </c>
      <c r="E3" s="1" t="s">
        <v>24</v>
      </c>
      <c r="F3" s="1">
        <v>28</v>
      </c>
      <c r="G3" s="1">
        <v>1</v>
      </c>
      <c r="I3" s="5" t="s">
        <v>6</v>
      </c>
      <c r="J3" s="5"/>
      <c r="K3" s="9">
        <f>COUNTIF($G$1:$G$100, 0)</f>
        <v>40</v>
      </c>
      <c r="L3" s="9"/>
      <c r="M3" s="9">
        <f>COUNTIFS($G$1:$G$100, 0, $B$1:$B$100, 0)</f>
        <v>24</v>
      </c>
      <c r="N3" s="9"/>
      <c r="O3" s="10">
        <f>COUNTIFS($G$1:$G$100, 0, $B$1:$B$100, 1)</f>
        <v>16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24</v>
      </c>
      <c r="D4" s="1">
        <v>38</v>
      </c>
      <c r="E4" s="1" t="s">
        <v>24</v>
      </c>
      <c r="F4" s="1">
        <v>22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24</v>
      </c>
      <c r="D5" s="1">
        <v>21</v>
      </c>
      <c r="E5" s="1" t="s">
        <v>24</v>
      </c>
      <c r="F5" s="1">
        <v>41</v>
      </c>
      <c r="G5" s="1">
        <v>1</v>
      </c>
      <c r="I5" s="5" t="s">
        <v>7</v>
      </c>
      <c r="J5" s="5"/>
      <c r="K5" s="14">
        <f>COUNTIF($G$1:$G$100, 1)</f>
        <v>60</v>
      </c>
      <c r="L5" s="9"/>
      <c r="M5" s="9">
        <f>COUNTIFS($G$1:$G$100, 1, $B$1:$B$100, 0)</f>
        <v>26</v>
      </c>
      <c r="N5" s="9"/>
      <c r="O5" s="9">
        <f>COUNTIFS($G$1:$G$100, 1, $B$1:$B$100, 1)</f>
        <v>34</v>
      </c>
      <c r="P5" s="13"/>
      <c r="Q5"/>
    </row>
    <row r="6" spans="1:17" x14ac:dyDescent="0.3">
      <c r="A6" s="1">
        <v>2</v>
      </c>
      <c r="B6" s="1">
        <v>0</v>
      </c>
      <c r="C6" s="1" t="s">
        <v>24</v>
      </c>
      <c r="D6" s="1">
        <v>19</v>
      </c>
      <c r="E6" s="1" t="s">
        <v>24</v>
      </c>
      <c r="F6" s="1">
        <v>28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24</v>
      </c>
      <c r="D7" s="1">
        <v>34</v>
      </c>
      <c r="E7" s="1" t="s">
        <v>24</v>
      </c>
      <c r="F7" s="1">
        <v>29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24</v>
      </c>
      <c r="D8" s="1">
        <v>41</v>
      </c>
      <c r="E8" s="1" t="s">
        <v>24</v>
      </c>
      <c r="F8" s="1">
        <v>30</v>
      </c>
      <c r="G8" s="1">
        <v>0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24</v>
      </c>
      <c r="D9" s="1">
        <v>39</v>
      </c>
      <c r="E9" s="1" t="s">
        <v>24</v>
      </c>
      <c r="F9" s="1">
        <v>24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24</v>
      </c>
      <c r="D10" s="1">
        <v>38</v>
      </c>
      <c r="E10" s="1" t="s">
        <v>24</v>
      </c>
      <c r="F10" s="1">
        <v>36</v>
      </c>
      <c r="G10" s="1">
        <v>0</v>
      </c>
      <c r="I10" s="5" t="s">
        <v>10</v>
      </c>
      <c r="J10" s="5"/>
      <c r="K10" s="9">
        <f>AVERAGE($D$1:$D$100,)</f>
        <v>29.227722772277229</v>
      </c>
      <c r="L10" s="9"/>
      <c r="M10" s="9" cm="1">
        <f t="array" ref="M10">AVERAGE(_xlfn._xlws.FILTER($D$1:$D$100,$G$1:$G$100 = 0))</f>
        <v>37.700000000000003</v>
      </c>
      <c r="N10" s="9"/>
      <c r="O10" s="10" cm="1">
        <f t="array" ref="O10">AVERAGE(_xlfn._xlws.FILTER($D$1:$D$100,$G$1:$G$100 = 1))</f>
        <v>24.066666666666666</v>
      </c>
      <c r="P10" s="11"/>
      <c r="Q10"/>
    </row>
    <row r="11" spans="1:17" x14ac:dyDescent="0.3">
      <c r="A11" s="1">
        <v>2</v>
      </c>
      <c r="B11" s="1">
        <v>0</v>
      </c>
      <c r="C11" s="1" t="s">
        <v>24</v>
      </c>
      <c r="D11" s="1">
        <v>35</v>
      </c>
      <c r="E11" s="1" t="s">
        <v>24</v>
      </c>
      <c r="F11" s="1">
        <v>20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24</v>
      </c>
      <c r="D12" s="1">
        <v>27</v>
      </c>
      <c r="E12" s="1" t="s">
        <v>24</v>
      </c>
      <c r="F12" s="1">
        <v>37</v>
      </c>
      <c r="G12" s="1">
        <v>1</v>
      </c>
      <c r="I12" s="5" t="s">
        <v>11</v>
      </c>
      <c r="J12" s="5"/>
      <c r="K12" s="9">
        <f>AVERAGE($F$1:$F$100,)</f>
        <v>33.940594059405939</v>
      </c>
      <c r="L12" s="9"/>
      <c r="M12" s="9" cm="1">
        <f t="array" ref="M12">AVERAGE(_xlfn._xlws.FILTER($F$1:$F$100,$G$1:$G$100 = 0))</f>
        <v>26.175000000000001</v>
      </c>
      <c r="N12" s="9"/>
      <c r="O12" s="9" cm="1">
        <f t="array" ref="O12">AVERAGE(_xlfn._xlws.FILTER($F$1:$F$100,$G$1:$G$100 = 1))</f>
        <v>39.68333333333333</v>
      </c>
      <c r="P12" s="13"/>
      <c r="Q12"/>
    </row>
    <row r="13" spans="1:17" x14ac:dyDescent="0.3">
      <c r="A13" s="1">
        <v>2</v>
      </c>
      <c r="B13" s="1">
        <v>0</v>
      </c>
      <c r="C13" s="1" t="s">
        <v>24</v>
      </c>
      <c r="D13" s="1">
        <v>25</v>
      </c>
      <c r="E13" s="1" t="s">
        <v>24</v>
      </c>
      <c r="F13" s="1">
        <v>46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24</v>
      </c>
      <c r="D14" s="1">
        <v>27</v>
      </c>
      <c r="E14" s="1" t="s">
        <v>24</v>
      </c>
      <c r="F14" s="1">
        <v>35</v>
      </c>
      <c r="G14" s="1">
        <v>1</v>
      </c>
      <c r="I14" s="22" t="s">
        <v>12</v>
      </c>
      <c r="J14" s="11"/>
      <c r="K14" s="23" cm="1">
        <f t="array" ref="K14">AVERAGE($D$1:$D$100 - $F$1:$F$100)</f>
        <v>-4.76</v>
      </c>
      <c r="L14" s="23"/>
      <c r="M14" s="23" cm="1">
        <f t="array" ref="M14">AVERAGE(_xlfn._xlws.FILTER($D$1:$D$100 - $F$1:$F$100, G$1:G$100 = 0))</f>
        <v>11.525</v>
      </c>
      <c r="N14" s="23"/>
      <c r="O14" s="23" cm="1">
        <f t="array" ref="O14">AVERAGE(_xlfn._xlws.FILTER($D$1:$D$100 - $F$1:$F$100, G$1:G$100 = 1))</f>
        <v>-15.616666666666667</v>
      </c>
      <c r="P14" s="24"/>
      <c r="Q14"/>
    </row>
    <row r="15" spans="1:17" x14ac:dyDescent="0.3">
      <c r="A15" s="1">
        <v>2</v>
      </c>
      <c r="B15" s="1">
        <v>0</v>
      </c>
      <c r="C15" s="1" t="s">
        <v>24</v>
      </c>
      <c r="D15" s="1">
        <v>13</v>
      </c>
      <c r="E15" s="1" t="s">
        <v>24</v>
      </c>
      <c r="F15" s="1">
        <v>20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24</v>
      </c>
      <c r="D16" s="1">
        <v>42</v>
      </c>
      <c r="E16" s="1" t="s">
        <v>24</v>
      </c>
      <c r="F16" s="1">
        <v>21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24</v>
      </c>
      <c r="D17" s="1">
        <v>19</v>
      </c>
      <c r="E17" s="1" t="s">
        <v>24</v>
      </c>
      <c r="F17" s="1">
        <v>25</v>
      </c>
      <c r="G17" s="1">
        <v>1</v>
      </c>
    </row>
    <row r="18" spans="1:7" x14ac:dyDescent="0.3">
      <c r="A18" s="1">
        <v>2</v>
      </c>
      <c r="B18" s="1">
        <v>0</v>
      </c>
      <c r="C18" s="1" t="s">
        <v>24</v>
      </c>
      <c r="D18" s="1">
        <v>49</v>
      </c>
      <c r="E18" s="1" t="s">
        <v>24</v>
      </c>
      <c r="F18" s="1">
        <v>38</v>
      </c>
      <c r="G18" s="1">
        <v>0</v>
      </c>
    </row>
    <row r="19" spans="1:7" x14ac:dyDescent="0.3">
      <c r="A19" s="1">
        <v>2</v>
      </c>
      <c r="B19" s="1">
        <v>0</v>
      </c>
      <c r="C19" s="1" t="s">
        <v>24</v>
      </c>
      <c r="D19" s="1">
        <v>24</v>
      </c>
      <c r="E19" s="1" t="s">
        <v>24</v>
      </c>
      <c r="F19" s="1">
        <v>44</v>
      </c>
      <c r="G19" s="1">
        <v>1</v>
      </c>
    </row>
    <row r="20" spans="1:7" x14ac:dyDescent="0.3">
      <c r="A20" s="1">
        <v>2</v>
      </c>
      <c r="B20" s="1">
        <v>0</v>
      </c>
      <c r="C20" s="1" t="s">
        <v>24</v>
      </c>
      <c r="D20" s="1">
        <v>38</v>
      </c>
      <c r="E20" s="1" t="s">
        <v>24</v>
      </c>
      <c r="F20" s="1">
        <v>50</v>
      </c>
      <c r="G20" s="1">
        <v>1</v>
      </c>
    </row>
    <row r="21" spans="1:7" x14ac:dyDescent="0.3">
      <c r="A21" s="1">
        <v>2</v>
      </c>
      <c r="B21" s="1">
        <v>0</v>
      </c>
      <c r="C21" s="1" t="s">
        <v>24</v>
      </c>
      <c r="D21" s="1">
        <v>52</v>
      </c>
      <c r="E21" s="1" t="s">
        <v>24</v>
      </c>
      <c r="F21" s="1">
        <v>49</v>
      </c>
      <c r="G21" s="1">
        <v>0</v>
      </c>
    </row>
    <row r="22" spans="1:7" x14ac:dyDescent="0.3">
      <c r="A22" s="1">
        <v>2</v>
      </c>
      <c r="B22" s="1">
        <v>0</v>
      </c>
      <c r="C22" s="1" t="s">
        <v>24</v>
      </c>
      <c r="D22" s="1">
        <v>23</v>
      </c>
      <c r="E22" s="1" t="s">
        <v>24</v>
      </c>
      <c r="F22" s="1">
        <v>34</v>
      </c>
      <c r="G22" s="1">
        <v>1</v>
      </c>
    </row>
    <row r="23" spans="1:7" x14ac:dyDescent="0.3">
      <c r="A23" s="1">
        <v>2</v>
      </c>
      <c r="B23" s="1">
        <v>0</v>
      </c>
      <c r="C23" s="1" t="s">
        <v>24</v>
      </c>
      <c r="D23" s="1">
        <v>2</v>
      </c>
      <c r="E23" s="1" t="s">
        <v>24</v>
      </c>
      <c r="F23" s="1">
        <v>30</v>
      </c>
      <c r="G23" s="1">
        <v>1</v>
      </c>
    </row>
    <row r="24" spans="1:7" x14ac:dyDescent="0.3">
      <c r="A24" s="1">
        <v>2</v>
      </c>
      <c r="B24" s="1">
        <v>0</v>
      </c>
      <c r="C24" s="1" t="s">
        <v>24</v>
      </c>
      <c r="D24" s="1">
        <v>25</v>
      </c>
      <c r="E24" s="1" t="s">
        <v>24</v>
      </c>
      <c r="F24" s="1">
        <v>33</v>
      </c>
      <c r="G24" s="1">
        <v>1</v>
      </c>
    </row>
    <row r="25" spans="1:7" x14ac:dyDescent="0.3">
      <c r="A25" s="1">
        <v>2</v>
      </c>
      <c r="B25" s="1">
        <v>0</v>
      </c>
      <c r="C25" s="1" t="s">
        <v>24</v>
      </c>
      <c r="D25" s="1">
        <v>26</v>
      </c>
      <c r="E25" s="1" t="s">
        <v>24</v>
      </c>
      <c r="F25" s="1">
        <v>14</v>
      </c>
      <c r="G25" s="1">
        <v>0</v>
      </c>
    </row>
    <row r="26" spans="1:7" x14ac:dyDescent="0.3">
      <c r="A26" s="1">
        <v>2</v>
      </c>
      <c r="B26" s="1">
        <v>0</v>
      </c>
      <c r="C26" s="1" t="s">
        <v>24</v>
      </c>
      <c r="D26" s="1">
        <v>39</v>
      </c>
      <c r="E26" s="1" t="s">
        <v>24</v>
      </c>
      <c r="F26" s="1">
        <v>22</v>
      </c>
      <c r="G26" s="1">
        <v>0</v>
      </c>
    </row>
    <row r="27" spans="1:7" x14ac:dyDescent="0.3">
      <c r="A27" s="1">
        <v>2</v>
      </c>
      <c r="B27" s="1">
        <v>0</v>
      </c>
      <c r="C27" s="1" t="s">
        <v>24</v>
      </c>
      <c r="D27" s="1">
        <v>33</v>
      </c>
      <c r="E27" s="1" t="s">
        <v>24</v>
      </c>
      <c r="F27" s="1">
        <v>34</v>
      </c>
      <c r="G27" s="1">
        <v>1</v>
      </c>
    </row>
    <row r="28" spans="1:7" x14ac:dyDescent="0.3">
      <c r="A28" s="1">
        <v>2</v>
      </c>
      <c r="B28" s="1">
        <v>0</v>
      </c>
      <c r="C28" s="1" t="s">
        <v>24</v>
      </c>
      <c r="D28" s="1">
        <v>28</v>
      </c>
      <c r="E28" s="1" t="s">
        <v>24</v>
      </c>
      <c r="F28" s="1">
        <v>45</v>
      </c>
      <c r="G28" s="1">
        <v>1</v>
      </c>
    </row>
    <row r="29" spans="1:7" x14ac:dyDescent="0.3">
      <c r="A29" s="1">
        <v>2</v>
      </c>
      <c r="B29" s="1">
        <v>0</v>
      </c>
      <c r="C29" s="1" t="s">
        <v>24</v>
      </c>
      <c r="D29" s="1">
        <v>18</v>
      </c>
      <c r="E29" s="1" t="s">
        <v>24</v>
      </c>
      <c r="F29" s="1">
        <v>42</v>
      </c>
      <c r="G29" s="1">
        <v>1</v>
      </c>
    </row>
    <row r="30" spans="1:7" x14ac:dyDescent="0.3">
      <c r="A30" s="1">
        <v>2</v>
      </c>
      <c r="B30" s="1">
        <v>0</v>
      </c>
      <c r="C30" s="1" t="s">
        <v>24</v>
      </c>
      <c r="D30" s="1">
        <v>28</v>
      </c>
      <c r="E30" s="1" t="s">
        <v>24</v>
      </c>
      <c r="F30" s="1">
        <v>36</v>
      </c>
      <c r="G30" s="1">
        <v>1</v>
      </c>
    </row>
    <row r="31" spans="1:7" x14ac:dyDescent="0.3">
      <c r="A31" s="1">
        <v>2</v>
      </c>
      <c r="B31" s="1">
        <v>0</v>
      </c>
      <c r="C31" s="1" t="s">
        <v>24</v>
      </c>
      <c r="D31" s="1">
        <v>24</v>
      </c>
      <c r="E31" s="1" t="s">
        <v>24</v>
      </c>
      <c r="F31" s="1">
        <v>48</v>
      </c>
      <c r="G31" s="1">
        <v>1</v>
      </c>
    </row>
    <row r="32" spans="1:7" x14ac:dyDescent="0.3">
      <c r="A32" s="1">
        <v>2</v>
      </c>
      <c r="B32" s="1">
        <v>0</v>
      </c>
      <c r="C32" s="1" t="s">
        <v>24</v>
      </c>
      <c r="D32" s="1">
        <v>38</v>
      </c>
      <c r="E32" s="1" t="s">
        <v>24</v>
      </c>
      <c r="F32" s="1">
        <v>40</v>
      </c>
      <c r="G32" s="1">
        <v>1</v>
      </c>
    </row>
    <row r="33" spans="1:7" x14ac:dyDescent="0.3">
      <c r="A33" s="1">
        <v>2</v>
      </c>
      <c r="B33" s="1">
        <v>0</v>
      </c>
      <c r="C33" s="1" t="s">
        <v>24</v>
      </c>
      <c r="D33" s="1">
        <v>23</v>
      </c>
      <c r="E33" s="1" t="s">
        <v>24</v>
      </c>
      <c r="F33" s="1">
        <v>20</v>
      </c>
      <c r="G33" s="1">
        <v>0</v>
      </c>
    </row>
    <row r="34" spans="1:7" x14ac:dyDescent="0.3">
      <c r="A34" s="1">
        <v>2</v>
      </c>
      <c r="B34" s="1">
        <v>0</v>
      </c>
      <c r="C34" s="1" t="s">
        <v>24</v>
      </c>
      <c r="D34" s="1">
        <v>44</v>
      </c>
      <c r="E34" s="1" t="s">
        <v>24</v>
      </c>
      <c r="F34" s="1">
        <v>52</v>
      </c>
      <c r="G34" s="1">
        <v>1</v>
      </c>
    </row>
    <row r="35" spans="1:7" x14ac:dyDescent="0.3">
      <c r="A35" s="1">
        <v>2</v>
      </c>
      <c r="B35" s="1">
        <v>0</v>
      </c>
      <c r="C35" s="1" t="s">
        <v>24</v>
      </c>
      <c r="D35" s="1">
        <v>21</v>
      </c>
      <c r="E35" s="1" t="s">
        <v>24</v>
      </c>
      <c r="F35" s="1">
        <v>14</v>
      </c>
      <c r="G35" s="1">
        <v>0</v>
      </c>
    </row>
    <row r="36" spans="1:7" x14ac:dyDescent="0.3">
      <c r="A36" s="1">
        <v>2</v>
      </c>
      <c r="B36" s="1">
        <v>0</v>
      </c>
      <c r="C36" s="1" t="s">
        <v>24</v>
      </c>
      <c r="D36" s="1">
        <v>36</v>
      </c>
      <c r="E36" s="1" t="s">
        <v>24</v>
      </c>
      <c r="F36" s="1">
        <v>41</v>
      </c>
      <c r="G36" s="1">
        <v>1</v>
      </c>
    </row>
    <row r="37" spans="1:7" x14ac:dyDescent="0.3">
      <c r="A37" s="1">
        <v>2</v>
      </c>
      <c r="B37" s="1">
        <v>0</v>
      </c>
      <c r="C37" s="1" t="s">
        <v>24</v>
      </c>
      <c r="D37" s="1">
        <v>27</v>
      </c>
      <c r="E37" s="1" t="s">
        <v>24</v>
      </c>
      <c r="F37" s="1">
        <v>6</v>
      </c>
      <c r="G37" s="1">
        <v>0</v>
      </c>
    </row>
    <row r="38" spans="1:7" x14ac:dyDescent="0.3">
      <c r="A38" s="1">
        <v>2</v>
      </c>
      <c r="B38" s="1">
        <v>0</v>
      </c>
      <c r="C38" s="1" t="s">
        <v>24</v>
      </c>
      <c r="D38" s="1">
        <v>24</v>
      </c>
      <c r="E38" s="1" t="s">
        <v>24</v>
      </c>
      <c r="F38" s="1">
        <v>18</v>
      </c>
      <c r="G38" s="1">
        <v>0</v>
      </c>
    </row>
    <row r="39" spans="1:7" x14ac:dyDescent="0.3">
      <c r="A39" s="1">
        <v>2</v>
      </c>
      <c r="B39" s="1">
        <v>0</v>
      </c>
      <c r="C39" s="1" t="s">
        <v>24</v>
      </c>
      <c r="D39" s="1">
        <v>63</v>
      </c>
      <c r="E39" s="1" t="s">
        <v>24</v>
      </c>
      <c r="F39" s="1">
        <v>28</v>
      </c>
      <c r="G39" s="1">
        <v>0</v>
      </c>
    </row>
    <row r="40" spans="1:7" x14ac:dyDescent="0.3">
      <c r="A40" s="1">
        <v>2</v>
      </c>
      <c r="B40" s="1">
        <v>0</v>
      </c>
      <c r="C40" s="1" t="s">
        <v>24</v>
      </c>
      <c r="D40" s="1">
        <v>46</v>
      </c>
      <c r="E40" s="1" t="s">
        <v>24</v>
      </c>
      <c r="F40" s="1">
        <v>30</v>
      </c>
      <c r="G40" s="1">
        <v>0</v>
      </c>
    </row>
    <row r="41" spans="1:7" x14ac:dyDescent="0.3">
      <c r="A41" s="1">
        <v>2</v>
      </c>
      <c r="B41" s="1">
        <v>0</v>
      </c>
      <c r="C41" s="1" t="s">
        <v>24</v>
      </c>
      <c r="D41" s="1">
        <v>41</v>
      </c>
      <c r="E41" s="1" t="s">
        <v>24</v>
      </c>
      <c r="F41" s="1">
        <v>35</v>
      </c>
      <c r="G41" s="1">
        <v>0</v>
      </c>
    </row>
    <row r="42" spans="1:7" x14ac:dyDescent="0.3">
      <c r="A42" s="1">
        <v>2</v>
      </c>
      <c r="B42" s="1">
        <v>0</v>
      </c>
      <c r="C42" s="1" t="s">
        <v>24</v>
      </c>
      <c r="D42" s="1">
        <v>51</v>
      </c>
      <c r="E42" s="1" t="s">
        <v>24</v>
      </c>
      <c r="F42" s="1">
        <v>30</v>
      </c>
      <c r="G42" s="1">
        <v>0</v>
      </c>
    </row>
    <row r="43" spans="1:7" x14ac:dyDescent="0.3">
      <c r="A43" s="1">
        <v>2</v>
      </c>
      <c r="B43" s="1">
        <v>0</v>
      </c>
      <c r="C43" s="1" t="s">
        <v>24</v>
      </c>
      <c r="D43" s="1">
        <v>14</v>
      </c>
      <c r="E43" s="1" t="s">
        <v>24</v>
      </c>
      <c r="F43" s="1">
        <v>36</v>
      </c>
      <c r="G43" s="1">
        <v>1</v>
      </c>
    </row>
    <row r="44" spans="1:7" x14ac:dyDescent="0.3">
      <c r="A44" s="1">
        <v>2</v>
      </c>
      <c r="B44" s="1">
        <v>0</v>
      </c>
      <c r="C44" s="1" t="s">
        <v>24</v>
      </c>
      <c r="D44" s="1">
        <v>35</v>
      </c>
      <c r="E44" s="1" t="s">
        <v>24</v>
      </c>
      <c r="F44" s="1">
        <v>45</v>
      </c>
      <c r="G44" s="1">
        <v>1</v>
      </c>
    </row>
    <row r="45" spans="1:7" x14ac:dyDescent="0.3">
      <c r="A45" s="1">
        <v>2</v>
      </c>
      <c r="B45" s="1">
        <v>0</v>
      </c>
      <c r="C45" s="1" t="s">
        <v>24</v>
      </c>
      <c r="D45" s="1">
        <v>9</v>
      </c>
      <c r="E45" s="1" t="s">
        <v>24</v>
      </c>
      <c r="F45" s="1">
        <v>21</v>
      </c>
      <c r="G45" s="1">
        <v>1</v>
      </c>
    </row>
    <row r="46" spans="1:7" x14ac:dyDescent="0.3">
      <c r="A46" s="1">
        <v>2</v>
      </c>
      <c r="B46" s="1">
        <v>0</v>
      </c>
      <c r="C46" s="1" t="s">
        <v>24</v>
      </c>
      <c r="D46" s="1">
        <v>31</v>
      </c>
      <c r="E46" s="1" t="s">
        <v>24</v>
      </c>
      <c r="F46" s="1">
        <v>24</v>
      </c>
      <c r="G46" s="1">
        <v>0</v>
      </c>
    </row>
    <row r="47" spans="1:7" x14ac:dyDescent="0.3">
      <c r="A47" s="1">
        <v>2</v>
      </c>
      <c r="B47" s="1">
        <v>0</v>
      </c>
      <c r="C47" s="1" t="s">
        <v>24</v>
      </c>
      <c r="D47" s="1">
        <v>34</v>
      </c>
      <c r="E47" s="1" t="s">
        <v>24</v>
      </c>
      <c r="F47" s="1">
        <v>26</v>
      </c>
      <c r="G47" s="1">
        <v>0</v>
      </c>
    </row>
    <row r="48" spans="1:7" x14ac:dyDescent="0.3">
      <c r="A48" s="1">
        <v>2</v>
      </c>
      <c r="B48" s="1">
        <v>0</v>
      </c>
      <c r="C48" s="1" t="s">
        <v>24</v>
      </c>
      <c r="D48" s="1">
        <v>38</v>
      </c>
      <c r="E48" s="1" t="s">
        <v>24</v>
      </c>
      <c r="F48" s="1">
        <v>19</v>
      </c>
      <c r="G48" s="1">
        <v>0</v>
      </c>
    </row>
    <row r="49" spans="1:7" x14ac:dyDescent="0.3">
      <c r="A49" s="1">
        <v>2</v>
      </c>
      <c r="B49" s="1">
        <v>0</v>
      </c>
      <c r="C49" s="1" t="s">
        <v>24</v>
      </c>
      <c r="D49" s="1">
        <v>29</v>
      </c>
      <c r="E49" s="1" t="s">
        <v>24</v>
      </c>
      <c r="F49" s="1">
        <v>31</v>
      </c>
      <c r="G49" s="1">
        <v>1</v>
      </c>
    </row>
    <row r="50" spans="1:7" x14ac:dyDescent="0.3">
      <c r="A50" s="1">
        <v>2</v>
      </c>
      <c r="B50" s="1">
        <v>0</v>
      </c>
      <c r="C50" s="1" t="s">
        <v>24</v>
      </c>
      <c r="D50" s="1">
        <v>35</v>
      </c>
      <c r="E50" s="1" t="s">
        <v>24</v>
      </c>
      <c r="F50" s="1">
        <v>16</v>
      </c>
      <c r="G50" s="1">
        <v>0</v>
      </c>
    </row>
    <row r="51" spans="1:7" x14ac:dyDescent="0.3">
      <c r="A51" s="1">
        <v>2</v>
      </c>
      <c r="B51" s="1">
        <v>1</v>
      </c>
      <c r="C51" s="1" t="s">
        <v>24</v>
      </c>
      <c r="D51" s="1">
        <v>24</v>
      </c>
      <c r="E51" s="1" t="s">
        <v>24</v>
      </c>
      <c r="F51" s="1">
        <v>48</v>
      </c>
      <c r="G51" s="1">
        <v>1</v>
      </c>
    </row>
    <row r="52" spans="1:7" x14ac:dyDescent="0.3">
      <c r="A52" s="1">
        <v>2</v>
      </c>
      <c r="B52" s="1">
        <v>1</v>
      </c>
      <c r="C52" s="1" t="s">
        <v>24</v>
      </c>
      <c r="D52" s="1">
        <v>35</v>
      </c>
      <c r="E52" s="1" t="s">
        <v>24</v>
      </c>
      <c r="F52" s="1">
        <v>29</v>
      </c>
      <c r="G52" s="1">
        <v>0</v>
      </c>
    </row>
    <row r="53" spans="1:7" x14ac:dyDescent="0.3">
      <c r="A53" s="1">
        <v>2</v>
      </c>
      <c r="B53" s="1">
        <v>1</v>
      </c>
      <c r="C53" s="1" t="s">
        <v>24</v>
      </c>
      <c r="D53" s="1">
        <v>26</v>
      </c>
      <c r="E53" s="1" t="s">
        <v>24</v>
      </c>
      <c r="F53" s="1">
        <v>42</v>
      </c>
      <c r="G53" s="1">
        <v>1</v>
      </c>
    </row>
    <row r="54" spans="1:7" x14ac:dyDescent="0.3">
      <c r="A54" s="1">
        <v>2</v>
      </c>
      <c r="B54" s="1">
        <v>1</v>
      </c>
      <c r="C54" s="1" t="s">
        <v>24</v>
      </c>
      <c r="D54" s="1">
        <v>30</v>
      </c>
      <c r="E54" s="1" t="s">
        <v>24</v>
      </c>
      <c r="F54" s="1">
        <v>26</v>
      </c>
      <c r="G54" s="1">
        <v>0</v>
      </c>
    </row>
    <row r="55" spans="1:7" x14ac:dyDescent="0.3">
      <c r="A55" s="1">
        <v>2</v>
      </c>
      <c r="B55" s="1">
        <v>1</v>
      </c>
      <c r="C55" s="1" t="s">
        <v>24</v>
      </c>
      <c r="D55" s="1">
        <v>33</v>
      </c>
      <c r="E55" s="1" t="s">
        <v>24</v>
      </c>
      <c r="F55" s="1">
        <v>23</v>
      </c>
      <c r="G55" s="1">
        <v>0</v>
      </c>
    </row>
    <row r="56" spans="1:7" x14ac:dyDescent="0.3">
      <c r="A56" s="1">
        <v>2</v>
      </c>
      <c r="B56" s="1">
        <v>1</v>
      </c>
      <c r="C56" s="1" t="s">
        <v>24</v>
      </c>
      <c r="D56" s="1">
        <v>40</v>
      </c>
      <c r="E56" s="1" t="s">
        <v>24</v>
      </c>
      <c r="F56" s="1">
        <v>40</v>
      </c>
      <c r="G56" s="1">
        <v>0</v>
      </c>
    </row>
    <row r="57" spans="1:7" x14ac:dyDescent="0.3">
      <c r="A57" s="1">
        <v>2</v>
      </c>
      <c r="B57" s="1">
        <v>1</v>
      </c>
      <c r="C57" s="1" t="s">
        <v>24</v>
      </c>
      <c r="D57" s="1">
        <v>21</v>
      </c>
      <c r="E57" s="1" t="s">
        <v>24</v>
      </c>
      <c r="F57" s="1">
        <v>44</v>
      </c>
      <c r="G57" s="1">
        <v>1</v>
      </c>
    </row>
    <row r="58" spans="1:7" x14ac:dyDescent="0.3">
      <c r="A58" s="1">
        <v>2</v>
      </c>
      <c r="B58" s="1">
        <v>1</v>
      </c>
      <c r="C58" s="1" t="s">
        <v>24</v>
      </c>
      <c r="D58" s="1">
        <v>47</v>
      </c>
      <c r="E58" s="1" t="s">
        <v>24</v>
      </c>
      <c r="F58" s="1">
        <v>24</v>
      </c>
      <c r="G58" s="1">
        <v>0</v>
      </c>
    </row>
    <row r="59" spans="1:7" x14ac:dyDescent="0.3">
      <c r="A59" s="1">
        <v>2</v>
      </c>
      <c r="B59" s="1">
        <v>1</v>
      </c>
      <c r="C59" s="1" t="s">
        <v>24</v>
      </c>
      <c r="D59" s="1">
        <v>16</v>
      </c>
      <c r="E59" s="1" t="s">
        <v>24</v>
      </c>
      <c r="F59" s="1">
        <v>47</v>
      </c>
      <c r="G59" s="1">
        <v>1</v>
      </c>
    </row>
    <row r="60" spans="1:7" x14ac:dyDescent="0.3">
      <c r="A60" s="1">
        <v>2</v>
      </c>
      <c r="B60" s="1">
        <v>1</v>
      </c>
      <c r="C60" s="1" t="s">
        <v>24</v>
      </c>
      <c r="D60" s="1">
        <v>41</v>
      </c>
      <c r="E60" s="1" t="s">
        <v>24</v>
      </c>
      <c r="F60" s="1">
        <v>61</v>
      </c>
      <c r="G60" s="1">
        <v>1</v>
      </c>
    </row>
    <row r="61" spans="1:7" x14ac:dyDescent="0.3">
      <c r="A61" s="1">
        <v>2</v>
      </c>
      <c r="B61" s="1">
        <v>1</v>
      </c>
      <c r="C61" s="1" t="s">
        <v>24</v>
      </c>
      <c r="D61" s="1">
        <v>37</v>
      </c>
      <c r="E61" s="1" t="s">
        <v>24</v>
      </c>
      <c r="F61" s="1">
        <v>58</v>
      </c>
      <c r="G61" s="1">
        <v>1</v>
      </c>
    </row>
    <row r="62" spans="1:7" x14ac:dyDescent="0.3">
      <c r="A62" s="1">
        <v>2</v>
      </c>
      <c r="B62" s="1">
        <v>1</v>
      </c>
      <c r="C62" s="1" t="s">
        <v>24</v>
      </c>
      <c r="D62" s="1">
        <v>42</v>
      </c>
      <c r="E62" s="1" t="s">
        <v>24</v>
      </c>
      <c r="F62" s="1">
        <v>35</v>
      </c>
      <c r="G62" s="1">
        <v>0</v>
      </c>
    </row>
    <row r="63" spans="1:7" x14ac:dyDescent="0.3">
      <c r="A63" s="1">
        <v>2</v>
      </c>
      <c r="B63" s="1">
        <v>1</v>
      </c>
      <c r="C63" s="1" t="s">
        <v>24</v>
      </c>
      <c r="D63" s="1">
        <v>6</v>
      </c>
      <c r="E63" s="1" t="s">
        <v>24</v>
      </c>
      <c r="F63" s="1">
        <v>33</v>
      </c>
      <c r="G63" s="1">
        <v>1</v>
      </c>
    </row>
    <row r="64" spans="1:7" x14ac:dyDescent="0.3">
      <c r="A64" s="1">
        <v>2</v>
      </c>
      <c r="B64" s="1">
        <v>1</v>
      </c>
      <c r="C64" s="1" t="s">
        <v>24</v>
      </c>
      <c r="D64" s="1">
        <v>46</v>
      </c>
      <c r="E64" s="1" t="s">
        <v>24</v>
      </c>
      <c r="F64" s="1">
        <v>31</v>
      </c>
      <c r="G64" s="1">
        <v>0</v>
      </c>
    </row>
    <row r="65" spans="1:7" x14ac:dyDescent="0.3">
      <c r="A65" s="1">
        <v>2</v>
      </c>
      <c r="B65" s="1">
        <v>1</v>
      </c>
      <c r="C65" s="1" t="s">
        <v>24</v>
      </c>
      <c r="D65" s="1">
        <v>23</v>
      </c>
      <c r="E65" s="1" t="s">
        <v>24</v>
      </c>
      <c r="F65" s="1">
        <v>35</v>
      </c>
      <c r="G65" s="1">
        <v>1</v>
      </c>
    </row>
    <row r="66" spans="1:7" x14ac:dyDescent="0.3">
      <c r="A66" s="1">
        <v>2</v>
      </c>
      <c r="B66" s="1">
        <v>1</v>
      </c>
      <c r="C66" s="1" t="s">
        <v>24</v>
      </c>
      <c r="D66" s="1">
        <v>46</v>
      </c>
      <c r="E66" s="1" t="s">
        <v>24</v>
      </c>
      <c r="F66" s="1">
        <v>46</v>
      </c>
      <c r="G66" s="1">
        <v>0</v>
      </c>
    </row>
    <row r="67" spans="1:7" x14ac:dyDescent="0.3">
      <c r="A67" s="1">
        <v>2</v>
      </c>
      <c r="B67" s="1">
        <v>1</v>
      </c>
      <c r="C67" s="1" t="s">
        <v>24</v>
      </c>
      <c r="D67" s="1">
        <v>33</v>
      </c>
      <c r="E67" s="1" t="s">
        <v>24</v>
      </c>
      <c r="F67" s="1">
        <v>62</v>
      </c>
      <c r="G67" s="1">
        <v>1</v>
      </c>
    </row>
    <row r="68" spans="1:7" x14ac:dyDescent="0.3">
      <c r="A68" s="1">
        <v>2</v>
      </c>
      <c r="B68" s="1">
        <v>1</v>
      </c>
      <c r="C68" s="1" t="s">
        <v>24</v>
      </c>
      <c r="D68" s="1">
        <v>41</v>
      </c>
      <c r="E68" s="1" t="s">
        <v>24</v>
      </c>
      <c r="F68" s="1">
        <v>36</v>
      </c>
      <c r="G68" s="1">
        <v>0</v>
      </c>
    </row>
    <row r="69" spans="1:7" x14ac:dyDescent="0.3">
      <c r="A69" s="1">
        <v>2</v>
      </c>
      <c r="B69" s="1">
        <v>1</v>
      </c>
      <c r="C69" s="1" t="s">
        <v>24</v>
      </c>
      <c r="D69" s="1">
        <v>33</v>
      </c>
      <c r="E69" s="1" t="s">
        <v>24</v>
      </c>
      <c r="F69" s="1">
        <v>69</v>
      </c>
      <c r="G69" s="1">
        <v>1</v>
      </c>
    </row>
    <row r="70" spans="1:7" x14ac:dyDescent="0.3">
      <c r="A70" s="1">
        <v>2</v>
      </c>
      <c r="B70" s="1">
        <v>1</v>
      </c>
      <c r="C70" s="1" t="s">
        <v>24</v>
      </c>
      <c r="D70" s="1">
        <v>16</v>
      </c>
      <c r="E70" s="1" t="s">
        <v>24</v>
      </c>
      <c r="F70" s="1">
        <v>22</v>
      </c>
      <c r="G70" s="1">
        <v>1</v>
      </c>
    </row>
    <row r="71" spans="1:7" x14ac:dyDescent="0.3">
      <c r="A71" s="1">
        <v>2</v>
      </c>
      <c r="B71" s="1">
        <v>1</v>
      </c>
      <c r="C71" s="1" t="s">
        <v>24</v>
      </c>
      <c r="D71" s="1">
        <v>44</v>
      </c>
      <c r="E71" s="1" t="s">
        <v>24</v>
      </c>
      <c r="F71" s="1">
        <v>44</v>
      </c>
      <c r="G71" s="1">
        <v>0</v>
      </c>
    </row>
    <row r="72" spans="1:7" x14ac:dyDescent="0.3">
      <c r="A72" s="1">
        <v>2</v>
      </c>
      <c r="B72" s="1">
        <v>1</v>
      </c>
      <c r="C72" s="1" t="s">
        <v>24</v>
      </c>
      <c r="D72" s="1">
        <v>18</v>
      </c>
      <c r="E72" s="1" t="s">
        <v>24</v>
      </c>
      <c r="F72" s="1">
        <v>51</v>
      </c>
      <c r="G72" s="1">
        <v>1</v>
      </c>
    </row>
    <row r="73" spans="1:7" x14ac:dyDescent="0.3">
      <c r="A73" s="1">
        <v>2</v>
      </c>
      <c r="B73" s="1">
        <v>1</v>
      </c>
      <c r="C73" s="1" t="s">
        <v>24</v>
      </c>
      <c r="D73" s="1">
        <v>41</v>
      </c>
      <c r="E73" s="1" t="s">
        <v>24</v>
      </c>
      <c r="F73" s="1">
        <v>47</v>
      </c>
      <c r="G73" s="1">
        <v>1</v>
      </c>
    </row>
    <row r="74" spans="1:7" x14ac:dyDescent="0.3">
      <c r="A74" s="1">
        <v>2</v>
      </c>
      <c r="B74" s="1">
        <v>1</v>
      </c>
      <c r="C74" s="1" t="s">
        <v>24</v>
      </c>
      <c r="D74" s="1">
        <v>54</v>
      </c>
      <c r="E74" s="1" t="s">
        <v>24</v>
      </c>
      <c r="F74" s="1">
        <v>37</v>
      </c>
      <c r="G74" s="1">
        <v>0</v>
      </c>
    </row>
    <row r="75" spans="1:7" x14ac:dyDescent="0.3">
      <c r="A75" s="1">
        <v>2</v>
      </c>
      <c r="B75" s="1">
        <v>1</v>
      </c>
      <c r="C75" s="1" t="s">
        <v>24</v>
      </c>
      <c r="D75" s="1">
        <v>35</v>
      </c>
      <c r="E75" s="1" t="s">
        <v>24</v>
      </c>
      <c r="F75" s="1">
        <v>41</v>
      </c>
      <c r="G75" s="1">
        <v>1</v>
      </c>
    </row>
    <row r="76" spans="1:7" x14ac:dyDescent="0.3">
      <c r="A76" s="1">
        <v>2</v>
      </c>
      <c r="B76" s="1">
        <v>1</v>
      </c>
      <c r="C76" s="1" t="s">
        <v>24</v>
      </c>
      <c r="D76" s="1">
        <v>12</v>
      </c>
      <c r="E76" s="1" t="s">
        <v>24</v>
      </c>
      <c r="F76" s="1">
        <v>15</v>
      </c>
      <c r="G76" s="1">
        <v>1</v>
      </c>
    </row>
    <row r="77" spans="1:7" x14ac:dyDescent="0.3">
      <c r="A77" s="1">
        <v>2</v>
      </c>
      <c r="B77" s="1">
        <v>1</v>
      </c>
      <c r="C77" s="1" t="s">
        <v>24</v>
      </c>
      <c r="D77" s="1">
        <v>19</v>
      </c>
      <c r="E77" s="1" t="s">
        <v>24</v>
      </c>
      <c r="F77" s="1">
        <v>27</v>
      </c>
      <c r="G77" s="1">
        <v>1</v>
      </c>
    </row>
    <row r="78" spans="1:7" x14ac:dyDescent="0.3">
      <c r="A78" s="1">
        <v>2</v>
      </c>
      <c r="B78" s="1">
        <v>1</v>
      </c>
      <c r="C78" s="1" t="s">
        <v>24</v>
      </c>
      <c r="D78" s="1">
        <v>45</v>
      </c>
      <c r="E78" s="1" t="s">
        <v>24</v>
      </c>
      <c r="F78" s="1">
        <v>46</v>
      </c>
      <c r="G78" s="1">
        <v>1</v>
      </c>
    </row>
    <row r="79" spans="1:7" x14ac:dyDescent="0.3">
      <c r="A79" s="1">
        <v>2</v>
      </c>
      <c r="B79" s="1">
        <v>1</v>
      </c>
      <c r="C79" s="1" t="s">
        <v>24</v>
      </c>
      <c r="D79" s="1">
        <v>4</v>
      </c>
      <c r="E79" s="1" t="s">
        <v>24</v>
      </c>
      <c r="F79" s="1">
        <v>59</v>
      </c>
      <c r="G79" s="1">
        <v>1</v>
      </c>
    </row>
    <row r="80" spans="1:7" x14ac:dyDescent="0.3">
      <c r="A80" s="1">
        <v>2</v>
      </c>
      <c r="B80" s="1">
        <v>1</v>
      </c>
      <c r="C80" s="1" t="s">
        <v>24</v>
      </c>
      <c r="D80" s="1">
        <v>15</v>
      </c>
      <c r="E80" s="1" t="s">
        <v>24</v>
      </c>
      <c r="F80" s="1">
        <v>40</v>
      </c>
      <c r="G80" s="1">
        <v>1</v>
      </c>
    </row>
    <row r="81" spans="1:7" x14ac:dyDescent="0.3">
      <c r="A81" s="1">
        <v>2</v>
      </c>
      <c r="B81" s="1">
        <v>1</v>
      </c>
      <c r="C81" s="1" t="s">
        <v>24</v>
      </c>
      <c r="D81" s="1">
        <v>41</v>
      </c>
      <c r="E81" s="1" t="s">
        <v>24</v>
      </c>
      <c r="F81" s="1">
        <v>35</v>
      </c>
      <c r="G81" s="1">
        <v>0</v>
      </c>
    </row>
    <row r="82" spans="1:7" x14ac:dyDescent="0.3">
      <c r="A82" s="1">
        <v>2</v>
      </c>
      <c r="B82" s="1">
        <v>1</v>
      </c>
      <c r="C82" s="1" t="s">
        <v>24</v>
      </c>
      <c r="D82" s="1">
        <v>27</v>
      </c>
      <c r="E82" s="1" t="s">
        <v>24</v>
      </c>
      <c r="F82" s="1">
        <v>28</v>
      </c>
      <c r="G82" s="1">
        <v>1</v>
      </c>
    </row>
    <row r="83" spans="1:7" x14ac:dyDescent="0.3">
      <c r="A83" s="1">
        <v>2</v>
      </c>
      <c r="B83" s="1">
        <v>1</v>
      </c>
      <c r="C83" s="1" t="s">
        <v>24</v>
      </c>
      <c r="D83" s="1">
        <v>41</v>
      </c>
      <c r="E83" s="1" t="s">
        <v>24</v>
      </c>
      <c r="F83" s="1">
        <v>21</v>
      </c>
      <c r="G83" s="1">
        <v>0</v>
      </c>
    </row>
    <row r="84" spans="1:7" x14ac:dyDescent="0.3">
      <c r="A84" s="1">
        <v>2</v>
      </c>
      <c r="B84" s="1">
        <v>1</v>
      </c>
      <c r="C84" s="1" t="s">
        <v>24</v>
      </c>
      <c r="D84" s="1">
        <v>9</v>
      </c>
      <c r="E84" s="1" t="s">
        <v>24</v>
      </c>
      <c r="F84" s="1">
        <v>56</v>
      </c>
      <c r="G84" s="1">
        <v>1</v>
      </c>
    </row>
    <row r="85" spans="1:7" x14ac:dyDescent="0.3">
      <c r="A85" s="1">
        <v>2</v>
      </c>
      <c r="B85" s="1">
        <v>1</v>
      </c>
      <c r="C85" s="1" t="s">
        <v>24</v>
      </c>
      <c r="D85" s="1">
        <v>33</v>
      </c>
      <c r="E85" s="1" t="s">
        <v>24</v>
      </c>
      <c r="F85" s="1">
        <v>50</v>
      </c>
      <c r="G85" s="1">
        <v>1</v>
      </c>
    </row>
    <row r="86" spans="1:7" x14ac:dyDescent="0.3">
      <c r="A86" s="1">
        <v>2</v>
      </c>
      <c r="B86" s="1">
        <v>1</v>
      </c>
      <c r="C86" s="1" t="s">
        <v>24</v>
      </c>
      <c r="D86" s="1">
        <v>9</v>
      </c>
      <c r="E86" s="1" t="s">
        <v>24</v>
      </c>
      <c r="F86" s="1">
        <v>39</v>
      </c>
      <c r="G86" s="1">
        <v>1</v>
      </c>
    </row>
    <row r="87" spans="1:7" x14ac:dyDescent="0.3">
      <c r="A87" s="1">
        <v>2</v>
      </c>
      <c r="B87" s="1">
        <v>1</v>
      </c>
      <c r="C87" s="1" t="s">
        <v>24</v>
      </c>
      <c r="D87" s="1">
        <v>44</v>
      </c>
      <c r="E87" s="1" t="s">
        <v>24</v>
      </c>
      <c r="F87" s="1">
        <v>49</v>
      </c>
      <c r="G87" s="1">
        <v>1</v>
      </c>
    </row>
    <row r="88" spans="1:7" x14ac:dyDescent="0.3">
      <c r="A88" s="1">
        <v>2</v>
      </c>
      <c r="B88" s="1">
        <v>1</v>
      </c>
      <c r="C88" s="1" t="s">
        <v>24</v>
      </c>
      <c r="D88" s="1">
        <v>5</v>
      </c>
      <c r="E88" s="1" t="s">
        <v>24</v>
      </c>
      <c r="F88" s="1">
        <v>2</v>
      </c>
      <c r="G88" s="1">
        <v>0</v>
      </c>
    </row>
    <row r="89" spans="1:7" x14ac:dyDescent="0.3">
      <c r="A89" s="1">
        <v>2</v>
      </c>
      <c r="B89" s="1">
        <v>1</v>
      </c>
      <c r="C89" s="1" t="s">
        <v>24</v>
      </c>
      <c r="D89" s="1">
        <v>42</v>
      </c>
      <c r="E89" s="1" t="s">
        <v>24</v>
      </c>
      <c r="F89" s="1">
        <v>43</v>
      </c>
      <c r="G89" s="1">
        <v>1</v>
      </c>
    </row>
    <row r="90" spans="1:7" x14ac:dyDescent="0.3">
      <c r="A90" s="1">
        <v>2</v>
      </c>
      <c r="B90" s="1">
        <v>1</v>
      </c>
      <c r="C90" s="1" t="s">
        <v>24</v>
      </c>
      <c r="D90" s="1">
        <v>15</v>
      </c>
      <c r="E90" s="1" t="s">
        <v>24</v>
      </c>
      <c r="F90" s="1">
        <v>47</v>
      </c>
      <c r="G90" s="1">
        <v>1</v>
      </c>
    </row>
    <row r="91" spans="1:7" x14ac:dyDescent="0.3">
      <c r="A91" s="1">
        <v>2</v>
      </c>
      <c r="B91" s="1">
        <v>1</v>
      </c>
      <c r="C91" s="1" t="s">
        <v>24</v>
      </c>
      <c r="D91" s="1">
        <v>18</v>
      </c>
      <c r="E91" s="1" t="s">
        <v>24</v>
      </c>
      <c r="F91" s="1">
        <v>2</v>
      </c>
      <c r="G91" s="1">
        <v>0</v>
      </c>
    </row>
    <row r="92" spans="1:7" x14ac:dyDescent="0.3">
      <c r="A92" s="1">
        <v>2</v>
      </c>
      <c r="B92" s="1">
        <v>1</v>
      </c>
      <c r="C92" s="1" t="s">
        <v>24</v>
      </c>
      <c r="D92" s="1">
        <v>52</v>
      </c>
      <c r="E92" s="1" t="s">
        <v>24</v>
      </c>
      <c r="F92" s="1">
        <v>29</v>
      </c>
      <c r="G92" s="1">
        <v>0</v>
      </c>
    </row>
    <row r="93" spans="1:7" x14ac:dyDescent="0.3">
      <c r="A93" s="1">
        <v>2</v>
      </c>
      <c r="B93" s="1">
        <v>1</v>
      </c>
      <c r="C93" s="1" t="s">
        <v>24</v>
      </c>
      <c r="D93" s="1">
        <v>27</v>
      </c>
      <c r="E93" s="1" t="s">
        <v>24</v>
      </c>
      <c r="F93" s="1">
        <v>60</v>
      </c>
      <c r="G93" s="1">
        <v>1</v>
      </c>
    </row>
    <row r="94" spans="1:7" x14ac:dyDescent="0.3">
      <c r="A94" s="1">
        <v>2</v>
      </c>
      <c r="B94" s="1">
        <v>1</v>
      </c>
      <c r="C94" s="1" t="s">
        <v>24</v>
      </c>
      <c r="D94" s="1">
        <v>22</v>
      </c>
      <c r="E94" s="1" t="s">
        <v>24</v>
      </c>
      <c r="F94" s="1">
        <v>23</v>
      </c>
      <c r="G94" s="1">
        <v>1</v>
      </c>
    </row>
    <row r="95" spans="1:7" x14ac:dyDescent="0.3">
      <c r="A95" s="1">
        <v>2</v>
      </c>
      <c r="B95" s="1">
        <v>1</v>
      </c>
      <c r="C95" s="1" t="s">
        <v>24</v>
      </c>
      <c r="D95" s="1">
        <v>24</v>
      </c>
      <c r="E95" s="1" t="s">
        <v>24</v>
      </c>
      <c r="F95" s="1">
        <v>41</v>
      </c>
      <c r="G95" s="1">
        <v>1</v>
      </c>
    </row>
    <row r="96" spans="1:7" x14ac:dyDescent="0.3">
      <c r="A96" s="1">
        <v>2</v>
      </c>
      <c r="B96" s="1">
        <v>1</v>
      </c>
      <c r="C96" s="1" t="s">
        <v>24</v>
      </c>
      <c r="D96" s="1">
        <v>2</v>
      </c>
      <c r="E96" s="1" t="s">
        <v>24</v>
      </c>
      <c r="F96" s="1">
        <v>27</v>
      </c>
      <c r="G96" s="1">
        <v>1</v>
      </c>
    </row>
    <row r="97" spans="1:7" x14ac:dyDescent="0.3">
      <c r="A97" s="1">
        <v>2</v>
      </c>
      <c r="B97" s="1">
        <v>1</v>
      </c>
      <c r="C97" s="1" t="s">
        <v>24</v>
      </c>
      <c r="D97" s="1">
        <v>18</v>
      </c>
      <c r="E97" s="1" t="s">
        <v>24</v>
      </c>
      <c r="F97" s="1">
        <v>22</v>
      </c>
      <c r="G97" s="1">
        <v>1</v>
      </c>
    </row>
    <row r="98" spans="1:7" x14ac:dyDescent="0.3">
      <c r="A98" s="1">
        <v>2</v>
      </c>
      <c r="B98" s="1">
        <v>1</v>
      </c>
      <c r="C98" s="1" t="s">
        <v>24</v>
      </c>
      <c r="D98" s="1">
        <v>25</v>
      </c>
      <c r="E98" s="1" t="s">
        <v>24</v>
      </c>
      <c r="F98" s="1">
        <v>26</v>
      </c>
      <c r="G98" s="1">
        <v>1</v>
      </c>
    </row>
    <row r="99" spans="1:7" x14ac:dyDescent="0.3">
      <c r="A99" s="1">
        <v>2</v>
      </c>
      <c r="B99" s="1">
        <v>1</v>
      </c>
      <c r="C99" s="1" t="s">
        <v>24</v>
      </c>
      <c r="D99" s="1">
        <v>35</v>
      </c>
      <c r="E99" s="1" t="s">
        <v>24</v>
      </c>
      <c r="F99" s="1">
        <v>43</v>
      </c>
      <c r="G99" s="1">
        <v>1</v>
      </c>
    </row>
    <row r="100" spans="1:7" x14ac:dyDescent="0.3">
      <c r="A100" s="1">
        <v>2</v>
      </c>
      <c r="B100" s="1">
        <v>1</v>
      </c>
      <c r="C100" s="1" t="s">
        <v>24</v>
      </c>
      <c r="D100" s="1">
        <v>24</v>
      </c>
      <c r="E100" s="1" t="s">
        <v>24</v>
      </c>
      <c r="F100" s="1">
        <v>38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BAC4-0018-41CF-8CFE-93EC7D70AB6B}">
  <dimension ref="A1:Q100"/>
  <sheetViews>
    <sheetView workbookViewId="0">
      <selection activeCell="P22" sqref="P22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24</v>
      </c>
      <c r="D1" s="1">
        <v>4</v>
      </c>
      <c r="E1" s="1" t="s">
        <v>24</v>
      </c>
      <c r="F1" s="1">
        <v>17</v>
      </c>
      <c r="G1" s="1">
        <v>1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24</v>
      </c>
      <c r="D2" s="1">
        <v>44</v>
      </c>
      <c r="E2" s="1" t="s">
        <v>24</v>
      </c>
      <c r="F2" s="1">
        <v>19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24</v>
      </c>
      <c r="D3" s="1">
        <v>27</v>
      </c>
      <c r="E3" s="1" t="s">
        <v>24</v>
      </c>
      <c r="F3" s="1">
        <v>29</v>
      </c>
      <c r="G3" s="1">
        <v>1</v>
      </c>
      <c r="I3" s="5" t="s">
        <v>6</v>
      </c>
      <c r="J3" s="5"/>
      <c r="K3" s="9">
        <f>COUNTIF($G$1:$G$100, 0)</f>
        <v>53</v>
      </c>
      <c r="L3" s="9"/>
      <c r="M3" s="9">
        <f>COUNTIFS($G$1:$G$100, 0, $B$1:$B$100, 0)</f>
        <v>23</v>
      </c>
      <c r="N3" s="9"/>
      <c r="O3" s="10">
        <f>COUNTIFS($G$1:$G$100, 0, $B$1:$B$100, 1)</f>
        <v>30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24</v>
      </c>
      <c r="D4" s="1">
        <v>26</v>
      </c>
      <c r="E4" s="1" t="s">
        <v>24</v>
      </c>
      <c r="F4" s="1">
        <v>22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24</v>
      </c>
      <c r="D5" s="1">
        <v>46</v>
      </c>
      <c r="E5" s="1" t="s">
        <v>24</v>
      </c>
      <c r="F5" s="1">
        <v>41</v>
      </c>
      <c r="G5" s="1">
        <v>0</v>
      </c>
      <c r="I5" s="5" t="s">
        <v>7</v>
      </c>
      <c r="J5" s="5"/>
      <c r="K5" s="14">
        <f>COUNTIF($G$1:$G$100, 1)</f>
        <v>47</v>
      </c>
      <c r="L5" s="9"/>
      <c r="M5" s="9">
        <f>COUNTIFS($G$1:$G$100, 1, $B$1:$B$100, 0)</f>
        <v>27</v>
      </c>
      <c r="N5" s="9"/>
      <c r="O5" s="9">
        <f>COUNTIFS($G$1:$G$100, 1, $B$1:$B$100, 1)</f>
        <v>20</v>
      </c>
      <c r="P5" s="13"/>
      <c r="Q5"/>
    </row>
    <row r="6" spans="1:17" x14ac:dyDescent="0.3">
      <c r="A6" s="1">
        <v>2</v>
      </c>
      <c r="B6" s="1">
        <v>0</v>
      </c>
      <c r="C6" s="1" t="s">
        <v>24</v>
      </c>
      <c r="D6" s="1">
        <v>32</v>
      </c>
      <c r="E6" s="1" t="s">
        <v>24</v>
      </c>
      <c r="F6" s="1">
        <v>45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24</v>
      </c>
      <c r="D7" s="1">
        <v>12</v>
      </c>
      <c r="E7" s="1" t="s">
        <v>24</v>
      </c>
      <c r="F7" s="1">
        <v>58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24</v>
      </c>
      <c r="D8" s="1">
        <v>48</v>
      </c>
      <c r="E8" s="1" t="s">
        <v>24</v>
      </c>
      <c r="F8" s="1">
        <v>46</v>
      </c>
      <c r="G8" s="1">
        <v>0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24</v>
      </c>
      <c r="D9" s="1">
        <v>48</v>
      </c>
      <c r="E9" s="1" t="s">
        <v>24</v>
      </c>
      <c r="F9" s="1">
        <v>25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24</v>
      </c>
      <c r="D10" s="1">
        <v>53</v>
      </c>
      <c r="E10" s="1" t="s">
        <v>24</v>
      </c>
      <c r="F10" s="1">
        <v>61</v>
      </c>
      <c r="G10" s="1">
        <v>1</v>
      </c>
      <c r="I10" s="5" t="s">
        <v>10</v>
      </c>
      <c r="J10" s="5"/>
      <c r="K10" s="9">
        <f>AVERAGE($D$1:$D$100,)</f>
        <v>33.306930693069305</v>
      </c>
      <c r="L10" s="9"/>
      <c r="M10" s="9" cm="1">
        <f t="array" ref="M10">AVERAGE(_xlfn._xlws.FILTER($D$1:$D$100,$G$1:$G$100 = 0))</f>
        <v>39.962264150943398</v>
      </c>
      <c r="N10" s="9"/>
      <c r="O10" s="10" cm="1">
        <f t="array" ref="O10">AVERAGE(_xlfn._xlws.FILTER($D$1:$D$100,$G$1:$G$100 = 1))</f>
        <v>26.51063829787234</v>
      </c>
      <c r="P10" s="11"/>
      <c r="Q10"/>
    </row>
    <row r="11" spans="1:17" x14ac:dyDescent="0.3">
      <c r="A11" s="1">
        <v>2</v>
      </c>
      <c r="B11" s="1">
        <v>0</v>
      </c>
      <c r="C11" s="1" t="s">
        <v>24</v>
      </c>
      <c r="D11" s="1">
        <v>40</v>
      </c>
      <c r="E11" s="1" t="s">
        <v>24</v>
      </c>
      <c r="F11" s="1">
        <v>49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24</v>
      </c>
      <c r="D12" s="1">
        <v>27</v>
      </c>
      <c r="E12" s="1" t="s">
        <v>24</v>
      </c>
      <c r="F12" s="1">
        <v>16</v>
      </c>
      <c r="G12" s="1">
        <v>0</v>
      </c>
      <c r="I12" s="5" t="s">
        <v>11</v>
      </c>
      <c r="J12" s="5"/>
      <c r="K12" s="9">
        <f>AVERAGE($F$1:$F$100,)</f>
        <v>29.702970297029704</v>
      </c>
      <c r="L12" s="9"/>
      <c r="M12" s="9" cm="1">
        <f t="array" ref="M12">AVERAGE(_xlfn._xlws.FILTER($F$1:$F$100,$G$1:$G$100 = 0))</f>
        <v>22.886792452830189</v>
      </c>
      <c r="N12" s="9"/>
      <c r="O12" s="9" cm="1">
        <f t="array" ref="O12">AVERAGE(_xlfn._xlws.FILTER($F$1:$F$100,$G$1:$G$100 = 1))</f>
        <v>38.021276595744681</v>
      </c>
      <c r="P12" s="13"/>
      <c r="Q12"/>
    </row>
    <row r="13" spans="1:17" x14ac:dyDescent="0.3">
      <c r="A13" s="1">
        <v>2</v>
      </c>
      <c r="B13" s="1">
        <v>0</v>
      </c>
      <c r="C13" s="1" t="s">
        <v>24</v>
      </c>
      <c r="D13" s="1">
        <v>22</v>
      </c>
      <c r="E13" s="1" t="s">
        <v>24</v>
      </c>
      <c r="F13" s="1">
        <v>9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24</v>
      </c>
      <c r="D14" s="1">
        <v>46</v>
      </c>
      <c r="E14" s="1" t="s">
        <v>24</v>
      </c>
      <c r="F14" s="1">
        <v>44</v>
      </c>
      <c r="G14" s="1">
        <v>0</v>
      </c>
      <c r="I14" s="22" t="s">
        <v>12</v>
      </c>
      <c r="J14" s="11"/>
      <c r="K14" s="23" cm="1">
        <f t="array" ref="K14">AVERAGE($D$1:$D$100 - $F$1:$F$100)</f>
        <v>3.64</v>
      </c>
      <c r="L14" s="23"/>
      <c r="M14" s="23" cm="1">
        <f t="array" ref="M14">AVERAGE(_xlfn._xlws.FILTER($D$1:$D$100 - $F$1:$F$100, G$1:G$100 = 0))</f>
        <v>17.075471698113208</v>
      </c>
      <c r="N14" s="23"/>
      <c r="O14" s="23" cm="1">
        <f t="array" ref="O14">AVERAGE(_xlfn._xlws.FILTER($D$1:$D$100 - $F$1:$F$100, G$1:G$100 = 1))</f>
        <v>-11.51063829787234</v>
      </c>
      <c r="P14" s="24"/>
      <c r="Q14"/>
    </row>
    <row r="15" spans="1:17" x14ac:dyDescent="0.3">
      <c r="A15" s="1">
        <v>2</v>
      </c>
      <c r="B15" s="1">
        <v>0</v>
      </c>
      <c r="C15" s="1" t="s">
        <v>24</v>
      </c>
      <c r="D15" s="1">
        <v>30</v>
      </c>
      <c r="E15" s="1" t="s">
        <v>24</v>
      </c>
      <c r="F15" s="1">
        <v>31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24</v>
      </c>
      <c r="D16" s="1">
        <v>28</v>
      </c>
      <c r="E16" s="1" t="s">
        <v>24</v>
      </c>
      <c r="F16" s="1">
        <v>39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24</v>
      </c>
      <c r="D17" s="1">
        <v>62</v>
      </c>
      <c r="E17" s="1" t="s">
        <v>24</v>
      </c>
      <c r="F17" s="1">
        <v>24</v>
      </c>
      <c r="G17" s="1">
        <v>0</v>
      </c>
    </row>
    <row r="18" spans="1:7" x14ac:dyDescent="0.3">
      <c r="A18" s="1">
        <v>2</v>
      </c>
      <c r="B18" s="1">
        <v>0</v>
      </c>
      <c r="C18" s="1" t="s">
        <v>24</v>
      </c>
      <c r="D18" s="1">
        <v>15</v>
      </c>
      <c r="E18" s="1" t="s">
        <v>24</v>
      </c>
      <c r="F18" s="1">
        <v>33</v>
      </c>
      <c r="G18" s="1">
        <v>1</v>
      </c>
    </row>
    <row r="19" spans="1:7" x14ac:dyDescent="0.3">
      <c r="A19" s="1">
        <v>2</v>
      </c>
      <c r="B19" s="1">
        <v>0</v>
      </c>
      <c r="C19" s="1" t="s">
        <v>24</v>
      </c>
      <c r="D19" s="1">
        <v>28</v>
      </c>
      <c r="E19" s="1" t="s">
        <v>24</v>
      </c>
      <c r="F19" s="1">
        <v>44</v>
      </c>
      <c r="G19" s="1">
        <v>1</v>
      </c>
    </row>
    <row r="20" spans="1:7" x14ac:dyDescent="0.3">
      <c r="A20" s="1">
        <v>2</v>
      </c>
      <c r="B20" s="1">
        <v>0</v>
      </c>
      <c r="C20" s="1" t="s">
        <v>24</v>
      </c>
      <c r="D20" s="1">
        <v>12</v>
      </c>
      <c r="E20" s="1" t="s">
        <v>24</v>
      </c>
      <c r="F20" s="1">
        <v>17</v>
      </c>
      <c r="G20" s="1">
        <v>1</v>
      </c>
    </row>
    <row r="21" spans="1:7" x14ac:dyDescent="0.3">
      <c r="A21" s="1">
        <v>2</v>
      </c>
      <c r="B21" s="1">
        <v>0</v>
      </c>
      <c r="C21" s="1" t="s">
        <v>24</v>
      </c>
      <c r="D21" s="1">
        <v>19</v>
      </c>
      <c r="E21" s="1" t="s">
        <v>24</v>
      </c>
      <c r="F21" s="1">
        <v>37</v>
      </c>
      <c r="G21" s="1">
        <v>1</v>
      </c>
    </row>
    <row r="22" spans="1:7" x14ac:dyDescent="0.3">
      <c r="A22" s="1">
        <v>2</v>
      </c>
      <c r="B22" s="1">
        <v>0</v>
      </c>
      <c r="C22" s="1" t="s">
        <v>24</v>
      </c>
      <c r="D22" s="1">
        <v>37</v>
      </c>
      <c r="E22" s="1" t="s">
        <v>24</v>
      </c>
      <c r="F22" s="1">
        <v>57</v>
      </c>
      <c r="G22" s="1">
        <v>1</v>
      </c>
    </row>
    <row r="23" spans="1:7" x14ac:dyDescent="0.3">
      <c r="A23" s="1">
        <v>2</v>
      </c>
      <c r="B23" s="1">
        <v>0</v>
      </c>
      <c r="C23" s="1" t="s">
        <v>24</v>
      </c>
      <c r="D23" s="1">
        <v>43</v>
      </c>
      <c r="E23" s="1" t="s">
        <v>24</v>
      </c>
      <c r="F23" s="1">
        <v>54</v>
      </c>
      <c r="G23" s="1">
        <v>1</v>
      </c>
    </row>
    <row r="24" spans="1:7" x14ac:dyDescent="0.3">
      <c r="A24" s="1">
        <v>2</v>
      </c>
      <c r="B24" s="1">
        <v>0</v>
      </c>
      <c r="C24" s="1" t="s">
        <v>24</v>
      </c>
      <c r="D24" s="1">
        <v>16</v>
      </c>
      <c r="E24" s="1" t="s">
        <v>24</v>
      </c>
      <c r="F24" s="1">
        <v>20</v>
      </c>
      <c r="G24" s="1">
        <v>1</v>
      </c>
    </row>
    <row r="25" spans="1:7" x14ac:dyDescent="0.3">
      <c r="A25" s="1">
        <v>2</v>
      </c>
      <c r="B25" s="1">
        <v>0</v>
      </c>
      <c r="C25" s="1" t="s">
        <v>24</v>
      </c>
      <c r="D25" s="1">
        <v>33</v>
      </c>
      <c r="E25" s="1" t="s">
        <v>24</v>
      </c>
      <c r="F25" s="1">
        <v>35</v>
      </c>
      <c r="G25" s="1">
        <v>1</v>
      </c>
    </row>
    <row r="26" spans="1:7" x14ac:dyDescent="0.3">
      <c r="A26" s="1">
        <v>2</v>
      </c>
      <c r="B26" s="1">
        <v>0</v>
      </c>
      <c r="C26" s="1" t="s">
        <v>24</v>
      </c>
      <c r="D26" s="1">
        <v>45</v>
      </c>
      <c r="E26" s="1" t="s">
        <v>24</v>
      </c>
      <c r="F26" s="1">
        <v>8</v>
      </c>
      <c r="G26" s="1">
        <v>0</v>
      </c>
    </row>
    <row r="27" spans="1:7" x14ac:dyDescent="0.3">
      <c r="A27" s="1">
        <v>2</v>
      </c>
      <c r="B27" s="1">
        <v>0</v>
      </c>
      <c r="C27" s="1" t="s">
        <v>24</v>
      </c>
      <c r="D27" s="1">
        <v>19</v>
      </c>
      <c r="E27" s="1" t="s">
        <v>24</v>
      </c>
      <c r="F27" s="1">
        <v>22</v>
      </c>
      <c r="G27" s="1">
        <v>1</v>
      </c>
    </row>
    <row r="28" spans="1:7" x14ac:dyDescent="0.3">
      <c r="A28" s="1">
        <v>2</v>
      </c>
      <c r="B28" s="1">
        <v>0</v>
      </c>
      <c r="C28" s="1" t="s">
        <v>24</v>
      </c>
      <c r="D28" s="1">
        <v>59</v>
      </c>
      <c r="E28" s="1" t="s">
        <v>24</v>
      </c>
      <c r="F28" s="1">
        <v>24</v>
      </c>
      <c r="G28" s="1">
        <v>0</v>
      </c>
    </row>
    <row r="29" spans="1:7" x14ac:dyDescent="0.3">
      <c r="A29" s="1">
        <v>2</v>
      </c>
      <c r="B29" s="1">
        <v>0</v>
      </c>
      <c r="C29" s="1" t="s">
        <v>24</v>
      </c>
      <c r="D29" s="1">
        <v>40</v>
      </c>
      <c r="E29" s="1" t="s">
        <v>24</v>
      </c>
      <c r="F29" s="1">
        <v>19</v>
      </c>
      <c r="G29" s="1">
        <v>0</v>
      </c>
    </row>
    <row r="30" spans="1:7" x14ac:dyDescent="0.3">
      <c r="A30" s="1">
        <v>2</v>
      </c>
      <c r="B30" s="1">
        <v>0</v>
      </c>
      <c r="C30" s="1" t="s">
        <v>24</v>
      </c>
      <c r="D30" s="1">
        <v>16</v>
      </c>
      <c r="E30" s="1" t="s">
        <v>24</v>
      </c>
      <c r="F30" s="1">
        <v>19</v>
      </c>
      <c r="G30" s="1">
        <v>1</v>
      </c>
    </row>
    <row r="31" spans="1:7" x14ac:dyDescent="0.3">
      <c r="A31" s="1">
        <v>2</v>
      </c>
      <c r="B31" s="1">
        <v>0</v>
      </c>
      <c r="C31" s="1" t="s">
        <v>24</v>
      </c>
      <c r="D31" s="1">
        <v>64</v>
      </c>
      <c r="E31" s="1" t="s">
        <v>24</v>
      </c>
      <c r="F31" s="1">
        <v>47</v>
      </c>
      <c r="G31" s="1">
        <v>0</v>
      </c>
    </row>
    <row r="32" spans="1:7" x14ac:dyDescent="0.3">
      <c r="A32" s="1">
        <v>2</v>
      </c>
      <c r="B32" s="1">
        <v>0</v>
      </c>
      <c r="C32" s="1" t="s">
        <v>24</v>
      </c>
      <c r="D32" s="1">
        <v>4</v>
      </c>
      <c r="E32" s="1" t="s">
        <v>24</v>
      </c>
      <c r="F32" s="1">
        <v>18</v>
      </c>
      <c r="G32" s="1">
        <v>1</v>
      </c>
    </row>
    <row r="33" spans="1:7" x14ac:dyDescent="0.3">
      <c r="A33" s="1">
        <v>2</v>
      </c>
      <c r="B33" s="1">
        <v>0</v>
      </c>
      <c r="C33" s="1" t="s">
        <v>24</v>
      </c>
      <c r="D33" s="1">
        <v>40</v>
      </c>
      <c r="E33" s="1" t="s">
        <v>24</v>
      </c>
      <c r="F33" s="1">
        <v>15</v>
      </c>
      <c r="G33" s="1">
        <v>0</v>
      </c>
    </row>
    <row r="34" spans="1:7" x14ac:dyDescent="0.3">
      <c r="A34" s="1">
        <v>2</v>
      </c>
      <c r="B34" s="1">
        <v>0</v>
      </c>
      <c r="C34" s="1" t="s">
        <v>24</v>
      </c>
      <c r="D34" s="1">
        <v>36</v>
      </c>
      <c r="E34" s="1" t="s">
        <v>24</v>
      </c>
      <c r="F34" s="1">
        <v>28</v>
      </c>
      <c r="G34" s="1">
        <v>0</v>
      </c>
    </row>
    <row r="35" spans="1:7" x14ac:dyDescent="0.3">
      <c r="A35" s="1">
        <v>2</v>
      </c>
      <c r="B35" s="1">
        <v>0</v>
      </c>
      <c r="C35" s="1" t="s">
        <v>24</v>
      </c>
      <c r="D35" s="1">
        <v>55</v>
      </c>
      <c r="E35" s="1" t="s">
        <v>24</v>
      </c>
      <c r="F35" s="1">
        <v>15</v>
      </c>
      <c r="G35" s="1">
        <v>0</v>
      </c>
    </row>
    <row r="36" spans="1:7" x14ac:dyDescent="0.3">
      <c r="A36" s="1">
        <v>2</v>
      </c>
      <c r="B36" s="1">
        <v>0</v>
      </c>
      <c r="C36" s="1" t="s">
        <v>24</v>
      </c>
      <c r="D36" s="1">
        <v>32</v>
      </c>
      <c r="E36" s="1" t="s">
        <v>24</v>
      </c>
      <c r="F36" s="1">
        <v>35</v>
      </c>
      <c r="G36" s="1">
        <v>1</v>
      </c>
    </row>
    <row r="37" spans="1:7" x14ac:dyDescent="0.3">
      <c r="A37" s="1">
        <v>2</v>
      </c>
      <c r="B37" s="1">
        <v>0</v>
      </c>
      <c r="C37" s="1" t="s">
        <v>24</v>
      </c>
      <c r="D37" s="1">
        <v>34</v>
      </c>
      <c r="E37" s="1" t="s">
        <v>24</v>
      </c>
      <c r="F37" s="1">
        <v>25</v>
      </c>
      <c r="G37" s="1">
        <v>0</v>
      </c>
    </row>
    <row r="38" spans="1:7" x14ac:dyDescent="0.3">
      <c r="A38" s="1">
        <v>2</v>
      </c>
      <c r="B38" s="1">
        <v>0</v>
      </c>
      <c r="C38" s="1" t="s">
        <v>24</v>
      </c>
      <c r="D38" s="1">
        <v>42</v>
      </c>
      <c r="E38" s="1" t="s">
        <v>24</v>
      </c>
      <c r="F38" s="1">
        <v>18</v>
      </c>
      <c r="G38" s="1">
        <v>0</v>
      </c>
    </row>
    <row r="39" spans="1:7" x14ac:dyDescent="0.3">
      <c r="A39" s="1">
        <v>2</v>
      </c>
      <c r="B39" s="1">
        <v>0</v>
      </c>
      <c r="C39" s="1" t="s">
        <v>24</v>
      </c>
      <c r="D39" s="1">
        <v>51</v>
      </c>
      <c r="E39" s="1" t="s">
        <v>24</v>
      </c>
      <c r="F39" s="1">
        <v>35</v>
      </c>
      <c r="G39" s="1">
        <v>0</v>
      </c>
    </row>
    <row r="40" spans="1:7" x14ac:dyDescent="0.3">
      <c r="A40" s="1">
        <v>2</v>
      </c>
      <c r="B40" s="1">
        <v>0</v>
      </c>
      <c r="C40" s="1" t="s">
        <v>24</v>
      </c>
      <c r="D40" s="1">
        <v>52</v>
      </c>
      <c r="E40" s="1" t="s">
        <v>24</v>
      </c>
      <c r="F40" s="1">
        <v>63</v>
      </c>
      <c r="G40" s="1">
        <v>1</v>
      </c>
    </row>
    <row r="41" spans="1:7" x14ac:dyDescent="0.3">
      <c r="A41" s="1">
        <v>2</v>
      </c>
      <c r="B41" s="1">
        <v>0</v>
      </c>
      <c r="C41" s="1" t="s">
        <v>24</v>
      </c>
      <c r="D41" s="1">
        <v>41</v>
      </c>
      <c r="E41" s="1" t="s">
        <v>24</v>
      </c>
      <c r="F41" s="1">
        <v>27</v>
      </c>
      <c r="G41" s="1">
        <v>0</v>
      </c>
    </row>
    <row r="42" spans="1:7" x14ac:dyDescent="0.3">
      <c r="A42" s="1">
        <v>2</v>
      </c>
      <c r="B42" s="1">
        <v>0</v>
      </c>
      <c r="C42" s="1" t="s">
        <v>24</v>
      </c>
      <c r="D42" s="1">
        <v>13</v>
      </c>
      <c r="E42" s="1" t="s">
        <v>24</v>
      </c>
      <c r="F42" s="1">
        <v>18</v>
      </c>
      <c r="G42" s="1">
        <v>1</v>
      </c>
    </row>
    <row r="43" spans="1:7" x14ac:dyDescent="0.3">
      <c r="A43" s="1">
        <v>2</v>
      </c>
      <c r="B43" s="1">
        <v>0</v>
      </c>
      <c r="C43" s="1" t="s">
        <v>24</v>
      </c>
      <c r="D43" s="1">
        <v>42</v>
      </c>
      <c r="E43" s="1" t="s">
        <v>24</v>
      </c>
      <c r="F43" s="1">
        <v>61</v>
      </c>
      <c r="G43" s="1">
        <v>1</v>
      </c>
    </row>
    <row r="44" spans="1:7" x14ac:dyDescent="0.3">
      <c r="A44" s="1">
        <v>2</v>
      </c>
      <c r="B44" s="1">
        <v>0</v>
      </c>
      <c r="C44" s="1" t="s">
        <v>24</v>
      </c>
      <c r="D44" s="1">
        <v>23</v>
      </c>
      <c r="E44" s="1" t="s">
        <v>24</v>
      </c>
      <c r="F44" s="1">
        <v>18</v>
      </c>
      <c r="G44" s="1">
        <v>0</v>
      </c>
    </row>
    <row r="45" spans="1:7" x14ac:dyDescent="0.3">
      <c r="A45" s="1">
        <v>2</v>
      </c>
      <c r="B45" s="1">
        <v>0</v>
      </c>
      <c r="C45" s="1" t="s">
        <v>24</v>
      </c>
      <c r="D45" s="1">
        <v>47</v>
      </c>
      <c r="E45" s="1" t="s">
        <v>24</v>
      </c>
      <c r="F45" s="1">
        <v>20</v>
      </c>
      <c r="G45" s="1">
        <v>0</v>
      </c>
    </row>
    <row r="46" spans="1:7" x14ac:dyDescent="0.3">
      <c r="A46" s="1">
        <v>2</v>
      </c>
      <c r="B46" s="1">
        <v>0</v>
      </c>
      <c r="C46" s="1" t="s">
        <v>24</v>
      </c>
      <c r="D46" s="1">
        <v>22</v>
      </c>
      <c r="E46" s="1" t="s">
        <v>24</v>
      </c>
      <c r="F46" s="1">
        <v>21</v>
      </c>
      <c r="G46" s="1">
        <v>0</v>
      </c>
    </row>
    <row r="47" spans="1:7" x14ac:dyDescent="0.3">
      <c r="A47" s="1">
        <v>2</v>
      </c>
      <c r="B47" s="1">
        <v>0</v>
      </c>
      <c r="C47" s="1" t="s">
        <v>24</v>
      </c>
      <c r="D47" s="1">
        <v>15</v>
      </c>
      <c r="E47" s="1" t="s">
        <v>24</v>
      </c>
      <c r="F47" s="1">
        <v>44</v>
      </c>
      <c r="G47" s="1">
        <v>1</v>
      </c>
    </row>
    <row r="48" spans="1:7" x14ac:dyDescent="0.3">
      <c r="A48" s="1">
        <v>2</v>
      </c>
      <c r="B48" s="1">
        <v>0</v>
      </c>
      <c r="C48" s="1" t="s">
        <v>24</v>
      </c>
      <c r="D48" s="1">
        <v>38</v>
      </c>
      <c r="E48" s="1" t="s">
        <v>24</v>
      </c>
      <c r="F48" s="1">
        <v>40</v>
      </c>
      <c r="G48" s="1">
        <v>1</v>
      </c>
    </row>
    <row r="49" spans="1:7" x14ac:dyDescent="0.3">
      <c r="A49" s="1">
        <v>2</v>
      </c>
      <c r="B49" s="1">
        <v>0</v>
      </c>
      <c r="C49" s="1" t="s">
        <v>24</v>
      </c>
      <c r="D49" s="1">
        <v>49</v>
      </c>
      <c r="E49" s="1" t="s">
        <v>24</v>
      </c>
      <c r="F49" s="1">
        <v>50</v>
      </c>
      <c r="G49" s="1">
        <v>1</v>
      </c>
    </row>
    <row r="50" spans="1:7" x14ac:dyDescent="0.3">
      <c r="A50" s="1">
        <v>2</v>
      </c>
      <c r="B50" s="1">
        <v>0</v>
      </c>
      <c r="C50" s="1" t="s">
        <v>24</v>
      </c>
      <c r="D50" s="1">
        <v>31</v>
      </c>
      <c r="E50" s="1" t="s">
        <v>24</v>
      </c>
      <c r="F50" s="1">
        <v>43</v>
      </c>
      <c r="G50" s="1">
        <v>1</v>
      </c>
    </row>
    <row r="51" spans="1:7" x14ac:dyDescent="0.3">
      <c r="A51" s="1">
        <v>2</v>
      </c>
      <c r="B51" s="1">
        <v>1</v>
      </c>
      <c r="C51" s="1" t="s">
        <v>24</v>
      </c>
      <c r="D51" s="1">
        <v>16</v>
      </c>
      <c r="E51" s="1" t="s">
        <v>24</v>
      </c>
      <c r="F51" s="1">
        <v>44</v>
      </c>
      <c r="G51" s="1">
        <v>1</v>
      </c>
    </row>
    <row r="52" spans="1:7" x14ac:dyDescent="0.3">
      <c r="A52" s="1">
        <v>2</v>
      </c>
      <c r="B52" s="1">
        <v>1</v>
      </c>
      <c r="C52" s="1" t="s">
        <v>24</v>
      </c>
      <c r="D52" s="1">
        <v>55</v>
      </c>
      <c r="E52" s="1" t="s">
        <v>24</v>
      </c>
      <c r="F52" s="1">
        <v>34</v>
      </c>
      <c r="G52" s="1">
        <v>0</v>
      </c>
    </row>
    <row r="53" spans="1:7" x14ac:dyDescent="0.3">
      <c r="A53" s="1">
        <v>2</v>
      </c>
      <c r="B53" s="1">
        <v>1</v>
      </c>
      <c r="C53" s="1" t="s">
        <v>24</v>
      </c>
      <c r="D53" s="1">
        <v>40</v>
      </c>
      <c r="E53" s="1" t="s">
        <v>24</v>
      </c>
      <c r="F53" s="1">
        <v>27</v>
      </c>
      <c r="G53" s="1">
        <v>0</v>
      </c>
    </row>
    <row r="54" spans="1:7" x14ac:dyDescent="0.3">
      <c r="A54" s="1">
        <v>2</v>
      </c>
      <c r="B54" s="1">
        <v>1</v>
      </c>
      <c r="C54" s="1" t="s">
        <v>24</v>
      </c>
      <c r="D54" s="1">
        <v>32</v>
      </c>
      <c r="E54" s="1" t="s">
        <v>24</v>
      </c>
      <c r="F54" s="1">
        <v>22</v>
      </c>
      <c r="G54" s="1">
        <v>0</v>
      </c>
    </row>
    <row r="55" spans="1:7" x14ac:dyDescent="0.3">
      <c r="A55" s="1">
        <v>2</v>
      </c>
      <c r="B55" s="1">
        <v>1</v>
      </c>
      <c r="C55" s="1" t="s">
        <v>24</v>
      </c>
      <c r="D55" s="1">
        <v>26</v>
      </c>
      <c r="E55" s="1" t="s">
        <v>24</v>
      </c>
      <c r="F55" s="1">
        <v>14</v>
      </c>
      <c r="G55" s="1">
        <v>0</v>
      </c>
    </row>
    <row r="56" spans="1:7" x14ac:dyDescent="0.3">
      <c r="A56" s="1">
        <v>2</v>
      </c>
      <c r="B56" s="1">
        <v>1</v>
      </c>
      <c r="C56" s="1" t="s">
        <v>24</v>
      </c>
      <c r="D56" s="1">
        <v>24</v>
      </c>
      <c r="E56" s="1" t="s">
        <v>24</v>
      </c>
      <c r="F56" s="1">
        <v>23</v>
      </c>
      <c r="G56" s="1">
        <v>0</v>
      </c>
    </row>
    <row r="57" spans="1:7" x14ac:dyDescent="0.3">
      <c r="A57" s="1">
        <v>2</v>
      </c>
      <c r="B57" s="1">
        <v>1</v>
      </c>
      <c r="C57" s="1" t="s">
        <v>24</v>
      </c>
      <c r="D57" s="1">
        <v>34</v>
      </c>
      <c r="E57" s="1" t="s">
        <v>24</v>
      </c>
      <c r="F57" s="1">
        <v>39</v>
      </c>
      <c r="G57" s="1">
        <v>1</v>
      </c>
    </row>
    <row r="58" spans="1:7" x14ac:dyDescent="0.3">
      <c r="A58" s="1">
        <v>2</v>
      </c>
      <c r="B58" s="1">
        <v>1</v>
      </c>
      <c r="C58" s="1" t="s">
        <v>24</v>
      </c>
      <c r="D58" s="1">
        <v>16</v>
      </c>
      <c r="E58" s="1" t="s">
        <v>24</v>
      </c>
      <c r="F58" s="1">
        <v>29</v>
      </c>
      <c r="G58" s="1">
        <v>1</v>
      </c>
    </row>
    <row r="59" spans="1:7" x14ac:dyDescent="0.3">
      <c r="A59" s="1">
        <v>2</v>
      </c>
      <c r="B59" s="1">
        <v>1</v>
      </c>
      <c r="C59" s="1" t="s">
        <v>24</v>
      </c>
      <c r="D59" s="1">
        <v>22</v>
      </c>
      <c r="E59" s="1" t="s">
        <v>24</v>
      </c>
      <c r="F59" s="1">
        <v>31</v>
      </c>
      <c r="G59" s="1">
        <v>1</v>
      </c>
    </row>
    <row r="60" spans="1:7" x14ac:dyDescent="0.3">
      <c r="A60" s="1">
        <v>2</v>
      </c>
      <c r="B60" s="1">
        <v>1</v>
      </c>
      <c r="C60" s="1" t="s">
        <v>24</v>
      </c>
      <c r="D60" s="1">
        <v>25</v>
      </c>
      <c r="E60" s="1" t="s">
        <v>24</v>
      </c>
      <c r="F60" s="1">
        <v>20</v>
      </c>
      <c r="G60" s="1">
        <v>0</v>
      </c>
    </row>
    <row r="61" spans="1:7" x14ac:dyDescent="0.3">
      <c r="A61" s="1">
        <v>2</v>
      </c>
      <c r="B61" s="1">
        <v>1</v>
      </c>
      <c r="C61" s="1" t="s">
        <v>24</v>
      </c>
      <c r="D61" s="1">
        <v>56</v>
      </c>
      <c r="E61" s="1" t="s">
        <v>24</v>
      </c>
      <c r="F61" s="1">
        <v>49</v>
      </c>
      <c r="G61" s="1">
        <v>0</v>
      </c>
    </row>
    <row r="62" spans="1:7" x14ac:dyDescent="0.3">
      <c r="A62" s="1">
        <v>2</v>
      </c>
      <c r="B62" s="1">
        <v>1</v>
      </c>
      <c r="C62" s="1" t="s">
        <v>24</v>
      </c>
      <c r="D62" s="1">
        <v>22</v>
      </c>
      <c r="E62" s="1" t="s">
        <v>24</v>
      </c>
      <c r="F62" s="1">
        <v>7</v>
      </c>
      <c r="G62" s="1">
        <v>0</v>
      </c>
    </row>
    <row r="63" spans="1:7" x14ac:dyDescent="0.3">
      <c r="A63" s="1">
        <v>2</v>
      </c>
      <c r="B63" s="1">
        <v>1</v>
      </c>
      <c r="C63" s="1" t="s">
        <v>24</v>
      </c>
      <c r="D63" s="1">
        <v>38</v>
      </c>
      <c r="E63" s="1" t="s">
        <v>24</v>
      </c>
      <c r="F63" s="1">
        <v>43</v>
      </c>
      <c r="G63" s="1">
        <v>1</v>
      </c>
    </row>
    <row r="64" spans="1:7" x14ac:dyDescent="0.3">
      <c r="A64" s="1">
        <v>2</v>
      </c>
      <c r="B64" s="1">
        <v>1</v>
      </c>
      <c r="C64" s="1" t="s">
        <v>24</v>
      </c>
      <c r="D64" s="1">
        <v>39</v>
      </c>
      <c r="E64" s="1" t="s">
        <v>24</v>
      </c>
      <c r="F64" s="1">
        <v>34</v>
      </c>
      <c r="G64" s="1">
        <v>0</v>
      </c>
    </row>
    <row r="65" spans="1:7" x14ac:dyDescent="0.3">
      <c r="A65" s="1">
        <v>2</v>
      </c>
      <c r="B65" s="1">
        <v>1</v>
      </c>
      <c r="C65" s="1" t="s">
        <v>24</v>
      </c>
      <c r="D65" s="1">
        <v>23</v>
      </c>
      <c r="E65" s="1" t="s">
        <v>24</v>
      </c>
      <c r="F65" s="1">
        <v>9</v>
      </c>
      <c r="G65" s="1">
        <v>0</v>
      </c>
    </row>
    <row r="66" spans="1:7" x14ac:dyDescent="0.3">
      <c r="A66" s="1">
        <v>2</v>
      </c>
      <c r="B66" s="1">
        <v>1</v>
      </c>
      <c r="C66" s="1" t="s">
        <v>24</v>
      </c>
      <c r="D66" s="1">
        <v>15</v>
      </c>
      <c r="E66" s="1" t="s">
        <v>24</v>
      </c>
      <c r="F66" s="1">
        <v>24</v>
      </c>
      <c r="G66" s="1">
        <v>1</v>
      </c>
    </row>
    <row r="67" spans="1:7" x14ac:dyDescent="0.3">
      <c r="A67" s="1">
        <v>2</v>
      </c>
      <c r="B67" s="1">
        <v>1</v>
      </c>
      <c r="C67" s="1" t="s">
        <v>24</v>
      </c>
      <c r="D67" s="1">
        <v>17</v>
      </c>
      <c r="E67" s="1" t="s">
        <v>24</v>
      </c>
      <c r="F67" s="1">
        <v>18</v>
      </c>
      <c r="G67" s="1">
        <v>1</v>
      </c>
    </row>
    <row r="68" spans="1:7" x14ac:dyDescent="0.3">
      <c r="A68" s="1">
        <v>2</v>
      </c>
      <c r="B68" s="1">
        <v>1</v>
      </c>
      <c r="C68" s="1" t="s">
        <v>24</v>
      </c>
      <c r="D68" s="1">
        <v>43</v>
      </c>
      <c r="E68" s="1" t="s">
        <v>24</v>
      </c>
      <c r="F68" s="1">
        <v>30</v>
      </c>
      <c r="G68" s="1">
        <v>0</v>
      </c>
    </row>
    <row r="69" spans="1:7" x14ac:dyDescent="0.3">
      <c r="A69" s="1">
        <v>2</v>
      </c>
      <c r="B69" s="1">
        <v>1</v>
      </c>
      <c r="C69" s="1" t="s">
        <v>24</v>
      </c>
      <c r="D69" s="1">
        <v>22</v>
      </c>
      <c r="E69" s="1" t="s">
        <v>24</v>
      </c>
      <c r="F69" s="1">
        <v>42</v>
      </c>
      <c r="G69" s="1">
        <v>1</v>
      </c>
    </row>
    <row r="70" spans="1:7" x14ac:dyDescent="0.3">
      <c r="A70" s="1">
        <v>2</v>
      </c>
      <c r="B70" s="1">
        <v>1</v>
      </c>
      <c r="C70" s="1" t="s">
        <v>24</v>
      </c>
      <c r="D70" s="1">
        <v>50</v>
      </c>
      <c r="E70" s="1" t="s">
        <v>24</v>
      </c>
      <c r="F70" s="1">
        <v>10</v>
      </c>
      <c r="G70" s="1">
        <v>0</v>
      </c>
    </row>
    <row r="71" spans="1:7" x14ac:dyDescent="0.3">
      <c r="A71" s="1">
        <v>2</v>
      </c>
      <c r="B71" s="1">
        <v>1</v>
      </c>
      <c r="C71" s="1" t="s">
        <v>24</v>
      </c>
      <c r="D71" s="1">
        <v>48</v>
      </c>
      <c r="E71" s="1" t="s">
        <v>24</v>
      </c>
      <c r="F71" s="1">
        <v>13</v>
      </c>
      <c r="G71" s="1">
        <v>0</v>
      </c>
    </row>
    <row r="72" spans="1:7" x14ac:dyDescent="0.3">
      <c r="A72" s="1">
        <v>2</v>
      </c>
      <c r="B72" s="1">
        <v>1</v>
      </c>
      <c r="C72" s="1" t="s">
        <v>24</v>
      </c>
      <c r="D72" s="1">
        <v>40</v>
      </c>
      <c r="E72" s="1" t="s">
        <v>24</v>
      </c>
      <c r="F72" s="1">
        <v>20</v>
      </c>
      <c r="G72" s="1">
        <v>0</v>
      </c>
    </row>
    <row r="73" spans="1:7" x14ac:dyDescent="0.3">
      <c r="A73" s="1">
        <v>2</v>
      </c>
      <c r="B73" s="1">
        <v>1</v>
      </c>
      <c r="C73" s="1" t="s">
        <v>24</v>
      </c>
      <c r="D73" s="1">
        <v>36</v>
      </c>
      <c r="E73" s="1" t="s">
        <v>24</v>
      </c>
      <c r="F73" s="1">
        <v>22</v>
      </c>
      <c r="G73" s="1">
        <v>0</v>
      </c>
    </row>
    <row r="74" spans="1:7" x14ac:dyDescent="0.3">
      <c r="A74" s="1">
        <v>2</v>
      </c>
      <c r="B74" s="1">
        <v>1</v>
      </c>
      <c r="C74" s="1" t="s">
        <v>24</v>
      </c>
      <c r="D74" s="1">
        <v>30</v>
      </c>
      <c r="E74" s="1" t="s">
        <v>24</v>
      </c>
      <c r="F74" s="1">
        <v>40</v>
      </c>
      <c r="G74" s="1">
        <v>1</v>
      </c>
    </row>
    <row r="75" spans="1:7" x14ac:dyDescent="0.3">
      <c r="A75" s="1">
        <v>2</v>
      </c>
      <c r="B75" s="1">
        <v>1</v>
      </c>
      <c r="C75" s="1" t="s">
        <v>24</v>
      </c>
      <c r="D75" s="1">
        <v>33</v>
      </c>
      <c r="E75" s="1" t="s">
        <v>24</v>
      </c>
      <c r="F75" s="1">
        <v>39</v>
      </c>
      <c r="G75" s="1">
        <v>1</v>
      </c>
    </row>
    <row r="76" spans="1:7" x14ac:dyDescent="0.3">
      <c r="A76" s="1">
        <v>2</v>
      </c>
      <c r="B76" s="1">
        <v>1</v>
      </c>
      <c r="C76" s="1" t="s">
        <v>24</v>
      </c>
      <c r="D76" s="1">
        <v>28</v>
      </c>
      <c r="E76" s="1" t="s">
        <v>24</v>
      </c>
      <c r="F76" s="1">
        <v>31</v>
      </c>
      <c r="G76" s="1">
        <v>1</v>
      </c>
    </row>
    <row r="77" spans="1:7" x14ac:dyDescent="0.3">
      <c r="A77" s="1">
        <v>2</v>
      </c>
      <c r="B77" s="1">
        <v>1</v>
      </c>
      <c r="C77" s="1" t="s">
        <v>24</v>
      </c>
      <c r="D77" s="1">
        <v>55</v>
      </c>
      <c r="E77" s="1" t="s">
        <v>24</v>
      </c>
      <c r="F77" s="1">
        <v>21</v>
      </c>
      <c r="G77" s="1">
        <v>0</v>
      </c>
    </row>
    <row r="78" spans="1:7" x14ac:dyDescent="0.3">
      <c r="A78" s="1">
        <v>2</v>
      </c>
      <c r="B78" s="1">
        <v>1</v>
      </c>
      <c r="C78" s="1" t="s">
        <v>24</v>
      </c>
      <c r="D78" s="1">
        <v>22</v>
      </c>
      <c r="E78" s="1" t="s">
        <v>24</v>
      </c>
      <c r="F78" s="1">
        <v>14</v>
      </c>
      <c r="G78" s="1">
        <v>0</v>
      </c>
    </row>
    <row r="79" spans="1:7" x14ac:dyDescent="0.3">
      <c r="A79" s="1">
        <v>2</v>
      </c>
      <c r="B79" s="1">
        <v>1</v>
      </c>
      <c r="C79" s="1" t="s">
        <v>24</v>
      </c>
      <c r="D79" s="1">
        <v>29</v>
      </c>
      <c r="E79" s="1" t="s">
        <v>24</v>
      </c>
      <c r="F79" s="1">
        <v>31</v>
      </c>
      <c r="G79" s="1">
        <v>1</v>
      </c>
    </row>
    <row r="80" spans="1:7" x14ac:dyDescent="0.3">
      <c r="A80" s="1">
        <v>2</v>
      </c>
      <c r="B80" s="1">
        <v>1</v>
      </c>
      <c r="C80" s="1" t="s">
        <v>24</v>
      </c>
      <c r="D80" s="1">
        <v>26</v>
      </c>
      <c r="E80" s="1" t="s">
        <v>24</v>
      </c>
      <c r="F80" s="1">
        <v>45</v>
      </c>
      <c r="G80" s="1">
        <v>1</v>
      </c>
    </row>
    <row r="81" spans="1:7" x14ac:dyDescent="0.3">
      <c r="A81" s="1">
        <v>2</v>
      </c>
      <c r="B81" s="1">
        <v>1</v>
      </c>
      <c r="C81" s="1" t="s">
        <v>24</v>
      </c>
      <c r="D81" s="1">
        <v>48</v>
      </c>
      <c r="E81" s="1" t="s">
        <v>24</v>
      </c>
      <c r="F81" s="1">
        <v>30</v>
      </c>
      <c r="G81" s="1">
        <v>0</v>
      </c>
    </row>
    <row r="82" spans="1:7" x14ac:dyDescent="0.3">
      <c r="A82" s="1">
        <v>2</v>
      </c>
      <c r="B82" s="1">
        <v>1</v>
      </c>
      <c r="C82" s="1" t="s">
        <v>24</v>
      </c>
      <c r="D82" s="1">
        <v>60</v>
      </c>
      <c r="E82" s="1" t="s">
        <v>24</v>
      </c>
      <c r="F82" s="1">
        <v>32</v>
      </c>
      <c r="G82" s="1">
        <v>0</v>
      </c>
    </row>
    <row r="83" spans="1:7" x14ac:dyDescent="0.3">
      <c r="A83" s="1">
        <v>2</v>
      </c>
      <c r="B83" s="1">
        <v>1</v>
      </c>
      <c r="C83" s="1" t="s">
        <v>24</v>
      </c>
      <c r="D83" s="1">
        <v>23</v>
      </c>
      <c r="E83" s="1" t="s">
        <v>24</v>
      </c>
      <c r="F83" s="1">
        <v>51</v>
      </c>
      <c r="G83" s="1">
        <v>1</v>
      </c>
    </row>
    <row r="84" spans="1:7" x14ac:dyDescent="0.3">
      <c r="A84" s="1">
        <v>2</v>
      </c>
      <c r="B84" s="1">
        <v>1</v>
      </c>
      <c r="C84" s="1" t="s">
        <v>24</v>
      </c>
      <c r="D84" s="1">
        <v>35</v>
      </c>
      <c r="E84" s="1" t="s">
        <v>24</v>
      </c>
      <c r="F84" s="1">
        <v>23</v>
      </c>
      <c r="G84" s="1">
        <v>0</v>
      </c>
    </row>
    <row r="85" spans="1:7" x14ac:dyDescent="0.3">
      <c r="A85" s="1">
        <v>2</v>
      </c>
      <c r="B85" s="1">
        <v>1</v>
      </c>
      <c r="C85" s="1" t="s">
        <v>24</v>
      </c>
      <c r="D85" s="1">
        <v>29</v>
      </c>
      <c r="E85" s="1" t="s">
        <v>24</v>
      </c>
      <c r="F85" s="1">
        <v>38</v>
      </c>
      <c r="G85" s="1">
        <v>1</v>
      </c>
    </row>
    <row r="86" spans="1:7" x14ac:dyDescent="0.3">
      <c r="A86" s="1">
        <v>2</v>
      </c>
      <c r="B86" s="1">
        <v>1</v>
      </c>
      <c r="C86" s="1" t="s">
        <v>24</v>
      </c>
      <c r="D86" s="1">
        <v>66</v>
      </c>
      <c r="E86" s="1" t="s">
        <v>24</v>
      </c>
      <c r="F86" s="1">
        <v>14</v>
      </c>
      <c r="G86" s="1">
        <v>0</v>
      </c>
    </row>
    <row r="87" spans="1:7" x14ac:dyDescent="0.3">
      <c r="A87" s="1">
        <v>2</v>
      </c>
      <c r="B87" s="1">
        <v>1</v>
      </c>
      <c r="C87" s="1" t="s">
        <v>24</v>
      </c>
      <c r="D87" s="1">
        <v>24</v>
      </c>
      <c r="E87" s="1" t="s">
        <v>24</v>
      </c>
      <c r="F87" s="1">
        <v>16</v>
      </c>
      <c r="G87" s="1">
        <v>0</v>
      </c>
    </row>
    <row r="88" spans="1:7" x14ac:dyDescent="0.3">
      <c r="A88" s="1">
        <v>2</v>
      </c>
      <c r="B88" s="1">
        <v>1</v>
      </c>
      <c r="C88" s="1" t="s">
        <v>24</v>
      </c>
      <c r="D88" s="1">
        <v>47</v>
      </c>
      <c r="E88" s="1" t="s">
        <v>24</v>
      </c>
      <c r="F88" s="1">
        <v>47</v>
      </c>
      <c r="G88" s="1">
        <v>0</v>
      </c>
    </row>
    <row r="89" spans="1:7" x14ac:dyDescent="0.3">
      <c r="A89" s="1">
        <v>2</v>
      </c>
      <c r="B89" s="1">
        <v>1</v>
      </c>
      <c r="C89" s="1" t="s">
        <v>24</v>
      </c>
      <c r="D89" s="1">
        <v>20</v>
      </c>
      <c r="E89" s="1" t="s">
        <v>24</v>
      </c>
      <c r="F89" s="1">
        <v>5</v>
      </c>
      <c r="G89" s="1">
        <v>0</v>
      </c>
    </row>
    <row r="90" spans="1:7" x14ac:dyDescent="0.3">
      <c r="A90" s="1">
        <v>2</v>
      </c>
      <c r="B90" s="1">
        <v>1</v>
      </c>
      <c r="C90" s="1" t="s">
        <v>24</v>
      </c>
      <c r="D90" s="1">
        <v>33</v>
      </c>
      <c r="E90" s="1" t="s">
        <v>24</v>
      </c>
      <c r="F90" s="1">
        <v>20</v>
      </c>
      <c r="G90" s="1">
        <v>0</v>
      </c>
    </row>
    <row r="91" spans="1:7" x14ac:dyDescent="0.3">
      <c r="A91" s="1">
        <v>2</v>
      </c>
      <c r="B91" s="1">
        <v>1</v>
      </c>
      <c r="C91" s="1" t="s">
        <v>24</v>
      </c>
      <c r="D91" s="1">
        <v>40</v>
      </c>
      <c r="E91" s="1" t="s">
        <v>24</v>
      </c>
      <c r="F91" s="1">
        <v>20</v>
      </c>
      <c r="G91" s="1">
        <v>0</v>
      </c>
    </row>
    <row r="92" spans="1:7" x14ac:dyDescent="0.3">
      <c r="A92" s="1">
        <v>2</v>
      </c>
      <c r="B92" s="1">
        <v>1</v>
      </c>
      <c r="C92" s="1" t="s">
        <v>24</v>
      </c>
      <c r="D92" s="1">
        <v>23</v>
      </c>
      <c r="E92" s="1" t="s">
        <v>24</v>
      </c>
      <c r="F92" s="1">
        <v>38</v>
      </c>
      <c r="G92" s="1">
        <v>1</v>
      </c>
    </row>
    <row r="93" spans="1:7" x14ac:dyDescent="0.3">
      <c r="A93" s="1">
        <v>2</v>
      </c>
      <c r="B93" s="1">
        <v>1</v>
      </c>
      <c r="C93" s="1" t="s">
        <v>24</v>
      </c>
      <c r="D93" s="1">
        <v>32</v>
      </c>
      <c r="E93" s="1" t="s">
        <v>24</v>
      </c>
      <c r="F93" s="1">
        <v>25</v>
      </c>
      <c r="G93" s="1">
        <v>0</v>
      </c>
    </row>
    <row r="94" spans="1:7" x14ac:dyDescent="0.3">
      <c r="A94" s="1">
        <v>2</v>
      </c>
      <c r="B94" s="1">
        <v>1</v>
      </c>
      <c r="C94" s="1" t="s">
        <v>24</v>
      </c>
      <c r="D94" s="1">
        <v>37</v>
      </c>
      <c r="E94" s="1" t="s">
        <v>24</v>
      </c>
      <c r="F94" s="1">
        <v>27</v>
      </c>
      <c r="G94" s="1">
        <v>0</v>
      </c>
    </row>
    <row r="95" spans="1:7" x14ac:dyDescent="0.3">
      <c r="A95" s="1">
        <v>2</v>
      </c>
      <c r="B95" s="1">
        <v>1</v>
      </c>
      <c r="C95" s="1" t="s">
        <v>24</v>
      </c>
      <c r="D95" s="1">
        <v>49</v>
      </c>
      <c r="E95" s="1" t="s">
        <v>24</v>
      </c>
      <c r="F95" s="1">
        <v>50</v>
      </c>
      <c r="G95" s="1">
        <v>1</v>
      </c>
    </row>
    <row r="96" spans="1:7" x14ac:dyDescent="0.3">
      <c r="A96" s="1">
        <v>2</v>
      </c>
      <c r="B96" s="1">
        <v>1</v>
      </c>
      <c r="C96" s="1" t="s">
        <v>24</v>
      </c>
      <c r="D96" s="1">
        <v>25</v>
      </c>
      <c r="E96" s="1" t="s">
        <v>24</v>
      </c>
      <c r="F96" s="1">
        <v>39</v>
      </c>
      <c r="G96" s="1">
        <v>1</v>
      </c>
    </row>
    <row r="97" spans="1:7" x14ac:dyDescent="0.3">
      <c r="A97" s="1">
        <v>2</v>
      </c>
      <c r="B97" s="1">
        <v>1</v>
      </c>
      <c r="C97" s="1" t="s">
        <v>24</v>
      </c>
      <c r="D97" s="1">
        <v>27</v>
      </c>
      <c r="E97" s="1" t="s">
        <v>24</v>
      </c>
      <c r="F97" s="1">
        <v>10</v>
      </c>
      <c r="G97" s="1">
        <v>0</v>
      </c>
    </row>
    <row r="98" spans="1:7" x14ac:dyDescent="0.3">
      <c r="A98" s="1">
        <v>2</v>
      </c>
      <c r="B98" s="1">
        <v>1</v>
      </c>
      <c r="C98" s="1" t="s">
        <v>24</v>
      </c>
      <c r="D98" s="1">
        <v>14</v>
      </c>
      <c r="E98" s="1" t="s">
        <v>24</v>
      </c>
      <c r="F98" s="1">
        <v>38</v>
      </c>
      <c r="G98" s="1">
        <v>1</v>
      </c>
    </row>
    <row r="99" spans="1:7" x14ac:dyDescent="0.3">
      <c r="A99" s="1">
        <v>2</v>
      </c>
      <c r="B99" s="1">
        <v>1</v>
      </c>
      <c r="C99" s="1" t="s">
        <v>24</v>
      </c>
      <c r="D99" s="1">
        <v>45</v>
      </c>
      <c r="E99" s="1" t="s">
        <v>24</v>
      </c>
      <c r="F99" s="1">
        <v>9</v>
      </c>
      <c r="G99" s="1">
        <v>0</v>
      </c>
    </row>
    <row r="100" spans="1:7" x14ac:dyDescent="0.3">
      <c r="A100" s="1">
        <v>2</v>
      </c>
      <c r="B100" s="1">
        <v>1</v>
      </c>
      <c r="C100" s="1" t="s">
        <v>24</v>
      </c>
      <c r="D100" s="1">
        <v>17</v>
      </c>
      <c r="E100" s="1" t="s">
        <v>24</v>
      </c>
      <c r="F100" s="1">
        <v>38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CAA8-0E42-4FF1-B064-11F73F6D34DD}">
  <dimension ref="A1:Q100"/>
  <sheetViews>
    <sheetView workbookViewId="0">
      <selection activeCell="D27" sqref="D27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24</v>
      </c>
      <c r="D1" s="1">
        <v>47</v>
      </c>
      <c r="E1" s="1" t="s">
        <v>24</v>
      </c>
      <c r="F1" s="1">
        <v>46</v>
      </c>
      <c r="G1" s="1">
        <v>0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24</v>
      </c>
      <c r="D2" s="1">
        <v>17</v>
      </c>
      <c r="E2" s="1" t="s">
        <v>24</v>
      </c>
      <c r="F2" s="1">
        <v>32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24</v>
      </c>
      <c r="D3" s="1">
        <v>46</v>
      </c>
      <c r="E3" s="1" t="s">
        <v>24</v>
      </c>
      <c r="F3" s="1">
        <v>40</v>
      </c>
      <c r="G3" s="1">
        <v>0</v>
      </c>
      <c r="I3" s="5" t="s">
        <v>6</v>
      </c>
      <c r="J3" s="5"/>
      <c r="K3" s="9">
        <f>COUNTIF($G$1:$G$100, 0)</f>
        <v>50</v>
      </c>
      <c r="L3" s="9"/>
      <c r="M3" s="9">
        <f>COUNTIFS($G$1:$G$100, 0, $B$1:$B$100, 0)</f>
        <v>30</v>
      </c>
      <c r="N3" s="9"/>
      <c r="O3" s="10">
        <f>COUNTIFS($G$1:$G$100, 0, $B$1:$B$100, 1)</f>
        <v>20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24</v>
      </c>
      <c r="D4" s="1">
        <v>49</v>
      </c>
      <c r="E4" s="1" t="s">
        <v>24</v>
      </c>
      <c r="F4" s="1">
        <v>51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24</v>
      </c>
      <c r="D5" s="1">
        <v>33</v>
      </c>
      <c r="E5" s="1" t="s">
        <v>24</v>
      </c>
      <c r="F5" s="1">
        <v>47</v>
      </c>
      <c r="G5" s="1">
        <v>1</v>
      </c>
      <c r="I5" s="5" t="s">
        <v>7</v>
      </c>
      <c r="J5" s="5"/>
      <c r="K5" s="14">
        <f>COUNTIF($G$1:$G$100, 1)</f>
        <v>50</v>
      </c>
      <c r="L5" s="9"/>
      <c r="M5" s="9">
        <f>COUNTIFS($G$1:$G$100, 1, $B$1:$B$100, 0)</f>
        <v>20</v>
      </c>
      <c r="N5" s="9"/>
      <c r="O5" s="9">
        <f>COUNTIFS($G$1:$G$100, 1, $B$1:$B$100, 1)</f>
        <v>30</v>
      </c>
      <c r="P5" s="13"/>
      <c r="Q5"/>
    </row>
    <row r="6" spans="1:17" x14ac:dyDescent="0.3">
      <c r="A6" s="1">
        <v>2</v>
      </c>
      <c r="B6" s="1">
        <v>0</v>
      </c>
      <c r="C6" s="1" t="s">
        <v>24</v>
      </c>
      <c r="D6" s="1">
        <v>35</v>
      </c>
      <c r="E6" s="1" t="s">
        <v>24</v>
      </c>
      <c r="F6" s="1">
        <v>51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24</v>
      </c>
      <c r="D7" s="1">
        <v>9</v>
      </c>
      <c r="E7" s="1" t="s">
        <v>24</v>
      </c>
      <c r="F7" s="1">
        <v>6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24</v>
      </c>
      <c r="D8" s="1">
        <v>24</v>
      </c>
      <c r="E8" s="1" t="s">
        <v>24</v>
      </c>
      <c r="F8" s="1">
        <v>32</v>
      </c>
      <c r="G8" s="1">
        <v>1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24</v>
      </c>
      <c r="D9" s="1">
        <v>9</v>
      </c>
      <c r="E9" s="1" t="s">
        <v>24</v>
      </c>
      <c r="F9" s="1">
        <v>22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24</v>
      </c>
      <c r="D10" s="1">
        <v>25</v>
      </c>
      <c r="E10" s="1" t="s">
        <v>24</v>
      </c>
      <c r="F10" s="1">
        <v>23</v>
      </c>
      <c r="G10" s="1">
        <v>0</v>
      </c>
      <c r="I10" s="5" t="s">
        <v>10</v>
      </c>
      <c r="J10" s="5"/>
      <c r="K10" s="9">
        <f>AVERAGE($D$1:$D$100,)</f>
        <v>32.049504950495049</v>
      </c>
      <c r="L10" s="9"/>
      <c r="M10" s="9" cm="1">
        <f t="array" ref="M10">AVERAGE(_xlfn._xlws.FILTER($D$1:$D$100,$G$1:$G$100 = 0))</f>
        <v>38.799999999999997</v>
      </c>
      <c r="N10" s="9"/>
      <c r="O10" s="10" cm="1">
        <f t="array" ref="O10">AVERAGE(_xlfn._xlws.FILTER($D$1:$D$100,$G$1:$G$100 = 1))</f>
        <v>25.94</v>
      </c>
      <c r="P10" s="11"/>
      <c r="Q10"/>
    </row>
    <row r="11" spans="1:17" x14ac:dyDescent="0.3">
      <c r="A11" s="1">
        <v>2</v>
      </c>
      <c r="B11" s="1">
        <v>0</v>
      </c>
      <c r="C11" s="1" t="s">
        <v>24</v>
      </c>
      <c r="D11" s="1">
        <v>29</v>
      </c>
      <c r="E11" s="1" t="s">
        <v>24</v>
      </c>
      <c r="F11" s="1">
        <v>39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24</v>
      </c>
      <c r="D12" s="1">
        <v>46</v>
      </c>
      <c r="E12" s="1" t="s">
        <v>24</v>
      </c>
      <c r="F12" s="1">
        <v>15</v>
      </c>
      <c r="G12" s="1">
        <v>0</v>
      </c>
      <c r="I12" s="5" t="s">
        <v>11</v>
      </c>
      <c r="J12" s="5"/>
      <c r="K12" s="9">
        <f>AVERAGE($F$1:$F$100,)</f>
        <v>31.792079207920793</v>
      </c>
      <c r="L12" s="9"/>
      <c r="M12" s="9" cm="1">
        <f t="array" ref="M12">AVERAGE(_xlfn._xlws.FILTER($F$1:$F$100,$G$1:$G$100 = 0))</f>
        <v>23.62</v>
      </c>
      <c r="N12" s="9"/>
      <c r="O12" s="9" cm="1">
        <f t="array" ref="O12">AVERAGE(_xlfn._xlws.FILTER($F$1:$F$100,$G$1:$G$100 = 1))</f>
        <v>40.6</v>
      </c>
      <c r="P12" s="13"/>
      <c r="Q12"/>
    </row>
    <row r="13" spans="1:17" x14ac:dyDescent="0.3">
      <c r="A13" s="1">
        <v>2</v>
      </c>
      <c r="B13" s="1">
        <v>0</v>
      </c>
      <c r="C13" s="1" t="s">
        <v>24</v>
      </c>
      <c r="D13" s="1">
        <v>48</v>
      </c>
      <c r="E13" s="1" t="s">
        <v>24</v>
      </c>
      <c r="F13" s="1">
        <v>33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24</v>
      </c>
      <c r="D14" s="1">
        <v>26</v>
      </c>
      <c r="E14" s="1" t="s">
        <v>24</v>
      </c>
      <c r="F14" s="1">
        <v>25</v>
      </c>
      <c r="G14" s="1">
        <v>0</v>
      </c>
      <c r="I14" s="22" t="s">
        <v>12</v>
      </c>
      <c r="J14" s="11"/>
      <c r="K14" s="23" cm="1">
        <f t="array" ref="K14">AVERAGE($D$1:$D$100 - $F$1:$F$100)</f>
        <v>0.26</v>
      </c>
      <c r="L14" s="23"/>
      <c r="M14" s="23" cm="1">
        <f t="array" ref="M14">AVERAGE(_xlfn._xlws.FILTER($D$1:$D$100 - $F$1:$F$100, G$1:G$100 = 0))</f>
        <v>15.18</v>
      </c>
      <c r="N14" s="23"/>
      <c r="O14" s="23" cm="1">
        <f t="array" ref="O14">AVERAGE(_xlfn._xlws.FILTER($D$1:$D$100 - $F$1:$F$100, G$1:G$100 = 1))</f>
        <v>-14.66</v>
      </c>
      <c r="P14" s="24"/>
      <c r="Q14"/>
    </row>
    <row r="15" spans="1:17" x14ac:dyDescent="0.3">
      <c r="A15" s="1">
        <v>2</v>
      </c>
      <c r="B15" s="1">
        <v>0</v>
      </c>
      <c r="C15" s="1" t="s">
        <v>24</v>
      </c>
      <c r="D15" s="1">
        <v>18</v>
      </c>
      <c r="E15" s="1" t="s">
        <v>24</v>
      </c>
      <c r="F15" s="1">
        <v>16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24</v>
      </c>
      <c r="D16" s="1">
        <v>24</v>
      </c>
      <c r="E16" s="1" t="s">
        <v>24</v>
      </c>
      <c r="F16" s="1">
        <v>36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24</v>
      </c>
      <c r="D17" s="1">
        <v>22</v>
      </c>
      <c r="E17" s="1" t="s">
        <v>24</v>
      </c>
      <c r="F17" s="1">
        <v>3</v>
      </c>
      <c r="G17" s="1">
        <v>0</v>
      </c>
    </row>
    <row r="18" spans="1:7" x14ac:dyDescent="0.3">
      <c r="A18" s="1">
        <v>2</v>
      </c>
      <c r="B18" s="1">
        <v>0</v>
      </c>
      <c r="C18" s="1" t="s">
        <v>24</v>
      </c>
      <c r="D18" s="1">
        <v>21</v>
      </c>
      <c r="E18" s="1" t="s">
        <v>24</v>
      </c>
      <c r="F18" s="1">
        <v>34</v>
      </c>
      <c r="G18" s="1">
        <v>1</v>
      </c>
    </row>
    <row r="19" spans="1:7" x14ac:dyDescent="0.3">
      <c r="A19" s="1">
        <v>2</v>
      </c>
      <c r="B19" s="1">
        <v>0</v>
      </c>
      <c r="C19" s="1" t="s">
        <v>24</v>
      </c>
      <c r="D19" s="1">
        <v>78</v>
      </c>
      <c r="E19" s="1" t="s">
        <v>24</v>
      </c>
      <c r="F19" s="1">
        <v>19</v>
      </c>
      <c r="G19" s="1">
        <v>0</v>
      </c>
    </row>
    <row r="20" spans="1:7" x14ac:dyDescent="0.3">
      <c r="A20" s="1">
        <v>2</v>
      </c>
      <c r="B20" s="1">
        <v>0</v>
      </c>
      <c r="C20" s="1" t="s">
        <v>24</v>
      </c>
      <c r="D20" s="1">
        <v>34</v>
      </c>
      <c r="E20" s="1" t="s">
        <v>24</v>
      </c>
      <c r="F20" s="1">
        <v>64</v>
      </c>
      <c r="G20" s="1">
        <v>1</v>
      </c>
    </row>
    <row r="21" spans="1:7" x14ac:dyDescent="0.3">
      <c r="A21" s="1">
        <v>2</v>
      </c>
      <c r="B21" s="1">
        <v>0</v>
      </c>
      <c r="C21" s="1" t="s">
        <v>24</v>
      </c>
      <c r="D21" s="1">
        <v>45</v>
      </c>
      <c r="E21" s="1" t="s">
        <v>24</v>
      </c>
      <c r="F21" s="1">
        <v>61</v>
      </c>
      <c r="G21" s="1">
        <v>1</v>
      </c>
    </row>
    <row r="22" spans="1:7" x14ac:dyDescent="0.3">
      <c r="A22" s="1">
        <v>2</v>
      </c>
      <c r="B22" s="1">
        <v>0</v>
      </c>
      <c r="C22" s="1" t="s">
        <v>24</v>
      </c>
      <c r="D22" s="1">
        <v>28</v>
      </c>
      <c r="E22" s="1" t="s">
        <v>24</v>
      </c>
      <c r="F22" s="1">
        <v>54</v>
      </c>
      <c r="G22" s="1">
        <v>1</v>
      </c>
    </row>
    <row r="23" spans="1:7" x14ac:dyDescent="0.3">
      <c r="A23" s="1">
        <v>2</v>
      </c>
      <c r="B23" s="1">
        <v>0</v>
      </c>
      <c r="C23" s="1" t="s">
        <v>24</v>
      </c>
      <c r="D23" s="1">
        <v>34</v>
      </c>
      <c r="E23" s="1" t="s">
        <v>24</v>
      </c>
      <c r="F23" s="1">
        <v>21</v>
      </c>
      <c r="G23" s="1">
        <v>0</v>
      </c>
    </row>
    <row r="24" spans="1:7" x14ac:dyDescent="0.3">
      <c r="A24" s="1">
        <v>2</v>
      </c>
      <c r="B24" s="1">
        <v>0</v>
      </c>
      <c r="C24" s="1" t="s">
        <v>24</v>
      </c>
      <c r="D24" s="1">
        <v>28</v>
      </c>
      <c r="E24" s="1" t="s">
        <v>24</v>
      </c>
      <c r="F24" s="1">
        <v>46</v>
      </c>
      <c r="G24" s="1">
        <v>1</v>
      </c>
    </row>
    <row r="25" spans="1:7" x14ac:dyDescent="0.3">
      <c r="A25" s="1">
        <v>2</v>
      </c>
      <c r="B25" s="1">
        <v>0</v>
      </c>
      <c r="C25" s="1" t="s">
        <v>24</v>
      </c>
      <c r="D25" s="1">
        <v>11</v>
      </c>
      <c r="E25" s="1" t="s">
        <v>24</v>
      </c>
      <c r="F25" s="1">
        <v>66</v>
      </c>
      <c r="G25" s="1">
        <v>1</v>
      </c>
    </row>
    <row r="26" spans="1:7" x14ac:dyDescent="0.3">
      <c r="A26" s="1">
        <v>2</v>
      </c>
      <c r="B26" s="1">
        <v>0</v>
      </c>
      <c r="C26" s="1" t="s">
        <v>24</v>
      </c>
      <c r="D26" s="1">
        <v>33</v>
      </c>
      <c r="E26" s="1" t="s">
        <v>24</v>
      </c>
      <c r="F26" s="1">
        <v>15</v>
      </c>
      <c r="G26" s="1">
        <v>0</v>
      </c>
    </row>
    <row r="27" spans="1:7" x14ac:dyDescent="0.3">
      <c r="A27" s="1">
        <v>2</v>
      </c>
      <c r="B27" s="1">
        <v>0</v>
      </c>
      <c r="C27" s="1" t="s">
        <v>24</v>
      </c>
      <c r="D27" s="1">
        <v>24</v>
      </c>
      <c r="E27" s="1" t="s">
        <v>24</v>
      </c>
      <c r="F27" s="1">
        <v>3</v>
      </c>
      <c r="G27" s="1">
        <v>0</v>
      </c>
    </row>
    <row r="28" spans="1:7" x14ac:dyDescent="0.3">
      <c r="A28" s="1">
        <v>2</v>
      </c>
      <c r="B28" s="1">
        <v>0</v>
      </c>
      <c r="C28" s="1" t="s">
        <v>24</v>
      </c>
      <c r="D28" s="1">
        <v>23</v>
      </c>
      <c r="E28" s="1" t="s">
        <v>24</v>
      </c>
      <c r="F28" s="1">
        <v>48</v>
      </c>
      <c r="G28" s="1">
        <v>1</v>
      </c>
    </row>
    <row r="29" spans="1:7" x14ac:dyDescent="0.3">
      <c r="A29" s="1">
        <v>2</v>
      </c>
      <c r="B29" s="1">
        <v>0</v>
      </c>
      <c r="C29" s="1" t="s">
        <v>24</v>
      </c>
      <c r="D29" s="1">
        <v>44</v>
      </c>
      <c r="E29" s="1" t="s">
        <v>24</v>
      </c>
      <c r="F29" s="1">
        <v>44</v>
      </c>
      <c r="G29" s="1">
        <v>0</v>
      </c>
    </row>
    <row r="30" spans="1:7" x14ac:dyDescent="0.3">
      <c r="A30" s="1">
        <v>2</v>
      </c>
      <c r="B30" s="1">
        <v>0</v>
      </c>
      <c r="C30" s="1" t="s">
        <v>24</v>
      </c>
      <c r="D30" s="1">
        <v>11</v>
      </c>
      <c r="E30" s="1" t="s">
        <v>24</v>
      </c>
      <c r="F30" s="1">
        <v>41</v>
      </c>
      <c r="G30" s="1">
        <v>1</v>
      </c>
    </row>
    <row r="31" spans="1:7" x14ac:dyDescent="0.3">
      <c r="A31" s="1">
        <v>2</v>
      </c>
      <c r="B31" s="1">
        <v>0</v>
      </c>
      <c r="C31" s="1" t="s">
        <v>24</v>
      </c>
      <c r="D31" s="1">
        <v>34</v>
      </c>
      <c r="E31" s="1" t="s">
        <v>24</v>
      </c>
      <c r="F31" s="1">
        <v>27</v>
      </c>
      <c r="G31" s="1">
        <v>0</v>
      </c>
    </row>
    <row r="32" spans="1:7" x14ac:dyDescent="0.3">
      <c r="A32" s="1">
        <v>2</v>
      </c>
      <c r="B32" s="1">
        <v>0</v>
      </c>
      <c r="C32" s="1" t="s">
        <v>24</v>
      </c>
      <c r="D32" s="1">
        <v>32</v>
      </c>
      <c r="E32" s="1" t="s">
        <v>24</v>
      </c>
      <c r="F32" s="1">
        <v>55</v>
      </c>
      <c r="G32" s="1">
        <v>1</v>
      </c>
    </row>
    <row r="33" spans="1:7" x14ac:dyDescent="0.3">
      <c r="A33" s="1">
        <v>2</v>
      </c>
      <c r="B33" s="1">
        <v>0</v>
      </c>
      <c r="C33" s="1" t="s">
        <v>24</v>
      </c>
      <c r="D33" s="1">
        <v>40</v>
      </c>
      <c r="E33" s="1" t="s">
        <v>24</v>
      </c>
      <c r="F33" s="1">
        <v>4</v>
      </c>
      <c r="G33" s="1">
        <v>0</v>
      </c>
    </row>
    <row r="34" spans="1:7" x14ac:dyDescent="0.3">
      <c r="A34" s="1">
        <v>2</v>
      </c>
      <c r="B34" s="1">
        <v>0</v>
      </c>
      <c r="C34" s="1" t="s">
        <v>24</v>
      </c>
      <c r="D34" s="1">
        <v>26</v>
      </c>
      <c r="E34" s="1" t="s">
        <v>24</v>
      </c>
      <c r="F34" s="1">
        <v>22</v>
      </c>
      <c r="G34" s="1">
        <v>0</v>
      </c>
    </row>
    <row r="35" spans="1:7" x14ac:dyDescent="0.3">
      <c r="A35" s="1">
        <v>2</v>
      </c>
      <c r="B35" s="1">
        <v>0</v>
      </c>
      <c r="C35" s="1" t="s">
        <v>24</v>
      </c>
      <c r="D35" s="1">
        <v>60</v>
      </c>
      <c r="E35" s="1" t="s">
        <v>24</v>
      </c>
      <c r="F35" s="1">
        <v>49</v>
      </c>
      <c r="G35" s="1">
        <v>0</v>
      </c>
    </row>
    <row r="36" spans="1:7" x14ac:dyDescent="0.3">
      <c r="A36" s="1">
        <v>2</v>
      </c>
      <c r="B36" s="1">
        <v>0</v>
      </c>
      <c r="C36" s="1" t="s">
        <v>24</v>
      </c>
      <c r="D36" s="1">
        <v>11</v>
      </c>
      <c r="E36" s="1" t="s">
        <v>24</v>
      </c>
      <c r="F36" s="1">
        <v>30</v>
      </c>
      <c r="G36" s="1">
        <v>1</v>
      </c>
    </row>
    <row r="37" spans="1:7" x14ac:dyDescent="0.3">
      <c r="A37" s="1">
        <v>2</v>
      </c>
      <c r="B37" s="1">
        <v>0</v>
      </c>
      <c r="C37" s="1" t="s">
        <v>24</v>
      </c>
      <c r="D37" s="1">
        <v>45</v>
      </c>
      <c r="E37" s="1" t="s">
        <v>24</v>
      </c>
      <c r="F37" s="1">
        <v>44</v>
      </c>
      <c r="G37" s="1">
        <v>0</v>
      </c>
    </row>
    <row r="38" spans="1:7" x14ac:dyDescent="0.3">
      <c r="A38" s="1">
        <v>2</v>
      </c>
      <c r="B38" s="1">
        <v>0</v>
      </c>
      <c r="C38" s="1" t="s">
        <v>24</v>
      </c>
      <c r="D38" s="1">
        <v>48</v>
      </c>
      <c r="E38" s="1" t="s">
        <v>24</v>
      </c>
      <c r="F38" s="1">
        <v>42</v>
      </c>
      <c r="G38" s="1">
        <v>0</v>
      </c>
    </row>
    <row r="39" spans="1:7" x14ac:dyDescent="0.3">
      <c r="A39" s="1">
        <v>2</v>
      </c>
      <c r="B39" s="1">
        <v>0</v>
      </c>
      <c r="C39" s="1" t="s">
        <v>24</v>
      </c>
      <c r="D39" s="1">
        <v>24</v>
      </c>
      <c r="E39" s="1" t="s">
        <v>24</v>
      </c>
      <c r="F39" s="1">
        <v>23</v>
      </c>
      <c r="G39" s="1">
        <v>0</v>
      </c>
    </row>
    <row r="40" spans="1:7" x14ac:dyDescent="0.3">
      <c r="A40" s="1">
        <v>2</v>
      </c>
      <c r="B40" s="1">
        <v>0</v>
      </c>
      <c r="C40" s="1" t="s">
        <v>24</v>
      </c>
      <c r="D40" s="1">
        <v>54</v>
      </c>
      <c r="E40" s="1" t="s">
        <v>24</v>
      </c>
      <c r="F40" s="1">
        <v>45</v>
      </c>
      <c r="G40" s="1">
        <v>0</v>
      </c>
    </row>
    <row r="41" spans="1:7" x14ac:dyDescent="0.3">
      <c r="A41" s="1">
        <v>2</v>
      </c>
      <c r="B41" s="1">
        <v>0</v>
      </c>
      <c r="C41" s="1" t="s">
        <v>24</v>
      </c>
      <c r="D41" s="1">
        <v>63</v>
      </c>
      <c r="E41" s="1" t="s">
        <v>24</v>
      </c>
      <c r="F41" s="1">
        <v>14</v>
      </c>
      <c r="G41" s="1">
        <v>0</v>
      </c>
    </row>
    <row r="42" spans="1:7" x14ac:dyDescent="0.3">
      <c r="A42" s="1">
        <v>2</v>
      </c>
      <c r="B42" s="1">
        <v>0</v>
      </c>
      <c r="C42" s="1" t="s">
        <v>24</v>
      </c>
      <c r="D42" s="1">
        <v>59</v>
      </c>
      <c r="E42" s="1" t="s">
        <v>24</v>
      </c>
      <c r="F42" s="1">
        <v>20</v>
      </c>
      <c r="G42" s="1">
        <v>0</v>
      </c>
    </row>
    <row r="43" spans="1:7" x14ac:dyDescent="0.3">
      <c r="A43" s="1">
        <v>2</v>
      </c>
      <c r="B43" s="1">
        <v>0</v>
      </c>
      <c r="C43" s="1" t="s">
        <v>24</v>
      </c>
      <c r="D43" s="1">
        <v>53</v>
      </c>
      <c r="E43" s="1" t="s">
        <v>24</v>
      </c>
      <c r="F43" s="1">
        <v>48</v>
      </c>
      <c r="G43" s="1">
        <v>0</v>
      </c>
    </row>
    <row r="44" spans="1:7" x14ac:dyDescent="0.3">
      <c r="A44" s="1">
        <v>2</v>
      </c>
      <c r="B44" s="1">
        <v>0</v>
      </c>
      <c r="C44" s="1" t="s">
        <v>24</v>
      </c>
      <c r="D44" s="1">
        <v>20</v>
      </c>
      <c r="E44" s="1" t="s">
        <v>24</v>
      </c>
      <c r="F44" s="1">
        <v>15</v>
      </c>
      <c r="G44" s="1">
        <v>0</v>
      </c>
    </row>
    <row r="45" spans="1:7" x14ac:dyDescent="0.3">
      <c r="A45" s="1">
        <v>2</v>
      </c>
      <c r="B45" s="1">
        <v>0</v>
      </c>
      <c r="C45" s="1" t="s">
        <v>24</v>
      </c>
      <c r="D45" s="1">
        <v>41</v>
      </c>
      <c r="E45" s="1" t="s">
        <v>24</v>
      </c>
      <c r="F45" s="1">
        <v>51</v>
      </c>
      <c r="G45" s="1">
        <v>1</v>
      </c>
    </row>
    <row r="46" spans="1:7" x14ac:dyDescent="0.3">
      <c r="A46" s="1">
        <v>2</v>
      </c>
      <c r="B46" s="1">
        <v>0</v>
      </c>
      <c r="C46" s="1" t="s">
        <v>24</v>
      </c>
      <c r="D46" s="1">
        <v>29</v>
      </c>
      <c r="E46" s="1" t="s">
        <v>24</v>
      </c>
      <c r="F46" s="1">
        <v>31</v>
      </c>
      <c r="G46" s="1">
        <v>1</v>
      </c>
    </row>
    <row r="47" spans="1:7" x14ac:dyDescent="0.3">
      <c r="A47" s="1">
        <v>2</v>
      </c>
      <c r="B47" s="1">
        <v>0</v>
      </c>
      <c r="C47" s="1" t="s">
        <v>24</v>
      </c>
      <c r="D47" s="1">
        <v>41</v>
      </c>
      <c r="E47" s="1" t="s">
        <v>24</v>
      </c>
      <c r="F47" s="1">
        <v>29</v>
      </c>
      <c r="G47" s="1">
        <v>0</v>
      </c>
    </row>
    <row r="48" spans="1:7" x14ac:dyDescent="0.3">
      <c r="A48" s="1">
        <v>2</v>
      </c>
      <c r="B48" s="1">
        <v>0</v>
      </c>
      <c r="C48" s="1" t="s">
        <v>24</v>
      </c>
      <c r="D48" s="1">
        <v>45</v>
      </c>
      <c r="E48" s="1" t="s">
        <v>24</v>
      </c>
      <c r="F48" s="1">
        <v>21</v>
      </c>
      <c r="G48" s="1">
        <v>0</v>
      </c>
    </row>
    <row r="49" spans="1:7" x14ac:dyDescent="0.3">
      <c r="A49" s="1">
        <v>2</v>
      </c>
      <c r="B49" s="1">
        <v>0</v>
      </c>
      <c r="C49" s="1" t="s">
        <v>24</v>
      </c>
      <c r="D49" s="1">
        <v>48</v>
      </c>
      <c r="E49" s="1" t="s">
        <v>24</v>
      </c>
      <c r="F49" s="1">
        <v>33</v>
      </c>
      <c r="G49" s="1">
        <v>0</v>
      </c>
    </row>
    <row r="50" spans="1:7" x14ac:dyDescent="0.3">
      <c r="A50" s="1">
        <v>2</v>
      </c>
      <c r="B50" s="1">
        <v>0</v>
      </c>
      <c r="C50" s="1" t="s">
        <v>24</v>
      </c>
      <c r="D50" s="1">
        <v>33</v>
      </c>
      <c r="E50" s="1" t="s">
        <v>24</v>
      </c>
      <c r="F50" s="1">
        <v>29</v>
      </c>
      <c r="G50" s="1">
        <v>0</v>
      </c>
    </row>
    <row r="51" spans="1:7" x14ac:dyDescent="0.3">
      <c r="A51" s="1">
        <v>2</v>
      </c>
      <c r="B51" s="1">
        <v>1</v>
      </c>
      <c r="C51" s="1" t="s">
        <v>24</v>
      </c>
      <c r="D51" s="1">
        <v>31</v>
      </c>
      <c r="E51" s="1" t="s">
        <v>24</v>
      </c>
      <c r="F51" s="1">
        <v>8</v>
      </c>
      <c r="G51" s="1">
        <v>0</v>
      </c>
    </row>
    <row r="52" spans="1:7" x14ac:dyDescent="0.3">
      <c r="A52" s="1">
        <v>2</v>
      </c>
      <c r="B52" s="1">
        <v>1</v>
      </c>
      <c r="C52" s="1" t="s">
        <v>24</v>
      </c>
      <c r="D52" s="1">
        <v>25</v>
      </c>
      <c r="E52" s="1" t="s">
        <v>24</v>
      </c>
      <c r="F52" s="1">
        <v>30</v>
      </c>
      <c r="G52" s="1">
        <v>1</v>
      </c>
    </row>
    <row r="53" spans="1:7" x14ac:dyDescent="0.3">
      <c r="A53" s="1">
        <v>2</v>
      </c>
      <c r="B53" s="1">
        <v>1</v>
      </c>
      <c r="C53" s="1" t="s">
        <v>24</v>
      </c>
      <c r="D53" s="1">
        <v>19</v>
      </c>
      <c r="E53" s="1" t="s">
        <v>24</v>
      </c>
      <c r="F53" s="1">
        <v>41</v>
      </c>
      <c r="G53" s="1">
        <v>1</v>
      </c>
    </row>
    <row r="54" spans="1:7" x14ac:dyDescent="0.3">
      <c r="A54" s="1">
        <v>2</v>
      </c>
      <c r="B54" s="1">
        <v>1</v>
      </c>
      <c r="C54" s="1" t="s">
        <v>24</v>
      </c>
      <c r="D54" s="1">
        <v>21</v>
      </c>
      <c r="E54" s="1" t="s">
        <v>24</v>
      </c>
      <c r="F54" s="1">
        <v>18</v>
      </c>
      <c r="G54" s="1">
        <v>0</v>
      </c>
    </row>
    <row r="55" spans="1:7" x14ac:dyDescent="0.3">
      <c r="A55" s="1">
        <v>2</v>
      </c>
      <c r="B55" s="1">
        <v>1</v>
      </c>
      <c r="C55" s="1" t="s">
        <v>24</v>
      </c>
      <c r="D55" s="1">
        <v>42</v>
      </c>
      <c r="E55" s="1" t="s">
        <v>24</v>
      </c>
      <c r="F55" s="1">
        <v>23</v>
      </c>
      <c r="G55" s="1">
        <v>0</v>
      </c>
    </row>
    <row r="56" spans="1:7" x14ac:dyDescent="0.3">
      <c r="A56" s="1">
        <v>2</v>
      </c>
      <c r="B56" s="1">
        <v>1</v>
      </c>
      <c r="C56" s="1" t="s">
        <v>24</v>
      </c>
      <c r="D56" s="1">
        <v>18</v>
      </c>
      <c r="E56" s="1" t="s">
        <v>24</v>
      </c>
      <c r="F56" s="1">
        <v>59</v>
      </c>
      <c r="G56" s="1">
        <v>1</v>
      </c>
    </row>
    <row r="57" spans="1:7" x14ac:dyDescent="0.3">
      <c r="A57" s="1">
        <v>2</v>
      </c>
      <c r="B57" s="1">
        <v>1</v>
      </c>
      <c r="C57" s="1" t="s">
        <v>24</v>
      </c>
      <c r="D57" s="1">
        <v>43</v>
      </c>
      <c r="E57" s="1" t="s">
        <v>24</v>
      </c>
      <c r="F57" s="1">
        <v>22</v>
      </c>
      <c r="G57" s="1">
        <v>0</v>
      </c>
    </row>
    <row r="58" spans="1:7" x14ac:dyDescent="0.3">
      <c r="A58" s="1">
        <v>2</v>
      </c>
      <c r="B58" s="1">
        <v>1</v>
      </c>
      <c r="C58" s="1" t="s">
        <v>24</v>
      </c>
      <c r="D58" s="1">
        <v>36</v>
      </c>
      <c r="E58" s="1" t="s">
        <v>24</v>
      </c>
      <c r="F58" s="1">
        <v>33</v>
      </c>
      <c r="G58" s="1">
        <v>0</v>
      </c>
    </row>
    <row r="59" spans="1:7" x14ac:dyDescent="0.3">
      <c r="A59" s="1">
        <v>2</v>
      </c>
      <c r="B59" s="1">
        <v>1</v>
      </c>
      <c r="C59" s="1" t="s">
        <v>24</v>
      </c>
      <c r="D59" s="1">
        <v>31</v>
      </c>
      <c r="E59" s="1" t="s">
        <v>24</v>
      </c>
      <c r="F59" s="1">
        <v>45</v>
      </c>
      <c r="G59" s="1">
        <v>1</v>
      </c>
    </row>
    <row r="60" spans="1:7" x14ac:dyDescent="0.3">
      <c r="A60" s="1">
        <v>2</v>
      </c>
      <c r="B60" s="1">
        <v>1</v>
      </c>
      <c r="C60" s="1" t="s">
        <v>24</v>
      </c>
      <c r="D60" s="1">
        <v>28</v>
      </c>
      <c r="E60" s="1" t="s">
        <v>24</v>
      </c>
      <c r="F60" s="1">
        <v>31</v>
      </c>
      <c r="G60" s="1">
        <v>1</v>
      </c>
    </row>
    <row r="61" spans="1:7" x14ac:dyDescent="0.3">
      <c r="A61" s="1">
        <v>2</v>
      </c>
      <c r="B61" s="1">
        <v>1</v>
      </c>
      <c r="C61" s="1" t="s">
        <v>24</v>
      </c>
      <c r="D61" s="1">
        <v>31</v>
      </c>
      <c r="E61" s="1" t="s">
        <v>24</v>
      </c>
      <c r="F61" s="1">
        <v>44</v>
      </c>
      <c r="G61" s="1">
        <v>1</v>
      </c>
    </row>
    <row r="62" spans="1:7" x14ac:dyDescent="0.3">
      <c r="A62" s="1">
        <v>2</v>
      </c>
      <c r="B62" s="1">
        <v>1</v>
      </c>
      <c r="C62" s="1" t="s">
        <v>24</v>
      </c>
      <c r="D62" s="1">
        <v>48</v>
      </c>
      <c r="E62" s="1" t="s">
        <v>24</v>
      </c>
      <c r="F62" s="1">
        <v>53</v>
      </c>
      <c r="G62" s="1">
        <v>1</v>
      </c>
    </row>
    <row r="63" spans="1:7" x14ac:dyDescent="0.3">
      <c r="A63" s="1">
        <v>2</v>
      </c>
      <c r="B63" s="1">
        <v>1</v>
      </c>
      <c r="C63" s="1" t="s">
        <v>24</v>
      </c>
      <c r="D63" s="1">
        <v>30</v>
      </c>
      <c r="E63" s="1" t="s">
        <v>24</v>
      </c>
      <c r="F63" s="1">
        <v>19</v>
      </c>
      <c r="G63" s="1">
        <v>0</v>
      </c>
    </row>
    <row r="64" spans="1:7" x14ac:dyDescent="0.3">
      <c r="A64" s="1">
        <v>2</v>
      </c>
      <c r="B64" s="1">
        <v>1</v>
      </c>
      <c r="C64" s="1" t="s">
        <v>24</v>
      </c>
      <c r="D64" s="1">
        <v>8</v>
      </c>
      <c r="E64" s="1" t="s">
        <v>24</v>
      </c>
      <c r="F64" s="1">
        <v>11</v>
      </c>
      <c r="G64" s="1">
        <v>1</v>
      </c>
    </row>
    <row r="65" spans="1:7" x14ac:dyDescent="0.3">
      <c r="A65" s="1">
        <v>2</v>
      </c>
      <c r="B65" s="1">
        <v>1</v>
      </c>
      <c r="C65" s="1" t="s">
        <v>24</v>
      </c>
      <c r="D65" s="1">
        <v>37</v>
      </c>
      <c r="E65" s="1" t="s">
        <v>24</v>
      </c>
      <c r="F65" s="1">
        <v>44</v>
      </c>
      <c r="G65" s="1">
        <v>1</v>
      </c>
    </row>
    <row r="66" spans="1:7" x14ac:dyDescent="0.3">
      <c r="A66" s="1">
        <v>2</v>
      </c>
      <c r="B66" s="1">
        <v>1</v>
      </c>
      <c r="C66" s="1" t="s">
        <v>24</v>
      </c>
      <c r="D66" s="1">
        <v>42</v>
      </c>
      <c r="E66" s="1" t="s">
        <v>24</v>
      </c>
      <c r="F66" s="1">
        <v>47</v>
      </c>
      <c r="G66" s="1">
        <v>1</v>
      </c>
    </row>
    <row r="67" spans="1:7" x14ac:dyDescent="0.3">
      <c r="A67" s="1">
        <v>2</v>
      </c>
      <c r="B67" s="1">
        <v>1</v>
      </c>
      <c r="C67" s="1" t="s">
        <v>24</v>
      </c>
      <c r="D67" s="1">
        <v>0</v>
      </c>
      <c r="E67" s="1" t="s">
        <v>24</v>
      </c>
      <c r="F67" s="1">
        <v>26</v>
      </c>
      <c r="G67" s="1">
        <v>1</v>
      </c>
    </row>
    <row r="68" spans="1:7" x14ac:dyDescent="0.3">
      <c r="A68" s="1">
        <v>2</v>
      </c>
      <c r="B68" s="1">
        <v>1</v>
      </c>
      <c r="C68" s="1" t="s">
        <v>24</v>
      </c>
      <c r="D68" s="1">
        <v>57</v>
      </c>
      <c r="E68" s="1" t="s">
        <v>24</v>
      </c>
      <c r="F68" s="1">
        <v>20</v>
      </c>
      <c r="G68" s="1">
        <v>0</v>
      </c>
    </row>
    <row r="69" spans="1:7" x14ac:dyDescent="0.3">
      <c r="A69" s="1">
        <v>2</v>
      </c>
      <c r="B69" s="1">
        <v>1</v>
      </c>
      <c r="C69" s="1" t="s">
        <v>24</v>
      </c>
      <c r="D69" s="1">
        <v>25</v>
      </c>
      <c r="E69" s="1" t="s">
        <v>24</v>
      </c>
      <c r="F69" s="1">
        <v>12</v>
      </c>
      <c r="G69" s="1">
        <v>0</v>
      </c>
    </row>
    <row r="70" spans="1:7" x14ac:dyDescent="0.3">
      <c r="A70" s="1">
        <v>2</v>
      </c>
      <c r="B70" s="1">
        <v>1</v>
      </c>
      <c r="C70" s="1" t="s">
        <v>24</v>
      </c>
      <c r="D70" s="1">
        <v>35</v>
      </c>
      <c r="E70" s="1" t="s">
        <v>24</v>
      </c>
      <c r="F70" s="1">
        <v>15</v>
      </c>
      <c r="G70" s="1">
        <v>0</v>
      </c>
    </row>
    <row r="71" spans="1:7" x14ac:dyDescent="0.3">
      <c r="A71" s="1">
        <v>2</v>
      </c>
      <c r="B71" s="1">
        <v>1</v>
      </c>
      <c r="C71" s="1" t="s">
        <v>24</v>
      </c>
      <c r="D71" s="1">
        <v>15</v>
      </c>
      <c r="E71" s="1" t="s">
        <v>24</v>
      </c>
      <c r="F71" s="1">
        <v>0</v>
      </c>
      <c r="G71" s="1">
        <v>0</v>
      </c>
    </row>
    <row r="72" spans="1:7" x14ac:dyDescent="0.3">
      <c r="A72" s="1">
        <v>2</v>
      </c>
      <c r="B72" s="1">
        <v>1</v>
      </c>
      <c r="C72" s="1" t="s">
        <v>24</v>
      </c>
      <c r="D72" s="1">
        <v>36</v>
      </c>
      <c r="E72" s="1" t="s">
        <v>24</v>
      </c>
      <c r="F72" s="1">
        <v>39</v>
      </c>
      <c r="G72" s="1">
        <v>1</v>
      </c>
    </row>
    <row r="73" spans="1:7" x14ac:dyDescent="0.3">
      <c r="A73" s="1">
        <v>2</v>
      </c>
      <c r="B73" s="1">
        <v>1</v>
      </c>
      <c r="C73" s="1" t="s">
        <v>24</v>
      </c>
      <c r="D73" s="1">
        <v>9</v>
      </c>
      <c r="E73" s="1" t="s">
        <v>24</v>
      </c>
      <c r="F73" s="1">
        <v>4</v>
      </c>
      <c r="G73" s="1">
        <v>0</v>
      </c>
    </row>
    <row r="74" spans="1:7" x14ac:dyDescent="0.3">
      <c r="A74" s="1">
        <v>2</v>
      </c>
      <c r="B74" s="1">
        <v>1</v>
      </c>
      <c r="C74" s="1" t="s">
        <v>24</v>
      </c>
      <c r="D74" s="1">
        <v>51</v>
      </c>
      <c r="E74" s="1" t="s">
        <v>24</v>
      </c>
      <c r="F74" s="1">
        <v>40</v>
      </c>
      <c r="G74" s="1">
        <v>0</v>
      </c>
    </row>
    <row r="75" spans="1:7" x14ac:dyDescent="0.3">
      <c r="A75" s="1">
        <v>2</v>
      </c>
      <c r="B75" s="1">
        <v>1</v>
      </c>
      <c r="C75" s="1" t="s">
        <v>24</v>
      </c>
      <c r="D75" s="1">
        <v>18</v>
      </c>
      <c r="E75" s="1" t="s">
        <v>24</v>
      </c>
      <c r="F75" s="1">
        <v>31</v>
      </c>
      <c r="G75" s="1">
        <v>1</v>
      </c>
    </row>
    <row r="76" spans="1:7" x14ac:dyDescent="0.3">
      <c r="A76" s="1">
        <v>2</v>
      </c>
      <c r="B76" s="1">
        <v>1</v>
      </c>
      <c r="C76" s="1" t="s">
        <v>24</v>
      </c>
      <c r="D76" s="1">
        <v>35</v>
      </c>
      <c r="E76" s="1" t="s">
        <v>24</v>
      </c>
      <c r="F76" s="1">
        <v>14</v>
      </c>
      <c r="G76" s="1">
        <v>0</v>
      </c>
    </row>
    <row r="77" spans="1:7" x14ac:dyDescent="0.3">
      <c r="A77" s="1">
        <v>2</v>
      </c>
      <c r="B77" s="1">
        <v>1</v>
      </c>
      <c r="C77" s="1" t="s">
        <v>24</v>
      </c>
      <c r="D77" s="1">
        <v>33</v>
      </c>
      <c r="E77" s="1" t="s">
        <v>24</v>
      </c>
      <c r="F77" s="1">
        <v>54</v>
      </c>
      <c r="G77" s="1">
        <v>1</v>
      </c>
    </row>
    <row r="78" spans="1:7" x14ac:dyDescent="0.3">
      <c r="A78" s="1">
        <v>2</v>
      </c>
      <c r="B78" s="1">
        <v>1</v>
      </c>
      <c r="C78" s="1" t="s">
        <v>24</v>
      </c>
      <c r="D78" s="1">
        <v>20</v>
      </c>
      <c r="E78" s="1" t="s">
        <v>24</v>
      </c>
      <c r="F78" s="1">
        <v>33</v>
      </c>
      <c r="G78" s="1">
        <v>1</v>
      </c>
    </row>
    <row r="79" spans="1:7" x14ac:dyDescent="0.3">
      <c r="A79" s="1">
        <v>2</v>
      </c>
      <c r="B79" s="1">
        <v>1</v>
      </c>
      <c r="C79" s="1" t="s">
        <v>24</v>
      </c>
      <c r="D79" s="1">
        <v>27</v>
      </c>
      <c r="E79" s="1" t="s">
        <v>24</v>
      </c>
      <c r="F79" s="1">
        <v>10</v>
      </c>
      <c r="G79" s="1">
        <v>0</v>
      </c>
    </row>
    <row r="80" spans="1:7" x14ac:dyDescent="0.3">
      <c r="A80" s="1">
        <v>2</v>
      </c>
      <c r="B80" s="1">
        <v>1</v>
      </c>
      <c r="C80" s="1" t="s">
        <v>24</v>
      </c>
      <c r="D80" s="1">
        <v>14</v>
      </c>
      <c r="E80" s="1" t="s">
        <v>24</v>
      </c>
      <c r="F80" s="1">
        <v>30</v>
      </c>
      <c r="G80" s="1">
        <v>1</v>
      </c>
    </row>
    <row r="81" spans="1:7" x14ac:dyDescent="0.3">
      <c r="A81" s="1">
        <v>2</v>
      </c>
      <c r="B81" s="1">
        <v>1</v>
      </c>
      <c r="C81" s="1" t="s">
        <v>24</v>
      </c>
      <c r="D81" s="1">
        <v>22</v>
      </c>
      <c r="E81" s="1" t="s">
        <v>24</v>
      </c>
      <c r="F81" s="1">
        <v>39</v>
      </c>
      <c r="G81" s="1">
        <v>1</v>
      </c>
    </row>
    <row r="82" spans="1:7" x14ac:dyDescent="0.3">
      <c r="A82" s="1">
        <v>2</v>
      </c>
      <c r="B82" s="1">
        <v>1</v>
      </c>
      <c r="C82" s="1" t="s">
        <v>24</v>
      </c>
      <c r="D82" s="1">
        <v>32</v>
      </c>
      <c r="E82" s="1" t="s">
        <v>24</v>
      </c>
      <c r="F82" s="1">
        <v>47</v>
      </c>
      <c r="G82" s="1">
        <v>1</v>
      </c>
    </row>
    <row r="83" spans="1:7" x14ac:dyDescent="0.3">
      <c r="A83" s="1">
        <v>2</v>
      </c>
      <c r="B83" s="1">
        <v>1</v>
      </c>
      <c r="C83" s="1" t="s">
        <v>24</v>
      </c>
      <c r="D83" s="1">
        <v>35</v>
      </c>
      <c r="E83" s="1" t="s">
        <v>24</v>
      </c>
      <c r="F83" s="1">
        <v>41</v>
      </c>
      <c r="G83" s="1">
        <v>1</v>
      </c>
    </row>
    <row r="84" spans="1:7" x14ac:dyDescent="0.3">
      <c r="A84" s="1">
        <v>2</v>
      </c>
      <c r="B84" s="1">
        <v>1</v>
      </c>
      <c r="C84" s="1" t="s">
        <v>24</v>
      </c>
      <c r="D84" s="1">
        <v>28</v>
      </c>
      <c r="E84" s="1" t="s">
        <v>24</v>
      </c>
      <c r="F84" s="1">
        <v>38</v>
      </c>
      <c r="G84" s="1">
        <v>1</v>
      </c>
    </row>
    <row r="85" spans="1:7" x14ac:dyDescent="0.3">
      <c r="A85" s="1">
        <v>2</v>
      </c>
      <c r="B85" s="1">
        <v>1</v>
      </c>
      <c r="C85" s="1" t="s">
        <v>24</v>
      </c>
      <c r="D85" s="1">
        <v>17</v>
      </c>
      <c r="E85" s="1" t="s">
        <v>24</v>
      </c>
      <c r="F85" s="1">
        <v>28</v>
      </c>
      <c r="G85" s="1">
        <v>1</v>
      </c>
    </row>
    <row r="86" spans="1:7" x14ac:dyDescent="0.3">
      <c r="A86" s="1">
        <v>2</v>
      </c>
      <c r="B86" s="1">
        <v>1</v>
      </c>
      <c r="C86" s="1" t="s">
        <v>24</v>
      </c>
      <c r="D86" s="1">
        <v>45</v>
      </c>
      <c r="E86" s="1" t="s">
        <v>24</v>
      </c>
      <c r="F86" s="1">
        <v>29</v>
      </c>
      <c r="G86" s="1">
        <v>0</v>
      </c>
    </row>
    <row r="87" spans="1:7" x14ac:dyDescent="0.3">
      <c r="A87" s="1">
        <v>2</v>
      </c>
      <c r="B87" s="1">
        <v>1</v>
      </c>
      <c r="C87" s="1" t="s">
        <v>24</v>
      </c>
      <c r="D87" s="1">
        <v>20</v>
      </c>
      <c r="E87" s="1" t="s">
        <v>24</v>
      </c>
      <c r="F87" s="1">
        <v>29</v>
      </c>
      <c r="G87" s="1">
        <v>1</v>
      </c>
    </row>
    <row r="88" spans="1:7" x14ac:dyDescent="0.3">
      <c r="A88" s="1">
        <v>2</v>
      </c>
      <c r="B88" s="1">
        <v>1</v>
      </c>
      <c r="C88" s="1" t="s">
        <v>24</v>
      </c>
      <c r="D88" s="1">
        <v>53</v>
      </c>
      <c r="E88" s="1" t="s">
        <v>24</v>
      </c>
      <c r="F88" s="1">
        <v>43</v>
      </c>
      <c r="G88" s="1">
        <v>0</v>
      </c>
    </row>
    <row r="89" spans="1:7" x14ac:dyDescent="0.3">
      <c r="A89" s="1">
        <v>2</v>
      </c>
      <c r="B89" s="1">
        <v>1</v>
      </c>
      <c r="C89" s="1" t="s">
        <v>24</v>
      </c>
      <c r="D89" s="1">
        <v>37</v>
      </c>
      <c r="E89" s="1" t="s">
        <v>24</v>
      </c>
      <c r="F89" s="1">
        <v>26</v>
      </c>
      <c r="G89" s="1">
        <v>0</v>
      </c>
    </row>
    <row r="90" spans="1:7" x14ac:dyDescent="0.3">
      <c r="A90" s="1">
        <v>2</v>
      </c>
      <c r="B90" s="1">
        <v>1</v>
      </c>
      <c r="C90" s="1" t="s">
        <v>24</v>
      </c>
      <c r="D90" s="1">
        <v>25</v>
      </c>
      <c r="E90" s="1" t="s">
        <v>24</v>
      </c>
      <c r="F90" s="1">
        <v>30</v>
      </c>
      <c r="G90" s="1">
        <v>1</v>
      </c>
    </row>
    <row r="91" spans="1:7" x14ac:dyDescent="0.3">
      <c r="A91" s="1">
        <v>2</v>
      </c>
      <c r="B91" s="1">
        <v>1</v>
      </c>
      <c r="C91" s="1" t="s">
        <v>24</v>
      </c>
      <c r="D91" s="1">
        <v>22</v>
      </c>
      <c r="E91" s="1" t="s">
        <v>24</v>
      </c>
      <c r="F91" s="1">
        <v>49</v>
      </c>
      <c r="G91" s="1">
        <v>1</v>
      </c>
    </row>
    <row r="92" spans="1:7" x14ac:dyDescent="0.3">
      <c r="A92" s="1">
        <v>2</v>
      </c>
      <c r="B92" s="1">
        <v>1</v>
      </c>
      <c r="C92" s="1" t="s">
        <v>24</v>
      </c>
      <c r="D92" s="1">
        <v>54</v>
      </c>
      <c r="E92" s="1" t="s">
        <v>24</v>
      </c>
      <c r="F92" s="1">
        <v>14</v>
      </c>
      <c r="G92" s="1">
        <v>0</v>
      </c>
    </row>
    <row r="93" spans="1:7" x14ac:dyDescent="0.3">
      <c r="A93" s="1">
        <v>2</v>
      </c>
      <c r="B93" s="1">
        <v>1</v>
      </c>
      <c r="C93" s="1" t="s">
        <v>24</v>
      </c>
      <c r="D93" s="1">
        <v>52</v>
      </c>
      <c r="E93" s="1" t="s">
        <v>24</v>
      </c>
      <c r="F93" s="1">
        <v>31</v>
      </c>
      <c r="G93" s="1">
        <v>0</v>
      </c>
    </row>
    <row r="94" spans="1:7" x14ac:dyDescent="0.3">
      <c r="A94" s="1">
        <v>2</v>
      </c>
      <c r="B94" s="1">
        <v>1</v>
      </c>
      <c r="C94" s="1" t="s">
        <v>24</v>
      </c>
      <c r="D94" s="1">
        <v>36</v>
      </c>
      <c r="E94" s="1" t="s">
        <v>24</v>
      </c>
      <c r="F94" s="1">
        <v>39</v>
      </c>
      <c r="G94" s="1">
        <v>1</v>
      </c>
    </row>
    <row r="95" spans="1:7" x14ac:dyDescent="0.3">
      <c r="A95" s="1">
        <v>2</v>
      </c>
      <c r="B95" s="1">
        <v>1</v>
      </c>
      <c r="C95" s="1" t="s">
        <v>24</v>
      </c>
      <c r="D95" s="1">
        <v>29</v>
      </c>
      <c r="E95" s="1" t="s">
        <v>24</v>
      </c>
      <c r="F95" s="1">
        <v>51</v>
      </c>
      <c r="G95" s="1">
        <v>1</v>
      </c>
    </row>
    <row r="96" spans="1:7" x14ac:dyDescent="0.3">
      <c r="A96" s="1">
        <v>2</v>
      </c>
      <c r="B96" s="1">
        <v>1</v>
      </c>
      <c r="C96" s="1" t="s">
        <v>24</v>
      </c>
      <c r="D96" s="1">
        <v>3</v>
      </c>
      <c r="E96" s="1" t="s">
        <v>24</v>
      </c>
      <c r="F96" s="1">
        <v>14</v>
      </c>
      <c r="G96" s="1">
        <v>1</v>
      </c>
    </row>
    <row r="97" spans="1:7" x14ac:dyDescent="0.3">
      <c r="A97" s="1">
        <v>2</v>
      </c>
      <c r="B97" s="1">
        <v>1</v>
      </c>
      <c r="C97" s="1" t="s">
        <v>24</v>
      </c>
      <c r="D97" s="1">
        <v>9</v>
      </c>
      <c r="E97" s="1" t="s">
        <v>24</v>
      </c>
      <c r="F97" s="1">
        <v>29</v>
      </c>
      <c r="G97" s="1">
        <v>1</v>
      </c>
    </row>
    <row r="98" spans="1:7" x14ac:dyDescent="0.3">
      <c r="A98" s="1">
        <v>2</v>
      </c>
      <c r="B98" s="1">
        <v>1</v>
      </c>
      <c r="C98" s="1" t="s">
        <v>24</v>
      </c>
      <c r="D98" s="1">
        <v>49</v>
      </c>
      <c r="E98" s="1" t="s">
        <v>24</v>
      </c>
      <c r="F98" s="1">
        <v>26</v>
      </c>
      <c r="G98" s="1">
        <v>0</v>
      </c>
    </row>
    <row r="99" spans="1:7" x14ac:dyDescent="0.3">
      <c r="A99" s="1">
        <v>2</v>
      </c>
      <c r="B99" s="1">
        <v>1</v>
      </c>
      <c r="C99" s="1" t="s">
        <v>24</v>
      </c>
      <c r="D99" s="1">
        <v>48</v>
      </c>
      <c r="E99" s="1" t="s">
        <v>24</v>
      </c>
      <c r="F99" s="1">
        <v>52</v>
      </c>
      <c r="G99" s="1">
        <v>1</v>
      </c>
    </row>
    <row r="100" spans="1:7" x14ac:dyDescent="0.3">
      <c r="A100" s="1">
        <v>2</v>
      </c>
      <c r="B100" s="1">
        <v>1</v>
      </c>
      <c r="C100" s="1" t="s">
        <v>24</v>
      </c>
      <c r="D100" s="1">
        <v>29</v>
      </c>
      <c r="E100" s="1" t="s">
        <v>24</v>
      </c>
      <c r="F100" s="1">
        <v>35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43F0-3A7F-4132-9A5E-82B3BC5F1214}">
  <dimension ref="A1:Q100"/>
  <sheetViews>
    <sheetView workbookViewId="0">
      <selection activeCell="L22" sqref="L22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24</v>
      </c>
      <c r="D1" s="1">
        <v>35</v>
      </c>
      <c r="E1" s="1" t="s">
        <v>24</v>
      </c>
      <c r="F1" s="1">
        <v>29</v>
      </c>
      <c r="G1" s="1">
        <v>0</v>
      </c>
      <c r="I1" s="2"/>
      <c r="J1" s="3"/>
      <c r="K1" s="4" t="s">
        <v>2</v>
      </c>
      <c r="L1" s="4"/>
      <c r="M1" s="5" t="s">
        <v>3</v>
      </c>
      <c r="N1" s="5"/>
      <c r="O1" s="5" t="s">
        <v>4</v>
      </c>
      <c r="P1" s="5"/>
      <c r="Q1"/>
    </row>
    <row r="2" spans="1:17" x14ac:dyDescent="0.3">
      <c r="A2" s="1">
        <v>2</v>
      </c>
      <c r="B2" s="1">
        <v>0</v>
      </c>
      <c r="C2" s="1" t="s">
        <v>24</v>
      </c>
      <c r="D2" s="1">
        <v>35</v>
      </c>
      <c r="E2" s="1" t="s">
        <v>24</v>
      </c>
      <c r="F2" s="1">
        <v>32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5</v>
      </c>
    </row>
    <row r="3" spans="1:17" x14ac:dyDescent="0.3">
      <c r="A3" s="1">
        <v>2</v>
      </c>
      <c r="B3" s="1">
        <v>0</v>
      </c>
      <c r="C3" s="1" t="s">
        <v>24</v>
      </c>
      <c r="D3" s="1">
        <v>16</v>
      </c>
      <c r="E3" s="1" t="s">
        <v>24</v>
      </c>
      <c r="F3" s="1">
        <v>18</v>
      </c>
      <c r="G3" s="1">
        <v>1</v>
      </c>
      <c r="I3" s="5" t="s">
        <v>6</v>
      </c>
      <c r="J3" s="5"/>
      <c r="K3" s="9">
        <f>COUNTIF($G$1:$G$100, 0)</f>
        <v>47</v>
      </c>
      <c r="L3" s="9"/>
      <c r="M3" s="9">
        <f>COUNTIFS($G$1:$G$100, 0, $B$1:$B$100, 0)</f>
        <v>25</v>
      </c>
      <c r="N3" s="9"/>
      <c r="O3" s="10">
        <f>COUNTIFS($G$1:$G$100, 0, $B$1:$B$100, 1)</f>
        <v>22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24</v>
      </c>
      <c r="D4" s="1">
        <v>26</v>
      </c>
      <c r="E4" s="1" t="s">
        <v>24</v>
      </c>
      <c r="F4" s="1">
        <v>57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24</v>
      </c>
      <c r="D5" s="1">
        <v>33</v>
      </c>
      <c r="E5" s="1" t="s">
        <v>24</v>
      </c>
      <c r="F5" s="1">
        <v>32</v>
      </c>
      <c r="G5" s="1">
        <v>0</v>
      </c>
      <c r="I5" s="5" t="s">
        <v>7</v>
      </c>
      <c r="J5" s="5"/>
      <c r="K5" s="14">
        <f>COUNTIF($G$1:$G$100, 1)</f>
        <v>53</v>
      </c>
      <c r="L5" s="9"/>
      <c r="M5" s="9">
        <f>COUNTIFS($G$1:$G$100, 1, $B$1:$B$100, 0)</f>
        <v>25</v>
      </c>
      <c r="N5" s="9"/>
      <c r="O5" s="9">
        <f>COUNTIFS($G$1:$G$100, 1, $B$1:$B$100, 1)</f>
        <v>28</v>
      </c>
      <c r="P5" s="13"/>
      <c r="Q5"/>
    </row>
    <row r="6" spans="1:17" x14ac:dyDescent="0.3">
      <c r="A6" s="1">
        <v>2</v>
      </c>
      <c r="B6" s="1">
        <v>0</v>
      </c>
      <c r="C6" s="1" t="s">
        <v>24</v>
      </c>
      <c r="D6" s="1">
        <v>35</v>
      </c>
      <c r="E6" s="1" t="s">
        <v>24</v>
      </c>
      <c r="F6" s="1">
        <v>42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24</v>
      </c>
      <c r="D7" s="1">
        <v>7</v>
      </c>
      <c r="E7" s="1" t="s">
        <v>24</v>
      </c>
      <c r="F7" s="1">
        <v>6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24</v>
      </c>
      <c r="D8" s="1">
        <v>45</v>
      </c>
      <c r="E8" s="1" t="s">
        <v>24</v>
      </c>
      <c r="F8" s="1">
        <v>11</v>
      </c>
      <c r="G8" s="1">
        <v>0</v>
      </c>
      <c r="I8" s="19"/>
      <c r="J8" s="20"/>
      <c r="K8" s="21" t="s">
        <v>2</v>
      </c>
      <c r="L8" s="21"/>
      <c r="M8" s="21" t="s">
        <v>8</v>
      </c>
      <c r="N8" s="21"/>
      <c r="O8" s="21" t="s">
        <v>9</v>
      </c>
      <c r="P8" s="21"/>
      <c r="Q8"/>
    </row>
    <row r="9" spans="1:17" x14ac:dyDescent="0.3">
      <c r="A9" s="1">
        <v>2</v>
      </c>
      <c r="B9" s="1">
        <v>0</v>
      </c>
      <c r="C9" s="1" t="s">
        <v>24</v>
      </c>
      <c r="D9" s="1">
        <v>10</v>
      </c>
      <c r="E9" s="1" t="s">
        <v>24</v>
      </c>
      <c r="F9" s="1">
        <v>36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24</v>
      </c>
      <c r="D10" s="1">
        <v>33</v>
      </c>
      <c r="E10" s="1" t="s">
        <v>24</v>
      </c>
      <c r="F10" s="1">
        <v>28</v>
      </c>
      <c r="G10" s="1">
        <v>0</v>
      </c>
      <c r="I10" s="5" t="s">
        <v>10</v>
      </c>
      <c r="J10" s="5"/>
      <c r="K10" s="9">
        <f>AVERAGE($D$1:$D$100,)</f>
        <v>30.485148514851485</v>
      </c>
      <c r="L10" s="9"/>
      <c r="M10" s="9" cm="1">
        <f t="array" ref="M10">AVERAGE(_xlfn._xlws.FILTER($D$1:$D$100,$G$1:$G$100 = 0))</f>
        <v>38.212765957446805</v>
      </c>
      <c r="N10" s="9"/>
      <c r="O10" s="10" cm="1">
        <f t="array" ref="O10">AVERAGE(_xlfn._xlws.FILTER($D$1:$D$100,$G$1:$G$100 = 1))</f>
        <v>24.20754716981132</v>
      </c>
      <c r="P10" s="11"/>
      <c r="Q10"/>
    </row>
    <row r="11" spans="1:17" x14ac:dyDescent="0.3">
      <c r="A11" s="1">
        <v>2</v>
      </c>
      <c r="B11" s="1">
        <v>0</v>
      </c>
      <c r="C11" s="1" t="s">
        <v>24</v>
      </c>
      <c r="D11" s="1">
        <v>31</v>
      </c>
      <c r="E11" s="1" t="s">
        <v>24</v>
      </c>
      <c r="F11" s="1">
        <v>49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24</v>
      </c>
      <c r="D12" s="1">
        <v>20</v>
      </c>
      <c r="E12" s="1" t="s">
        <v>24</v>
      </c>
      <c r="F12" s="1">
        <v>23</v>
      </c>
      <c r="G12" s="1">
        <v>1</v>
      </c>
      <c r="I12" s="5" t="s">
        <v>11</v>
      </c>
      <c r="J12" s="5"/>
      <c r="K12" s="9">
        <f>AVERAGE($F$1:$F$100,)</f>
        <v>31.524752475247524</v>
      </c>
      <c r="L12" s="9"/>
      <c r="M12" s="9" cm="1">
        <f t="array" ref="M12">AVERAGE(_xlfn._xlws.FILTER($F$1:$F$100,$G$1:$G$100 = 0))</f>
        <v>24.76595744680851</v>
      </c>
      <c r="N12" s="9"/>
      <c r="O12" s="9" cm="1">
        <f t="array" ref="O12">AVERAGE(_xlfn._xlws.FILTER($F$1:$F$100,$G$1:$G$100 = 1))</f>
        <v>38.113207547169814</v>
      </c>
      <c r="P12" s="13"/>
      <c r="Q12"/>
    </row>
    <row r="13" spans="1:17" x14ac:dyDescent="0.3">
      <c r="A13" s="1">
        <v>2</v>
      </c>
      <c r="B13" s="1">
        <v>0</v>
      </c>
      <c r="C13" s="1" t="s">
        <v>24</v>
      </c>
      <c r="D13" s="1">
        <v>17</v>
      </c>
      <c r="E13" s="1" t="s">
        <v>24</v>
      </c>
      <c r="F13" s="1">
        <v>40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24</v>
      </c>
      <c r="D14" s="1">
        <v>55</v>
      </c>
      <c r="E14" s="1" t="s">
        <v>24</v>
      </c>
      <c r="F14" s="1">
        <v>57</v>
      </c>
      <c r="G14" s="1">
        <v>1</v>
      </c>
      <c r="I14" s="22" t="s">
        <v>12</v>
      </c>
      <c r="J14" s="11"/>
      <c r="K14" s="23" cm="1">
        <f t="array" ref="K14">AVERAGE($D$1:$D$100 - $F$1:$F$100)</f>
        <v>-1.05</v>
      </c>
      <c r="L14" s="23"/>
      <c r="M14" s="23" cm="1">
        <f t="array" ref="M14">AVERAGE(_xlfn._xlws.FILTER($D$1:$D$100 - $F$1:$F$100, G$1:G$100 = 0))</f>
        <v>13.446808510638299</v>
      </c>
      <c r="N14" s="23"/>
      <c r="O14" s="23" cm="1">
        <f t="array" ref="O14">AVERAGE(_xlfn._xlws.FILTER($D$1:$D$100 - $F$1:$F$100, G$1:G$100 = 1))</f>
        <v>-13.90566037735849</v>
      </c>
      <c r="P14" s="24"/>
      <c r="Q14"/>
    </row>
    <row r="15" spans="1:17" x14ac:dyDescent="0.3">
      <c r="A15" s="1">
        <v>2</v>
      </c>
      <c r="B15" s="1">
        <v>0</v>
      </c>
      <c r="C15" s="1" t="s">
        <v>24</v>
      </c>
      <c r="D15" s="1">
        <v>38</v>
      </c>
      <c r="E15" s="1" t="s">
        <v>24</v>
      </c>
      <c r="F15" s="1">
        <v>30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24</v>
      </c>
      <c r="D16" s="1">
        <v>23</v>
      </c>
      <c r="E16" s="1" t="s">
        <v>24</v>
      </c>
      <c r="F16" s="1">
        <v>30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24</v>
      </c>
      <c r="D17" s="1">
        <v>26</v>
      </c>
      <c r="E17" s="1" t="s">
        <v>24</v>
      </c>
      <c r="F17" s="1">
        <v>23</v>
      </c>
      <c r="G17" s="1">
        <v>0</v>
      </c>
    </row>
    <row r="18" spans="1:7" x14ac:dyDescent="0.3">
      <c r="A18" s="1">
        <v>2</v>
      </c>
      <c r="B18" s="1">
        <v>0</v>
      </c>
      <c r="C18" s="1" t="s">
        <v>24</v>
      </c>
      <c r="D18" s="1">
        <v>33</v>
      </c>
      <c r="E18" s="1" t="s">
        <v>24</v>
      </c>
      <c r="F18" s="1">
        <v>29</v>
      </c>
      <c r="G18" s="1">
        <v>0</v>
      </c>
    </row>
    <row r="19" spans="1:7" x14ac:dyDescent="0.3">
      <c r="A19" s="1">
        <v>2</v>
      </c>
      <c r="B19" s="1">
        <v>0</v>
      </c>
      <c r="C19" s="1" t="s">
        <v>24</v>
      </c>
      <c r="D19" s="1">
        <v>35</v>
      </c>
      <c r="E19" s="1" t="s">
        <v>24</v>
      </c>
      <c r="F19" s="1">
        <v>23</v>
      </c>
      <c r="G19" s="1">
        <v>0</v>
      </c>
    </row>
    <row r="20" spans="1:7" x14ac:dyDescent="0.3">
      <c r="A20" s="1">
        <v>2</v>
      </c>
      <c r="B20" s="1">
        <v>0</v>
      </c>
      <c r="C20" s="1" t="s">
        <v>24</v>
      </c>
      <c r="D20" s="1">
        <v>21</v>
      </c>
      <c r="E20" s="1" t="s">
        <v>24</v>
      </c>
      <c r="F20" s="1">
        <v>23</v>
      </c>
      <c r="G20" s="1">
        <v>1</v>
      </c>
    </row>
    <row r="21" spans="1:7" x14ac:dyDescent="0.3">
      <c r="A21" s="1">
        <v>2</v>
      </c>
      <c r="B21" s="1">
        <v>0</v>
      </c>
      <c r="C21" s="1" t="s">
        <v>24</v>
      </c>
      <c r="D21" s="1">
        <v>36</v>
      </c>
      <c r="E21" s="1" t="s">
        <v>24</v>
      </c>
      <c r="F21" s="1">
        <v>14</v>
      </c>
      <c r="G21" s="1">
        <v>0</v>
      </c>
    </row>
    <row r="22" spans="1:7" x14ac:dyDescent="0.3">
      <c r="A22" s="1">
        <v>2</v>
      </c>
      <c r="B22" s="1">
        <v>0</v>
      </c>
      <c r="C22" s="1" t="s">
        <v>24</v>
      </c>
      <c r="D22" s="1">
        <v>54</v>
      </c>
      <c r="E22" s="1" t="s">
        <v>24</v>
      </c>
      <c r="F22" s="1">
        <v>26</v>
      </c>
      <c r="G22" s="1">
        <v>0</v>
      </c>
    </row>
    <row r="23" spans="1:7" x14ac:dyDescent="0.3">
      <c r="A23" s="1">
        <v>2</v>
      </c>
      <c r="B23" s="1">
        <v>0</v>
      </c>
      <c r="C23" s="1" t="s">
        <v>24</v>
      </c>
      <c r="D23" s="1">
        <v>56</v>
      </c>
      <c r="E23" s="1" t="s">
        <v>24</v>
      </c>
      <c r="F23" s="1">
        <v>23</v>
      </c>
      <c r="G23" s="1">
        <v>0</v>
      </c>
    </row>
    <row r="24" spans="1:7" x14ac:dyDescent="0.3">
      <c r="A24" s="1">
        <v>2</v>
      </c>
      <c r="B24" s="1">
        <v>0</v>
      </c>
      <c r="C24" s="1" t="s">
        <v>24</v>
      </c>
      <c r="D24" s="1">
        <v>34</v>
      </c>
      <c r="E24" s="1" t="s">
        <v>24</v>
      </c>
      <c r="F24" s="1">
        <v>44</v>
      </c>
      <c r="G24" s="1">
        <v>1</v>
      </c>
    </row>
    <row r="25" spans="1:7" x14ac:dyDescent="0.3">
      <c r="A25" s="1">
        <v>2</v>
      </c>
      <c r="B25" s="1">
        <v>0</v>
      </c>
      <c r="C25" s="1" t="s">
        <v>24</v>
      </c>
      <c r="D25" s="1">
        <v>73</v>
      </c>
      <c r="E25" s="1" t="s">
        <v>24</v>
      </c>
      <c r="F25" s="1">
        <v>5</v>
      </c>
      <c r="G25" s="1">
        <v>0</v>
      </c>
    </row>
    <row r="26" spans="1:7" x14ac:dyDescent="0.3">
      <c r="A26" s="1">
        <v>2</v>
      </c>
      <c r="B26" s="1">
        <v>0</v>
      </c>
      <c r="C26" s="1" t="s">
        <v>24</v>
      </c>
      <c r="D26" s="1">
        <v>49</v>
      </c>
      <c r="E26" s="1" t="s">
        <v>24</v>
      </c>
      <c r="F26" s="1">
        <v>27</v>
      </c>
      <c r="G26" s="1">
        <v>0</v>
      </c>
    </row>
    <row r="27" spans="1:7" x14ac:dyDescent="0.3">
      <c r="A27" s="1">
        <v>2</v>
      </c>
      <c r="B27" s="1">
        <v>0</v>
      </c>
      <c r="C27" s="1" t="s">
        <v>24</v>
      </c>
      <c r="D27" s="1">
        <v>12</v>
      </c>
      <c r="E27" s="1" t="s">
        <v>24</v>
      </c>
      <c r="F27" s="1">
        <v>29</v>
      </c>
      <c r="G27" s="1">
        <v>1</v>
      </c>
    </row>
    <row r="28" spans="1:7" x14ac:dyDescent="0.3">
      <c r="A28" s="1">
        <v>2</v>
      </c>
      <c r="B28" s="1">
        <v>0</v>
      </c>
      <c r="C28" s="1" t="s">
        <v>24</v>
      </c>
      <c r="D28" s="1">
        <v>11</v>
      </c>
      <c r="E28" s="1" t="s">
        <v>24</v>
      </c>
      <c r="F28" s="1">
        <v>19</v>
      </c>
      <c r="G28" s="1">
        <v>1</v>
      </c>
    </row>
    <row r="29" spans="1:7" x14ac:dyDescent="0.3">
      <c r="A29" s="1">
        <v>2</v>
      </c>
      <c r="B29" s="1">
        <v>0</v>
      </c>
      <c r="C29" s="1" t="s">
        <v>24</v>
      </c>
      <c r="D29" s="1">
        <v>37</v>
      </c>
      <c r="E29" s="1" t="s">
        <v>24</v>
      </c>
      <c r="F29" s="1">
        <v>36</v>
      </c>
      <c r="G29" s="1">
        <v>0</v>
      </c>
    </row>
    <row r="30" spans="1:7" x14ac:dyDescent="0.3">
      <c r="A30" s="1">
        <v>2</v>
      </c>
      <c r="B30" s="1">
        <v>0</v>
      </c>
      <c r="C30" s="1" t="s">
        <v>24</v>
      </c>
      <c r="D30" s="1">
        <v>49</v>
      </c>
      <c r="E30" s="1" t="s">
        <v>24</v>
      </c>
      <c r="F30" s="1">
        <v>43</v>
      </c>
      <c r="G30" s="1">
        <v>0</v>
      </c>
    </row>
    <row r="31" spans="1:7" x14ac:dyDescent="0.3">
      <c r="A31" s="1">
        <v>2</v>
      </c>
      <c r="B31" s="1">
        <v>0</v>
      </c>
      <c r="C31" s="1" t="s">
        <v>24</v>
      </c>
      <c r="D31" s="1">
        <v>24</v>
      </c>
      <c r="E31" s="1" t="s">
        <v>24</v>
      </c>
      <c r="F31" s="1">
        <v>14</v>
      </c>
      <c r="G31" s="1">
        <v>0</v>
      </c>
    </row>
    <row r="32" spans="1:7" x14ac:dyDescent="0.3">
      <c r="A32" s="1">
        <v>2</v>
      </c>
      <c r="B32" s="1">
        <v>0</v>
      </c>
      <c r="C32" s="1" t="s">
        <v>24</v>
      </c>
      <c r="D32" s="1">
        <v>32</v>
      </c>
      <c r="E32" s="1" t="s">
        <v>24</v>
      </c>
      <c r="F32" s="1">
        <v>46</v>
      </c>
      <c r="G32" s="1">
        <v>1</v>
      </c>
    </row>
    <row r="33" spans="1:7" x14ac:dyDescent="0.3">
      <c r="A33" s="1">
        <v>2</v>
      </c>
      <c r="B33" s="1">
        <v>0</v>
      </c>
      <c r="C33" s="1" t="s">
        <v>24</v>
      </c>
      <c r="D33" s="1">
        <v>30</v>
      </c>
      <c r="E33" s="1" t="s">
        <v>24</v>
      </c>
      <c r="F33" s="1">
        <v>24</v>
      </c>
      <c r="G33" s="1">
        <v>0</v>
      </c>
    </row>
    <row r="34" spans="1:7" x14ac:dyDescent="0.3">
      <c r="A34" s="1">
        <v>2</v>
      </c>
      <c r="B34" s="1">
        <v>0</v>
      </c>
      <c r="C34" s="1" t="s">
        <v>24</v>
      </c>
      <c r="D34" s="1">
        <v>27</v>
      </c>
      <c r="E34" s="1" t="s">
        <v>24</v>
      </c>
      <c r="F34" s="1">
        <v>40</v>
      </c>
      <c r="G34" s="1">
        <v>1</v>
      </c>
    </row>
    <row r="35" spans="1:7" x14ac:dyDescent="0.3">
      <c r="A35" s="1">
        <v>2</v>
      </c>
      <c r="B35" s="1">
        <v>0</v>
      </c>
      <c r="C35" s="1" t="s">
        <v>24</v>
      </c>
      <c r="D35" s="1">
        <v>23</v>
      </c>
      <c r="E35" s="1" t="s">
        <v>24</v>
      </c>
      <c r="F35" s="1">
        <v>47</v>
      </c>
      <c r="G35" s="1">
        <v>1</v>
      </c>
    </row>
    <row r="36" spans="1:7" x14ac:dyDescent="0.3">
      <c r="A36" s="1">
        <v>2</v>
      </c>
      <c r="B36" s="1">
        <v>0</v>
      </c>
      <c r="C36" s="1" t="s">
        <v>24</v>
      </c>
      <c r="D36" s="1">
        <v>20</v>
      </c>
      <c r="E36" s="1" t="s">
        <v>24</v>
      </c>
      <c r="F36" s="1">
        <v>26</v>
      </c>
      <c r="G36" s="1">
        <v>1</v>
      </c>
    </row>
    <row r="37" spans="1:7" x14ac:dyDescent="0.3">
      <c r="A37" s="1">
        <v>2</v>
      </c>
      <c r="B37" s="1">
        <v>0</v>
      </c>
      <c r="C37" s="1" t="s">
        <v>24</v>
      </c>
      <c r="D37" s="1">
        <v>45</v>
      </c>
      <c r="E37" s="1" t="s">
        <v>24</v>
      </c>
      <c r="F37" s="1">
        <v>63</v>
      </c>
      <c r="G37" s="1">
        <v>1</v>
      </c>
    </row>
    <row r="38" spans="1:7" x14ac:dyDescent="0.3">
      <c r="A38" s="1">
        <v>2</v>
      </c>
      <c r="B38" s="1">
        <v>0</v>
      </c>
      <c r="C38" s="1" t="s">
        <v>24</v>
      </c>
      <c r="D38" s="1">
        <v>49</v>
      </c>
      <c r="E38" s="1" t="s">
        <v>24</v>
      </c>
      <c r="F38" s="1">
        <v>19</v>
      </c>
      <c r="G38" s="1">
        <v>0</v>
      </c>
    </row>
    <row r="39" spans="1:7" x14ac:dyDescent="0.3">
      <c r="A39" s="1">
        <v>2</v>
      </c>
      <c r="B39" s="1">
        <v>0</v>
      </c>
      <c r="C39" s="1" t="s">
        <v>24</v>
      </c>
      <c r="D39" s="1">
        <v>38</v>
      </c>
      <c r="E39" s="1" t="s">
        <v>24</v>
      </c>
      <c r="F39" s="1">
        <v>34</v>
      </c>
      <c r="G39" s="1">
        <v>0</v>
      </c>
    </row>
    <row r="40" spans="1:7" x14ac:dyDescent="0.3">
      <c r="A40" s="1">
        <v>2</v>
      </c>
      <c r="B40" s="1">
        <v>0</v>
      </c>
      <c r="C40" s="1" t="s">
        <v>24</v>
      </c>
      <c r="D40" s="1">
        <v>31</v>
      </c>
      <c r="E40" s="1" t="s">
        <v>24</v>
      </c>
      <c r="F40" s="1">
        <v>24</v>
      </c>
      <c r="G40" s="1">
        <v>0</v>
      </c>
    </row>
    <row r="41" spans="1:7" x14ac:dyDescent="0.3">
      <c r="A41" s="1">
        <v>2</v>
      </c>
      <c r="B41" s="1">
        <v>0</v>
      </c>
      <c r="C41" s="1" t="s">
        <v>24</v>
      </c>
      <c r="D41" s="1">
        <v>18</v>
      </c>
      <c r="E41" s="1" t="s">
        <v>24</v>
      </c>
      <c r="F41" s="1">
        <v>46</v>
      </c>
      <c r="G41" s="1">
        <v>1</v>
      </c>
    </row>
    <row r="42" spans="1:7" x14ac:dyDescent="0.3">
      <c r="A42" s="1">
        <v>2</v>
      </c>
      <c r="B42" s="1">
        <v>0</v>
      </c>
      <c r="C42" s="1" t="s">
        <v>24</v>
      </c>
      <c r="D42" s="1">
        <v>28</v>
      </c>
      <c r="E42" s="1" t="s">
        <v>24</v>
      </c>
      <c r="F42" s="1">
        <v>66</v>
      </c>
      <c r="G42" s="1">
        <v>1</v>
      </c>
    </row>
    <row r="43" spans="1:7" x14ac:dyDescent="0.3">
      <c r="A43" s="1">
        <v>2</v>
      </c>
      <c r="B43" s="1">
        <v>0</v>
      </c>
      <c r="C43" s="1" t="s">
        <v>24</v>
      </c>
      <c r="D43" s="1">
        <v>31</v>
      </c>
      <c r="E43" s="1" t="s">
        <v>24</v>
      </c>
      <c r="F43" s="1">
        <v>26</v>
      </c>
      <c r="G43" s="1">
        <v>0</v>
      </c>
    </row>
    <row r="44" spans="1:7" x14ac:dyDescent="0.3">
      <c r="A44" s="1">
        <v>2</v>
      </c>
      <c r="B44" s="1">
        <v>0</v>
      </c>
      <c r="C44" s="1" t="s">
        <v>24</v>
      </c>
      <c r="D44" s="1">
        <v>9</v>
      </c>
      <c r="E44" s="1" t="s">
        <v>24</v>
      </c>
      <c r="F44" s="1">
        <v>16</v>
      </c>
      <c r="G44" s="1">
        <v>1</v>
      </c>
    </row>
    <row r="45" spans="1:7" x14ac:dyDescent="0.3">
      <c r="A45" s="1">
        <v>2</v>
      </c>
      <c r="B45" s="1">
        <v>0</v>
      </c>
      <c r="C45" s="1" t="s">
        <v>24</v>
      </c>
      <c r="D45" s="1">
        <v>21</v>
      </c>
      <c r="E45" s="1" t="s">
        <v>24</v>
      </c>
      <c r="F45" s="1">
        <v>0</v>
      </c>
      <c r="G45" s="1">
        <v>0</v>
      </c>
    </row>
    <row r="46" spans="1:7" x14ac:dyDescent="0.3">
      <c r="A46" s="1">
        <v>2</v>
      </c>
      <c r="B46" s="1">
        <v>0</v>
      </c>
      <c r="C46" s="1" t="s">
        <v>24</v>
      </c>
      <c r="D46" s="1">
        <v>32</v>
      </c>
      <c r="E46" s="1" t="s">
        <v>24</v>
      </c>
      <c r="F46" s="1">
        <v>24</v>
      </c>
      <c r="G46" s="1">
        <v>0</v>
      </c>
    </row>
    <row r="47" spans="1:7" x14ac:dyDescent="0.3">
      <c r="A47" s="1">
        <v>2</v>
      </c>
      <c r="B47" s="1">
        <v>0</v>
      </c>
      <c r="C47" s="1" t="s">
        <v>24</v>
      </c>
      <c r="D47" s="1">
        <v>7</v>
      </c>
      <c r="E47" s="1" t="s">
        <v>24</v>
      </c>
      <c r="F47" s="1">
        <v>14</v>
      </c>
      <c r="G47" s="1">
        <v>1</v>
      </c>
    </row>
    <row r="48" spans="1:7" x14ac:dyDescent="0.3">
      <c r="A48" s="1">
        <v>2</v>
      </c>
      <c r="B48" s="1">
        <v>0</v>
      </c>
      <c r="C48" s="1" t="s">
        <v>24</v>
      </c>
      <c r="D48" s="1">
        <v>25</v>
      </c>
      <c r="E48" s="1" t="s">
        <v>24</v>
      </c>
      <c r="F48" s="1">
        <v>30</v>
      </c>
      <c r="G48" s="1">
        <v>1</v>
      </c>
    </row>
    <row r="49" spans="1:7" x14ac:dyDescent="0.3">
      <c r="A49" s="1">
        <v>2</v>
      </c>
      <c r="B49" s="1">
        <v>0</v>
      </c>
      <c r="C49" s="1" t="s">
        <v>24</v>
      </c>
      <c r="D49" s="1">
        <v>9</v>
      </c>
      <c r="E49" s="1" t="s">
        <v>24</v>
      </c>
      <c r="F49" s="1">
        <v>13</v>
      </c>
      <c r="G49" s="1">
        <v>1</v>
      </c>
    </row>
    <row r="50" spans="1:7" x14ac:dyDescent="0.3">
      <c r="A50" s="1">
        <v>2</v>
      </c>
      <c r="B50" s="1">
        <v>0</v>
      </c>
      <c r="C50" s="1" t="s">
        <v>24</v>
      </c>
      <c r="D50" s="1">
        <v>19</v>
      </c>
      <c r="E50" s="1" t="s">
        <v>24</v>
      </c>
      <c r="F50" s="1">
        <v>37</v>
      </c>
      <c r="G50" s="1">
        <v>1</v>
      </c>
    </row>
    <row r="51" spans="1:7" x14ac:dyDescent="0.3">
      <c r="A51" s="1">
        <v>2</v>
      </c>
      <c r="B51" s="1">
        <v>1</v>
      </c>
      <c r="C51" s="1" t="s">
        <v>24</v>
      </c>
      <c r="D51" s="1">
        <v>34</v>
      </c>
      <c r="E51" s="1" t="s">
        <v>24</v>
      </c>
      <c r="F51" s="1">
        <v>18</v>
      </c>
      <c r="G51" s="1">
        <v>0</v>
      </c>
    </row>
    <row r="52" spans="1:7" x14ac:dyDescent="0.3">
      <c r="A52" s="1">
        <v>2</v>
      </c>
      <c r="B52" s="1">
        <v>1</v>
      </c>
      <c r="C52" s="1" t="s">
        <v>24</v>
      </c>
      <c r="D52" s="1">
        <v>48</v>
      </c>
      <c r="E52" s="1" t="s">
        <v>24</v>
      </c>
      <c r="F52" s="1">
        <v>26</v>
      </c>
      <c r="G52" s="1">
        <v>0</v>
      </c>
    </row>
    <row r="53" spans="1:7" x14ac:dyDescent="0.3">
      <c r="A53" s="1">
        <v>2</v>
      </c>
      <c r="B53" s="1">
        <v>1</v>
      </c>
      <c r="C53" s="1" t="s">
        <v>24</v>
      </c>
      <c r="D53" s="1">
        <v>47</v>
      </c>
      <c r="E53" s="1" t="s">
        <v>24</v>
      </c>
      <c r="F53" s="1">
        <v>60</v>
      </c>
      <c r="G53" s="1">
        <v>1</v>
      </c>
    </row>
    <row r="54" spans="1:7" x14ac:dyDescent="0.3">
      <c r="A54" s="1">
        <v>2</v>
      </c>
      <c r="B54" s="1">
        <v>1</v>
      </c>
      <c r="C54" s="1" t="s">
        <v>24</v>
      </c>
      <c r="D54" s="1">
        <v>10</v>
      </c>
      <c r="E54" s="1" t="s">
        <v>24</v>
      </c>
      <c r="F54" s="1">
        <v>13</v>
      </c>
      <c r="G54" s="1">
        <v>1</v>
      </c>
    </row>
    <row r="55" spans="1:7" x14ac:dyDescent="0.3">
      <c r="A55" s="1">
        <v>2</v>
      </c>
      <c r="B55" s="1">
        <v>1</v>
      </c>
      <c r="C55" s="1" t="s">
        <v>24</v>
      </c>
      <c r="D55" s="1">
        <v>21</v>
      </c>
      <c r="E55" s="1" t="s">
        <v>24</v>
      </c>
      <c r="F55" s="1">
        <v>12</v>
      </c>
      <c r="G55" s="1">
        <v>0</v>
      </c>
    </row>
    <row r="56" spans="1:7" x14ac:dyDescent="0.3">
      <c r="A56" s="1">
        <v>2</v>
      </c>
      <c r="B56" s="1">
        <v>1</v>
      </c>
      <c r="C56" s="1" t="s">
        <v>24</v>
      </c>
      <c r="D56" s="1">
        <v>41</v>
      </c>
      <c r="E56" s="1" t="s">
        <v>24</v>
      </c>
      <c r="F56" s="1">
        <v>34</v>
      </c>
      <c r="G56" s="1">
        <v>0</v>
      </c>
    </row>
    <row r="57" spans="1:7" x14ac:dyDescent="0.3">
      <c r="A57" s="1">
        <v>2</v>
      </c>
      <c r="B57" s="1">
        <v>1</v>
      </c>
      <c r="C57" s="1" t="s">
        <v>24</v>
      </c>
      <c r="D57" s="1">
        <v>48</v>
      </c>
      <c r="E57" s="1" t="s">
        <v>24</v>
      </c>
      <c r="F57" s="1">
        <v>54</v>
      </c>
      <c r="G57" s="1">
        <v>1</v>
      </c>
    </row>
    <row r="58" spans="1:7" x14ac:dyDescent="0.3">
      <c r="A58" s="1">
        <v>2</v>
      </c>
      <c r="B58" s="1">
        <v>1</v>
      </c>
      <c r="C58" s="1" t="s">
        <v>24</v>
      </c>
      <c r="D58" s="1">
        <v>44</v>
      </c>
      <c r="E58" s="1" t="s">
        <v>24</v>
      </c>
      <c r="F58" s="1">
        <v>28</v>
      </c>
      <c r="G58" s="1">
        <v>0</v>
      </c>
    </row>
    <row r="59" spans="1:7" x14ac:dyDescent="0.3">
      <c r="A59" s="1">
        <v>2</v>
      </c>
      <c r="B59" s="1">
        <v>1</v>
      </c>
      <c r="C59" s="1" t="s">
        <v>24</v>
      </c>
      <c r="D59" s="1">
        <v>30</v>
      </c>
      <c r="E59" s="1" t="s">
        <v>24</v>
      </c>
      <c r="F59" s="1">
        <v>9</v>
      </c>
      <c r="G59" s="1">
        <v>0</v>
      </c>
    </row>
    <row r="60" spans="1:7" x14ac:dyDescent="0.3">
      <c r="A60" s="1">
        <v>2</v>
      </c>
      <c r="B60" s="1">
        <v>1</v>
      </c>
      <c r="C60" s="1" t="s">
        <v>24</v>
      </c>
      <c r="D60" s="1">
        <v>55</v>
      </c>
      <c r="E60" s="1" t="s">
        <v>24</v>
      </c>
      <c r="F60" s="1">
        <v>30</v>
      </c>
      <c r="G60" s="1">
        <v>0</v>
      </c>
    </row>
    <row r="61" spans="1:7" x14ac:dyDescent="0.3">
      <c r="A61" s="1">
        <v>2</v>
      </c>
      <c r="B61" s="1">
        <v>1</v>
      </c>
      <c r="C61" s="1" t="s">
        <v>24</v>
      </c>
      <c r="D61" s="1">
        <v>26</v>
      </c>
      <c r="E61" s="1" t="s">
        <v>24</v>
      </c>
      <c r="F61" s="1">
        <v>37</v>
      </c>
      <c r="G61" s="1">
        <v>1</v>
      </c>
    </row>
    <row r="62" spans="1:7" x14ac:dyDescent="0.3">
      <c r="A62" s="1">
        <v>2</v>
      </c>
      <c r="B62" s="1">
        <v>1</v>
      </c>
      <c r="C62" s="1" t="s">
        <v>24</v>
      </c>
      <c r="D62" s="1">
        <v>12</v>
      </c>
      <c r="E62" s="1" t="s">
        <v>24</v>
      </c>
      <c r="F62" s="1">
        <v>4</v>
      </c>
      <c r="G62" s="1">
        <v>0</v>
      </c>
    </row>
    <row r="63" spans="1:7" x14ac:dyDescent="0.3">
      <c r="A63" s="1">
        <v>2</v>
      </c>
      <c r="B63" s="1">
        <v>1</v>
      </c>
      <c r="C63" s="1" t="s">
        <v>24</v>
      </c>
      <c r="D63" s="1">
        <v>10</v>
      </c>
      <c r="E63" s="1" t="s">
        <v>24</v>
      </c>
      <c r="F63" s="1">
        <v>35</v>
      </c>
      <c r="G63" s="1">
        <v>1</v>
      </c>
    </row>
    <row r="64" spans="1:7" x14ac:dyDescent="0.3">
      <c r="A64" s="1">
        <v>2</v>
      </c>
      <c r="B64" s="1">
        <v>1</v>
      </c>
      <c r="C64" s="1" t="s">
        <v>24</v>
      </c>
      <c r="D64" s="1">
        <v>31</v>
      </c>
      <c r="E64" s="1" t="s">
        <v>24</v>
      </c>
      <c r="F64" s="1">
        <v>27</v>
      </c>
      <c r="G64" s="1">
        <v>0</v>
      </c>
    </row>
    <row r="65" spans="1:7" x14ac:dyDescent="0.3">
      <c r="A65" s="1">
        <v>2</v>
      </c>
      <c r="B65" s="1">
        <v>1</v>
      </c>
      <c r="C65" s="1" t="s">
        <v>24</v>
      </c>
      <c r="D65" s="1">
        <v>22</v>
      </c>
      <c r="E65" s="1" t="s">
        <v>24</v>
      </c>
      <c r="F65" s="1">
        <v>30</v>
      </c>
      <c r="G65" s="1">
        <v>1</v>
      </c>
    </row>
    <row r="66" spans="1:7" x14ac:dyDescent="0.3">
      <c r="A66" s="1">
        <v>2</v>
      </c>
      <c r="B66" s="1">
        <v>1</v>
      </c>
      <c r="C66" s="1" t="s">
        <v>24</v>
      </c>
      <c r="D66" s="1">
        <v>48</v>
      </c>
      <c r="E66" s="1" t="s">
        <v>24</v>
      </c>
      <c r="F66" s="1">
        <v>29</v>
      </c>
      <c r="G66" s="1">
        <v>0</v>
      </c>
    </row>
    <row r="67" spans="1:7" x14ac:dyDescent="0.3">
      <c r="A67" s="1">
        <v>2</v>
      </c>
      <c r="B67" s="1">
        <v>1</v>
      </c>
      <c r="C67" s="1" t="s">
        <v>24</v>
      </c>
      <c r="D67" s="1">
        <v>31</v>
      </c>
      <c r="E67" s="1" t="s">
        <v>24</v>
      </c>
      <c r="F67" s="1">
        <v>45</v>
      </c>
      <c r="G67" s="1">
        <v>1</v>
      </c>
    </row>
    <row r="68" spans="1:7" x14ac:dyDescent="0.3">
      <c r="A68" s="1">
        <v>2</v>
      </c>
      <c r="B68" s="1">
        <v>1</v>
      </c>
      <c r="C68" s="1" t="s">
        <v>24</v>
      </c>
      <c r="D68" s="1">
        <v>30</v>
      </c>
      <c r="E68" s="1" t="s">
        <v>24</v>
      </c>
      <c r="F68" s="1">
        <v>25</v>
      </c>
      <c r="G68" s="1">
        <v>0</v>
      </c>
    </row>
    <row r="69" spans="1:7" x14ac:dyDescent="0.3">
      <c r="A69" s="1">
        <v>2</v>
      </c>
      <c r="B69" s="1">
        <v>1</v>
      </c>
      <c r="C69" s="1" t="s">
        <v>24</v>
      </c>
      <c r="D69" s="1">
        <v>45</v>
      </c>
      <c r="E69" s="1" t="s">
        <v>24</v>
      </c>
      <c r="F69" s="1">
        <v>19</v>
      </c>
      <c r="G69" s="1">
        <v>0</v>
      </c>
    </row>
    <row r="70" spans="1:7" x14ac:dyDescent="0.3">
      <c r="A70" s="1">
        <v>2</v>
      </c>
      <c r="B70" s="1">
        <v>1</v>
      </c>
      <c r="C70" s="1" t="s">
        <v>24</v>
      </c>
      <c r="D70" s="1">
        <v>42</v>
      </c>
      <c r="E70" s="1" t="s">
        <v>24</v>
      </c>
      <c r="F70" s="1">
        <v>42</v>
      </c>
      <c r="G70" s="1">
        <v>0</v>
      </c>
    </row>
    <row r="71" spans="1:7" x14ac:dyDescent="0.3">
      <c r="A71" s="1">
        <v>2</v>
      </c>
      <c r="B71" s="1">
        <v>1</v>
      </c>
      <c r="C71" s="1" t="s">
        <v>24</v>
      </c>
      <c r="D71" s="1">
        <v>52</v>
      </c>
      <c r="E71" s="1" t="s">
        <v>24</v>
      </c>
      <c r="F71" s="1">
        <v>44</v>
      </c>
      <c r="G71" s="1">
        <v>0</v>
      </c>
    </row>
    <row r="72" spans="1:7" x14ac:dyDescent="0.3">
      <c r="A72" s="1">
        <v>2</v>
      </c>
      <c r="B72" s="1">
        <v>1</v>
      </c>
      <c r="C72" s="1" t="s">
        <v>24</v>
      </c>
      <c r="D72" s="1">
        <v>37</v>
      </c>
      <c r="E72" s="1" t="s">
        <v>24</v>
      </c>
      <c r="F72" s="1">
        <v>51</v>
      </c>
      <c r="G72" s="1">
        <v>1</v>
      </c>
    </row>
    <row r="73" spans="1:7" x14ac:dyDescent="0.3">
      <c r="A73" s="1">
        <v>2</v>
      </c>
      <c r="B73" s="1">
        <v>1</v>
      </c>
      <c r="C73" s="1" t="s">
        <v>24</v>
      </c>
      <c r="D73" s="1">
        <v>35</v>
      </c>
      <c r="E73" s="1" t="s">
        <v>24</v>
      </c>
      <c r="F73" s="1">
        <v>52</v>
      </c>
      <c r="G73" s="1">
        <v>1</v>
      </c>
    </row>
    <row r="74" spans="1:7" x14ac:dyDescent="0.3">
      <c r="A74" s="1">
        <v>2</v>
      </c>
      <c r="B74" s="1">
        <v>1</v>
      </c>
      <c r="C74" s="1" t="s">
        <v>24</v>
      </c>
      <c r="D74" s="1">
        <v>27</v>
      </c>
      <c r="E74" s="1" t="s">
        <v>24</v>
      </c>
      <c r="F74" s="1">
        <v>37</v>
      </c>
      <c r="G74" s="1">
        <v>1</v>
      </c>
    </row>
    <row r="75" spans="1:7" x14ac:dyDescent="0.3">
      <c r="A75" s="1">
        <v>2</v>
      </c>
      <c r="B75" s="1">
        <v>1</v>
      </c>
      <c r="C75" s="1" t="s">
        <v>24</v>
      </c>
      <c r="D75" s="1">
        <v>16</v>
      </c>
      <c r="E75" s="1" t="s">
        <v>24</v>
      </c>
      <c r="F75" s="1">
        <v>24</v>
      </c>
      <c r="G75" s="1">
        <v>1</v>
      </c>
    </row>
    <row r="76" spans="1:7" x14ac:dyDescent="0.3">
      <c r="A76" s="1">
        <v>2</v>
      </c>
      <c r="B76" s="1">
        <v>1</v>
      </c>
      <c r="C76" s="1" t="s">
        <v>24</v>
      </c>
      <c r="D76" s="1">
        <v>33</v>
      </c>
      <c r="E76" s="1" t="s">
        <v>24</v>
      </c>
      <c r="F76" s="1">
        <v>20</v>
      </c>
      <c r="G76" s="1">
        <v>0</v>
      </c>
    </row>
    <row r="77" spans="1:7" x14ac:dyDescent="0.3">
      <c r="A77" s="1">
        <v>2</v>
      </c>
      <c r="B77" s="1">
        <v>1</v>
      </c>
      <c r="C77" s="1" t="s">
        <v>24</v>
      </c>
      <c r="D77" s="1">
        <v>34</v>
      </c>
      <c r="E77" s="1" t="s">
        <v>24</v>
      </c>
      <c r="F77" s="1">
        <v>11</v>
      </c>
      <c r="G77" s="1">
        <v>0</v>
      </c>
    </row>
    <row r="78" spans="1:7" x14ac:dyDescent="0.3">
      <c r="A78" s="1">
        <v>2</v>
      </c>
      <c r="B78" s="1">
        <v>1</v>
      </c>
      <c r="C78" s="1" t="s">
        <v>24</v>
      </c>
      <c r="D78" s="1">
        <v>22</v>
      </c>
      <c r="E78" s="1" t="s">
        <v>24</v>
      </c>
      <c r="F78" s="1">
        <v>47</v>
      </c>
      <c r="G78" s="1">
        <v>1</v>
      </c>
    </row>
    <row r="79" spans="1:7" x14ac:dyDescent="0.3">
      <c r="A79" s="1">
        <v>2</v>
      </c>
      <c r="B79" s="1">
        <v>1</v>
      </c>
      <c r="C79" s="1" t="s">
        <v>24</v>
      </c>
      <c r="D79" s="1">
        <v>45</v>
      </c>
      <c r="E79" s="1" t="s">
        <v>24</v>
      </c>
      <c r="F79" s="1">
        <v>41</v>
      </c>
      <c r="G79" s="1">
        <v>0</v>
      </c>
    </row>
    <row r="80" spans="1:7" x14ac:dyDescent="0.3">
      <c r="A80" s="1">
        <v>2</v>
      </c>
      <c r="B80" s="1">
        <v>1</v>
      </c>
      <c r="C80" s="1" t="s">
        <v>24</v>
      </c>
      <c r="D80" s="1">
        <v>35</v>
      </c>
      <c r="E80" s="1" t="s">
        <v>24</v>
      </c>
      <c r="F80" s="1">
        <v>30</v>
      </c>
      <c r="G80" s="1">
        <v>0</v>
      </c>
    </row>
    <row r="81" spans="1:7" x14ac:dyDescent="0.3">
      <c r="A81" s="1">
        <v>2</v>
      </c>
      <c r="B81" s="1">
        <v>1</v>
      </c>
      <c r="C81" s="1" t="s">
        <v>24</v>
      </c>
      <c r="D81" s="1">
        <v>14</v>
      </c>
      <c r="E81" s="1" t="s">
        <v>24</v>
      </c>
      <c r="F81" s="1">
        <v>39</v>
      </c>
      <c r="G81" s="1">
        <v>1</v>
      </c>
    </row>
    <row r="82" spans="1:7" x14ac:dyDescent="0.3">
      <c r="A82" s="1">
        <v>2</v>
      </c>
      <c r="B82" s="1">
        <v>1</v>
      </c>
      <c r="C82" s="1" t="s">
        <v>24</v>
      </c>
      <c r="D82" s="1">
        <v>17</v>
      </c>
      <c r="E82" s="1" t="s">
        <v>24</v>
      </c>
      <c r="F82" s="1">
        <v>38</v>
      </c>
      <c r="G82" s="1">
        <v>1</v>
      </c>
    </row>
    <row r="83" spans="1:7" x14ac:dyDescent="0.3">
      <c r="A83" s="1">
        <v>2</v>
      </c>
      <c r="B83" s="1">
        <v>1</v>
      </c>
      <c r="C83" s="1" t="s">
        <v>24</v>
      </c>
      <c r="D83" s="1">
        <v>27</v>
      </c>
      <c r="E83" s="1" t="s">
        <v>24</v>
      </c>
      <c r="F83" s="1">
        <v>18</v>
      </c>
      <c r="G83" s="1">
        <v>0</v>
      </c>
    </row>
    <row r="84" spans="1:7" x14ac:dyDescent="0.3">
      <c r="A84" s="1">
        <v>2</v>
      </c>
      <c r="B84" s="1">
        <v>1</v>
      </c>
      <c r="C84" s="1" t="s">
        <v>24</v>
      </c>
      <c r="D84" s="1">
        <v>37</v>
      </c>
      <c r="E84" s="1" t="s">
        <v>24</v>
      </c>
      <c r="F84" s="1">
        <v>40</v>
      </c>
      <c r="G84" s="1">
        <v>1</v>
      </c>
    </row>
    <row r="85" spans="1:7" x14ac:dyDescent="0.3">
      <c r="A85" s="1">
        <v>2</v>
      </c>
      <c r="B85" s="1">
        <v>1</v>
      </c>
      <c r="C85" s="1" t="s">
        <v>24</v>
      </c>
      <c r="D85" s="1">
        <v>17</v>
      </c>
      <c r="E85" s="1" t="s">
        <v>24</v>
      </c>
      <c r="F85" s="1">
        <v>26</v>
      </c>
      <c r="G85" s="1">
        <v>1</v>
      </c>
    </row>
    <row r="86" spans="1:7" x14ac:dyDescent="0.3">
      <c r="A86" s="1">
        <v>2</v>
      </c>
      <c r="B86" s="1">
        <v>1</v>
      </c>
      <c r="C86" s="1" t="s">
        <v>24</v>
      </c>
      <c r="D86" s="1">
        <v>24</v>
      </c>
      <c r="E86" s="1" t="s">
        <v>24</v>
      </c>
      <c r="F86" s="1">
        <v>48</v>
      </c>
      <c r="G86" s="1">
        <v>1</v>
      </c>
    </row>
    <row r="87" spans="1:7" x14ac:dyDescent="0.3">
      <c r="A87" s="1">
        <v>2</v>
      </c>
      <c r="B87" s="1">
        <v>1</v>
      </c>
      <c r="C87" s="1" t="s">
        <v>24</v>
      </c>
      <c r="D87" s="1">
        <v>27</v>
      </c>
      <c r="E87" s="1" t="s">
        <v>24</v>
      </c>
      <c r="F87" s="1">
        <v>29</v>
      </c>
      <c r="G87" s="1">
        <v>1</v>
      </c>
    </row>
    <row r="88" spans="1:7" x14ac:dyDescent="0.3">
      <c r="A88" s="1">
        <v>2</v>
      </c>
      <c r="B88" s="1">
        <v>1</v>
      </c>
      <c r="C88" s="1" t="s">
        <v>24</v>
      </c>
      <c r="D88" s="1">
        <v>6</v>
      </c>
      <c r="E88" s="1" t="s">
        <v>24</v>
      </c>
      <c r="F88" s="1">
        <v>37</v>
      </c>
      <c r="G88" s="1">
        <v>1</v>
      </c>
    </row>
    <row r="89" spans="1:7" x14ac:dyDescent="0.3">
      <c r="A89" s="1">
        <v>2</v>
      </c>
      <c r="B89" s="1">
        <v>1</v>
      </c>
      <c r="C89" s="1" t="s">
        <v>24</v>
      </c>
      <c r="D89" s="1">
        <v>10</v>
      </c>
      <c r="E89" s="1" t="s">
        <v>24</v>
      </c>
      <c r="F89" s="1">
        <v>21</v>
      </c>
      <c r="G89" s="1">
        <v>1</v>
      </c>
    </row>
    <row r="90" spans="1:7" x14ac:dyDescent="0.3">
      <c r="A90" s="1">
        <v>2</v>
      </c>
      <c r="B90" s="1">
        <v>1</v>
      </c>
      <c r="C90" s="1" t="s">
        <v>24</v>
      </c>
      <c r="D90" s="1">
        <v>27</v>
      </c>
      <c r="E90" s="1" t="s">
        <v>24</v>
      </c>
      <c r="F90" s="1">
        <v>33</v>
      </c>
      <c r="G90" s="1">
        <v>1</v>
      </c>
    </row>
    <row r="91" spans="1:7" x14ac:dyDescent="0.3">
      <c r="A91" s="1">
        <v>2</v>
      </c>
      <c r="B91" s="1">
        <v>1</v>
      </c>
      <c r="C91" s="1" t="s">
        <v>24</v>
      </c>
      <c r="D91" s="1">
        <v>33</v>
      </c>
      <c r="E91" s="1" t="s">
        <v>24</v>
      </c>
      <c r="F91" s="1">
        <v>36</v>
      </c>
      <c r="G91" s="1">
        <v>1</v>
      </c>
    </row>
    <row r="92" spans="1:7" x14ac:dyDescent="0.3">
      <c r="A92" s="1">
        <v>2</v>
      </c>
      <c r="B92" s="1">
        <v>1</v>
      </c>
      <c r="C92" s="1" t="s">
        <v>24</v>
      </c>
      <c r="D92" s="1">
        <v>60</v>
      </c>
      <c r="E92" s="1" t="s">
        <v>24</v>
      </c>
      <c r="F92" s="1">
        <v>38</v>
      </c>
      <c r="G92" s="1">
        <v>0</v>
      </c>
    </row>
    <row r="93" spans="1:7" x14ac:dyDescent="0.3">
      <c r="A93" s="1">
        <v>2</v>
      </c>
      <c r="B93" s="1">
        <v>1</v>
      </c>
      <c r="C93" s="1" t="s">
        <v>24</v>
      </c>
      <c r="D93" s="1">
        <v>26</v>
      </c>
      <c r="E93" s="1" t="s">
        <v>24</v>
      </c>
      <c r="F93" s="1">
        <v>30</v>
      </c>
      <c r="G93" s="1">
        <v>1</v>
      </c>
    </row>
    <row r="94" spans="1:7" x14ac:dyDescent="0.3">
      <c r="A94" s="1">
        <v>2</v>
      </c>
      <c r="B94" s="1">
        <v>1</v>
      </c>
      <c r="C94" s="1" t="s">
        <v>24</v>
      </c>
      <c r="D94" s="1">
        <v>21</v>
      </c>
      <c r="E94" s="1" t="s">
        <v>24</v>
      </c>
      <c r="F94" s="1">
        <v>38</v>
      </c>
      <c r="G94" s="1">
        <v>1</v>
      </c>
    </row>
    <row r="95" spans="1:7" x14ac:dyDescent="0.3">
      <c r="A95" s="1">
        <v>2</v>
      </c>
      <c r="B95" s="1">
        <v>1</v>
      </c>
      <c r="C95" s="1" t="s">
        <v>24</v>
      </c>
      <c r="D95" s="1">
        <v>48</v>
      </c>
      <c r="E95" s="1" t="s">
        <v>24</v>
      </c>
      <c r="F95" s="1">
        <v>43</v>
      </c>
      <c r="G95" s="1">
        <v>0</v>
      </c>
    </row>
    <row r="96" spans="1:7" x14ac:dyDescent="0.3">
      <c r="A96" s="1">
        <v>2</v>
      </c>
      <c r="B96" s="1">
        <v>1</v>
      </c>
      <c r="C96" s="1" t="s">
        <v>24</v>
      </c>
      <c r="D96" s="1">
        <v>51</v>
      </c>
      <c r="E96" s="1" t="s">
        <v>24</v>
      </c>
      <c r="F96" s="1">
        <v>34</v>
      </c>
      <c r="G96" s="1">
        <v>0</v>
      </c>
    </row>
    <row r="97" spans="1:7" x14ac:dyDescent="0.3">
      <c r="A97" s="1">
        <v>2</v>
      </c>
      <c r="B97" s="1">
        <v>1</v>
      </c>
      <c r="C97" s="1" t="s">
        <v>24</v>
      </c>
      <c r="D97" s="1">
        <v>18</v>
      </c>
      <c r="E97" s="1" t="s">
        <v>24</v>
      </c>
      <c r="F97" s="1">
        <v>51</v>
      </c>
      <c r="G97" s="1">
        <v>1</v>
      </c>
    </row>
    <row r="98" spans="1:7" x14ac:dyDescent="0.3">
      <c r="A98" s="1">
        <v>2</v>
      </c>
      <c r="B98" s="1">
        <v>1</v>
      </c>
      <c r="C98" s="1" t="s">
        <v>24</v>
      </c>
      <c r="D98" s="1">
        <v>36</v>
      </c>
      <c r="E98" s="1" t="s">
        <v>24</v>
      </c>
      <c r="F98" s="1">
        <v>62</v>
      </c>
      <c r="G98" s="1">
        <v>1</v>
      </c>
    </row>
    <row r="99" spans="1:7" x14ac:dyDescent="0.3">
      <c r="A99" s="1">
        <v>2</v>
      </c>
      <c r="B99" s="1">
        <v>1</v>
      </c>
      <c r="C99" s="1" t="s">
        <v>24</v>
      </c>
      <c r="D99" s="1">
        <v>25</v>
      </c>
      <c r="E99" s="1" t="s">
        <v>24</v>
      </c>
      <c r="F99" s="1">
        <v>34</v>
      </c>
      <c r="G99" s="1">
        <v>1</v>
      </c>
    </row>
    <row r="100" spans="1:7" x14ac:dyDescent="0.3">
      <c r="A100" s="1">
        <v>2</v>
      </c>
      <c r="B100" s="1">
        <v>1</v>
      </c>
      <c r="C100" s="1" t="s">
        <v>24</v>
      </c>
      <c r="D100" s="1">
        <v>41</v>
      </c>
      <c r="E100" s="1" t="s">
        <v>24</v>
      </c>
      <c r="F100" s="1">
        <v>62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BigConvVSSmallLinearModel</vt:lpstr>
      <vt:lpstr>BigConvVSSmallLinearModelWithMC</vt:lpstr>
      <vt:lpstr>ConvVSLinearBigModel</vt:lpstr>
      <vt:lpstr>ConvVSLinearBigModelWithMCTS</vt:lpstr>
      <vt:lpstr>ConvVSLinearSmallModel</vt:lpstr>
      <vt:lpstr>ConvVSLinearSmallModelWithMCTS</vt:lpstr>
      <vt:lpstr>SmallConvVSBigLinearModel</vt:lpstr>
      <vt:lpstr>SmallConvVSBigLinearModelWithMC</vt:lpstr>
      <vt:lpstr>SmallVSBigConvModel</vt:lpstr>
      <vt:lpstr>SmallVSBigConvModelWithMCTS</vt:lpstr>
      <vt:lpstr>SmallVSBigLinearModel</vt:lpstr>
      <vt:lpstr>SmallVSBigLinearModelWithMCTS</vt:lpstr>
      <vt:lpstr>BigConvVSSmallLinearModelCustom</vt:lpstr>
      <vt:lpstr>BigLinearVSBigConvModelCustomEv</vt:lpstr>
      <vt:lpstr>BigLinearVSSmallLinearModelCust</vt:lpstr>
      <vt:lpstr>SmallConvVSBigConvModelCustomEv</vt:lpstr>
      <vt:lpstr>SmallConvVSBigLinearModelCustom</vt:lpstr>
      <vt:lpstr>SmallConvVSSmallLinearModelCust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Augustinas Jarockis</dc:creator>
  <cp:lastModifiedBy>Augustinas Jarockis</cp:lastModifiedBy>
  <dcterms:created xsi:type="dcterms:W3CDTF">2015-06-05T18:17:20Z</dcterms:created>
  <dcterms:modified xsi:type="dcterms:W3CDTF">2026-05-23T12:39:33Z</dcterms:modified>
</cp:coreProperties>
</file>
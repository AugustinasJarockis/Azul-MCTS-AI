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rau\Downloads\FinalValueAttempt\FinalValueAttempt\"/>
    </mc:Choice>
  </mc:AlternateContent>
  <xr:revisionPtr revIDLastSave="0" documentId="13_ncr:1_{85F59F17-0DE4-4499-AAA7-B4C6285BC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cyOnlyVSMCTSnNNAI" sheetId="2" r:id="rId1"/>
    <sheet name="MCTSnPolicyVSMCTSnNNAI" sheetId="3" r:id="rId2"/>
    <sheet name="MCTSnNNAIVSMinimaxAI" sheetId="4" r:id="rId3"/>
    <sheet name="MCTSnNNAIVSMCTSAIScoreDiffAvg" sheetId="5" r:id="rId4"/>
    <sheet name="MCTSnCustomEvalVSMCTSnNNAI" sheetId="6" r:id="rId5"/>
    <sheet name="HeuristicVSMCTSnNNAI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6" l="1"/>
  <c r="K22" i="6"/>
  <c r="I22" i="6"/>
  <c r="M20" i="6"/>
  <c r="K20" i="6"/>
  <c r="I20" i="6"/>
  <c r="O14" i="2"/>
  <c r="O14" i="2" a="1"/>
  <c r="M14" i="2" a="1"/>
  <c r="M14" i="2" s="1"/>
  <c r="K14" i="2"/>
  <c r="K14" i="2" a="1"/>
  <c r="O12" i="2" a="1"/>
  <c r="O12" i="2" s="1"/>
  <c r="M12" i="2"/>
  <c r="M12" i="2" a="1"/>
  <c r="K12" i="2"/>
  <c r="O10" i="2" a="1"/>
  <c r="O10" i="2" s="1"/>
  <c r="M10" i="2" a="1"/>
  <c r="M10" i="2" s="1"/>
  <c r="K10" i="2"/>
  <c r="O5" i="2"/>
  <c r="M5" i="2"/>
  <c r="K5" i="2"/>
  <c r="Q3" i="2" a="1"/>
  <c r="Q3" i="2" s="1"/>
  <c r="O3" i="2"/>
  <c r="M3" i="2"/>
  <c r="K3" i="2"/>
  <c r="O14" i="3"/>
  <c r="O14" i="3" a="1"/>
  <c r="M14" i="3" a="1"/>
  <c r="M14" i="3" s="1"/>
  <c r="K14" i="3" a="1"/>
  <c r="K14" i="3" s="1"/>
  <c r="O12" i="3" a="1"/>
  <c r="O12" i="3" s="1"/>
  <c r="M12" i="3"/>
  <c r="M12" i="3" a="1"/>
  <c r="K12" i="3"/>
  <c r="O10" i="3"/>
  <c r="O10" i="3" a="1"/>
  <c r="M10" i="3"/>
  <c r="M10" i="3" a="1"/>
  <c r="K10" i="3"/>
  <c r="O5" i="3"/>
  <c r="M5" i="3"/>
  <c r="K5" i="3"/>
  <c r="Q3" i="3" a="1"/>
  <c r="Q3" i="3" s="1"/>
  <c r="O3" i="3"/>
  <c r="M3" i="3"/>
  <c r="K3" i="3"/>
  <c r="O14" i="4"/>
  <c r="O14" i="4" a="1"/>
  <c r="M14" i="4" a="1"/>
  <c r="M14" i="4" s="1"/>
  <c r="K14" i="4" a="1"/>
  <c r="K14" i="4" s="1"/>
  <c r="O12" i="4" a="1"/>
  <c r="O12" i="4" s="1"/>
  <c r="M12" i="4"/>
  <c r="M12" i="4" a="1"/>
  <c r="K12" i="4"/>
  <c r="O10" i="4" a="1"/>
  <c r="O10" i="4" s="1"/>
  <c r="M10" i="4"/>
  <c r="M10" i="4" a="1"/>
  <c r="K10" i="4"/>
  <c r="O5" i="4"/>
  <c r="M5" i="4"/>
  <c r="K5" i="4"/>
  <c r="Q3" i="4" a="1"/>
  <c r="Q3" i="4" s="1"/>
  <c r="O3" i="4"/>
  <c r="M3" i="4"/>
  <c r="K3" i="4"/>
  <c r="O14" i="5" a="1"/>
  <c r="O14" i="5" s="1"/>
  <c r="M14" i="5"/>
  <c r="M14" i="5" a="1"/>
  <c r="K14" i="5" a="1"/>
  <c r="K14" i="5" s="1"/>
  <c r="O12" i="5"/>
  <c r="O12" i="5" a="1"/>
  <c r="M12" i="5" a="1"/>
  <c r="M12" i="5" s="1"/>
  <c r="K12" i="5"/>
  <c r="O10" i="5"/>
  <c r="O10" i="5" a="1"/>
  <c r="M10" i="5" a="1"/>
  <c r="M10" i="5" s="1"/>
  <c r="K10" i="5"/>
  <c r="O5" i="5"/>
  <c r="M5" i="5"/>
  <c r="K5" i="5"/>
  <c r="Q3" i="5" a="1"/>
  <c r="Q3" i="5" s="1"/>
  <c r="O3" i="5"/>
  <c r="M3" i="5"/>
  <c r="K3" i="5"/>
  <c r="O14" i="6" a="1"/>
  <c r="O14" i="6" s="1"/>
  <c r="M14" i="6" a="1"/>
  <c r="M14" i="6" s="1"/>
  <c r="K14" i="6" a="1"/>
  <c r="K14" i="6" s="1"/>
  <c r="O12" i="6" a="1"/>
  <c r="O12" i="6" s="1"/>
  <c r="M12" i="6" a="1"/>
  <c r="M12" i="6" s="1"/>
  <c r="K12" i="6"/>
  <c r="O10" i="6" a="1"/>
  <c r="O10" i="6" s="1"/>
  <c r="M10" i="6" a="1"/>
  <c r="M10" i="6" s="1"/>
  <c r="K10" i="6"/>
  <c r="O5" i="6"/>
  <c r="M5" i="6"/>
  <c r="K5" i="6"/>
  <c r="Q3" i="6" a="1"/>
  <c r="Q3" i="6" s="1"/>
  <c r="O3" i="6"/>
  <c r="M3" i="6"/>
  <c r="K3" i="6"/>
  <c r="O14" i="7" a="1"/>
  <c r="O14" i="7" s="1"/>
  <c r="M14" i="7" a="1"/>
  <c r="M14" i="7" s="1"/>
  <c r="K14" i="7" a="1"/>
  <c r="K14" i="7" s="1"/>
  <c r="O12" i="7" a="1"/>
  <c r="O12" i="7" s="1"/>
  <c r="M12" i="7" a="1"/>
  <c r="M12" i="7" s="1"/>
  <c r="K12" i="7"/>
  <c r="O10" i="7" a="1"/>
  <c r="O10" i="7" s="1"/>
  <c r="M10" i="7" a="1"/>
  <c r="M10" i="7" s="1"/>
  <c r="K10" i="7"/>
  <c r="O5" i="7"/>
  <c r="M5" i="7"/>
  <c r="K5" i="7"/>
  <c r="Q3" i="7" a="1"/>
  <c r="Q3" i="7" s="1"/>
  <c r="O3" i="7"/>
  <c r="M3" i="7"/>
  <c r="K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<sst xmlns="http://schemas.openxmlformats.org/spreadsheetml/2006/main" count="1278" uniqueCount="23">
  <si>
    <t xml:space="preserve"> AzulAIAndGameState.Players.MCTS_NN.MCTSnNNAI</t>
  </si>
  <si>
    <t xml:space="preserve"> AzulAIAndGameState.Players.MCTS_CNN.PolicyNetworkAI</t>
  </si>
  <si>
    <t xml:space="preserve"> AzulAIAndGameState.Players.MCTS_NN.MCTSnPolicy</t>
  </si>
  <si>
    <t xml:space="preserve"> AzulAIAndGameState.Players.MiniMax.MinimaxAI</t>
  </si>
  <si>
    <t xml:space="preserve"> AzulBoardGame.Players.MCTS.MCTSVariants.MCTSAIScoreDiffAvg</t>
  </si>
  <si>
    <t xml:space="preserve"> AzulAIAndGameState.Players.MCTS_NN.MCTSnCustomEval</t>
  </si>
  <si>
    <t xml:space="preserve"> AzulBoardGame.Players.HeuristicAI</t>
  </si>
  <si>
    <t>Bendru atveju</t>
  </si>
  <si>
    <t>Kai pradeda pirmas žaidėjas</t>
  </si>
  <si>
    <t>Kai pradeda antras žaidėjas</t>
  </si>
  <si>
    <t>Lygu</t>
  </si>
  <si>
    <t>Pirmo žaidėjo pergalių skaičius</t>
  </si>
  <si>
    <t>Antro žaidėjo pergalių skaičius</t>
  </si>
  <si>
    <t>Pirmo žaidėjo pergalės atveju</t>
  </si>
  <si>
    <t>Antro žaidėjo pergalės atveju</t>
  </si>
  <si>
    <t>Pirmo žaidėjo taškų vidurkis</t>
  </si>
  <si>
    <t>Antro žaidėjo taškų vidurkis</t>
  </si>
  <si>
    <t>Vidutinė pirmo žaidėjo taškų persvara</t>
  </si>
  <si>
    <t>Euristinio pergalės</t>
  </si>
  <si>
    <t>Atsitiktinio pergalės</t>
  </si>
  <si>
    <t>Lygiosios</t>
  </si>
  <si>
    <r>
      <t xml:space="preserve">Kai pradeda </t>
    </r>
    <r>
      <rPr>
        <i/>
        <sz val="11"/>
        <color theme="1"/>
        <rFont val="Calibri"/>
        <family val="2"/>
        <scheme val="minor"/>
      </rPr>
      <t>MK+N+I</t>
    </r>
  </si>
  <si>
    <r>
      <t xml:space="preserve">Kai pradeda </t>
    </r>
    <r>
      <rPr>
        <i/>
        <sz val="11"/>
        <color theme="1"/>
        <rFont val="Calibri"/>
        <family val="2"/>
        <scheme val="minor"/>
      </rPr>
      <t>MK+N+E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</si>
</sst>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/>
    </xf>
  </cellXfs>
  <cellStyles count="2">
    <cellStyle name="Normal" xfId="0" builtinId="0"/>
    <cellStyle name="Normal 2" xfId="1" xr:uid="{8541B499-8449-40B9-8193-945D1EA56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MK+N+E pergalės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MCTSnCustomEvalVSMCTSnNNAI!$I$19:$N$19</c15:sqref>
                  </c15:fullRef>
                </c:ext>
              </c:extLst>
              <c:f>(MCTSnCustomEvalVSMCTSnNNAI!$I$19,MCTSnCustomEvalVSMCTSnNNAI!$K$19,MCTSnCustomEvalVSMCTSnNNAI!$M$19)</c:f>
              <c:strCache>
                <c:ptCount val="3"/>
                <c:pt idx="0">
                  <c:v>Bendru atveju</c:v>
                </c:pt>
                <c:pt idx="1">
                  <c:v>Kai pradeda MK+N+E</c:v>
                </c:pt>
                <c:pt idx="2">
                  <c:v>Kai pradeda MK+N+I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MCTSnCustomEvalVSMCTSnNNAI!$I$20:$N$20</c15:sqref>
                  </c15:fullRef>
                </c:ext>
              </c:extLst>
              <c:f>(MCTSnCustomEvalVSMCTSnNNAI!$I$20,MCTSnCustomEvalVSMCTSnNNAI!$K$20,MCTSnCustomEvalVSMCTSnNNAI!$M$20)</c:f>
              <c:numCache>
                <c:formatCode>0%</c:formatCode>
                <c:ptCount val="3"/>
                <c:pt idx="0">
                  <c:v>0.39</c:v>
                </c:pt>
                <c:pt idx="1">
                  <c:v>0.5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9-4413-BCD1-371AF62386C5}"/>
            </c:ext>
          </c:extLst>
        </c:ser>
        <c:ser>
          <c:idx val="2"/>
          <c:order val="1"/>
          <c:tx>
            <c:v>MK+N+I pergalės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MCTSnCustomEvalVSMCTSnNNAI!$I$19:$N$19</c15:sqref>
                  </c15:fullRef>
                </c:ext>
              </c:extLst>
              <c:f>(MCTSnCustomEvalVSMCTSnNNAI!$I$19,MCTSnCustomEvalVSMCTSnNNAI!$K$19,MCTSnCustomEvalVSMCTSnNNAI!$M$19)</c:f>
              <c:strCache>
                <c:ptCount val="3"/>
                <c:pt idx="0">
                  <c:v>Bendru atveju</c:v>
                </c:pt>
                <c:pt idx="1">
                  <c:v>Kai pradeda MK+N+E</c:v>
                </c:pt>
                <c:pt idx="2">
                  <c:v>Kai pradeda MK+N+I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MCTSnCustomEvalVSMCTSnNNAI!$I$22:$N$22</c15:sqref>
                  </c15:fullRef>
                </c:ext>
              </c:extLst>
              <c:f>(MCTSnCustomEvalVSMCTSnNNAI!$I$22,MCTSnCustomEvalVSMCTSnNNAI!$K$22,MCTSnCustomEvalVSMCTSnNNAI!$M$22)</c:f>
              <c:numCache>
                <c:formatCode>0%</c:formatCode>
                <c:ptCount val="3"/>
                <c:pt idx="0">
                  <c:v>0.61</c:v>
                </c:pt>
                <c:pt idx="1">
                  <c:v>0.5</c:v>
                </c:pt>
                <c:pt idx="2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9-4413-BCD1-371AF62386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5868639"/>
        <c:axId val="855867199"/>
      </c:barChart>
      <c:catAx>
        <c:axId val="8558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67199"/>
        <c:crosses val="autoZero"/>
        <c:auto val="1"/>
        <c:lblAlgn val="ctr"/>
        <c:lblOffset val="100"/>
        <c:noMultiLvlLbl val="0"/>
      </c:catAx>
      <c:valAx>
        <c:axId val="8558671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102870</xdr:rowOff>
    </xdr:from>
    <xdr:to>
      <xdr:col>15</xdr:col>
      <xdr:colOff>304800</xdr:colOff>
      <xdr:row>31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3FE4C2-216F-9315-2E41-4FE1C0CF1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1745-E56F-4E2A-A240-F479728B70D2}">
  <dimension ref="A1:Q100"/>
  <sheetViews>
    <sheetView tabSelected="1" workbookViewId="0">
      <selection activeCell="Q23" sqref="Q23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10</v>
      </c>
      <c r="E1" s="1" t="s">
        <v>0</v>
      </c>
      <c r="F1" s="1">
        <v>18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9</v>
      </c>
      <c r="E2" s="1" t="s">
        <v>0</v>
      </c>
      <c r="F2" s="1">
        <v>44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1</v>
      </c>
      <c r="D3" s="1">
        <v>25</v>
      </c>
      <c r="E3" s="1" t="s">
        <v>0</v>
      </c>
      <c r="F3" s="1">
        <v>37</v>
      </c>
      <c r="G3" s="1">
        <v>1</v>
      </c>
      <c r="I3" s="5" t="s">
        <v>11</v>
      </c>
      <c r="J3" s="5"/>
      <c r="K3" s="9">
        <f>COUNTIF($G$1:$G$100, 0)</f>
        <v>4</v>
      </c>
      <c r="L3" s="9"/>
      <c r="M3" s="9">
        <f>COUNTIFS($G$1:$G$100, 0, $B$1:$B$100, 0)</f>
        <v>4</v>
      </c>
      <c r="N3" s="9"/>
      <c r="O3" s="10">
        <f>COUNTIFS($G$1:$G$100, 0, $B$1:$B$100, 1)</f>
        <v>0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1</v>
      </c>
      <c r="D4" s="1">
        <v>17</v>
      </c>
      <c r="E4" s="1" t="s">
        <v>0</v>
      </c>
      <c r="F4" s="1">
        <v>58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22</v>
      </c>
      <c r="E5" s="1" t="s">
        <v>0</v>
      </c>
      <c r="F5" s="1">
        <v>27</v>
      </c>
      <c r="G5" s="1">
        <v>1</v>
      </c>
      <c r="I5" s="5" t="s">
        <v>12</v>
      </c>
      <c r="J5" s="5"/>
      <c r="K5" s="14">
        <f>COUNTIF($G$1:$G$100, 1)</f>
        <v>96</v>
      </c>
      <c r="L5" s="9"/>
      <c r="M5" s="9">
        <f>COUNTIFS($G$1:$G$100, 1, $B$1:$B$100, 0)</f>
        <v>46</v>
      </c>
      <c r="N5" s="9"/>
      <c r="O5" s="9">
        <f>COUNTIFS($G$1:$G$100, 1, $B$1:$B$100, 1)</f>
        <v>50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3</v>
      </c>
      <c r="E6" s="1" t="s">
        <v>0</v>
      </c>
      <c r="F6" s="1">
        <v>39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6</v>
      </c>
      <c r="E7" s="1" t="s">
        <v>0</v>
      </c>
      <c r="F7" s="1">
        <v>31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9</v>
      </c>
      <c r="E8" s="1" t="s">
        <v>0</v>
      </c>
      <c r="F8" s="1">
        <v>41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41</v>
      </c>
      <c r="E9" s="1" t="s">
        <v>0</v>
      </c>
      <c r="F9" s="1">
        <v>49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10</v>
      </c>
      <c r="E10" s="1" t="s">
        <v>0</v>
      </c>
      <c r="F10" s="1">
        <v>34</v>
      </c>
      <c r="G10" s="1">
        <v>1</v>
      </c>
      <c r="I10" s="5" t="s">
        <v>15</v>
      </c>
      <c r="J10" s="5"/>
      <c r="K10" s="9">
        <f>AVERAGE($D$1:$D$100,)</f>
        <v>11.861386138613861</v>
      </c>
      <c r="L10" s="9"/>
      <c r="M10" s="9" cm="1">
        <f t="array" ref="M10">AVERAGE(_xlfn._xlws.FILTER($D$1:$D$100,$G$1:$G$100 = 0))</f>
        <v>29.25</v>
      </c>
      <c r="N10" s="9"/>
      <c r="O10" s="10" cm="1">
        <f t="array" ref="O10">AVERAGE(_xlfn._xlws.FILTER($D$1:$D$100,$G$1:$G$100 = 1))</f>
        <v>11.260416666666666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44</v>
      </c>
      <c r="E11" s="1" t="s">
        <v>0</v>
      </c>
      <c r="F11" s="1">
        <v>47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15</v>
      </c>
      <c r="E12" s="1" t="s">
        <v>0</v>
      </c>
      <c r="F12" s="1">
        <v>41</v>
      </c>
      <c r="G12" s="1">
        <v>1</v>
      </c>
      <c r="I12" s="5" t="s">
        <v>16</v>
      </c>
      <c r="J12" s="5"/>
      <c r="K12" s="9">
        <f>AVERAGE($F$1:$F$100,)</f>
        <v>37.603960396039604</v>
      </c>
      <c r="L12" s="9"/>
      <c r="M12" s="9" cm="1">
        <f t="array" ref="M12">AVERAGE(_xlfn._xlws.FILTER($F$1:$F$100,$G$1:$G$100 = 0))</f>
        <v>23.75</v>
      </c>
      <c r="N12" s="9"/>
      <c r="O12" s="9" cm="1">
        <f t="array" ref="O12">AVERAGE(_xlfn._xlws.FILTER($F$1:$F$100,$G$1:$G$100 = 1))</f>
        <v>38.572916666666664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0</v>
      </c>
      <c r="E13" s="1" t="s">
        <v>0</v>
      </c>
      <c r="F13" s="1">
        <v>2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19</v>
      </c>
      <c r="E14" s="1" t="s">
        <v>0</v>
      </c>
      <c r="F14" s="1">
        <v>51</v>
      </c>
      <c r="G14" s="1">
        <v>1</v>
      </c>
      <c r="I14" s="22" t="s">
        <v>17</v>
      </c>
      <c r="J14" s="11"/>
      <c r="K14" s="23" cm="1">
        <f t="array" ref="K14">AVERAGE($D$1:$D$100 - $F$1:$F$100)</f>
        <v>-26</v>
      </c>
      <c r="L14" s="23"/>
      <c r="M14" s="23" cm="1">
        <f t="array" ref="M14">AVERAGE(_xlfn._xlws.FILTER($D$1:$D$100 - $F$1:$F$100, G$1:G$100 = 0))</f>
        <v>5.5</v>
      </c>
      <c r="N14" s="23"/>
      <c r="O14" s="23" cm="1">
        <f t="array" ref="O14">AVERAGE(_xlfn._xlws.FILTER($D$1:$D$100 - $F$1:$F$100, G$1:G$100 = 1))</f>
        <v>-27.3125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20</v>
      </c>
      <c r="E15" s="1" t="s">
        <v>0</v>
      </c>
      <c r="F15" s="1">
        <v>35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2</v>
      </c>
      <c r="E16" s="1" t="s">
        <v>0</v>
      </c>
      <c r="F16" s="1">
        <v>49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5</v>
      </c>
      <c r="E17" s="1" t="s">
        <v>0</v>
      </c>
      <c r="F17" s="1">
        <v>28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2</v>
      </c>
      <c r="E18" s="1" t="s">
        <v>0</v>
      </c>
      <c r="F18" s="1">
        <v>41</v>
      </c>
      <c r="G18" s="1">
        <v>1</v>
      </c>
    </row>
    <row r="19" spans="1:7" x14ac:dyDescent="0.3">
      <c r="A19" s="1">
        <v>2</v>
      </c>
      <c r="B19" s="1">
        <v>0</v>
      </c>
      <c r="C19" s="1" t="s">
        <v>1</v>
      </c>
      <c r="D19" s="1">
        <v>11</v>
      </c>
      <c r="E19" s="1" t="s">
        <v>0</v>
      </c>
      <c r="F19" s="1">
        <v>43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2</v>
      </c>
      <c r="E20" s="1" t="s">
        <v>0</v>
      </c>
      <c r="F20" s="1">
        <v>38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12</v>
      </c>
      <c r="E21" s="1" t="s">
        <v>0</v>
      </c>
      <c r="F21" s="1">
        <v>27</v>
      </c>
      <c r="G21" s="1">
        <v>1</v>
      </c>
    </row>
    <row r="22" spans="1:7" x14ac:dyDescent="0.3">
      <c r="A22" s="1">
        <v>2</v>
      </c>
      <c r="B22" s="1">
        <v>0</v>
      </c>
      <c r="C22" s="1" t="s">
        <v>1</v>
      </c>
      <c r="D22" s="1">
        <v>11</v>
      </c>
      <c r="E22" s="1" t="s">
        <v>0</v>
      </c>
      <c r="F22" s="1">
        <v>23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20</v>
      </c>
      <c r="E23" s="1" t="s">
        <v>0</v>
      </c>
      <c r="F23" s="1">
        <v>67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7</v>
      </c>
      <c r="E24" s="1" t="s">
        <v>0</v>
      </c>
      <c r="F24" s="1">
        <v>36</v>
      </c>
      <c r="G24" s="1">
        <v>1</v>
      </c>
    </row>
    <row r="25" spans="1:7" x14ac:dyDescent="0.3">
      <c r="A25" s="1">
        <v>2</v>
      </c>
      <c r="B25" s="1">
        <v>0</v>
      </c>
      <c r="C25" s="1" t="s">
        <v>1</v>
      </c>
      <c r="D25" s="1">
        <v>15</v>
      </c>
      <c r="E25" s="1" t="s">
        <v>0</v>
      </c>
      <c r="F25" s="1">
        <v>39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22</v>
      </c>
      <c r="E26" s="1" t="s">
        <v>0</v>
      </c>
      <c r="F26" s="1">
        <v>31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31</v>
      </c>
      <c r="E27" s="1" t="s">
        <v>0</v>
      </c>
      <c r="F27" s="1">
        <v>49</v>
      </c>
      <c r="G27" s="1">
        <v>1</v>
      </c>
    </row>
    <row r="28" spans="1:7" x14ac:dyDescent="0.3">
      <c r="A28" s="1">
        <v>2</v>
      </c>
      <c r="B28" s="1">
        <v>0</v>
      </c>
      <c r="C28" s="1" t="s">
        <v>1</v>
      </c>
      <c r="D28" s="1">
        <v>2</v>
      </c>
      <c r="E28" s="1" t="s">
        <v>0</v>
      </c>
      <c r="F28" s="1">
        <v>37</v>
      </c>
      <c r="G28" s="1">
        <v>1</v>
      </c>
    </row>
    <row r="29" spans="1:7" x14ac:dyDescent="0.3">
      <c r="A29" s="1">
        <v>2</v>
      </c>
      <c r="B29" s="1">
        <v>0</v>
      </c>
      <c r="C29" s="1" t="s">
        <v>1</v>
      </c>
      <c r="D29" s="1">
        <v>14</v>
      </c>
      <c r="E29" s="1" t="s">
        <v>0</v>
      </c>
      <c r="F29" s="1">
        <v>10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9</v>
      </c>
      <c r="E30" s="1" t="s">
        <v>0</v>
      </c>
      <c r="F30" s="1">
        <v>62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42</v>
      </c>
      <c r="E31" s="1" t="s">
        <v>0</v>
      </c>
      <c r="F31" s="1">
        <v>50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6</v>
      </c>
      <c r="E32" s="1" t="s">
        <v>0</v>
      </c>
      <c r="F32" s="1">
        <v>50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7</v>
      </c>
      <c r="E33" s="1" t="s">
        <v>0</v>
      </c>
      <c r="F33" s="1">
        <v>34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3</v>
      </c>
      <c r="E34" s="1" t="s">
        <v>0</v>
      </c>
      <c r="F34" s="1">
        <v>5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7</v>
      </c>
      <c r="E35" s="1" t="s">
        <v>0</v>
      </c>
      <c r="F35" s="1">
        <v>35</v>
      </c>
      <c r="G35" s="1">
        <v>1</v>
      </c>
    </row>
    <row r="36" spans="1:7" x14ac:dyDescent="0.3">
      <c r="A36" s="1">
        <v>2</v>
      </c>
      <c r="B36" s="1">
        <v>0</v>
      </c>
      <c r="C36" s="1" t="s">
        <v>1</v>
      </c>
      <c r="D36" s="1">
        <v>12</v>
      </c>
      <c r="E36" s="1" t="s">
        <v>0</v>
      </c>
      <c r="F36" s="1">
        <v>26</v>
      </c>
      <c r="G36" s="1">
        <v>1</v>
      </c>
    </row>
    <row r="37" spans="1:7" x14ac:dyDescent="0.3">
      <c r="A37" s="1">
        <v>2</v>
      </c>
      <c r="B37" s="1">
        <v>0</v>
      </c>
      <c r="C37" s="1" t="s">
        <v>1</v>
      </c>
      <c r="D37" s="1">
        <v>28</v>
      </c>
      <c r="E37" s="1" t="s">
        <v>0</v>
      </c>
      <c r="F37" s="1">
        <v>61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49</v>
      </c>
      <c r="E38" s="1" t="s">
        <v>0</v>
      </c>
      <c r="F38" s="1">
        <v>41</v>
      </c>
      <c r="G38" s="1">
        <v>0</v>
      </c>
    </row>
    <row r="39" spans="1:7" x14ac:dyDescent="0.3">
      <c r="A39" s="1">
        <v>2</v>
      </c>
      <c r="B39" s="1">
        <v>0</v>
      </c>
      <c r="C39" s="1" t="s">
        <v>1</v>
      </c>
      <c r="D39" s="1">
        <v>19</v>
      </c>
      <c r="E39" s="1" t="s">
        <v>0</v>
      </c>
      <c r="F39" s="1">
        <v>23</v>
      </c>
      <c r="G39" s="1">
        <v>1</v>
      </c>
    </row>
    <row r="40" spans="1:7" x14ac:dyDescent="0.3">
      <c r="A40" s="1">
        <v>2</v>
      </c>
      <c r="B40" s="1">
        <v>0</v>
      </c>
      <c r="C40" s="1" t="s">
        <v>1</v>
      </c>
      <c r="D40" s="1">
        <v>2</v>
      </c>
      <c r="E40" s="1" t="s">
        <v>0</v>
      </c>
      <c r="F40" s="1">
        <v>32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12</v>
      </c>
      <c r="E41" s="1" t="s">
        <v>0</v>
      </c>
      <c r="F41" s="1">
        <v>42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29</v>
      </c>
      <c r="E42" s="1" t="s">
        <v>0</v>
      </c>
      <c r="F42" s="1">
        <v>45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5</v>
      </c>
      <c r="E43" s="1" t="s">
        <v>0</v>
      </c>
      <c r="F43" s="1">
        <v>65</v>
      </c>
      <c r="G43" s="1">
        <v>1</v>
      </c>
    </row>
    <row r="44" spans="1:7" x14ac:dyDescent="0.3">
      <c r="A44" s="1">
        <v>2</v>
      </c>
      <c r="B44" s="1">
        <v>0</v>
      </c>
      <c r="C44" s="1" t="s">
        <v>1</v>
      </c>
      <c r="D44" s="1">
        <v>3</v>
      </c>
      <c r="E44" s="1" t="s">
        <v>0</v>
      </c>
      <c r="F44" s="1">
        <v>34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10</v>
      </c>
      <c r="E45" s="1" t="s">
        <v>0</v>
      </c>
      <c r="F45" s="1">
        <v>26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9</v>
      </c>
      <c r="E46" s="1" t="s">
        <v>0</v>
      </c>
      <c r="F46" s="1">
        <v>31</v>
      </c>
      <c r="G46" s="1">
        <v>1</v>
      </c>
    </row>
    <row r="47" spans="1:7" x14ac:dyDescent="0.3">
      <c r="A47" s="1">
        <v>2</v>
      </c>
      <c r="B47" s="1">
        <v>0</v>
      </c>
      <c r="C47" s="1" t="s">
        <v>1</v>
      </c>
      <c r="D47" s="1">
        <v>22</v>
      </c>
      <c r="E47" s="1" t="s">
        <v>0</v>
      </c>
      <c r="F47" s="1">
        <v>16</v>
      </c>
      <c r="G47" s="1">
        <v>0</v>
      </c>
    </row>
    <row r="48" spans="1:7" x14ac:dyDescent="0.3">
      <c r="A48" s="1">
        <v>2</v>
      </c>
      <c r="B48" s="1">
        <v>0</v>
      </c>
      <c r="C48" s="1" t="s">
        <v>1</v>
      </c>
      <c r="D48" s="1">
        <v>32</v>
      </c>
      <c r="E48" s="1" t="s">
        <v>0</v>
      </c>
      <c r="F48" s="1">
        <v>28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3</v>
      </c>
      <c r="E49" s="1" t="s">
        <v>0</v>
      </c>
      <c r="F49" s="1">
        <v>29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23</v>
      </c>
      <c r="E50" s="1" t="s">
        <v>0</v>
      </c>
      <c r="F50" s="1">
        <v>54</v>
      </c>
      <c r="G50" s="1">
        <v>1</v>
      </c>
    </row>
    <row r="51" spans="1:7" x14ac:dyDescent="0.3">
      <c r="A51" s="1">
        <v>2</v>
      </c>
      <c r="B51" s="1">
        <v>1</v>
      </c>
      <c r="C51" s="1" t="s">
        <v>1</v>
      </c>
      <c r="D51" s="1">
        <v>12</v>
      </c>
      <c r="E51" s="1" t="s">
        <v>0</v>
      </c>
      <c r="F51" s="1">
        <v>51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2</v>
      </c>
      <c r="E52" s="1" t="s">
        <v>0</v>
      </c>
      <c r="F52" s="1">
        <v>38</v>
      </c>
      <c r="G52" s="1">
        <v>1</v>
      </c>
    </row>
    <row r="53" spans="1:7" x14ac:dyDescent="0.3">
      <c r="A53" s="1">
        <v>2</v>
      </c>
      <c r="B53" s="1">
        <v>1</v>
      </c>
      <c r="C53" s="1" t="s">
        <v>1</v>
      </c>
      <c r="D53" s="1">
        <v>2</v>
      </c>
      <c r="E53" s="1" t="s">
        <v>0</v>
      </c>
      <c r="F53" s="1">
        <v>60</v>
      </c>
      <c r="G53" s="1">
        <v>1</v>
      </c>
    </row>
    <row r="54" spans="1:7" x14ac:dyDescent="0.3">
      <c r="A54" s="1">
        <v>2</v>
      </c>
      <c r="B54" s="1">
        <v>1</v>
      </c>
      <c r="C54" s="1" t="s">
        <v>1</v>
      </c>
      <c r="D54" s="1">
        <v>8</v>
      </c>
      <c r="E54" s="1" t="s">
        <v>0</v>
      </c>
      <c r="F54" s="1">
        <v>33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16</v>
      </c>
      <c r="E55" s="1" t="s">
        <v>0</v>
      </c>
      <c r="F55" s="1">
        <v>69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6</v>
      </c>
      <c r="E56" s="1" t="s">
        <v>0</v>
      </c>
      <c r="F56" s="1">
        <v>44</v>
      </c>
      <c r="G56" s="1">
        <v>1</v>
      </c>
    </row>
    <row r="57" spans="1:7" x14ac:dyDescent="0.3">
      <c r="A57" s="1">
        <v>2</v>
      </c>
      <c r="B57" s="1">
        <v>1</v>
      </c>
      <c r="C57" s="1" t="s">
        <v>1</v>
      </c>
      <c r="D57" s="1">
        <v>2</v>
      </c>
      <c r="E57" s="1" t="s">
        <v>0</v>
      </c>
      <c r="F57" s="1">
        <v>27</v>
      </c>
      <c r="G57" s="1">
        <v>1</v>
      </c>
    </row>
    <row r="58" spans="1:7" x14ac:dyDescent="0.3">
      <c r="A58" s="1">
        <v>2</v>
      </c>
      <c r="B58" s="1">
        <v>1</v>
      </c>
      <c r="C58" s="1" t="s">
        <v>1</v>
      </c>
      <c r="D58" s="1">
        <v>11</v>
      </c>
      <c r="E58" s="1" t="s">
        <v>0</v>
      </c>
      <c r="F58" s="1">
        <v>46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17</v>
      </c>
      <c r="E59" s="1" t="s">
        <v>0</v>
      </c>
      <c r="F59" s="1">
        <v>33</v>
      </c>
      <c r="G59" s="1">
        <v>1</v>
      </c>
    </row>
    <row r="60" spans="1:7" x14ac:dyDescent="0.3">
      <c r="A60" s="1">
        <v>2</v>
      </c>
      <c r="B60" s="1">
        <v>1</v>
      </c>
      <c r="C60" s="1" t="s">
        <v>1</v>
      </c>
      <c r="D60" s="1">
        <v>10</v>
      </c>
      <c r="E60" s="1" t="s">
        <v>0</v>
      </c>
      <c r="F60" s="1">
        <v>41</v>
      </c>
      <c r="G60" s="1">
        <v>1</v>
      </c>
    </row>
    <row r="61" spans="1:7" x14ac:dyDescent="0.3">
      <c r="A61" s="1">
        <v>2</v>
      </c>
      <c r="B61" s="1">
        <v>1</v>
      </c>
      <c r="C61" s="1" t="s">
        <v>1</v>
      </c>
      <c r="D61" s="1">
        <v>13</v>
      </c>
      <c r="E61" s="1" t="s">
        <v>0</v>
      </c>
      <c r="F61" s="1">
        <v>47</v>
      </c>
      <c r="G61" s="1">
        <v>1</v>
      </c>
    </row>
    <row r="62" spans="1:7" x14ac:dyDescent="0.3">
      <c r="A62" s="1">
        <v>2</v>
      </c>
      <c r="B62" s="1">
        <v>1</v>
      </c>
      <c r="C62" s="1" t="s">
        <v>1</v>
      </c>
      <c r="D62" s="1">
        <v>9</v>
      </c>
      <c r="E62" s="1" t="s">
        <v>0</v>
      </c>
      <c r="F62" s="1">
        <v>43</v>
      </c>
      <c r="G62" s="1">
        <v>1</v>
      </c>
    </row>
    <row r="63" spans="1:7" x14ac:dyDescent="0.3">
      <c r="A63" s="1">
        <v>2</v>
      </c>
      <c r="B63" s="1">
        <v>1</v>
      </c>
      <c r="C63" s="1" t="s">
        <v>1</v>
      </c>
      <c r="D63" s="1">
        <v>3</v>
      </c>
      <c r="E63" s="1" t="s">
        <v>0</v>
      </c>
      <c r="F63" s="1">
        <v>35</v>
      </c>
      <c r="G63" s="1">
        <v>1</v>
      </c>
    </row>
    <row r="64" spans="1:7" x14ac:dyDescent="0.3">
      <c r="A64" s="1">
        <v>2</v>
      </c>
      <c r="B64" s="1">
        <v>1</v>
      </c>
      <c r="C64" s="1" t="s">
        <v>1</v>
      </c>
      <c r="D64" s="1">
        <v>7</v>
      </c>
      <c r="E64" s="1" t="s">
        <v>0</v>
      </c>
      <c r="F64" s="1">
        <v>13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0</v>
      </c>
      <c r="E65" s="1" t="s">
        <v>0</v>
      </c>
      <c r="F65" s="1">
        <v>19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14</v>
      </c>
      <c r="E66" s="1" t="s">
        <v>0</v>
      </c>
      <c r="F66" s="1">
        <v>42</v>
      </c>
      <c r="G66" s="1">
        <v>1</v>
      </c>
    </row>
    <row r="67" spans="1:7" x14ac:dyDescent="0.3">
      <c r="A67" s="1">
        <v>2</v>
      </c>
      <c r="B67" s="1">
        <v>1</v>
      </c>
      <c r="C67" s="1" t="s">
        <v>1</v>
      </c>
      <c r="D67" s="1">
        <v>23</v>
      </c>
      <c r="E67" s="1" t="s">
        <v>0</v>
      </c>
      <c r="F67" s="1">
        <v>51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4</v>
      </c>
      <c r="E68" s="1" t="s">
        <v>0</v>
      </c>
      <c r="F68" s="1">
        <v>74</v>
      </c>
      <c r="G68" s="1">
        <v>1</v>
      </c>
    </row>
    <row r="69" spans="1:7" x14ac:dyDescent="0.3">
      <c r="A69" s="1">
        <v>2</v>
      </c>
      <c r="B69" s="1">
        <v>1</v>
      </c>
      <c r="C69" s="1" t="s">
        <v>1</v>
      </c>
      <c r="D69" s="1">
        <v>27</v>
      </c>
      <c r="E69" s="1" t="s">
        <v>0</v>
      </c>
      <c r="F69" s="1">
        <v>44</v>
      </c>
      <c r="G69" s="1">
        <v>1</v>
      </c>
    </row>
    <row r="70" spans="1:7" x14ac:dyDescent="0.3">
      <c r="A70" s="1">
        <v>2</v>
      </c>
      <c r="B70" s="1">
        <v>1</v>
      </c>
      <c r="C70" s="1" t="s">
        <v>1</v>
      </c>
      <c r="D70" s="1">
        <v>8</v>
      </c>
      <c r="E70" s="1" t="s">
        <v>0</v>
      </c>
      <c r="F70" s="1">
        <v>38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18</v>
      </c>
      <c r="E71" s="1" t="s">
        <v>0</v>
      </c>
      <c r="F71" s="1">
        <v>39</v>
      </c>
      <c r="G71" s="1">
        <v>1</v>
      </c>
    </row>
    <row r="72" spans="1:7" x14ac:dyDescent="0.3">
      <c r="A72" s="1">
        <v>2</v>
      </c>
      <c r="B72" s="1">
        <v>1</v>
      </c>
      <c r="C72" s="1" t="s">
        <v>1</v>
      </c>
      <c r="D72" s="1">
        <v>20</v>
      </c>
      <c r="E72" s="1" t="s">
        <v>0</v>
      </c>
      <c r="F72" s="1">
        <v>48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25</v>
      </c>
      <c r="E73" s="1" t="s">
        <v>0</v>
      </c>
      <c r="F73" s="1">
        <v>33</v>
      </c>
      <c r="G73" s="1">
        <v>1</v>
      </c>
    </row>
    <row r="74" spans="1:7" x14ac:dyDescent="0.3">
      <c r="A74" s="1">
        <v>2</v>
      </c>
      <c r="B74" s="1">
        <v>1</v>
      </c>
      <c r="C74" s="1" t="s">
        <v>1</v>
      </c>
      <c r="D74" s="1">
        <v>3</v>
      </c>
      <c r="E74" s="1" t="s">
        <v>0</v>
      </c>
      <c r="F74" s="1">
        <v>42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0</v>
      </c>
      <c r="E75" s="1" t="s">
        <v>0</v>
      </c>
      <c r="F75" s="1">
        <v>58</v>
      </c>
      <c r="G75" s="1">
        <v>1</v>
      </c>
    </row>
    <row r="76" spans="1:7" x14ac:dyDescent="0.3">
      <c r="A76" s="1">
        <v>2</v>
      </c>
      <c r="B76" s="1">
        <v>1</v>
      </c>
      <c r="C76" s="1" t="s">
        <v>1</v>
      </c>
      <c r="D76" s="1">
        <v>0</v>
      </c>
      <c r="E76" s="1" t="s">
        <v>0</v>
      </c>
      <c r="F76" s="1">
        <v>45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6</v>
      </c>
      <c r="E77" s="1" t="s">
        <v>0</v>
      </c>
      <c r="F77" s="1">
        <v>15</v>
      </c>
      <c r="G77" s="1">
        <v>1</v>
      </c>
    </row>
    <row r="78" spans="1:7" x14ac:dyDescent="0.3">
      <c r="A78" s="1">
        <v>2</v>
      </c>
      <c r="B78" s="1">
        <v>1</v>
      </c>
      <c r="C78" s="1" t="s">
        <v>1</v>
      </c>
      <c r="D78" s="1">
        <v>8</v>
      </c>
      <c r="E78" s="1" t="s">
        <v>0</v>
      </c>
      <c r="F78" s="1">
        <v>33</v>
      </c>
      <c r="G78" s="1">
        <v>1</v>
      </c>
    </row>
    <row r="79" spans="1:7" x14ac:dyDescent="0.3">
      <c r="A79" s="1">
        <v>2</v>
      </c>
      <c r="B79" s="1">
        <v>1</v>
      </c>
      <c r="C79" s="1" t="s">
        <v>1</v>
      </c>
      <c r="D79" s="1">
        <v>12</v>
      </c>
      <c r="E79" s="1" t="s">
        <v>0</v>
      </c>
      <c r="F79" s="1">
        <v>42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31</v>
      </c>
      <c r="E80" s="1" t="s">
        <v>0</v>
      </c>
      <c r="F80" s="1">
        <v>33</v>
      </c>
      <c r="G80" s="1">
        <v>1</v>
      </c>
    </row>
    <row r="81" spans="1:7" x14ac:dyDescent="0.3">
      <c r="A81" s="1">
        <v>2</v>
      </c>
      <c r="B81" s="1">
        <v>1</v>
      </c>
      <c r="C81" s="1" t="s">
        <v>1</v>
      </c>
      <c r="D81" s="1">
        <v>12</v>
      </c>
      <c r="E81" s="1" t="s">
        <v>0</v>
      </c>
      <c r="F81" s="1">
        <v>19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2</v>
      </c>
      <c r="E82" s="1" t="s">
        <v>0</v>
      </c>
      <c r="F82" s="1">
        <v>29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13</v>
      </c>
      <c r="E83" s="1" t="s">
        <v>0</v>
      </c>
      <c r="F83" s="1">
        <v>38</v>
      </c>
      <c r="G83" s="1">
        <v>1</v>
      </c>
    </row>
    <row r="84" spans="1:7" x14ac:dyDescent="0.3">
      <c r="A84" s="1">
        <v>2</v>
      </c>
      <c r="B84" s="1">
        <v>1</v>
      </c>
      <c r="C84" s="1" t="s">
        <v>1</v>
      </c>
      <c r="D84" s="1">
        <v>2</v>
      </c>
      <c r="E84" s="1" t="s">
        <v>0</v>
      </c>
      <c r="F84" s="1">
        <v>20</v>
      </c>
      <c r="G84" s="1">
        <v>1</v>
      </c>
    </row>
    <row r="85" spans="1:7" x14ac:dyDescent="0.3">
      <c r="A85" s="1">
        <v>2</v>
      </c>
      <c r="B85" s="1">
        <v>1</v>
      </c>
      <c r="C85" s="1" t="s">
        <v>1</v>
      </c>
      <c r="D85" s="1">
        <v>2</v>
      </c>
      <c r="E85" s="1" t="s">
        <v>0</v>
      </c>
      <c r="F85" s="1">
        <v>32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2</v>
      </c>
      <c r="E86" s="1" t="s">
        <v>0</v>
      </c>
      <c r="F86" s="1">
        <v>41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15</v>
      </c>
      <c r="E87" s="1" t="s">
        <v>0</v>
      </c>
      <c r="F87" s="1">
        <v>36</v>
      </c>
      <c r="G87" s="1">
        <v>1</v>
      </c>
    </row>
    <row r="88" spans="1:7" x14ac:dyDescent="0.3">
      <c r="A88" s="1">
        <v>2</v>
      </c>
      <c r="B88" s="1">
        <v>1</v>
      </c>
      <c r="C88" s="1" t="s">
        <v>1</v>
      </c>
      <c r="D88" s="1">
        <v>15</v>
      </c>
      <c r="E88" s="1" t="s">
        <v>0</v>
      </c>
      <c r="F88" s="1">
        <v>62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20</v>
      </c>
      <c r="E89" s="1" t="s">
        <v>0</v>
      </c>
      <c r="F89" s="1">
        <v>59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2</v>
      </c>
      <c r="E90" s="1" t="s">
        <v>0</v>
      </c>
      <c r="F90" s="1">
        <v>40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19</v>
      </c>
      <c r="E91" s="1" t="s">
        <v>0</v>
      </c>
      <c r="F91" s="1">
        <v>31</v>
      </c>
      <c r="G91" s="1">
        <v>1</v>
      </c>
    </row>
    <row r="92" spans="1:7" x14ac:dyDescent="0.3">
      <c r="A92" s="1">
        <v>2</v>
      </c>
      <c r="B92" s="1">
        <v>1</v>
      </c>
      <c r="C92" s="1" t="s">
        <v>1</v>
      </c>
      <c r="D92" s="1">
        <v>2</v>
      </c>
      <c r="E92" s="1" t="s">
        <v>0</v>
      </c>
      <c r="F92" s="1">
        <v>26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5</v>
      </c>
      <c r="E93" s="1" t="s">
        <v>0</v>
      </c>
      <c r="F93" s="1">
        <v>29</v>
      </c>
      <c r="G93" s="1">
        <v>1</v>
      </c>
    </row>
    <row r="94" spans="1:7" x14ac:dyDescent="0.3">
      <c r="A94" s="1">
        <v>2</v>
      </c>
      <c r="B94" s="1">
        <v>1</v>
      </c>
      <c r="C94" s="1" t="s">
        <v>1</v>
      </c>
      <c r="D94" s="1">
        <v>2</v>
      </c>
      <c r="E94" s="1" t="s">
        <v>0</v>
      </c>
      <c r="F94" s="1">
        <v>24</v>
      </c>
      <c r="G94" s="1">
        <v>1</v>
      </c>
    </row>
    <row r="95" spans="1:7" x14ac:dyDescent="0.3">
      <c r="A95" s="1">
        <v>2</v>
      </c>
      <c r="B95" s="1">
        <v>1</v>
      </c>
      <c r="C95" s="1" t="s">
        <v>1</v>
      </c>
      <c r="D95" s="1">
        <v>2</v>
      </c>
      <c r="E95" s="1" t="s">
        <v>0</v>
      </c>
      <c r="F95" s="1">
        <v>72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2</v>
      </c>
      <c r="E96" s="1" t="s">
        <v>0</v>
      </c>
      <c r="F96" s="1">
        <v>28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14</v>
      </c>
      <c r="E97" s="1" t="s">
        <v>0</v>
      </c>
      <c r="F97" s="1">
        <v>25</v>
      </c>
      <c r="G97" s="1">
        <v>1</v>
      </c>
    </row>
    <row r="98" spans="1:7" x14ac:dyDescent="0.3">
      <c r="A98" s="1">
        <v>2</v>
      </c>
      <c r="B98" s="1">
        <v>1</v>
      </c>
      <c r="C98" s="1" t="s">
        <v>1</v>
      </c>
      <c r="D98" s="1">
        <v>0</v>
      </c>
      <c r="E98" s="1" t="s">
        <v>0</v>
      </c>
      <c r="F98" s="1">
        <v>29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10</v>
      </c>
      <c r="E99" s="1" t="s">
        <v>0</v>
      </c>
      <c r="F99" s="1">
        <v>50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2</v>
      </c>
      <c r="E100" s="1" t="s">
        <v>0</v>
      </c>
      <c r="F100" s="1">
        <v>11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A7C1-D1C5-480B-9F5F-8E5EE1EDC633}">
  <dimension ref="A1:Q100"/>
  <sheetViews>
    <sheetView workbookViewId="0">
      <selection activeCell="I21" sqref="I21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</v>
      </c>
      <c r="D1" s="1">
        <v>30</v>
      </c>
      <c r="E1" s="1" t="s">
        <v>0</v>
      </c>
      <c r="F1" s="1">
        <v>40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2</v>
      </c>
      <c r="D2" s="1">
        <v>47</v>
      </c>
      <c r="E2" s="1" t="s">
        <v>0</v>
      </c>
      <c r="F2" s="1">
        <v>39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2</v>
      </c>
      <c r="D3" s="1">
        <v>2</v>
      </c>
      <c r="E3" s="1" t="s">
        <v>0</v>
      </c>
      <c r="F3" s="1">
        <v>37</v>
      </c>
      <c r="G3" s="1">
        <v>1</v>
      </c>
      <c r="I3" s="5" t="s">
        <v>11</v>
      </c>
      <c r="J3" s="5"/>
      <c r="K3" s="9">
        <f>COUNTIF($G$1:$G$100, 0)</f>
        <v>17</v>
      </c>
      <c r="L3" s="9"/>
      <c r="M3" s="9">
        <f>COUNTIFS($G$1:$G$100, 0, $B$1:$B$100, 0)</f>
        <v>8</v>
      </c>
      <c r="N3" s="9"/>
      <c r="O3" s="10">
        <f>COUNTIFS($G$1:$G$100, 0, $B$1:$B$100, 1)</f>
        <v>9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2</v>
      </c>
      <c r="D4" s="1">
        <v>24</v>
      </c>
      <c r="E4" s="1" t="s">
        <v>0</v>
      </c>
      <c r="F4" s="1">
        <v>38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</v>
      </c>
      <c r="D5" s="1">
        <v>12</v>
      </c>
      <c r="E5" s="1" t="s">
        <v>0</v>
      </c>
      <c r="F5" s="1">
        <v>45</v>
      </c>
      <c r="G5" s="1">
        <v>1</v>
      </c>
      <c r="I5" s="5" t="s">
        <v>12</v>
      </c>
      <c r="J5" s="5"/>
      <c r="K5" s="14">
        <f>COUNTIF($G$1:$G$100, 1)</f>
        <v>83</v>
      </c>
      <c r="L5" s="9"/>
      <c r="M5" s="9">
        <f>COUNTIFS($G$1:$G$100, 1, $B$1:$B$100, 0)</f>
        <v>42</v>
      </c>
      <c r="N5" s="9"/>
      <c r="O5" s="9">
        <f>COUNTIFS($G$1:$G$100, 1, $B$1:$B$100, 1)</f>
        <v>41</v>
      </c>
      <c r="P5" s="13"/>
      <c r="Q5"/>
    </row>
    <row r="6" spans="1:17" x14ac:dyDescent="0.3">
      <c r="A6" s="1">
        <v>2</v>
      </c>
      <c r="B6" s="1">
        <v>0</v>
      </c>
      <c r="C6" s="1" t="s">
        <v>2</v>
      </c>
      <c r="D6" s="1">
        <v>7</v>
      </c>
      <c r="E6" s="1" t="s">
        <v>0</v>
      </c>
      <c r="F6" s="1">
        <v>18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</v>
      </c>
      <c r="D7" s="1">
        <v>35</v>
      </c>
      <c r="E7" s="1" t="s">
        <v>0</v>
      </c>
      <c r="F7" s="1">
        <v>38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</v>
      </c>
      <c r="D8" s="1">
        <v>35</v>
      </c>
      <c r="E8" s="1" t="s">
        <v>0</v>
      </c>
      <c r="F8" s="1">
        <v>37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2</v>
      </c>
      <c r="D9" s="1">
        <v>9</v>
      </c>
      <c r="E9" s="1" t="s">
        <v>0</v>
      </c>
      <c r="F9" s="1">
        <v>46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</v>
      </c>
      <c r="D10" s="1">
        <v>2</v>
      </c>
      <c r="E10" s="1" t="s">
        <v>0</v>
      </c>
      <c r="F10" s="1">
        <v>55</v>
      </c>
      <c r="G10" s="1">
        <v>1</v>
      </c>
      <c r="I10" s="5" t="s">
        <v>15</v>
      </c>
      <c r="J10" s="5"/>
      <c r="K10" s="9">
        <f>AVERAGE($D$1:$D$100,)</f>
        <v>18.574257425742573</v>
      </c>
      <c r="L10" s="9"/>
      <c r="M10" s="9" cm="1">
        <f t="array" ref="M10">AVERAGE(_xlfn._xlws.FILTER($D$1:$D$100,$G$1:$G$100 = 0))</f>
        <v>34.705882352941174</v>
      </c>
      <c r="N10" s="9"/>
      <c r="O10" s="10" cm="1">
        <f t="array" ref="O10">AVERAGE(_xlfn._xlws.FILTER($D$1:$D$100,$G$1:$G$100 = 1))</f>
        <v>15.493975903614459</v>
      </c>
      <c r="P10" s="11"/>
      <c r="Q10"/>
    </row>
    <row r="11" spans="1:17" x14ac:dyDescent="0.3">
      <c r="A11" s="1">
        <v>2</v>
      </c>
      <c r="B11" s="1">
        <v>0</v>
      </c>
      <c r="C11" s="1" t="s">
        <v>2</v>
      </c>
      <c r="D11" s="1">
        <v>8</v>
      </c>
      <c r="E11" s="1" t="s">
        <v>0</v>
      </c>
      <c r="F11" s="1">
        <v>37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</v>
      </c>
      <c r="D12" s="1">
        <v>50</v>
      </c>
      <c r="E12" s="1" t="s">
        <v>0</v>
      </c>
      <c r="F12" s="1">
        <v>35</v>
      </c>
      <c r="G12" s="1">
        <v>0</v>
      </c>
      <c r="I12" s="5" t="s">
        <v>16</v>
      </c>
      <c r="J12" s="5"/>
      <c r="K12" s="9">
        <f>AVERAGE($F$1:$F$100,)</f>
        <v>35.643564356435647</v>
      </c>
      <c r="L12" s="9"/>
      <c r="M12" s="9" cm="1">
        <f t="array" ref="M12">AVERAGE(_xlfn._xlws.FILTER($F$1:$F$100,$G$1:$G$100 = 0))</f>
        <v>26.705882352941178</v>
      </c>
      <c r="N12" s="9"/>
      <c r="O12" s="9" cm="1">
        <f t="array" ref="O12">AVERAGE(_xlfn._xlws.FILTER($F$1:$F$100,$G$1:$G$100 = 1))</f>
        <v>37.903614457831324</v>
      </c>
      <c r="P12" s="13"/>
      <c r="Q12"/>
    </row>
    <row r="13" spans="1:17" x14ac:dyDescent="0.3">
      <c r="A13" s="1">
        <v>2</v>
      </c>
      <c r="B13" s="1">
        <v>0</v>
      </c>
      <c r="C13" s="1" t="s">
        <v>2</v>
      </c>
      <c r="D13" s="1">
        <v>2</v>
      </c>
      <c r="E13" s="1" t="s">
        <v>0</v>
      </c>
      <c r="F13" s="1">
        <v>16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</v>
      </c>
      <c r="D14" s="1">
        <v>16</v>
      </c>
      <c r="E14" s="1" t="s">
        <v>0</v>
      </c>
      <c r="F14" s="1">
        <v>27</v>
      </c>
      <c r="G14" s="1">
        <v>1</v>
      </c>
      <c r="I14" s="22" t="s">
        <v>17</v>
      </c>
      <c r="J14" s="11"/>
      <c r="K14" s="23" cm="1">
        <f t="array" ref="K14">AVERAGE($D$1:$D$100 - $F$1:$F$100)</f>
        <v>-17.239999999999998</v>
      </c>
      <c r="L14" s="23"/>
      <c r="M14" s="23" cm="1">
        <f t="array" ref="M14">AVERAGE(_xlfn._xlws.FILTER($D$1:$D$100 - $F$1:$F$100, G$1:G$100 = 0))</f>
        <v>8</v>
      </c>
      <c r="N14" s="23"/>
      <c r="O14" s="23" cm="1">
        <f t="array" ref="O14">AVERAGE(_xlfn._xlws.FILTER($D$1:$D$100 - $F$1:$F$100, G$1:G$100 = 1))</f>
        <v>-22.409638554216869</v>
      </c>
      <c r="P14" s="24"/>
      <c r="Q14"/>
    </row>
    <row r="15" spans="1:17" x14ac:dyDescent="0.3">
      <c r="A15" s="1">
        <v>2</v>
      </c>
      <c r="B15" s="1">
        <v>0</v>
      </c>
      <c r="C15" s="1" t="s">
        <v>2</v>
      </c>
      <c r="D15" s="1">
        <v>35</v>
      </c>
      <c r="E15" s="1" t="s">
        <v>0</v>
      </c>
      <c r="F15" s="1">
        <v>44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</v>
      </c>
      <c r="D16" s="1">
        <v>52</v>
      </c>
      <c r="E16" s="1" t="s">
        <v>0</v>
      </c>
      <c r="F16" s="1">
        <v>48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</v>
      </c>
      <c r="D17" s="1">
        <v>3</v>
      </c>
      <c r="E17" s="1" t="s">
        <v>0</v>
      </c>
      <c r="F17" s="1">
        <v>30</v>
      </c>
      <c r="G17" s="1">
        <v>1</v>
      </c>
    </row>
    <row r="18" spans="1:7" x14ac:dyDescent="0.3">
      <c r="A18" s="1">
        <v>2</v>
      </c>
      <c r="B18" s="1">
        <v>0</v>
      </c>
      <c r="C18" s="1" t="s">
        <v>2</v>
      </c>
      <c r="D18" s="1">
        <v>12</v>
      </c>
      <c r="E18" s="1" t="s">
        <v>0</v>
      </c>
      <c r="F18" s="1">
        <v>32</v>
      </c>
      <c r="G18" s="1">
        <v>1</v>
      </c>
    </row>
    <row r="19" spans="1:7" x14ac:dyDescent="0.3">
      <c r="A19" s="1">
        <v>2</v>
      </c>
      <c r="B19" s="1">
        <v>0</v>
      </c>
      <c r="C19" s="1" t="s">
        <v>2</v>
      </c>
      <c r="D19" s="1">
        <v>11</v>
      </c>
      <c r="E19" s="1" t="s">
        <v>0</v>
      </c>
      <c r="F19" s="1">
        <v>41</v>
      </c>
      <c r="G19" s="1">
        <v>1</v>
      </c>
    </row>
    <row r="20" spans="1:7" x14ac:dyDescent="0.3">
      <c r="A20" s="1">
        <v>2</v>
      </c>
      <c r="B20" s="1">
        <v>0</v>
      </c>
      <c r="C20" s="1" t="s">
        <v>2</v>
      </c>
      <c r="D20" s="1">
        <v>28</v>
      </c>
      <c r="E20" s="1" t="s">
        <v>0</v>
      </c>
      <c r="F20" s="1">
        <v>30</v>
      </c>
      <c r="G20" s="1">
        <v>1</v>
      </c>
    </row>
    <row r="21" spans="1:7" x14ac:dyDescent="0.3">
      <c r="A21" s="1">
        <v>2</v>
      </c>
      <c r="B21" s="1">
        <v>0</v>
      </c>
      <c r="C21" s="1" t="s">
        <v>2</v>
      </c>
      <c r="D21" s="1">
        <v>9</v>
      </c>
      <c r="E21" s="1" t="s">
        <v>0</v>
      </c>
      <c r="F21" s="1">
        <v>28</v>
      </c>
      <c r="G21" s="1">
        <v>1</v>
      </c>
    </row>
    <row r="22" spans="1:7" x14ac:dyDescent="0.3">
      <c r="A22" s="1">
        <v>2</v>
      </c>
      <c r="B22" s="1">
        <v>0</v>
      </c>
      <c r="C22" s="1" t="s">
        <v>2</v>
      </c>
      <c r="D22" s="1">
        <v>30</v>
      </c>
      <c r="E22" s="1" t="s">
        <v>0</v>
      </c>
      <c r="F22" s="1">
        <v>39</v>
      </c>
      <c r="G22" s="1">
        <v>1</v>
      </c>
    </row>
    <row r="23" spans="1:7" x14ac:dyDescent="0.3">
      <c r="A23" s="1">
        <v>2</v>
      </c>
      <c r="B23" s="1">
        <v>0</v>
      </c>
      <c r="C23" s="1" t="s">
        <v>2</v>
      </c>
      <c r="D23" s="1">
        <v>40</v>
      </c>
      <c r="E23" s="1" t="s">
        <v>0</v>
      </c>
      <c r="F23" s="1">
        <v>41</v>
      </c>
      <c r="G23" s="1">
        <v>1</v>
      </c>
    </row>
    <row r="24" spans="1:7" x14ac:dyDescent="0.3">
      <c r="A24" s="1">
        <v>2</v>
      </c>
      <c r="B24" s="1">
        <v>0</v>
      </c>
      <c r="C24" s="1" t="s">
        <v>2</v>
      </c>
      <c r="D24" s="1">
        <v>17</v>
      </c>
      <c r="E24" s="1" t="s">
        <v>0</v>
      </c>
      <c r="F24" s="1">
        <v>29</v>
      </c>
      <c r="G24" s="1">
        <v>1</v>
      </c>
    </row>
    <row r="25" spans="1:7" x14ac:dyDescent="0.3">
      <c r="A25" s="1">
        <v>2</v>
      </c>
      <c r="B25" s="1">
        <v>0</v>
      </c>
      <c r="C25" s="1" t="s">
        <v>2</v>
      </c>
      <c r="D25" s="1">
        <v>3</v>
      </c>
      <c r="E25" s="1" t="s">
        <v>0</v>
      </c>
      <c r="F25" s="1">
        <v>28</v>
      </c>
      <c r="G25" s="1">
        <v>1</v>
      </c>
    </row>
    <row r="26" spans="1:7" x14ac:dyDescent="0.3">
      <c r="A26" s="1">
        <v>2</v>
      </c>
      <c r="B26" s="1">
        <v>0</v>
      </c>
      <c r="C26" s="1" t="s">
        <v>2</v>
      </c>
      <c r="D26" s="1">
        <v>12</v>
      </c>
      <c r="E26" s="1" t="s">
        <v>0</v>
      </c>
      <c r="F26" s="1">
        <v>28</v>
      </c>
      <c r="G26" s="1">
        <v>1</v>
      </c>
    </row>
    <row r="27" spans="1:7" x14ac:dyDescent="0.3">
      <c r="A27" s="1">
        <v>2</v>
      </c>
      <c r="B27" s="1">
        <v>0</v>
      </c>
      <c r="C27" s="1" t="s">
        <v>2</v>
      </c>
      <c r="D27" s="1">
        <v>21</v>
      </c>
      <c r="E27" s="1" t="s">
        <v>0</v>
      </c>
      <c r="F27" s="1">
        <v>16</v>
      </c>
      <c r="G27" s="1">
        <v>0</v>
      </c>
    </row>
    <row r="28" spans="1:7" x14ac:dyDescent="0.3">
      <c r="A28" s="1">
        <v>2</v>
      </c>
      <c r="B28" s="1">
        <v>0</v>
      </c>
      <c r="C28" s="1" t="s">
        <v>2</v>
      </c>
      <c r="D28" s="1">
        <v>3</v>
      </c>
      <c r="E28" s="1" t="s">
        <v>0</v>
      </c>
      <c r="F28" s="1">
        <v>42</v>
      </c>
      <c r="G28" s="1">
        <v>1</v>
      </c>
    </row>
    <row r="29" spans="1:7" x14ac:dyDescent="0.3">
      <c r="A29" s="1">
        <v>2</v>
      </c>
      <c r="B29" s="1">
        <v>0</v>
      </c>
      <c r="C29" s="1" t="s">
        <v>2</v>
      </c>
      <c r="D29" s="1">
        <v>28</v>
      </c>
      <c r="E29" s="1" t="s">
        <v>0</v>
      </c>
      <c r="F29" s="1">
        <v>62</v>
      </c>
      <c r="G29" s="1">
        <v>1</v>
      </c>
    </row>
    <row r="30" spans="1:7" x14ac:dyDescent="0.3">
      <c r="A30" s="1">
        <v>2</v>
      </c>
      <c r="B30" s="1">
        <v>0</v>
      </c>
      <c r="C30" s="1" t="s">
        <v>2</v>
      </c>
      <c r="D30" s="1">
        <v>0</v>
      </c>
      <c r="E30" s="1" t="s">
        <v>0</v>
      </c>
      <c r="F30" s="1">
        <v>33</v>
      </c>
      <c r="G30" s="1">
        <v>1</v>
      </c>
    </row>
    <row r="31" spans="1:7" x14ac:dyDescent="0.3">
      <c r="A31" s="1">
        <v>2</v>
      </c>
      <c r="B31" s="1">
        <v>0</v>
      </c>
      <c r="C31" s="1" t="s">
        <v>2</v>
      </c>
      <c r="D31" s="1">
        <v>48</v>
      </c>
      <c r="E31" s="1" t="s">
        <v>0</v>
      </c>
      <c r="F31" s="1">
        <v>41</v>
      </c>
      <c r="G31" s="1">
        <v>0</v>
      </c>
    </row>
    <row r="32" spans="1:7" x14ac:dyDescent="0.3">
      <c r="A32" s="1">
        <v>2</v>
      </c>
      <c r="B32" s="1">
        <v>0</v>
      </c>
      <c r="C32" s="1" t="s">
        <v>2</v>
      </c>
      <c r="D32" s="1">
        <v>19</v>
      </c>
      <c r="E32" s="1" t="s">
        <v>0</v>
      </c>
      <c r="F32" s="1">
        <v>46</v>
      </c>
      <c r="G32" s="1">
        <v>1</v>
      </c>
    </row>
    <row r="33" spans="1:7" x14ac:dyDescent="0.3">
      <c r="A33" s="1">
        <v>2</v>
      </c>
      <c r="B33" s="1">
        <v>0</v>
      </c>
      <c r="C33" s="1" t="s">
        <v>2</v>
      </c>
      <c r="D33" s="1">
        <v>24</v>
      </c>
      <c r="E33" s="1" t="s">
        <v>0</v>
      </c>
      <c r="F33" s="1">
        <v>45</v>
      </c>
      <c r="G33" s="1">
        <v>1</v>
      </c>
    </row>
    <row r="34" spans="1:7" x14ac:dyDescent="0.3">
      <c r="A34" s="1">
        <v>2</v>
      </c>
      <c r="B34" s="1">
        <v>0</v>
      </c>
      <c r="C34" s="1" t="s">
        <v>2</v>
      </c>
      <c r="D34" s="1">
        <v>51</v>
      </c>
      <c r="E34" s="1" t="s">
        <v>0</v>
      </c>
      <c r="F34" s="1">
        <v>26</v>
      </c>
      <c r="G34" s="1">
        <v>0</v>
      </c>
    </row>
    <row r="35" spans="1:7" x14ac:dyDescent="0.3">
      <c r="A35" s="1">
        <v>2</v>
      </c>
      <c r="B35" s="1">
        <v>0</v>
      </c>
      <c r="C35" s="1" t="s">
        <v>2</v>
      </c>
      <c r="D35" s="1">
        <v>11</v>
      </c>
      <c r="E35" s="1" t="s">
        <v>0</v>
      </c>
      <c r="F35" s="1">
        <v>12</v>
      </c>
      <c r="G35" s="1">
        <v>1</v>
      </c>
    </row>
    <row r="36" spans="1:7" x14ac:dyDescent="0.3">
      <c r="A36" s="1">
        <v>2</v>
      </c>
      <c r="B36" s="1">
        <v>0</v>
      </c>
      <c r="C36" s="1" t="s">
        <v>2</v>
      </c>
      <c r="D36" s="1">
        <v>34</v>
      </c>
      <c r="E36" s="1" t="s">
        <v>0</v>
      </c>
      <c r="F36" s="1">
        <v>57</v>
      </c>
      <c r="G36" s="1">
        <v>1</v>
      </c>
    </row>
    <row r="37" spans="1:7" x14ac:dyDescent="0.3">
      <c r="A37" s="1">
        <v>2</v>
      </c>
      <c r="B37" s="1">
        <v>0</v>
      </c>
      <c r="C37" s="1" t="s">
        <v>2</v>
      </c>
      <c r="D37" s="1">
        <v>37</v>
      </c>
      <c r="E37" s="1" t="s">
        <v>0</v>
      </c>
      <c r="F37" s="1">
        <v>37</v>
      </c>
      <c r="G37" s="1">
        <v>0</v>
      </c>
    </row>
    <row r="38" spans="1:7" x14ac:dyDescent="0.3">
      <c r="A38" s="1">
        <v>2</v>
      </c>
      <c r="B38" s="1">
        <v>0</v>
      </c>
      <c r="C38" s="1" t="s">
        <v>2</v>
      </c>
      <c r="D38" s="1">
        <v>35</v>
      </c>
      <c r="E38" s="1" t="s">
        <v>0</v>
      </c>
      <c r="F38" s="1">
        <v>39</v>
      </c>
      <c r="G38" s="1">
        <v>1</v>
      </c>
    </row>
    <row r="39" spans="1:7" x14ac:dyDescent="0.3">
      <c r="A39" s="1">
        <v>2</v>
      </c>
      <c r="B39" s="1">
        <v>0</v>
      </c>
      <c r="C39" s="1" t="s">
        <v>2</v>
      </c>
      <c r="D39" s="1">
        <v>14</v>
      </c>
      <c r="E39" s="1" t="s">
        <v>0</v>
      </c>
      <c r="F39" s="1">
        <v>37</v>
      </c>
      <c r="G39" s="1">
        <v>1</v>
      </c>
    </row>
    <row r="40" spans="1:7" x14ac:dyDescent="0.3">
      <c r="A40" s="1">
        <v>2</v>
      </c>
      <c r="B40" s="1">
        <v>0</v>
      </c>
      <c r="C40" s="1" t="s">
        <v>2</v>
      </c>
      <c r="D40" s="1">
        <v>35</v>
      </c>
      <c r="E40" s="1" t="s">
        <v>0</v>
      </c>
      <c r="F40" s="1">
        <v>47</v>
      </c>
      <c r="G40" s="1">
        <v>1</v>
      </c>
    </row>
    <row r="41" spans="1:7" x14ac:dyDescent="0.3">
      <c r="A41" s="1">
        <v>2</v>
      </c>
      <c r="B41" s="1">
        <v>0</v>
      </c>
      <c r="C41" s="1" t="s">
        <v>2</v>
      </c>
      <c r="D41" s="1">
        <v>10</v>
      </c>
      <c r="E41" s="1" t="s">
        <v>0</v>
      </c>
      <c r="F41" s="1">
        <v>33</v>
      </c>
      <c r="G41" s="1">
        <v>1</v>
      </c>
    </row>
    <row r="42" spans="1:7" x14ac:dyDescent="0.3">
      <c r="A42" s="1">
        <v>2</v>
      </c>
      <c r="B42" s="1">
        <v>0</v>
      </c>
      <c r="C42" s="1" t="s">
        <v>2</v>
      </c>
      <c r="D42" s="1">
        <v>26</v>
      </c>
      <c r="E42" s="1" t="s">
        <v>0</v>
      </c>
      <c r="F42" s="1">
        <v>46</v>
      </c>
      <c r="G42" s="1">
        <v>1</v>
      </c>
    </row>
    <row r="43" spans="1:7" x14ac:dyDescent="0.3">
      <c r="A43" s="1">
        <v>2</v>
      </c>
      <c r="B43" s="1">
        <v>0</v>
      </c>
      <c r="C43" s="1" t="s">
        <v>2</v>
      </c>
      <c r="D43" s="1">
        <v>14</v>
      </c>
      <c r="E43" s="1" t="s">
        <v>0</v>
      </c>
      <c r="F43" s="1">
        <v>49</v>
      </c>
      <c r="G43" s="1">
        <v>1</v>
      </c>
    </row>
    <row r="44" spans="1:7" x14ac:dyDescent="0.3">
      <c r="A44" s="1">
        <v>2</v>
      </c>
      <c r="B44" s="1">
        <v>0</v>
      </c>
      <c r="C44" s="1" t="s">
        <v>2</v>
      </c>
      <c r="D44" s="1">
        <v>16</v>
      </c>
      <c r="E44" s="1" t="s">
        <v>0</v>
      </c>
      <c r="F44" s="1">
        <v>44</v>
      </c>
      <c r="G44" s="1">
        <v>1</v>
      </c>
    </row>
    <row r="45" spans="1:7" x14ac:dyDescent="0.3">
      <c r="A45" s="1">
        <v>2</v>
      </c>
      <c r="B45" s="1">
        <v>0</v>
      </c>
      <c r="C45" s="1" t="s">
        <v>2</v>
      </c>
      <c r="D45" s="1">
        <v>14</v>
      </c>
      <c r="E45" s="1" t="s">
        <v>0</v>
      </c>
      <c r="F45" s="1">
        <v>27</v>
      </c>
      <c r="G45" s="1">
        <v>1</v>
      </c>
    </row>
    <row r="46" spans="1:7" x14ac:dyDescent="0.3">
      <c r="A46" s="1">
        <v>2</v>
      </c>
      <c r="B46" s="1">
        <v>0</v>
      </c>
      <c r="C46" s="1" t="s">
        <v>2</v>
      </c>
      <c r="D46" s="1">
        <v>26</v>
      </c>
      <c r="E46" s="1" t="s">
        <v>0</v>
      </c>
      <c r="F46" s="1">
        <v>33</v>
      </c>
      <c r="G46" s="1">
        <v>1</v>
      </c>
    </row>
    <row r="47" spans="1:7" x14ac:dyDescent="0.3">
      <c r="A47" s="1">
        <v>2</v>
      </c>
      <c r="B47" s="1">
        <v>0</v>
      </c>
      <c r="C47" s="1" t="s">
        <v>2</v>
      </c>
      <c r="D47" s="1">
        <v>23</v>
      </c>
      <c r="E47" s="1" t="s">
        <v>0</v>
      </c>
      <c r="F47" s="1">
        <v>20</v>
      </c>
      <c r="G47" s="1">
        <v>0</v>
      </c>
    </row>
    <row r="48" spans="1:7" x14ac:dyDescent="0.3">
      <c r="A48" s="1">
        <v>2</v>
      </c>
      <c r="B48" s="1">
        <v>0</v>
      </c>
      <c r="C48" s="1" t="s">
        <v>2</v>
      </c>
      <c r="D48" s="1">
        <v>32</v>
      </c>
      <c r="E48" s="1" t="s">
        <v>0</v>
      </c>
      <c r="F48" s="1">
        <v>45</v>
      </c>
      <c r="G48" s="1">
        <v>1</v>
      </c>
    </row>
    <row r="49" spans="1:7" x14ac:dyDescent="0.3">
      <c r="A49" s="1">
        <v>2</v>
      </c>
      <c r="B49" s="1">
        <v>0</v>
      </c>
      <c r="C49" s="1" t="s">
        <v>2</v>
      </c>
      <c r="D49" s="1">
        <v>33</v>
      </c>
      <c r="E49" s="1" t="s">
        <v>0</v>
      </c>
      <c r="F49" s="1">
        <v>37</v>
      </c>
      <c r="G49" s="1">
        <v>1</v>
      </c>
    </row>
    <row r="50" spans="1:7" x14ac:dyDescent="0.3">
      <c r="A50" s="1">
        <v>2</v>
      </c>
      <c r="B50" s="1">
        <v>0</v>
      </c>
      <c r="C50" s="1" t="s">
        <v>2</v>
      </c>
      <c r="D50" s="1">
        <v>4</v>
      </c>
      <c r="E50" s="1" t="s">
        <v>0</v>
      </c>
      <c r="F50" s="1">
        <v>43</v>
      </c>
      <c r="G50" s="1">
        <v>1</v>
      </c>
    </row>
    <row r="51" spans="1:7" x14ac:dyDescent="0.3">
      <c r="A51" s="1">
        <v>2</v>
      </c>
      <c r="B51" s="1">
        <v>1</v>
      </c>
      <c r="C51" s="1" t="s">
        <v>2</v>
      </c>
      <c r="D51" s="1">
        <v>33</v>
      </c>
      <c r="E51" s="1" t="s">
        <v>0</v>
      </c>
      <c r="F51" s="1">
        <v>50</v>
      </c>
      <c r="G51" s="1">
        <v>1</v>
      </c>
    </row>
    <row r="52" spans="1:7" x14ac:dyDescent="0.3">
      <c r="A52" s="1">
        <v>2</v>
      </c>
      <c r="B52" s="1">
        <v>1</v>
      </c>
      <c r="C52" s="1" t="s">
        <v>2</v>
      </c>
      <c r="D52" s="1">
        <v>15</v>
      </c>
      <c r="E52" s="1" t="s">
        <v>0</v>
      </c>
      <c r="F52" s="1">
        <v>32</v>
      </c>
      <c r="G52" s="1">
        <v>1</v>
      </c>
    </row>
    <row r="53" spans="1:7" x14ac:dyDescent="0.3">
      <c r="A53" s="1">
        <v>2</v>
      </c>
      <c r="B53" s="1">
        <v>1</v>
      </c>
      <c r="C53" s="1" t="s">
        <v>2</v>
      </c>
      <c r="D53" s="1">
        <v>10</v>
      </c>
      <c r="E53" s="1" t="s">
        <v>0</v>
      </c>
      <c r="F53" s="1">
        <v>8</v>
      </c>
      <c r="G53" s="1">
        <v>0</v>
      </c>
    </row>
    <row r="54" spans="1:7" x14ac:dyDescent="0.3">
      <c r="A54" s="1">
        <v>2</v>
      </c>
      <c r="B54" s="1">
        <v>1</v>
      </c>
      <c r="C54" s="1" t="s">
        <v>2</v>
      </c>
      <c r="D54" s="1">
        <v>6</v>
      </c>
      <c r="E54" s="1" t="s">
        <v>0</v>
      </c>
      <c r="F54" s="1">
        <v>33</v>
      </c>
      <c r="G54" s="1">
        <v>1</v>
      </c>
    </row>
    <row r="55" spans="1:7" x14ac:dyDescent="0.3">
      <c r="A55" s="1">
        <v>2</v>
      </c>
      <c r="B55" s="1">
        <v>1</v>
      </c>
      <c r="C55" s="1" t="s">
        <v>2</v>
      </c>
      <c r="D55" s="1">
        <v>2</v>
      </c>
      <c r="E55" s="1" t="s">
        <v>0</v>
      </c>
      <c r="F55" s="1">
        <v>23</v>
      </c>
      <c r="G55" s="1">
        <v>1</v>
      </c>
    </row>
    <row r="56" spans="1:7" x14ac:dyDescent="0.3">
      <c r="A56" s="1">
        <v>2</v>
      </c>
      <c r="B56" s="1">
        <v>1</v>
      </c>
      <c r="C56" s="1" t="s">
        <v>2</v>
      </c>
      <c r="D56" s="1">
        <v>25</v>
      </c>
      <c r="E56" s="1" t="s">
        <v>0</v>
      </c>
      <c r="F56" s="1">
        <v>24</v>
      </c>
      <c r="G56" s="1">
        <v>0</v>
      </c>
    </row>
    <row r="57" spans="1:7" x14ac:dyDescent="0.3">
      <c r="A57" s="1">
        <v>2</v>
      </c>
      <c r="B57" s="1">
        <v>1</v>
      </c>
      <c r="C57" s="1" t="s">
        <v>2</v>
      </c>
      <c r="D57" s="1">
        <v>31</v>
      </c>
      <c r="E57" s="1" t="s">
        <v>0</v>
      </c>
      <c r="F57" s="1">
        <v>21</v>
      </c>
      <c r="G57" s="1">
        <v>0</v>
      </c>
    </row>
    <row r="58" spans="1:7" x14ac:dyDescent="0.3">
      <c r="A58" s="1">
        <v>2</v>
      </c>
      <c r="B58" s="1">
        <v>1</v>
      </c>
      <c r="C58" s="1" t="s">
        <v>2</v>
      </c>
      <c r="D58" s="1">
        <v>17</v>
      </c>
      <c r="E58" s="1" t="s">
        <v>0</v>
      </c>
      <c r="F58" s="1">
        <v>58</v>
      </c>
      <c r="G58" s="1">
        <v>1</v>
      </c>
    </row>
    <row r="59" spans="1:7" x14ac:dyDescent="0.3">
      <c r="A59" s="1">
        <v>2</v>
      </c>
      <c r="B59" s="1">
        <v>1</v>
      </c>
      <c r="C59" s="1" t="s">
        <v>2</v>
      </c>
      <c r="D59" s="1">
        <v>10</v>
      </c>
      <c r="E59" s="1" t="s">
        <v>0</v>
      </c>
      <c r="F59" s="1">
        <v>46</v>
      </c>
      <c r="G59" s="1">
        <v>1</v>
      </c>
    </row>
    <row r="60" spans="1:7" x14ac:dyDescent="0.3">
      <c r="A60" s="1">
        <v>2</v>
      </c>
      <c r="B60" s="1">
        <v>1</v>
      </c>
      <c r="C60" s="1" t="s">
        <v>2</v>
      </c>
      <c r="D60" s="1">
        <v>14</v>
      </c>
      <c r="E60" s="1" t="s">
        <v>0</v>
      </c>
      <c r="F60" s="1">
        <v>42</v>
      </c>
      <c r="G60" s="1">
        <v>1</v>
      </c>
    </row>
    <row r="61" spans="1:7" x14ac:dyDescent="0.3">
      <c r="A61" s="1">
        <v>2</v>
      </c>
      <c r="B61" s="1">
        <v>1</v>
      </c>
      <c r="C61" s="1" t="s">
        <v>2</v>
      </c>
      <c r="D61" s="1">
        <v>9</v>
      </c>
      <c r="E61" s="1" t="s">
        <v>0</v>
      </c>
      <c r="F61" s="1">
        <v>23</v>
      </c>
      <c r="G61" s="1">
        <v>1</v>
      </c>
    </row>
    <row r="62" spans="1:7" x14ac:dyDescent="0.3">
      <c r="A62" s="1">
        <v>2</v>
      </c>
      <c r="B62" s="1">
        <v>1</v>
      </c>
      <c r="C62" s="1" t="s">
        <v>2</v>
      </c>
      <c r="D62" s="1">
        <v>37</v>
      </c>
      <c r="E62" s="1" t="s">
        <v>0</v>
      </c>
      <c r="F62" s="1">
        <v>39</v>
      </c>
      <c r="G62" s="1">
        <v>1</v>
      </c>
    </row>
    <row r="63" spans="1:7" x14ac:dyDescent="0.3">
      <c r="A63" s="1">
        <v>2</v>
      </c>
      <c r="B63" s="1">
        <v>1</v>
      </c>
      <c r="C63" s="1" t="s">
        <v>2</v>
      </c>
      <c r="D63" s="1">
        <v>6</v>
      </c>
      <c r="E63" s="1" t="s">
        <v>0</v>
      </c>
      <c r="F63" s="1">
        <v>43</v>
      </c>
      <c r="G63" s="1">
        <v>1</v>
      </c>
    </row>
    <row r="64" spans="1:7" x14ac:dyDescent="0.3">
      <c r="A64" s="1">
        <v>2</v>
      </c>
      <c r="B64" s="1">
        <v>1</v>
      </c>
      <c r="C64" s="1" t="s">
        <v>2</v>
      </c>
      <c r="D64" s="1">
        <v>21</v>
      </c>
      <c r="E64" s="1" t="s">
        <v>0</v>
      </c>
      <c r="F64" s="1">
        <v>20</v>
      </c>
      <c r="G64" s="1">
        <v>0</v>
      </c>
    </row>
    <row r="65" spans="1:7" x14ac:dyDescent="0.3">
      <c r="A65" s="1">
        <v>2</v>
      </c>
      <c r="B65" s="1">
        <v>1</v>
      </c>
      <c r="C65" s="1" t="s">
        <v>2</v>
      </c>
      <c r="D65" s="1">
        <v>12</v>
      </c>
      <c r="E65" s="1" t="s">
        <v>0</v>
      </c>
      <c r="F65" s="1">
        <v>51</v>
      </c>
      <c r="G65" s="1">
        <v>1</v>
      </c>
    </row>
    <row r="66" spans="1:7" x14ac:dyDescent="0.3">
      <c r="A66" s="1">
        <v>2</v>
      </c>
      <c r="B66" s="1">
        <v>1</v>
      </c>
      <c r="C66" s="1" t="s">
        <v>2</v>
      </c>
      <c r="D66" s="1">
        <v>20</v>
      </c>
      <c r="E66" s="1" t="s">
        <v>0</v>
      </c>
      <c r="F66" s="1">
        <v>29</v>
      </c>
      <c r="G66" s="1">
        <v>1</v>
      </c>
    </row>
    <row r="67" spans="1:7" x14ac:dyDescent="0.3">
      <c r="A67" s="1">
        <v>2</v>
      </c>
      <c r="B67" s="1">
        <v>1</v>
      </c>
      <c r="C67" s="1" t="s">
        <v>2</v>
      </c>
      <c r="D67" s="1">
        <v>11</v>
      </c>
      <c r="E67" s="1" t="s">
        <v>0</v>
      </c>
      <c r="F67" s="1">
        <v>29</v>
      </c>
      <c r="G67" s="1">
        <v>1</v>
      </c>
    </row>
    <row r="68" spans="1:7" x14ac:dyDescent="0.3">
      <c r="A68" s="1">
        <v>2</v>
      </c>
      <c r="B68" s="1">
        <v>1</v>
      </c>
      <c r="C68" s="1" t="s">
        <v>2</v>
      </c>
      <c r="D68" s="1">
        <v>1</v>
      </c>
      <c r="E68" s="1" t="s">
        <v>0</v>
      </c>
      <c r="F68" s="1">
        <v>50</v>
      </c>
      <c r="G68" s="1">
        <v>1</v>
      </c>
    </row>
    <row r="69" spans="1:7" x14ac:dyDescent="0.3">
      <c r="A69" s="1">
        <v>2</v>
      </c>
      <c r="B69" s="1">
        <v>1</v>
      </c>
      <c r="C69" s="1" t="s">
        <v>2</v>
      </c>
      <c r="D69" s="1">
        <v>23</v>
      </c>
      <c r="E69" s="1" t="s">
        <v>0</v>
      </c>
      <c r="F69" s="1">
        <v>28</v>
      </c>
      <c r="G69" s="1">
        <v>1</v>
      </c>
    </row>
    <row r="70" spans="1:7" x14ac:dyDescent="0.3">
      <c r="A70" s="1">
        <v>2</v>
      </c>
      <c r="B70" s="1">
        <v>1</v>
      </c>
      <c r="C70" s="1" t="s">
        <v>2</v>
      </c>
      <c r="D70" s="1">
        <v>7</v>
      </c>
      <c r="E70" s="1" t="s">
        <v>0</v>
      </c>
      <c r="F70" s="1">
        <v>34</v>
      </c>
      <c r="G70" s="1">
        <v>1</v>
      </c>
    </row>
    <row r="71" spans="1:7" x14ac:dyDescent="0.3">
      <c r="A71" s="1">
        <v>2</v>
      </c>
      <c r="B71" s="1">
        <v>1</v>
      </c>
      <c r="C71" s="1" t="s">
        <v>2</v>
      </c>
      <c r="D71" s="1">
        <v>12</v>
      </c>
      <c r="E71" s="1" t="s">
        <v>0</v>
      </c>
      <c r="F71" s="1">
        <v>42</v>
      </c>
      <c r="G71" s="1">
        <v>1</v>
      </c>
    </row>
    <row r="72" spans="1:7" x14ac:dyDescent="0.3">
      <c r="A72" s="1">
        <v>2</v>
      </c>
      <c r="B72" s="1">
        <v>1</v>
      </c>
      <c r="C72" s="1" t="s">
        <v>2</v>
      </c>
      <c r="D72" s="1">
        <v>19</v>
      </c>
      <c r="E72" s="1" t="s">
        <v>0</v>
      </c>
      <c r="F72" s="1">
        <v>43</v>
      </c>
      <c r="G72" s="1">
        <v>1</v>
      </c>
    </row>
    <row r="73" spans="1:7" x14ac:dyDescent="0.3">
      <c r="A73" s="1">
        <v>2</v>
      </c>
      <c r="B73" s="1">
        <v>1</v>
      </c>
      <c r="C73" s="1" t="s">
        <v>2</v>
      </c>
      <c r="D73" s="1">
        <v>10</v>
      </c>
      <c r="E73" s="1" t="s">
        <v>0</v>
      </c>
      <c r="F73" s="1">
        <v>54</v>
      </c>
      <c r="G73" s="1">
        <v>1</v>
      </c>
    </row>
    <row r="74" spans="1:7" x14ac:dyDescent="0.3">
      <c r="A74" s="1">
        <v>2</v>
      </c>
      <c r="B74" s="1">
        <v>1</v>
      </c>
      <c r="C74" s="1" t="s">
        <v>2</v>
      </c>
      <c r="D74" s="1">
        <v>6</v>
      </c>
      <c r="E74" s="1" t="s">
        <v>0</v>
      </c>
      <c r="F74" s="1">
        <v>45</v>
      </c>
      <c r="G74" s="1">
        <v>1</v>
      </c>
    </row>
    <row r="75" spans="1:7" x14ac:dyDescent="0.3">
      <c r="A75" s="1">
        <v>2</v>
      </c>
      <c r="B75" s="1">
        <v>1</v>
      </c>
      <c r="C75" s="1" t="s">
        <v>2</v>
      </c>
      <c r="D75" s="1">
        <v>34</v>
      </c>
      <c r="E75" s="1" t="s">
        <v>0</v>
      </c>
      <c r="F75" s="1">
        <v>67</v>
      </c>
      <c r="G75" s="1">
        <v>1</v>
      </c>
    </row>
    <row r="76" spans="1:7" x14ac:dyDescent="0.3">
      <c r="A76" s="1">
        <v>2</v>
      </c>
      <c r="B76" s="1">
        <v>1</v>
      </c>
      <c r="C76" s="1" t="s">
        <v>2</v>
      </c>
      <c r="D76" s="1">
        <v>5</v>
      </c>
      <c r="E76" s="1" t="s">
        <v>0</v>
      </c>
      <c r="F76" s="1">
        <v>54</v>
      </c>
      <c r="G76" s="1">
        <v>1</v>
      </c>
    </row>
    <row r="77" spans="1:7" x14ac:dyDescent="0.3">
      <c r="A77" s="1">
        <v>2</v>
      </c>
      <c r="B77" s="1">
        <v>1</v>
      </c>
      <c r="C77" s="1" t="s">
        <v>2</v>
      </c>
      <c r="D77" s="1">
        <v>12</v>
      </c>
      <c r="E77" s="1" t="s">
        <v>0</v>
      </c>
      <c r="F77" s="1">
        <v>22</v>
      </c>
      <c r="G77" s="1">
        <v>1</v>
      </c>
    </row>
    <row r="78" spans="1:7" x14ac:dyDescent="0.3">
      <c r="A78" s="1">
        <v>2</v>
      </c>
      <c r="B78" s="1">
        <v>1</v>
      </c>
      <c r="C78" s="1" t="s">
        <v>2</v>
      </c>
      <c r="D78" s="1">
        <v>10</v>
      </c>
      <c r="E78" s="1" t="s">
        <v>0</v>
      </c>
      <c r="F78" s="1">
        <v>31</v>
      </c>
      <c r="G78" s="1">
        <v>1</v>
      </c>
    </row>
    <row r="79" spans="1:7" x14ac:dyDescent="0.3">
      <c r="A79" s="1">
        <v>2</v>
      </c>
      <c r="B79" s="1">
        <v>1</v>
      </c>
      <c r="C79" s="1" t="s">
        <v>2</v>
      </c>
      <c r="D79" s="1">
        <v>36</v>
      </c>
      <c r="E79" s="1" t="s">
        <v>0</v>
      </c>
      <c r="F79" s="1">
        <v>21</v>
      </c>
      <c r="G79" s="1">
        <v>0</v>
      </c>
    </row>
    <row r="80" spans="1:7" x14ac:dyDescent="0.3">
      <c r="A80" s="1">
        <v>2</v>
      </c>
      <c r="B80" s="1">
        <v>1</v>
      </c>
      <c r="C80" s="1" t="s">
        <v>2</v>
      </c>
      <c r="D80" s="1">
        <v>7</v>
      </c>
      <c r="E80" s="1" t="s">
        <v>0</v>
      </c>
      <c r="F80" s="1">
        <v>24</v>
      </c>
      <c r="G80" s="1">
        <v>1</v>
      </c>
    </row>
    <row r="81" spans="1:7" x14ac:dyDescent="0.3">
      <c r="A81" s="1">
        <v>2</v>
      </c>
      <c r="B81" s="1">
        <v>1</v>
      </c>
      <c r="C81" s="1" t="s">
        <v>2</v>
      </c>
      <c r="D81" s="1">
        <v>15</v>
      </c>
      <c r="E81" s="1" t="s">
        <v>0</v>
      </c>
      <c r="F81" s="1">
        <v>41</v>
      </c>
      <c r="G81" s="1">
        <v>1</v>
      </c>
    </row>
    <row r="82" spans="1:7" x14ac:dyDescent="0.3">
      <c r="A82" s="1">
        <v>2</v>
      </c>
      <c r="B82" s="1">
        <v>1</v>
      </c>
      <c r="C82" s="1" t="s">
        <v>2</v>
      </c>
      <c r="D82" s="1">
        <v>13</v>
      </c>
      <c r="E82" s="1" t="s">
        <v>0</v>
      </c>
      <c r="F82" s="1">
        <v>27</v>
      </c>
      <c r="G82" s="1">
        <v>1</v>
      </c>
    </row>
    <row r="83" spans="1:7" x14ac:dyDescent="0.3">
      <c r="A83" s="1">
        <v>2</v>
      </c>
      <c r="B83" s="1">
        <v>1</v>
      </c>
      <c r="C83" s="1" t="s">
        <v>2</v>
      </c>
      <c r="D83" s="1">
        <v>3</v>
      </c>
      <c r="E83" s="1" t="s">
        <v>0</v>
      </c>
      <c r="F83" s="1">
        <v>38</v>
      </c>
      <c r="G83" s="1">
        <v>1</v>
      </c>
    </row>
    <row r="84" spans="1:7" x14ac:dyDescent="0.3">
      <c r="A84" s="1">
        <v>2</v>
      </c>
      <c r="B84" s="1">
        <v>1</v>
      </c>
      <c r="C84" s="1" t="s">
        <v>2</v>
      </c>
      <c r="D84" s="1">
        <v>7</v>
      </c>
      <c r="E84" s="1" t="s">
        <v>0</v>
      </c>
      <c r="F84" s="1">
        <v>25</v>
      </c>
      <c r="G84" s="1">
        <v>1</v>
      </c>
    </row>
    <row r="85" spans="1:7" x14ac:dyDescent="0.3">
      <c r="A85" s="1">
        <v>2</v>
      </c>
      <c r="B85" s="1">
        <v>1</v>
      </c>
      <c r="C85" s="1" t="s">
        <v>2</v>
      </c>
      <c r="D85" s="1">
        <v>53</v>
      </c>
      <c r="E85" s="1" t="s">
        <v>0</v>
      </c>
      <c r="F85" s="1">
        <v>33</v>
      </c>
      <c r="G85" s="1">
        <v>0</v>
      </c>
    </row>
    <row r="86" spans="1:7" x14ac:dyDescent="0.3">
      <c r="A86" s="1">
        <v>2</v>
      </c>
      <c r="B86" s="1">
        <v>1</v>
      </c>
      <c r="C86" s="1" t="s">
        <v>2</v>
      </c>
      <c r="D86" s="1">
        <v>6</v>
      </c>
      <c r="E86" s="1" t="s">
        <v>0</v>
      </c>
      <c r="F86" s="1">
        <v>40</v>
      </c>
      <c r="G86" s="1">
        <v>1</v>
      </c>
    </row>
    <row r="87" spans="1:7" x14ac:dyDescent="0.3">
      <c r="A87" s="1">
        <v>2</v>
      </c>
      <c r="B87" s="1">
        <v>1</v>
      </c>
      <c r="C87" s="1" t="s">
        <v>2</v>
      </c>
      <c r="D87" s="1">
        <v>19</v>
      </c>
      <c r="E87" s="1" t="s">
        <v>0</v>
      </c>
      <c r="F87" s="1">
        <v>29</v>
      </c>
      <c r="G87" s="1">
        <v>1</v>
      </c>
    </row>
    <row r="88" spans="1:7" x14ac:dyDescent="0.3">
      <c r="A88" s="1">
        <v>2</v>
      </c>
      <c r="B88" s="1">
        <v>1</v>
      </c>
      <c r="C88" s="1" t="s">
        <v>2</v>
      </c>
      <c r="D88" s="1">
        <v>11</v>
      </c>
      <c r="E88" s="1" t="s">
        <v>0</v>
      </c>
      <c r="F88" s="1">
        <v>36</v>
      </c>
      <c r="G88" s="1">
        <v>1</v>
      </c>
    </row>
    <row r="89" spans="1:7" x14ac:dyDescent="0.3">
      <c r="A89" s="1">
        <v>2</v>
      </c>
      <c r="B89" s="1">
        <v>1</v>
      </c>
      <c r="C89" s="1" t="s">
        <v>2</v>
      </c>
      <c r="D89" s="1">
        <v>21</v>
      </c>
      <c r="E89" s="1" t="s">
        <v>0</v>
      </c>
      <c r="F89" s="1">
        <v>28</v>
      </c>
      <c r="G89" s="1">
        <v>1</v>
      </c>
    </row>
    <row r="90" spans="1:7" x14ac:dyDescent="0.3">
      <c r="A90" s="1">
        <v>2</v>
      </c>
      <c r="B90" s="1">
        <v>1</v>
      </c>
      <c r="C90" s="1" t="s">
        <v>2</v>
      </c>
      <c r="D90" s="1">
        <v>17</v>
      </c>
      <c r="E90" s="1" t="s">
        <v>0</v>
      </c>
      <c r="F90" s="1">
        <v>45</v>
      </c>
      <c r="G90" s="1">
        <v>1</v>
      </c>
    </row>
    <row r="91" spans="1:7" x14ac:dyDescent="0.3">
      <c r="A91" s="1">
        <v>2</v>
      </c>
      <c r="B91" s="1">
        <v>1</v>
      </c>
      <c r="C91" s="1" t="s">
        <v>2</v>
      </c>
      <c r="D91" s="1">
        <v>8</v>
      </c>
      <c r="E91" s="1" t="s">
        <v>0</v>
      </c>
      <c r="F91" s="1">
        <v>40</v>
      </c>
      <c r="G91" s="1">
        <v>1</v>
      </c>
    </row>
    <row r="92" spans="1:7" x14ac:dyDescent="0.3">
      <c r="A92" s="1">
        <v>2</v>
      </c>
      <c r="B92" s="1">
        <v>1</v>
      </c>
      <c r="C92" s="1" t="s">
        <v>2</v>
      </c>
      <c r="D92" s="1">
        <v>34</v>
      </c>
      <c r="E92" s="1" t="s">
        <v>0</v>
      </c>
      <c r="F92" s="1">
        <v>66</v>
      </c>
      <c r="G92" s="1">
        <v>1</v>
      </c>
    </row>
    <row r="93" spans="1:7" x14ac:dyDescent="0.3">
      <c r="A93" s="1">
        <v>2</v>
      </c>
      <c r="B93" s="1">
        <v>1</v>
      </c>
      <c r="C93" s="1" t="s">
        <v>2</v>
      </c>
      <c r="D93" s="1">
        <v>21</v>
      </c>
      <c r="E93" s="1" t="s">
        <v>0</v>
      </c>
      <c r="F93" s="1">
        <v>33</v>
      </c>
      <c r="G93" s="1">
        <v>1</v>
      </c>
    </row>
    <row r="94" spans="1:7" x14ac:dyDescent="0.3">
      <c r="A94" s="1">
        <v>2</v>
      </c>
      <c r="B94" s="1">
        <v>1</v>
      </c>
      <c r="C94" s="1" t="s">
        <v>2</v>
      </c>
      <c r="D94" s="1">
        <v>16</v>
      </c>
      <c r="E94" s="1" t="s">
        <v>0</v>
      </c>
      <c r="F94" s="1">
        <v>6</v>
      </c>
      <c r="G94" s="1">
        <v>0</v>
      </c>
    </row>
    <row r="95" spans="1:7" x14ac:dyDescent="0.3">
      <c r="A95" s="1">
        <v>2</v>
      </c>
      <c r="B95" s="1">
        <v>1</v>
      </c>
      <c r="C95" s="1" t="s">
        <v>2</v>
      </c>
      <c r="D95" s="1">
        <v>41</v>
      </c>
      <c r="E95" s="1" t="s">
        <v>0</v>
      </c>
      <c r="F95" s="1">
        <v>35</v>
      </c>
      <c r="G95" s="1">
        <v>0</v>
      </c>
    </row>
    <row r="96" spans="1:7" x14ac:dyDescent="0.3">
      <c r="A96" s="1">
        <v>2</v>
      </c>
      <c r="B96" s="1">
        <v>1</v>
      </c>
      <c r="C96" s="1" t="s">
        <v>2</v>
      </c>
      <c r="D96" s="1">
        <v>5</v>
      </c>
      <c r="E96" s="1" t="s">
        <v>0</v>
      </c>
      <c r="F96" s="1">
        <v>39</v>
      </c>
      <c r="G96" s="1">
        <v>1</v>
      </c>
    </row>
    <row r="97" spans="1:7" x14ac:dyDescent="0.3">
      <c r="A97" s="1">
        <v>2</v>
      </c>
      <c r="B97" s="1">
        <v>1</v>
      </c>
      <c r="C97" s="1" t="s">
        <v>2</v>
      </c>
      <c r="D97" s="1">
        <v>28</v>
      </c>
      <c r="E97" s="1" t="s">
        <v>0</v>
      </c>
      <c r="F97" s="1">
        <v>24</v>
      </c>
      <c r="G97" s="1">
        <v>0</v>
      </c>
    </row>
    <row r="98" spans="1:7" x14ac:dyDescent="0.3">
      <c r="A98" s="1">
        <v>2</v>
      </c>
      <c r="B98" s="1">
        <v>1</v>
      </c>
      <c r="C98" s="1" t="s">
        <v>2</v>
      </c>
      <c r="D98" s="1">
        <v>2</v>
      </c>
      <c r="E98" s="1" t="s">
        <v>0</v>
      </c>
      <c r="F98" s="1">
        <v>28</v>
      </c>
      <c r="G98" s="1">
        <v>1</v>
      </c>
    </row>
    <row r="99" spans="1:7" x14ac:dyDescent="0.3">
      <c r="A99" s="1">
        <v>2</v>
      </c>
      <c r="B99" s="1">
        <v>1</v>
      </c>
      <c r="C99" s="1" t="s">
        <v>2</v>
      </c>
      <c r="D99" s="1">
        <v>6</v>
      </c>
      <c r="E99" s="1" t="s">
        <v>0</v>
      </c>
      <c r="F99" s="1">
        <v>29</v>
      </c>
      <c r="G99" s="1">
        <v>1</v>
      </c>
    </row>
    <row r="100" spans="1:7" x14ac:dyDescent="0.3">
      <c r="A100" s="1">
        <v>2</v>
      </c>
      <c r="B100" s="1">
        <v>1</v>
      </c>
      <c r="C100" s="1" t="s">
        <v>2</v>
      </c>
      <c r="D100" s="1">
        <v>0</v>
      </c>
      <c r="E100" s="1" t="s">
        <v>0</v>
      </c>
      <c r="F100" s="1">
        <v>29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5449-0109-482C-8CF8-79D5071C8E23}">
  <dimension ref="A1:Q100"/>
  <sheetViews>
    <sheetView topLeftCell="G1" workbookViewId="0">
      <selection activeCell="R24" sqref="R24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48</v>
      </c>
      <c r="E1" s="1" t="s">
        <v>3</v>
      </c>
      <c r="F1" s="1">
        <v>31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30</v>
      </c>
      <c r="E2" s="1" t="s">
        <v>3</v>
      </c>
      <c r="F2" s="1">
        <v>41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0</v>
      </c>
      <c r="D3" s="1">
        <v>34</v>
      </c>
      <c r="E3" s="1" t="s">
        <v>3</v>
      </c>
      <c r="F3" s="1">
        <v>45</v>
      </c>
      <c r="G3" s="1">
        <v>1</v>
      </c>
      <c r="I3" s="5" t="s">
        <v>11</v>
      </c>
      <c r="J3" s="5"/>
      <c r="K3" s="9">
        <f>COUNTIF($G$1:$G$100, 0)</f>
        <v>40</v>
      </c>
      <c r="L3" s="9"/>
      <c r="M3" s="9">
        <f>COUNTIFS($G$1:$G$100, 0, $B$1:$B$100, 0)</f>
        <v>19</v>
      </c>
      <c r="N3" s="9"/>
      <c r="O3" s="10">
        <f>COUNTIFS($G$1:$G$100, 0, $B$1:$B$100, 1)</f>
        <v>21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21</v>
      </c>
      <c r="E4" s="1" t="s">
        <v>3</v>
      </c>
      <c r="F4" s="1">
        <v>27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19</v>
      </c>
      <c r="E5" s="1" t="s">
        <v>3</v>
      </c>
      <c r="F5" s="1">
        <v>38</v>
      </c>
      <c r="G5" s="1">
        <v>1</v>
      </c>
      <c r="I5" s="5" t="s">
        <v>12</v>
      </c>
      <c r="J5" s="5"/>
      <c r="K5" s="14">
        <f>COUNTIF($G$1:$G$100, 1)</f>
        <v>60</v>
      </c>
      <c r="L5" s="9"/>
      <c r="M5" s="9">
        <f>COUNTIFS($G$1:$G$100, 1, $B$1:$B$100, 0)</f>
        <v>31</v>
      </c>
      <c r="N5" s="9"/>
      <c r="O5" s="9">
        <f>COUNTIFS($G$1:$G$100, 1, $B$1:$B$100, 1)</f>
        <v>29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29</v>
      </c>
      <c r="E6" s="1" t="s">
        <v>3</v>
      </c>
      <c r="F6" s="1">
        <v>22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19</v>
      </c>
      <c r="E7" s="1" t="s">
        <v>3</v>
      </c>
      <c r="F7" s="1">
        <v>11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38</v>
      </c>
      <c r="E8" s="1" t="s">
        <v>3</v>
      </c>
      <c r="F8" s="1">
        <v>4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39</v>
      </c>
      <c r="E9" s="1" t="s">
        <v>3</v>
      </c>
      <c r="F9" s="1">
        <v>58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37</v>
      </c>
      <c r="E10" s="1" t="s">
        <v>3</v>
      </c>
      <c r="F10" s="1">
        <v>61</v>
      </c>
      <c r="G10" s="1">
        <v>1</v>
      </c>
      <c r="I10" s="5" t="s">
        <v>15</v>
      </c>
      <c r="J10" s="5"/>
      <c r="K10" s="9">
        <f>AVERAGE($D$1:$D$100,)</f>
        <v>28.14851485148515</v>
      </c>
      <c r="L10" s="9"/>
      <c r="M10" s="9" cm="1">
        <f t="array" ref="M10">AVERAGE(_xlfn._xlws.FILTER($D$1:$D$100,$G$1:$G$100 = 0))</f>
        <v>31.925000000000001</v>
      </c>
      <c r="N10" s="9"/>
      <c r="O10" s="10" cm="1">
        <f t="array" ref="O10">AVERAGE(_xlfn._xlws.FILTER($D$1:$D$100,$G$1:$G$100 = 1))</f>
        <v>26.1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20</v>
      </c>
      <c r="E11" s="1" t="s">
        <v>3</v>
      </c>
      <c r="F11" s="1">
        <v>36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9</v>
      </c>
      <c r="E12" s="1" t="s">
        <v>3</v>
      </c>
      <c r="F12" s="1">
        <v>12</v>
      </c>
      <c r="G12" s="1">
        <v>1</v>
      </c>
      <c r="I12" s="5" t="s">
        <v>16</v>
      </c>
      <c r="J12" s="5"/>
      <c r="K12" s="9">
        <f>AVERAGE($F$1:$F$100,)</f>
        <v>32.564356435643568</v>
      </c>
      <c r="L12" s="9"/>
      <c r="M12" s="9" cm="1">
        <f t="array" ref="M12">AVERAGE(_xlfn._xlws.FILTER($F$1:$F$100,$G$1:$G$100 = 0))</f>
        <v>21.125</v>
      </c>
      <c r="N12" s="9"/>
      <c r="O12" s="9" cm="1">
        <f t="array" ref="O12">AVERAGE(_xlfn._xlws.FILTER($F$1:$F$100,$G$1:$G$100 = 1))</f>
        <v>40.733333333333334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12</v>
      </c>
      <c r="E13" s="1" t="s">
        <v>3</v>
      </c>
      <c r="F13" s="1">
        <v>20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39</v>
      </c>
      <c r="E14" s="1" t="s">
        <v>3</v>
      </c>
      <c r="F14" s="1">
        <v>21</v>
      </c>
      <c r="G14" s="1">
        <v>0</v>
      </c>
      <c r="I14" s="22" t="s">
        <v>17</v>
      </c>
      <c r="J14" s="11"/>
      <c r="K14" s="23" cm="1">
        <f t="array" ref="K14">AVERAGE($D$1:$D$100 - $F$1:$F$100)</f>
        <v>-4.46</v>
      </c>
      <c r="L14" s="23"/>
      <c r="M14" s="23" cm="1">
        <f t="array" ref="M14">AVERAGE(_xlfn._xlws.FILTER($D$1:$D$100 - $F$1:$F$100, G$1:G$100 = 0))</f>
        <v>10.8</v>
      </c>
      <c r="N14" s="23"/>
      <c r="O14" s="23" cm="1">
        <f t="array" ref="O14">AVERAGE(_xlfn._xlws.FILTER($D$1:$D$100 - $F$1:$F$100, G$1:G$100 = 1))</f>
        <v>-14.633333333333333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41</v>
      </c>
      <c r="E15" s="1" t="s">
        <v>3</v>
      </c>
      <c r="F15" s="1">
        <v>36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25</v>
      </c>
      <c r="E16" s="1" t="s">
        <v>3</v>
      </c>
      <c r="F16" s="1">
        <v>26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7</v>
      </c>
      <c r="E17" s="1" t="s">
        <v>3</v>
      </c>
      <c r="F17" s="1">
        <v>13</v>
      </c>
      <c r="G17" s="1">
        <v>1</v>
      </c>
    </row>
    <row r="18" spans="1:7" x14ac:dyDescent="0.3">
      <c r="A18" s="1">
        <v>2</v>
      </c>
      <c r="B18" s="1">
        <v>0</v>
      </c>
      <c r="C18" s="1" t="s">
        <v>0</v>
      </c>
      <c r="D18" s="1">
        <v>23</v>
      </c>
      <c r="E18" s="1" t="s">
        <v>3</v>
      </c>
      <c r="F18" s="1">
        <v>38</v>
      </c>
      <c r="G18" s="1">
        <v>1</v>
      </c>
    </row>
    <row r="19" spans="1:7" x14ac:dyDescent="0.3">
      <c r="A19" s="1">
        <v>2</v>
      </c>
      <c r="B19" s="1">
        <v>0</v>
      </c>
      <c r="C19" s="1" t="s">
        <v>0</v>
      </c>
      <c r="D19" s="1">
        <v>35</v>
      </c>
      <c r="E19" s="1" t="s">
        <v>3</v>
      </c>
      <c r="F19" s="1">
        <v>34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45</v>
      </c>
      <c r="E20" s="1" t="s">
        <v>3</v>
      </c>
      <c r="F20" s="1">
        <v>25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53</v>
      </c>
      <c r="E21" s="1" t="s">
        <v>3</v>
      </c>
      <c r="F21" s="1">
        <v>50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26</v>
      </c>
      <c r="E22" s="1" t="s">
        <v>3</v>
      </c>
      <c r="F22" s="1">
        <v>25</v>
      </c>
      <c r="G22" s="1">
        <v>0</v>
      </c>
    </row>
    <row r="23" spans="1:7" x14ac:dyDescent="0.3">
      <c r="A23" s="1">
        <v>2</v>
      </c>
      <c r="B23" s="1">
        <v>0</v>
      </c>
      <c r="C23" s="1" t="s">
        <v>0</v>
      </c>
      <c r="D23" s="1">
        <v>41</v>
      </c>
      <c r="E23" s="1" t="s">
        <v>3</v>
      </c>
      <c r="F23" s="1">
        <v>23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19</v>
      </c>
      <c r="E24" s="1" t="s">
        <v>3</v>
      </c>
      <c r="F24" s="1">
        <v>2</v>
      </c>
      <c r="G24" s="1">
        <v>0</v>
      </c>
    </row>
    <row r="25" spans="1:7" x14ac:dyDescent="0.3">
      <c r="A25" s="1">
        <v>2</v>
      </c>
      <c r="B25" s="1">
        <v>0</v>
      </c>
      <c r="C25" s="1" t="s">
        <v>0</v>
      </c>
      <c r="D25" s="1">
        <v>31</v>
      </c>
      <c r="E25" s="1" t="s">
        <v>3</v>
      </c>
      <c r="F25" s="1">
        <v>49</v>
      </c>
      <c r="G25" s="1">
        <v>1</v>
      </c>
    </row>
    <row r="26" spans="1:7" x14ac:dyDescent="0.3">
      <c r="A26" s="1">
        <v>2</v>
      </c>
      <c r="B26" s="1">
        <v>0</v>
      </c>
      <c r="C26" s="1" t="s">
        <v>0</v>
      </c>
      <c r="D26" s="1">
        <v>18</v>
      </c>
      <c r="E26" s="1" t="s">
        <v>3</v>
      </c>
      <c r="F26" s="1">
        <v>0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35</v>
      </c>
      <c r="E27" s="1" t="s">
        <v>3</v>
      </c>
      <c r="F27" s="1">
        <v>21</v>
      </c>
      <c r="G27" s="1">
        <v>0</v>
      </c>
    </row>
    <row r="28" spans="1:7" x14ac:dyDescent="0.3">
      <c r="A28" s="1">
        <v>2</v>
      </c>
      <c r="B28" s="1">
        <v>0</v>
      </c>
      <c r="C28" s="1" t="s">
        <v>0</v>
      </c>
      <c r="D28" s="1">
        <v>30</v>
      </c>
      <c r="E28" s="1" t="s">
        <v>3</v>
      </c>
      <c r="F28" s="1">
        <v>48</v>
      </c>
      <c r="G28" s="1">
        <v>1</v>
      </c>
    </row>
    <row r="29" spans="1:7" x14ac:dyDescent="0.3">
      <c r="A29" s="1">
        <v>2</v>
      </c>
      <c r="B29" s="1">
        <v>0</v>
      </c>
      <c r="C29" s="1" t="s">
        <v>0</v>
      </c>
      <c r="D29" s="1">
        <v>30</v>
      </c>
      <c r="E29" s="1" t="s">
        <v>3</v>
      </c>
      <c r="F29" s="1">
        <v>53</v>
      </c>
      <c r="G29" s="1">
        <v>1</v>
      </c>
    </row>
    <row r="30" spans="1:7" x14ac:dyDescent="0.3">
      <c r="A30" s="1">
        <v>2</v>
      </c>
      <c r="B30" s="1">
        <v>0</v>
      </c>
      <c r="C30" s="1" t="s">
        <v>0</v>
      </c>
      <c r="D30" s="1">
        <v>23</v>
      </c>
      <c r="E30" s="1" t="s">
        <v>3</v>
      </c>
      <c r="F30" s="1">
        <v>15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19</v>
      </c>
      <c r="E31" s="1" t="s">
        <v>3</v>
      </c>
      <c r="F31" s="1">
        <v>21</v>
      </c>
      <c r="G31" s="1">
        <v>1</v>
      </c>
    </row>
    <row r="32" spans="1:7" x14ac:dyDescent="0.3">
      <c r="A32" s="1">
        <v>2</v>
      </c>
      <c r="B32" s="1">
        <v>0</v>
      </c>
      <c r="C32" s="1" t="s">
        <v>0</v>
      </c>
      <c r="D32" s="1">
        <v>24</v>
      </c>
      <c r="E32" s="1" t="s">
        <v>3</v>
      </c>
      <c r="F32" s="1">
        <v>27</v>
      </c>
      <c r="G32" s="1">
        <v>1</v>
      </c>
    </row>
    <row r="33" spans="1:7" x14ac:dyDescent="0.3">
      <c r="A33" s="1">
        <v>2</v>
      </c>
      <c r="B33" s="1">
        <v>0</v>
      </c>
      <c r="C33" s="1" t="s">
        <v>0</v>
      </c>
      <c r="D33" s="1">
        <v>28</v>
      </c>
      <c r="E33" s="1" t="s">
        <v>3</v>
      </c>
      <c r="F33" s="1">
        <v>56</v>
      </c>
      <c r="G33" s="1">
        <v>1</v>
      </c>
    </row>
    <row r="34" spans="1:7" x14ac:dyDescent="0.3">
      <c r="A34" s="1">
        <v>2</v>
      </c>
      <c r="B34" s="1">
        <v>0</v>
      </c>
      <c r="C34" s="1" t="s">
        <v>0</v>
      </c>
      <c r="D34" s="1">
        <v>28</v>
      </c>
      <c r="E34" s="1" t="s">
        <v>3</v>
      </c>
      <c r="F34" s="1">
        <v>36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19</v>
      </c>
      <c r="E35" s="1" t="s">
        <v>3</v>
      </c>
      <c r="F35" s="1">
        <v>20</v>
      </c>
      <c r="G35" s="1">
        <v>1</v>
      </c>
    </row>
    <row r="36" spans="1:7" x14ac:dyDescent="0.3">
      <c r="A36" s="1">
        <v>2</v>
      </c>
      <c r="B36" s="1">
        <v>0</v>
      </c>
      <c r="C36" s="1" t="s">
        <v>0</v>
      </c>
      <c r="D36" s="1">
        <v>29</v>
      </c>
      <c r="E36" s="1" t="s">
        <v>3</v>
      </c>
      <c r="F36" s="1">
        <v>41</v>
      </c>
      <c r="G36" s="1">
        <v>1</v>
      </c>
    </row>
    <row r="37" spans="1:7" x14ac:dyDescent="0.3">
      <c r="A37" s="1">
        <v>2</v>
      </c>
      <c r="B37" s="1">
        <v>0</v>
      </c>
      <c r="C37" s="1" t="s">
        <v>0</v>
      </c>
      <c r="D37" s="1">
        <v>53</v>
      </c>
      <c r="E37" s="1" t="s">
        <v>3</v>
      </c>
      <c r="F37" s="1">
        <v>46</v>
      </c>
      <c r="G37" s="1">
        <v>0</v>
      </c>
    </row>
    <row r="38" spans="1:7" x14ac:dyDescent="0.3">
      <c r="A38" s="1">
        <v>2</v>
      </c>
      <c r="B38" s="1">
        <v>0</v>
      </c>
      <c r="C38" s="1" t="s">
        <v>0</v>
      </c>
      <c r="D38" s="1">
        <v>28</v>
      </c>
      <c r="E38" s="1" t="s">
        <v>3</v>
      </c>
      <c r="F38" s="1">
        <v>45</v>
      </c>
      <c r="G38" s="1">
        <v>1</v>
      </c>
    </row>
    <row r="39" spans="1:7" x14ac:dyDescent="0.3">
      <c r="A39" s="1">
        <v>2</v>
      </c>
      <c r="B39" s="1">
        <v>0</v>
      </c>
      <c r="C39" s="1" t="s">
        <v>0</v>
      </c>
      <c r="D39" s="1">
        <v>23</v>
      </c>
      <c r="E39" s="1" t="s">
        <v>3</v>
      </c>
      <c r="F39" s="1">
        <v>24</v>
      </c>
      <c r="G39" s="1">
        <v>1</v>
      </c>
    </row>
    <row r="40" spans="1:7" x14ac:dyDescent="0.3">
      <c r="A40" s="1">
        <v>2</v>
      </c>
      <c r="B40" s="1">
        <v>0</v>
      </c>
      <c r="C40" s="1" t="s">
        <v>0</v>
      </c>
      <c r="D40" s="1">
        <v>30</v>
      </c>
      <c r="E40" s="1" t="s">
        <v>3</v>
      </c>
      <c r="F40" s="1">
        <v>44</v>
      </c>
      <c r="G40" s="1">
        <v>1</v>
      </c>
    </row>
    <row r="41" spans="1:7" x14ac:dyDescent="0.3">
      <c r="A41" s="1">
        <v>2</v>
      </c>
      <c r="B41" s="1">
        <v>0</v>
      </c>
      <c r="C41" s="1" t="s">
        <v>0</v>
      </c>
      <c r="D41" s="1">
        <v>43</v>
      </c>
      <c r="E41" s="1" t="s">
        <v>3</v>
      </c>
      <c r="F41" s="1">
        <v>51</v>
      </c>
      <c r="G41" s="1">
        <v>1</v>
      </c>
    </row>
    <row r="42" spans="1:7" x14ac:dyDescent="0.3">
      <c r="A42" s="1">
        <v>2</v>
      </c>
      <c r="B42" s="1">
        <v>0</v>
      </c>
      <c r="C42" s="1" t="s">
        <v>0</v>
      </c>
      <c r="D42" s="1">
        <v>30</v>
      </c>
      <c r="E42" s="1" t="s">
        <v>3</v>
      </c>
      <c r="F42" s="1">
        <v>55</v>
      </c>
      <c r="G42" s="1">
        <v>1</v>
      </c>
    </row>
    <row r="43" spans="1:7" x14ac:dyDescent="0.3">
      <c r="A43" s="1">
        <v>2</v>
      </c>
      <c r="B43" s="1">
        <v>0</v>
      </c>
      <c r="C43" s="1" t="s">
        <v>0</v>
      </c>
      <c r="D43" s="1">
        <v>43</v>
      </c>
      <c r="E43" s="1" t="s">
        <v>3</v>
      </c>
      <c r="F43" s="1">
        <v>49</v>
      </c>
      <c r="G43" s="1">
        <v>1</v>
      </c>
    </row>
    <row r="44" spans="1:7" x14ac:dyDescent="0.3">
      <c r="A44" s="1">
        <v>2</v>
      </c>
      <c r="B44" s="1">
        <v>0</v>
      </c>
      <c r="C44" s="1" t="s">
        <v>0</v>
      </c>
      <c r="D44" s="1">
        <v>25</v>
      </c>
      <c r="E44" s="1" t="s">
        <v>3</v>
      </c>
      <c r="F44" s="1">
        <v>7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32</v>
      </c>
      <c r="E45" s="1" t="s">
        <v>3</v>
      </c>
      <c r="F45" s="1">
        <v>40</v>
      </c>
      <c r="G45" s="1">
        <v>1</v>
      </c>
    </row>
    <row r="46" spans="1:7" x14ac:dyDescent="0.3">
      <c r="A46" s="1">
        <v>2</v>
      </c>
      <c r="B46" s="1">
        <v>0</v>
      </c>
      <c r="C46" s="1" t="s">
        <v>0</v>
      </c>
      <c r="D46" s="1">
        <v>24</v>
      </c>
      <c r="E46" s="1" t="s">
        <v>3</v>
      </c>
      <c r="F46" s="1">
        <v>50</v>
      </c>
      <c r="G46" s="1">
        <v>1</v>
      </c>
    </row>
    <row r="47" spans="1:7" x14ac:dyDescent="0.3">
      <c r="A47" s="1">
        <v>2</v>
      </c>
      <c r="B47" s="1">
        <v>0</v>
      </c>
      <c r="C47" s="1" t="s">
        <v>0</v>
      </c>
      <c r="D47" s="1">
        <v>22</v>
      </c>
      <c r="E47" s="1" t="s">
        <v>3</v>
      </c>
      <c r="F47" s="1">
        <v>16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34</v>
      </c>
      <c r="E48" s="1" t="s">
        <v>3</v>
      </c>
      <c r="F48" s="1">
        <v>66</v>
      </c>
      <c r="G48" s="1">
        <v>1</v>
      </c>
    </row>
    <row r="49" spans="1:7" x14ac:dyDescent="0.3">
      <c r="A49" s="1">
        <v>2</v>
      </c>
      <c r="B49" s="1">
        <v>0</v>
      </c>
      <c r="C49" s="1" t="s">
        <v>0</v>
      </c>
      <c r="D49" s="1">
        <v>48</v>
      </c>
      <c r="E49" s="1" t="s">
        <v>3</v>
      </c>
      <c r="F49" s="1">
        <v>45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12</v>
      </c>
      <c r="E50" s="1" t="s">
        <v>3</v>
      </c>
      <c r="F50" s="1">
        <v>18</v>
      </c>
      <c r="G50" s="1">
        <v>1</v>
      </c>
    </row>
    <row r="51" spans="1:7" x14ac:dyDescent="0.3">
      <c r="A51" s="1">
        <v>2</v>
      </c>
      <c r="B51" s="1">
        <v>1</v>
      </c>
      <c r="C51" s="1" t="s">
        <v>0</v>
      </c>
      <c r="D51" s="1">
        <v>27</v>
      </c>
      <c r="E51" s="1" t="s">
        <v>3</v>
      </c>
      <c r="F51" s="1">
        <v>44</v>
      </c>
      <c r="G51" s="1">
        <v>1</v>
      </c>
    </row>
    <row r="52" spans="1:7" x14ac:dyDescent="0.3">
      <c r="A52" s="1">
        <v>2</v>
      </c>
      <c r="B52" s="1">
        <v>1</v>
      </c>
      <c r="C52" s="1" t="s">
        <v>0</v>
      </c>
      <c r="D52" s="1">
        <v>29</v>
      </c>
      <c r="E52" s="1" t="s">
        <v>3</v>
      </c>
      <c r="F52" s="1">
        <v>43</v>
      </c>
      <c r="G52" s="1">
        <v>1</v>
      </c>
    </row>
    <row r="53" spans="1:7" x14ac:dyDescent="0.3">
      <c r="A53" s="1">
        <v>2</v>
      </c>
      <c r="B53" s="1">
        <v>1</v>
      </c>
      <c r="C53" s="1" t="s">
        <v>0</v>
      </c>
      <c r="D53" s="1">
        <v>20</v>
      </c>
      <c r="E53" s="1" t="s">
        <v>3</v>
      </c>
      <c r="F53" s="1">
        <v>59</v>
      </c>
      <c r="G53" s="1">
        <v>1</v>
      </c>
    </row>
    <row r="54" spans="1:7" x14ac:dyDescent="0.3">
      <c r="A54" s="1">
        <v>2</v>
      </c>
      <c r="B54" s="1">
        <v>1</v>
      </c>
      <c r="C54" s="1" t="s">
        <v>0</v>
      </c>
      <c r="D54" s="1">
        <v>34</v>
      </c>
      <c r="E54" s="1" t="s">
        <v>3</v>
      </c>
      <c r="F54" s="1">
        <v>57</v>
      </c>
      <c r="G54" s="1">
        <v>1</v>
      </c>
    </row>
    <row r="55" spans="1:7" x14ac:dyDescent="0.3">
      <c r="A55" s="1">
        <v>2</v>
      </c>
      <c r="B55" s="1">
        <v>1</v>
      </c>
      <c r="C55" s="1" t="s">
        <v>0</v>
      </c>
      <c r="D55" s="1">
        <v>24</v>
      </c>
      <c r="E55" s="1" t="s">
        <v>3</v>
      </c>
      <c r="F55" s="1">
        <v>46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53</v>
      </c>
      <c r="E56" s="1" t="s">
        <v>3</v>
      </c>
      <c r="F56" s="1">
        <v>49</v>
      </c>
      <c r="G56" s="1">
        <v>0</v>
      </c>
    </row>
    <row r="57" spans="1:7" x14ac:dyDescent="0.3">
      <c r="A57" s="1">
        <v>2</v>
      </c>
      <c r="B57" s="1">
        <v>1</v>
      </c>
      <c r="C57" s="1" t="s">
        <v>0</v>
      </c>
      <c r="D57" s="1">
        <v>17</v>
      </c>
      <c r="E57" s="1" t="s">
        <v>3</v>
      </c>
      <c r="F57" s="1">
        <v>34</v>
      </c>
      <c r="G57" s="1">
        <v>1</v>
      </c>
    </row>
    <row r="58" spans="1:7" x14ac:dyDescent="0.3">
      <c r="A58" s="1">
        <v>2</v>
      </c>
      <c r="B58" s="1">
        <v>1</v>
      </c>
      <c r="C58" s="1" t="s">
        <v>0</v>
      </c>
      <c r="D58" s="1">
        <v>36</v>
      </c>
      <c r="E58" s="1" t="s">
        <v>3</v>
      </c>
      <c r="F58" s="1">
        <v>52</v>
      </c>
      <c r="G58" s="1">
        <v>1</v>
      </c>
    </row>
    <row r="59" spans="1:7" x14ac:dyDescent="0.3">
      <c r="A59" s="1">
        <v>2</v>
      </c>
      <c r="B59" s="1">
        <v>1</v>
      </c>
      <c r="C59" s="1" t="s">
        <v>0</v>
      </c>
      <c r="D59" s="1">
        <v>27</v>
      </c>
      <c r="E59" s="1" t="s">
        <v>3</v>
      </c>
      <c r="F59" s="1">
        <v>32</v>
      </c>
      <c r="G59" s="1">
        <v>1</v>
      </c>
    </row>
    <row r="60" spans="1:7" x14ac:dyDescent="0.3">
      <c r="A60" s="1">
        <v>2</v>
      </c>
      <c r="B60" s="1">
        <v>1</v>
      </c>
      <c r="C60" s="1" t="s">
        <v>0</v>
      </c>
      <c r="D60" s="1">
        <v>36</v>
      </c>
      <c r="E60" s="1" t="s">
        <v>3</v>
      </c>
      <c r="F60" s="1">
        <v>39</v>
      </c>
      <c r="G60" s="1">
        <v>1</v>
      </c>
    </row>
    <row r="61" spans="1:7" x14ac:dyDescent="0.3">
      <c r="A61" s="1">
        <v>2</v>
      </c>
      <c r="B61" s="1">
        <v>1</v>
      </c>
      <c r="C61" s="1" t="s">
        <v>0</v>
      </c>
      <c r="D61" s="1">
        <v>30</v>
      </c>
      <c r="E61" s="1" t="s">
        <v>3</v>
      </c>
      <c r="F61" s="1">
        <v>54</v>
      </c>
      <c r="G61" s="1">
        <v>1</v>
      </c>
    </row>
    <row r="62" spans="1:7" x14ac:dyDescent="0.3">
      <c r="A62" s="1">
        <v>2</v>
      </c>
      <c r="B62" s="1">
        <v>1</v>
      </c>
      <c r="C62" s="1" t="s">
        <v>0</v>
      </c>
      <c r="D62" s="1">
        <v>28</v>
      </c>
      <c r="E62" s="1" t="s">
        <v>3</v>
      </c>
      <c r="F62" s="1">
        <v>32</v>
      </c>
      <c r="G62" s="1">
        <v>1</v>
      </c>
    </row>
    <row r="63" spans="1:7" x14ac:dyDescent="0.3">
      <c r="A63" s="1">
        <v>2</v>
      </c>
      <c r="B63" s="1">
        <v>1</v>
      </c>
      <c r="C63" s="1" t="s">
        <v>0</v>
      </c>
      <c r="D63" s="1">
        <v>17</v>
      </c>
      <c r="E63" s="1" t="s">
        <v>3</v>
      </c>
      <c r="F63" s="1">
        <v>17</v>
      </c>
      <c r="G63" s="1">
        <v>0</v>
      </c>
    </row>
    <row r="64" spans="1:7" x14ac:dyDescent="0.3">
      <c r="A64" s="1">
        <v>2</v>
      </c>
      <c r="B64" s="1">
        <v>1</v>
      </c>
      <c r="C64" s="1" t="s">
        <v>0</v>
      </c>
      <c r="D64" s="1">
        <v>21</v>
      </c>
      <c r="E64" s="1" t="s">
        <v>3</v>
      </c>
      <c r="F64" s="1">
        <v>24</v>
      </c>
      <c r="G64" s="1">
        <v>1</v>
      </c>
    </row>
    <row r="65" spans="1:7" x14ac:dyDescent="0.3">
      <c r="A65" s="1">
        <v>2</v>
      </c>
      <c r="B65" s="1">
        <v>1</v>
      </c>
      <c r="C65" s="1" t="s">
        <v>0</v>
      </c>
      <c r="D65" s="1">
        <v>21</v>
      </c>
      <c r="E65" s="1" t="s">
        <v>3</v>
      </c>
      <c r="F65" s="1">
        <v>31</v>
      </c>
      <c r="G65" s="1">
        <v>1</v>
      </c>
    </row>
    <row r="66" spans="1:7" x14ac:dyDescent="0.3">
      <c r="A66" s="1">
        <v>2</v>
      </c>
      <c r="B66" s="1">
        <v>1</v>
      </c>
      <c r="C66" s="1" t="s">
        <v>0</v>
      </c>
      <c r="D66" s="1">
        <v>41</v>
      </c>
      <c r="E66" s="1" t="s">
        <v>3</v>
      </c>
      <c r="F66" s="1">
        <v>21</v>
      </c>
      <c r="G66" s="1">
        <v>0</v>
      </c>
    </row>
    <row r="67" spans="1:7" x14ac:dyDescent="0.3">
      <c r="A67" s="1">
        <v>2</v>
      </c>
      <c r="B67" s="1">
        <v>1</v>
      </c>
      <c r="C67" s="1" t="s">
        <v>0</v>
      </c>
      <c r="D67" s="1">
        <v>7</v>
      </c>
      <c r="E67" s="1" t="s">
        <v>3</v>
      </c>
      <c r="F67" s="1">
        <v>12</v>
      </c>
      <c r="G67" s="1">
        <v>1</v>
      </c>
    </row>
    <row r="68" spans="1:7" x14ac:dyDescent="0.3">
      <c r="A68" s="1">
        <v>2</v>
      </c>
      <c r="B68" s="1">
        <v>1</v>
      </c>
      <c r="C68" s="1" t="s">
        <v>0</v>
      </c>
      <c r="D68" s="1">
        <v>33</v>
      </c>
      <c r="E68" s="1" t="s">
        <v>3</v>
      </c>
      <c r="F68" s="1">
        <v>36</v>
      </c>
      <c r="G68" s="1">
        <v>1</v>
      </c>
    </row>
    <row r="69" spans="1:7" x14ac:dyDescent="0.3">
      <c r="A69" s="1">
        <v>2</v>
      </c>
      <c r="B69" s="1">
        <v>1</v>
      </c>
      <c r="C69" s="1" t="s">
        <v>0</v>
      </c>
      <c r="D69" s="1">
        <v>9</v>
      </c>
      <c r="E69" s="1" t="s">
        <v>3</v>
      </c>
      <c r="F69" s="1">
        <v>9</v>
      </c>
      <c r="G69" s="1">
        <v>0</v>
      </c>
    </row>
    <row r="70" spans="1:7" x14ac:dyDescent="0.3">
      <c r="A70" s="1">
        <v>2</v>
      </c>
      <c r="B70" s="1">
        <v>1</v>
      </c>
      <c r="C70" s="1" t="s">
        <v>0</v>
      </c>
      <c r="D70" s="1">
        <v>24</v>
      </c>
      <c r="E70" s="1" t="s">
        <v>3</v>
      </c>
      <c r="F70" s="1">
        <v>56</v>
      </c>
      <c r="G70" s="1">
        <v>1</v>
      </c>
    </row>
    <row r="71" spans="1:7" x14ac:dyDescent="0.3">
      <c r="A71" s="1">
        <v>2</v>
      </c>
      <c r="B71" s="1">
        <v>1</v>
      </c>
      <c r="C71" s="1" t="s">
        <v>0</v>
      </c>
      <c r="D71" s="1">
        <v>27</v>
      </c>
      <c r="E71" s="1" t="s">
        <v>3</v>
      </c>
      <c r="F71" s="1">
        <v>30</v>
      </c>
      <c r="G71" s="1">
        <v>1</v>
      </c>
    </row>
    <row r="72" spans="1:7" x14ac:dyDescent="0.3">
      <c r="A72" s="1">
        <v>2</v>
      </c>
      <c r="B72" s="1">
        <v>1</v>
      </c>
      <c r="C72" s="1" t="s">
        <v>0</v>
      </c>
      <c r="D72" s="1">
        <v>27</v>
      </c>
      <c r="E72" s="1" t="s">
        <v>3</v>
      </c>
      <c r="F72" s="1">
        <v>18</v>
      </c>
      <c r="G72" s="1">
        <v>0</v>
      </c>
    </row>
    <row r="73" spans="1:7" x14ac:dyDescent="0.3">
      <c r="A73" s="1">
        <v>2</v>
      </c>
      <c r="B73" s="1">
        <v>1</v>
      </c>
      <c r="C73" s="1" t="s">
        <v>0</v>
      </c>
      <c r="D73" s="1">
        <v>27</v>
      </c>
      <c r="E73" s="1" t="s">
        <v>3</v>
      </c>
      <c r="F73" s="1">
        <v>16</v>
      </c>
      <c r="G73" s="1">
        <v>0</v>
      </c>
    </row>
    <row r="74" spans="1:7" x14ac:dyDescent="0.3">
      <c r="A74" s="1">
        <v>2</v>
      </c>
      <c r="B74" s="1">
        <v>1</v>
      </c>
      <c r="C74" s="1" t="s">
        <v>0</v>
      </c>
      <c r="D74" s="1">
        <v>27</v>
      </c>
      <c r="E74" s="1" t="s">
        <v>3</v>
      </c>
      <c r="F74" s="1">
        <v>62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38</v>
      </c>
      <c r="E75" s="1" t="s">
        <v>3</v>
      </c>
      <c r="F75" s="1">
        <v>47</v>
      </c>
      <c r="G75" s="1">
        <v>1</v>
      </c>
    </row>
    <row r="76" spans="1:7" x14ac:dyDescent="0.3">
      <c r="A76" s="1">
        <v>2</v>
      </c>
      <c r="B76" s="1">
        <v>1</v>
      </c>
      <c r="C76" s="1" t="s">
        <v>0</v>
      </c>
      <c r="D76" s="1">
        <v>23</v>
      </c>
      <c r="E76" s="1" t="s">
        <v>3</v>
      </c>
      <c r="F76" s="1">
        <v>31</v>
      </c>
      <c r="G76" s="1">
        <v>1</v>
      </c>
    </row>
    <row r="77" spans="1:7" x14ac:dyDescent="0.3">
      <c r="A77" s="1">
        <v>2</v>
      </c>
      <c r="B77" s="1">
        <v>1</v>
      </c>
      <c r="C77" s="1" t="s">
        <v>0</v>
      </c>
      <c r="D77" s="1">
        <v>36</v>
      </c>
      <c r="E77" s="1" t="s">
        <v>3</v>
      </c>
      <c r="F77" s="1">
        <v>33</v>
      </c>
      <c r="G77" s="1">
        <v>0</v>
      </c>
    </row>
    <row r="78" spans="1:7" x14ac:dyDescent="0.3">
      <c r="A78" s="1">
        <v>2</v>
      </c>
      <c r="B78" s="1">
        <v>1</v>
      </c>
      <c r="C78" s="1" t="s">
        <v>0</v>
      </c>
      <c r="D78" s="1">
        <v>31</v>
      </c>
      <c r="E78" s="1" t="s">
        <v>3</v>
      </c>
      <c r="F78" s="1">
        <v>38</v>
      </c>
      <c r="G78" s="1">
        <v>1</v>
      </c>
    </row>
    <row r="79" spans="1:7" x14ac:dyDescent="0.3">
      <c r="A79" s="1">
        <v>2</v>
      </c>
      <c r="B79" s="1">
        <v>1</v>
      </c>
      <c r="C79" s="1" t="s">
        <v>0</v>
      </c>
      <c r="D79" s="1">
        <v>22</v>
      </c>
      <c r="E79" s="1" t="s">
        <v>3</v>
      </c>
      <c r="F79" s="1">
        <v>2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37</v>
      </c>
      <c r="E80" s="1" t="s">
        <v>3</v>
      </c>
      <c r="F80" s="1">
        <v>60</v>
      </c>
      <c r="G80" s="1">
        <v>1</v>
      </c>
    </row>
    <row r="81" spans="1:7" x14ac:dyDescent="0.3">
      <c r="A81" s="1">
        <v>2</v>
      </c>
      <c r="B81" s="1">
        <v>1</v>
      </c>
      <c r="C81" s="1" t="s">
        <v>0</v>
      </c>
      <c r="D81" s="1">
        <v>21</v>
      </c>
      <c r="E81" s="1" t="s">
        <v>3</v>
      </c>
      <c r="F81" s="1">
        <v>17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12</v>
      </c>
      <c r="E82" s="1" t="s">
        <v>3</v>
      </c>
      <c r="F82" s="1">
        <v>16</v>
      </c>
      <c r="G82" s="1">
        <v>1</v>
      </c>
    </row>
    <row r="83" spans="1:7" x14ac:dyDescent="0.3">
      <c r="A83" s="1">
        <v>2</v>
      </c>
      <c r="B83" s="1">
        <v>1</v>
      </c>
      <c r="C83" s="1" t="s">
        <v>0</v>
      </c>
      <c r="D83" s="1">
        <v>26</v>
      </c>
      <c r="E83" s="1" t="s">
        <v>3</v>
      </c>
      <c r="F83" s="1">
        <v>11</v>
      </c>
      <c r="G83" s="1">
        <v>0</v>
      </c>
    </row>
    <row r="84" spans="1:7" x14ac:dyDescent="0.3">
      <c r="A84" s="1">
        <v>2</v>
      </c>
      <c r="B84" s="1">
        <v>1</v>
      </c>
      <c r="C84" s="1" t="s">
        <v>0</v>
      </c>
      <c r="D84" s="1">
        <v>38</v>
      </c>
      <c r="E84" s="1" t="s">
        <v>3</v>
      </c>
      <c r="F84" s="1">
        <v>74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31</v>
      </c>
      <c r="E85" s="1" t="s">
        <v>3</v>
      </c>
      <c r="F85" s="1">
        <v>28</v>
      </c>
      <c r="G85" s="1">
        <v>0</v>
      </c>
    </row>
    <row r="86" spans="1:7" x14ac:dyDescent="0.3">
      <c r="A86" s="1">
        <v>2</v>
      </c>
      <c r="B86" s="1">
        <v>1</v>
      </c>
      <c r="C86" s="1" t="s">
        <v>0</v>
      </c>
      <c r="D86" s="1">
        <v>29</v>
      </c>
      <c r="E86" s="1" t="s">
        <v>3</v>
      </c>
      <c r="F86" s="1">
        <v>24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29</v>
      </c>
      <c r="E87" s="1" t="s">
        <v>3</v>
      </c>
      <c r="F87" s="1">
        <v>13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25</v>
      </c>
      <c r="E88" s="1" t="s">
        <v>3</v>
      </c>
      <c r="F88" s="1">
        <v>64</v>
      </c>
      <c r="G88" s="1">
        <v>1</v>
      </c>
    </row>
    <row r="89" spans="1:7" x14ac:dyDescent="0.3">
      <c r="A89" s="1">
        <v>2</v>
      </c>
      <c r="B89" s="1">
        <v>1</v>
      </c>
      <c r="C89" s="1" t="s">
        <v>0</v>
      </c>
      <c r="D89" s="1">
        <v>32</v>
      </c>
      <c r="E89" s="1" t="s">
        <v>3</v>
      </c>
      <c r="F89" s="1">
        <v>26</v>
      </c>
      <c r="G89" s="1">
        <v>0</v>
      </c>
    </row>
    <row r="90" spans="1:7" x14ac:dyDescent="0.3">
      <c r="A90" s="1">
        <v>2</v>
      </c>
      <c r="B90" s="1">
        <v>1</v>
      </c>
      <c r="C90" s="1" t="s">
        <v>0</v>
      </c>
      <c r="D90" s="1">
        <v>17</v>
      </c>
      <c r="E90" s="1" t="s">
        <v>3</v>
      </c>
      <c r="F90" s="1">
        <v>29</v>
      </c>
      <c r="G90" s="1">
        <v>1</v>
      </c>
    </row>
    <row r="91" spans="1:7" x14ac:dyDescent="0.3">
      <c r="A91" s="1">
        <v>2</v>
      </c>
      <c r="B91" s="1">
        <v>1</v>
      </c>
      <c r="C91" s="1" t="s">
        <v>0</v>
      </c>
      <c r="D91" s="1">
        <v>7</v>
      </c>
      <c r="E91" s="1" t="s">
        <v>3</v>
      </c>
      <c r="F91" s="1">
        <v>50</v>
      </c>
      <c r="G91" s="1">
        <v>1</v>
      </c>
    </row>
    <row r="92" spans="1:7" x14ac:dyDescent="0.3">
      <c r="A92" s="1">
        <v>2</v>
      </c>
      <c r="B92" s="1">
        <v>1</v>
      </c>
      <c r="C92" s="1" t="s">
        <v>0</v>
      </c>
      <c r="D92" s="1">
        <v>31</v>
      </c>
      <c r="E92" s="1" t="s">
        <v>3</v>
      </c>
      <c r="F92" s="1">
        <v>25</v>
      </c>
      <c r="G92" s="1">
        <v>0</v>
      </c>
    </row>
    <row r="93" spans="1:7" x14ac:dyDescent="0.3">
      <c r="A93" s="1">
        <v>2</v>
      </c>
      <c r="B93" s="1">
        <v>1</v>
      </c>
      <c r="C93" s="1" t="s">
        <v>0</v>
      </c>
      <c r="D93" s="1">
        <v>25</v>
      </c>
      <c r="E93" s="1" t="s">
        <v>3</v>
      </c>
      <c r="F93" s="1">
        <v>4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37</v>
      </c>
      <c r="E94" s="1" t="s">
        <v>3</v>
      </c>
      <c r="F94" s="1">
        <v>18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17</v>
      </c>
      <c r="E95" s="1" t="s">
        <v>3</v>
      </c>
      <c r="F95" s="1">
        <v>22</v>
      </c>
      <c r="G95" s="1">
        <v>1</v>
      </c>
    </row>
    <row r="96" spans="1:7" x14ac:dyDescent="0.3">
      <c r="A96" s="1">
        <v>2</v>
      </c>
      <c r="B96" s="1">
        <v>1</v>
      </c>
      <c r="C96" s="1" t="s">
        <v>0</v>
      </c>
      <c r="D96" s="1">
        <v>40</v>
      </c>
      <c r="E96" s="1" t="s">
        <v>3</v>
      </c>
      <c r="F96" s="1">
        <v>62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41</v>
      </c>
      <c r="E97" s="1" t="s">
        <v>3</v>
      </c>
      <c r="F97" s="1">
        <v>35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21</v>
      </c>
      <c r="E98" s="1" t="s">
        <v>3</v>
      </c>
      <c r="F98" s="1">
        <v>16</v>
      </c>
      <c r="G98" s="1">
        <v>0</v>
      </c>
    </row>
    <row r="99" spans="1:7" x14ac:dyDescent="0.3">
      <c r="A99" s="1">
        <v>2</v>
      </c>
      <c r="B99" s="1">
        <v>1</v>
      </c>
      <c r="C99" s="1" t="s">
        <v>0</v>
      </c>
      <c r="D99" s="1">
        <v>35</v>
      </c>
      <c r="E99" s="1" t="s">
        <v>3</v>
      </c>
      <c r="F99" s="1">
        <v>14</v>
      </c>
      <c r="G99" s="1">
        <v>0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30</v>
      </c>
      <c r="E100" s="1" t="s">
        <v>3</v>
      </c>
      <c r="F100" s="1">
        <v>15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799D-E964-4395-8D46-DD61F42FDAA1}">
  <dimension ref="A1:Q100"/>
  <sheetViews>
    <sheetView topLeftCell="G1" workbookViewId="0">
      <selection activeCell="N22" sqref="N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36</v>
      </c>
      <c r="E1" s="1" t="s">
        <v>4</v>
      </c>
      <c r="F1" s="1">
        <v>0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24</v>
      </c>
      <c r="E2" s="1" t="s">
        <v>4</v>
      </c>
      <c r="F2" s="1">
        <v>37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0</v>
      </c>
      <c r="D3" s="1">
        <v>26</v>
      </c>
      <c r="E3" s="1" t="s">
        <v>4</v>
      </c>
      <c r="F3" s="1">
        <v>29</v>
      </c>
      <c r="G3" s="1">
        <v>1</v>
      </c>
      <c r="I3" s="5" t="s">
        <v>11</v>
      </c>
      <c r="J3" s="5"/>
      <c r="K3" s="9">
        <f>COUNTIF($G$1:$G$100, 0)</f>
        <v>71</v>
      </c>
      <c r="L3" s="9"/>
      <c r="M3" s="9">
        <f>COUNTIFS($G$1:$G$100, 0, $B$1:$B$100, 0)</f>
        <v>35</v>
      </c>
      <c r="N3" s="9"/>
      <c r="O3" s="10">
        <f>COUNTIFS($G$1:$G$100, 0, $B$1:$B$100, 1)</f>
        <v>36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17</v>
      </c>
      <c r="E4" s="1" t="s">
        <v>4</v>
      </c>
      <c r="F4" s="1">
        <v>16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18</v>
      </c>
      <c r="E5" s="1" t="s">
        <v>4</v>
      </c>
      <c r="F5" s="1">
        <v>1</v>
      </c>
      <c r="G5" s="1">
        <v>0</v>
      </c>
      <c r="I5" s="5" t="s">
        <v>12</v>
      </c>
      <c r="J5" s="5"/>
      <c r="K5" s="14">
        <f>COUNTIF($G$1:$G$100, 1)</f>
        <v>29</v>
      </c>
      <c r="L5" s="9"/>
      <c r="M5" s="9">
        <f>COUNTIFS($G$1:$G$100, 1, $B$1:$B$100, 0)</f>
        <v>15</v>
      </c>
      <c r="N5" s="9"/>
      <c r="O5" s="9">
        <f>COUNTIFS($G$1:$G$100, 1, $B$1:$B$100, 1)</f>
        <v>14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10</v>
      </c>
      <c r="E6" s="1" t="s">
        <v>4</v>
      </c>
      <c r="F6" s="1">
        <v>9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30</v>
      </c>
      <c r="E7" s="1" t="s">
        <v>4</v>
      </c>
      <c r="F7" s="1">
        <v>12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35</v>
      </c>
      <c r="E8" s="1" t="s">
        <v>4</v>
      </c>
      <c r="F8" s="1">
        <v>23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16</v>
      </c>
      <c r="E9" s="1" t="s">
        <v>4</v>
      </c>
      <c r="F9" s="1">
        <v>6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25</v>
      </c>
      <c r="E10" s="1" t="s">
        <v>4</v>
      </c>
      <c r="F10" s="1">
        <v>4</v>
      </c>
      <c r="G10" s="1">
        <v>0</v>
      </c>
      <c r="I10" s="5" t="s">
        <v>15</v>
      </c>
      <c r="J10" s="5"/>
      <c r="K10" s="9">
        <f>AVERAGE($D$1:$D$100,)</f>
        <v>31.514851485148515</v>
      </c>
      <c r="L10" s="9"/>
      <c r="M10" s="9" cm="1">
        <f t="array" ref="M10">AVERAGE(_xlfn._xlws.FILTER($D$1:$D$100,$G$1:$G$100 = 0))</f>
        <v>33.394366197183096</v>
      </c>
      <c r="N10" s="9"/>
      <c r="O10" s="10" cm="1">
        <f t="array" ref="O10">AVERAGE(_xlfn._xlws.FILTER($D$1:$D$100,$G$1:$G$100 = 1))</f>
        <v>28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44</v>
      </c>
      <c r="E11" s="1" t="s">
        <v>4</v>
      </c>
      <c r="F11" s="1">
        <v>31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31</v>
      </c>
      <c r="E12" s="1" t="s">
        <v>4</v>
      </c>
      <c r="F12" s="1">
        <v>42</v>
      </c>
      <c r="G12" s="1">
        <v>1</v>
      </c>
      <c r="I12" s="5" t="s">
        <v>16</v>
      </c>
      <c r="J12" s="5"/>
      <c r="K12" s="9">
        <f>AVERAGE($F$1:$F$100,)</f>
        <v>22.10891089108911</v>
      </c>
      <c r="L12" s="9"/>
      <c r="M12" s="9" cm="1">
        <f t="array" ref="M12">AVERAGE(_xlfn._xlws.FILTER($F$1:$F$100,$G$1:$G$100 = 0))</f>
        <v>15.04225352112676</v>
      </c>
      <c r="N12" s="9"/>
      <c r="O12" s="9" cm="1">
        <f t="array" ref="O12">AVERAGE(_xlfn._xlws.FILTER($F$1:$F$100,$G$1:$G$100 = 1))</f>
        <v>40.172413793103445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44</v>
      </c>
      <c r="E13" s="1" t="s">
        <v>4</v>
      </c>
      <c r="F13" s="1">
        <v>52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12</v>
      </c>
      <c r="E14" s="1" t="s">
        <v>4</v>
      </c>
      <c r="F14" s="1">
        <v>7</v>
      </c>
      <c r="G14" s="1">
        <v>0</v>
      </c>
      <c r="I14" s="22" t="s">
        <v>17</v>
      </c>
      <c r="J14" s="11"/>
      <c r="K14" s="23" cm="1">
        <f t="array" ref="K14">AVERAGE($D$1:$D$100 - $F$1:$F$100)</f>
        <v>9.5</v>
      </c>
      <c r="L14" s="23"/>
      <c r="M14" s="23" cm="1">
        <f t="array" ref="M14">AVERAGE(_xlfn._xlws.FILTER($D$1:$D$100 - $F$1:$F$100, G$1:G$100 = 0))</f>
        <v>18.35211267605634</v>
      </c>
      <c r="N14" s="23"/>
      <c r="O14" s="23" cm="1">
        <f t="array" ref="O14">AVERAGE(_xlfn._xlws.FILTER($D$1:$D$100 - $F$1:$F$100, G$1:G$100 = 1))</f>
        <v>-12.172413793103448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45</v>
      </c>
      <c r="E15" s="1" t="s">
        <v>4</v>
      </c>
      <c r="F15" s="1">
        <v>29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42</v>
      </c>
      <c r="E16" s="1" t="s">
        <v>4</v>
      </c>
      <c r="F16" s="1">
        <v>39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43</v>
      </c>
      <c r="E17" s="1" t="s">
        <v>4</v>
      </c>
      <c r="F17" s="1">
        <v>36</v>
      </c>
      <c r="G17" s="1">
        <v>0</v>
      </c>
    </row>
    <row r="18" spans="1:7" x14ac:dyDescent="0.3">
      <c r="A18" s="1">
        <v>2</v>
      </c>
      <c r="B18" s="1">
        <v>0</v>
      </c>
      <c r="C18" s="1" t="s">
        <v>0</v>
      </c>
      <c r="D18" s="1">
        <v>50</v>
      </c>
      <c r="E18" s="1" t="s">
        <v>4</v>
      </c>
      <c r="F18" s="1">
        <v>43</v>
      </c>
      <c r="G18" s="1">
        <v>0</v>
      </c>
    </row>
    <row r="19" spans="1:7" x14ac:dyDescent="0.3">
      <c r="A19" s="1">
        <v>2</v>
      </c>
      <c r="B19" s="1">
        <v>0</v>
      </c>
      <c r="C19" s="1" t="s">
        <v>0</v>
      </c>
      <c r="D19" s="1">
        <v>41</v>
      </c>
      <c r="E19" s="1" t="s">
        <v>4</v>
      </c>
      <c r="F19" s="1">
        <v>10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2</v>
      </c>
      <c r="E20" s="1" t="s">
        <v>4</v>
      </c>
      <c r="F20" s="1">
        <v>29</v>
      </c>
      <c r="G20" s="1">
        <v>1</v>
      </c>
    </row>
    <row r="21" spans="1:7" x14ac:dyDescent="0.3">
      <c r="A21" s="1">
        <v>2</v>
      </c>
      <c r="B21" s="1">
        <v>0</v>
      </c>
      <c r="C21" s="1" t="s">
        <v>0</v>
      </c>
      <c r="D21" s="1">
        <v>33</v>
      </c>
      <c r="E21" s="1" t="s">
        <v>4</v>
      </c>
      <c r="F21" s="1">
        <v>11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37</v>
      </c>
      <c r="E22" s="1" t="s">
        <v>4</v>
      </c>
      <c r="F22" s="1">
        <v>53</v>
      </c>
      <c r="G22" s="1">
        <v>1</v>
      </c>
    </row>
    <row r="23" spans="1:7" x14ac:dyDescent="0.3">
      <c r="A23" s="1">
        <v>2</v>
      </c>
      <c r="B23" s="1">
        <v>0</v>
      </c>
      <c r="C23" s="1" t="s">
        <v>0</v>
      </c>
      <c r="D23" s="1">
        <v>30</v>
      </c>
      <c r="E23" s="1" t="s">
        <v>4</v>
      </c>
      <c r="F23" s="1">
        <v>10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35</v>
      </c>
      <c r="E24" s="1" t="s">
        <v>4</v>
      </c>
      <c r="F24" s="1">
        <v>18</v>
      </c>
      <c r="G24" s="1">
        <v>0</v>
      </c>
    </row>
    <row r="25" spans="1:7" x14ac:dyDescent="0.3">
      <c r="A25" s="1">
        <v>2</v>
      </c>
      <c r="B25" s="1">
        <v>0</v>
      </c>
      <c r="C25" s="1" t="s">
        <v>0</v>
      </c>
      <c r="D25" s="1">
        <v>62</v>
      </c>
      <c r="E25" s="1" t="s">
        <v>4</v>
      </c>
      <c r="F25" s="1">
        <v>27</v>
      </c>
      <c r="G25" s="1">
        <v>0</v>
      </c>
    </row>
    <row r="26" spans="1:7" x14ac:dyDescent="0.3">
      <c r="A26" s="1">
        <v>2</v>
      </c>
      <c r="B26" s="1">
        <v>0</v>
      </c>
      <c r="C26" s="1" t="s">
        <v>0</v>
      </c>
      <c r="D26" s="1">
        <v>50</v>
      </c>
      <c r="E26" s="1" t="s">
        <v>4</v>
      </c>
      <c r="F26" s="1">
        <v>13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38</v>
      </c>
      <c r="E27" s="1" t="s">
        <v>4</v>
      </c>
      <c r="F27" s="1">
        <v>24</v>
      </c>
      <c r="G27" s="1">
        <v>0</v>
      </c>
    </row>
    <row r="28" spans="1:7" x14ac:dyDescent="0.3">
      <c r="A28" s="1">
        <v>2</v>
      </c>
      <c r="B28" s="1">
        <v>0</v>
      </c>
      <c r="C28" s="1" t="s">
        <v>0</v>
      </c>
      <c r="D28" s="1">
        <v>28</v>
      </c>
      <c r="E28" s="1" t="s">
        <v>4</v>
      </c>
      <c r="F28" s="1">
        <v>11</v>
      </c>
      <c r="G28" s="1">
        <v>0</v>
      </c>
    </row>
    <row r="29" spans="1:7" x14ac:dyDescent="0.3">
      <c r="A29" s="1">
        <v>2</v>
      </c>
      <c r="B29" s="1">
        <v>0</v>
      </c>
      <c r="C29" s="1" t="s">
        <v>0</v>
      </c>
      <c r="D29" s="1">
        <v>27</v>
      </c>
      <c r="E29" s="1" t="s">
        <v>4</v>
      </c>
      <c r="F29" s="1">
        <v>2</v>
      </c>
      <c r="G29" s="1">
        <v>0</v>
      </c>
    </row>
    <row r="30" spans="1:7" x14ac:dyDescent="0.3">
      <c r="A30" s="1">
        <v>2</v>
      </c>
      <c r="B30" s="1">
        <v>0</v>
      </c>
      <c r="C30" s="1" t="s">
        <v>0</v>
      </c>
      <c r="D30" s="1">
        <v>21</v>
      </c>
      <c r="E30" s="1" t="s">
        <v>4</v>
      </c>
      <c r="F30" s="1">
        <v>42</v>
      </c>
      <c r="G30" s="1">
        <v>1</v>
      </c>
    </row>
    <row r="31" spans="1:7" x14ac:dyDescent="0.3">
      <c r="A31" s="1">
        <v>2</v>
      </c>
      <c r="B31" s="1">
        <v>0</v>
      </c>
      <c r="C31" s="1" t="s">
        <v>0</v>
      </c>
      <c r="D31" s="1">
        <v>18</v>
      </c>
      <c r="E31" s="1" t="s">
        <v>4</v>
      </c>
      <c r="F31" s="1">
        <v>0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40</v>
      </c>
      <c r="E32" s="1" t="s">
        <v>4</v>
      </c>
      <c r="F32" s="1">
        <v>23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21</v>
      </c>
      <c r="E33" s="1" t="s">
        <v>4</v>
      </c>
      <c r="F33" s="1">
        <v>28</v>
      </c>
      <c r="G33" s="1">
        <v>1</v>
      </c>
    </row>
    <row r="34" spans="1:7" x14ac:dyDescent="0.3">
      <c r="A34" s="1">
        <v>2</v>
      </c>
      <c r="B34" s="1">
        <v>0</v>
      </c>
      <c r="C34" s="1" t="s">
        <v>0</v>
      </c>
      <c r="D34" s="1">
        <v>29</v>
      </c>
      <c r="E34" s="1" t="s">
        <v>4</v>
      </c>
      <c r="F34" s="1">
        <v>35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10</v>
      </c>
      <c r="E35" s="1" t="s">
        <v>4</v>
      </c>
      <c r="F35" s="1">
        <v>17</v>
      </c>
      <c r="G35" s="1">
        <v>1</v>
      </c>
    </row>
    <row r="36" spans="1:7" x14ac:dyDescent="0.3">
      <c r="A36" s="1">
        <v>2</v>
      </c>
      <c r="B36" s="1">
        <v>0</v>
      </c>
      <c r="C36" s="1" t="s">
        <v>0</v>
      </c>
      <c r="D36" s="1">
        <v>11</v>
      </c>
      <c r="E36" s="1" t="s">
        <v>4</v>
      </c>
      <c r="F36" s="1">
        <v>18</v>
      </c>
      <c r="G36" s="1">
        <v>1</v>
      </c>
    </row>
    <row r="37" spans="1:7" x14ac:dyDescent="0.3">
      <c r="A37" s="1">
        <v>2</v>
      </c>
      <c r="B37" s="1">
        <v>0</v>
      </c>
      <c r="C37" s="1" t="s">
        <v>0</v>
      </c>
      <c r="D37" s="1">
        <v>15</v>
      </c>
      <c r="E37" s="1" t="s">
        <v>4</v>
      </c>
      <c r="F37" s="1">
        <v>32</v>
      </c>
      <c r="G37" s="1">
        <v>1</v>
      </c>
    </row>
    <row r="38" spans="1:7" x14ac:dyDescent="0.3">
      <c r="A38" s="1">
        <v>2</v>
      </c>
      <c r="B38" s="1">
        <v>0</v>
      </c>
      <c r="C38" s="1" t="s">
        <v>0</v>
      </c>
      <c r="D38" s="1">
        <v>40</v>
      </c>
      <c r="E38" s="1" t="s">
        <v>4</v>
      </c>
      <c r="F38" s="1">
        <v>19</v>
      </c>
      <c r="G38" s="1">
        <v>0</v>
      </c>
    </row>
    <row r="39" spans="1:7" x14ac:dyDescent="0.3">
      <c r="A39" s="1">
        <v>2</v>
      </c>
      <c r="B39" s="1">
        <v>0</v>
      </c>
      <c r="C39" s="1" t="s">
        <v>0</v>
      </c>
      <c r="D39" s="1">
        <v>12</v>
      </c>
      <c r="E39" s="1" t="s">
        <v>4</v>
      </c>
      <c r="F39" s="1">
        <v>12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25</v>
      </c>
      <c r="E40" s="1" t="s">
        <v>4</v>
      </c>
      <c r="F40" s="1">
        <v>32</v>
      </c>
      <c r="G40" s="1">
        <v>1</v>
      </c>
    </row>
    <row r="41" spans="1:7" x14ac:dyDescent="0.3">
      <c r="A41" s="1">
        <v>2</v>
      </c>
      <c r="B41" s="1">
        <v>0</v>
      </c>
      <c r="C41" s="1" t="s">
        <v>0</v>
      </c>
      <c r="D41" s="1">
        <v>35</v>
      </c>
      <c r="E41" s="1" t="s">
        <v>4</v>
      </c>
      <c r="F41" s="1">
        <v>36</v>
      </c>
      <c r="G41" s="1">
        <v>1</v>
      </c>
    </row>
    <row r="42" spans="1:7" x14ac:dyDescent="0.3">
      <c r="A42" s="1">
        <v>2</v>
      </c>
      <c r="B42" s="1">
        <v>0</v>
      </c>
      <c r="C42" s="1" t="s">
        <v>0</v>
      </c>
      <c r="D42" s="1">
        <v>58</v>
      </c>
      <c r="E42" s="1" t="s">
        <v>4</v>
      </c>
      <c r="F42" s="1">
        <v>26</v>
      </c>
      <c r="G42" s="1">
        <v>0</v>
      </c>
    </row>
    <row r="43" spans="1:7" x14ac:dyDescent="0.3">
      <c r="A43" s="1">
        <v>2</v>
      </c>
      <c r="B43" s="1">
        <v>0</v>
      </c>
      <c r="C43" s="1" t="s">
        <v>0</v>
      </c>
      <c r="D43" s="1">
        <v>40</v>
      </c>
      <c r="E43" s="1" t="s">
        <v>4</v>
      </c>
      <c r="F43" s="1">
        <v>50</v>
      </c>
      <c r="G43" s="1">
        <v>1</v>
      </c>
    </row>
    <row r="44" spans="1:7" x14ac:dyDescent="0.3">
      <c r="A44" s="1">
        <v>2</v>
      </c>
      <c r="B44" s="1">
        <v>0</v>
      </c>
      <c r="C44" s="1" t="s">
        <v>0</v>
      </c>
      <c r="D44" s="1">
        <v>28</v>
      </c>
      <c r="E44" s="1" t="s">
        <v>4</v>
      </c>
      <c r="F44" s="1">
        <v>0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30</v>
      </c>
      <c r="E45" s="1" t="s">
        <v>4</v>
      </c>
      <c r="F45" s="1">
        <v>20</v>
      </c>
      <c r="G45" s="1">
        <v>0</v>
      </c>
    </row>
    <row r="46" spans="1:7" x14ac:dyDescent="0.3">
      <c r="A46" s="1">
        <v>2</v>
      </c>
      <c r="B46" s="1">
        <v>0</v>
      </c>
      <c r="C46" s="1" t="s">
        <v>0</v>
      </c>
      <c r="D46" s="1">
        <v>28</v>
      </c>
      <c r="E46" s="1" t="s">
        <v>4</v>
      </c>
      <c r="F46" s="1">
        <v>0</v>
      </c>
      <c r="G46" s="1">
        <v>0</v>
      </c>
    </row>
    <row r="47" spans="1:7" x14ac:dyDescent="0.3">
      <c r="A47" s="1">
        <v>2</v>
      </c>
      <c r="B47" s="1">
        <v>0</v>
      </c>
      <c r="C47" s="1" t="s">
        <v>0</v>
      </c>
      <c r="D47" s="1">
        <v>29</v>
      </c>
      <c r="E47" s="1" t="s">
        <v>4</v>
      </c>
      <c r="F47" s="1">
        <v>4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10</v>
      </c>
      <c r="E48" s="1" t="s">
        <v>4</v>
      </c>
      <c r="F48" s="1">
        <v>10</v>
      </c>
      <c r="G48" s="1">
        <v>0</v>
      </c>
    </row>
    <row r="49" spans="1:7" x14ac:dyDescent="0.3">
      <c r="A49" s="1">
        <v>2</v>
      </c>
      <c r="B49" s="1">
        <v>0</v>
      </c>
      <c r="C49" s="1" t="s">
        <v>0</v>
      </c>
      <c r="D49" s="1">
        <v>15</v>
      </c>
      <c r="E49" s="1" t="s">
        <v>4</v>
      </c>
      <c r="F49" s="1">
        <v>0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29</v>
      </c>
      <c r="E50" s="1" t="s">
        <v>4</v>
      </c>
      <c r="F50" s="1">
        <v>11</v>
      </c>
      <c r="G50" s="1">
        <v>0</v>
      </c>
    </row>
    <row r="51" spans="1:7" x14ac:dyDescent="0.3">
      <c r="A51" s="1">
        <v>2</v>
      </c>
      <c r="B51" s="1">
        <v>1</v>
      </c>
      <c r="C51" s="1" t="s">
        <v>0</v>
      </c>
      <c r="D51" s="1">
        <v>20</v>
      </c>
      <c r="E51" s="1" t="s">
        <v>4</v>
      </c>
      <c r="F51" s="1">
        <v>8</v>
      </c>
      <c r="G51" s="1">
        <v>0</v>
      </c>
    </row>
    <row r="52" spans="1:7" x14ac:dyDescent="0.3">
      <c r="A52" s="1">
        <v>2</v>
      </c>
      <c r="B52" s="1">
        <v>1</v>
      </c>
      <c r="C52" s="1" t="s">
        <v>0</v>
      </c>
      <c r="D52" s="1">
        <v>49</v>
      </c>
      <c r="E52" s="1" t="s">
        <v>4</v>
      </c>
      <c r="F52" s="1">
        <v>9</v>
      </c>
      <c r="G52" s="1">
        <v>0</v>
      </c>
    </row>
    <row r="53" spans="1:7" x14ac:dyDescent="0.3">
      <c r="A53" s="1">
        <v>2</v>
      </c>
      <c r="B53" s="1">
        <v>1</v>
      </c>
      <c r="C53" s="1" t="s">
        <v>0</v>
      </c>
      <c r="D53" s="1">
        <v>50</v>
      </c>
      <c r="E53" s="1" t="s">
        <v>4</v>
      </c>
      <c r="F53" s="1">
        <v>49</v>
      </c>
      <c r="G53" s="1">
        <v>0</v>
      </c>
    </row>
    <row r="54" spans="1:7" x14ac:dyDescent="0.3">
      <c r="A54" s="1">
        <v>2</v>
      </c>
      <c r="B54" s="1">
        <v>1</v>
      </c>
      <c r="C54" s="1" t="s">
        <v>0</v>
      </c>
      <c r="D54" s="1">
        <v>36</v>
      </c>
      <c r="E54" s="1" t="s">
        <v>4</v>
      </c>
      <c r="F54" s="1">
        <v>12</v>
      </c>
      <c r="G54" s="1">
        <v>0</v>
      </c>
    </row>
    <row r="55" spans="1:7" x14ac:dyDescent="0.3">
      <c r="A55" s="1">
        <v>2</v>
      </c>
      <c r="B55" s="1">
        <v>1</v>
      </c>
      <c r="C55" s="1" t="s">
        <v>0</v>
      </c>
      <c r="D55" s="1">
        <v>38</v>
      </c>
      <c r="E55" s="1" t="s">
        <v>4</v>
      </c>
      <c r="F55" s="1">
        <v>49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38</v>
      </c>
      <c r="E56" s="1" t="s">
        <v>4</v>
      </c>
      <c r="F56" s="1">
        <v>48</v>
      </c>
      <c r="G56" s="1">
        <v>1</v>
      </c>
    </row>
    <row r="57" spans="1:7" x14ac:dyDescent="0.3">
      <c r="A57" s="1">
        <v>2</v>
      </c>
      <c r="B57" s="1">
        <v>1</v>
      </c>
      <c r="C57" s="1" t="s">
        <v>0</v>
      </c>
      <c r="D57" s="1">
        <v>26</v>
      </c>
      <c r="E57" s="1" t="s">
        <v>4</v>
      </c>
      <c r="F57" s="1">
        <v>33</v>
      </c>
      <c r="G57" s="1">
        <v>1</v>
      </c>
    </row>
    <row r="58" spans="1:7" x14ac:dyDescent="0.3">
      <c r="A58" s="1">
        <v>2</v>
      </c>
      <c r="B58" s="1">
        <v>1</v>
      </c>
      <c r="C58" s="1" t="s">
        <v>0</v>
      </c>
      <c r="D58" s="1">
        <v>30</v>
      </c>
      <c r="E58" s="1" t="s">
        <v>4</v>
      </c>
      <c r="F58" s="1">
        <v>0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36</v>
      </c>
      <c r="E59" s="1" t="s">
        <v>4</v>
      </c>
      <c r="F59" s="1">
        <v>17</v>
      </c>
      <c r="G59" s="1">
        <v>0</v>
      </c>
    </row>
    <row r="60" spans="1:7" x14ac:dyDescent="0.3">
      <c r="A60" s="1">
        <v>2</v>
      </c>
      <c r="B60" s="1">
        <v>1</v>
      </c>
      <c r="C60" s="1" t="s">
        <v>0</v>
      </c>
      <c r="D60" s="1">
        <v>61</v>
      </c>
      <c r="E60" s="1" t="s">
        <v>4</v>
      </c>
      <c r="F60" s="1">
        <v>25</v>
      </c>
      <c r="G60" s="1">
        <v>0</v>
      </c>
    </row>
    <row r="61" spans="1:7" x14ac:dyDescent="0.3">
      <c r="A61" s="1">
        <v>2</v>
      </c>
      <c r="B61" s="1">
        <v>1</v>
      </c>
      <c r="C61" s="1" t="s">
        <v>0</v>
      </c>
      <c r="D61" s="1">
        <v>30</v>
      </c>
      <c r="E61" s="1" t="s">
        <v>4</v>
      </c>
      <c r="F61" s="1">
        <v>2</v>
      </c>
      <c r="G61" s="1">
        <v>0</v>
      </c>
    </row>
    <row r="62" spans="1:7" x14ac:dyDescent="0.3">
      <c r="A62" s="1">
        <v>2</v>
      </c>
      <c r="B62" s="1">
        <v>1</v>
      </c>
      <c r="C62" s="1" t="s">
        <v>0</v>
      </c>
      <c r="D62" s="1">
        <v>39</v>
      </c>
      <c r="E62" s="1" t="s">
        <v>4</v>
      </c>
      <c r="F62" s="1">
        <v>48</v>
      </c>
      <c r="G62" s="1">
        <v>1</v>
      </c>
    </row>
    <row r="63" spans="1:7" x14ac:dyDescent="0.3">
      <c r="A63" s="1">
        <v>2</v>
      </c>
      <c r="B63" s="1">
        <v>1</v>
      </c>
      <c r="C63" s="1" t="s">
        <v>0</v>
      </c>
      <c r="D63" s="1">
        <v>36</v>
      </c>
      <c r="E63" s="1" t="s">
        <v>4</v>
      </c>
      <c r="F63" s="1">
        <v>50</v>
      </c>
      <c r="G63" s="1">
        <v>1</v>
      </c>
    </row>
    <row r="64" spans="1:7" x14ac:dyDescent="0.3">
      <c r="A64" s="1">
        <v>2</v>
      </c>
      <c r="B64" s="1">
        <v>1</v>
      </c>
      <c r="C64" s="1" t="s">
        <v>0</v>
      </c>
      <c r="D64" s="1">
        <v>54</v>
      </c>
      <c r="E64" s="1" t="s">
        <v>4</v>
      </c>
      <c r="F64" s="1">
        <v>27</v>
      </c>
      <c r="G64" s="1">
        <v>0</v>
      </c>
    </row>
    <row r="65" spans="1:7" x14ac:dyDescent="0.3">
      <c r="A65" s="1">
        <v>2</v>
      </c>
      <c r="B65" s="1">
        <v>1</v>
      </c>
      <c r="C65" s="1" t="s">
        <v>0</v>
      </c>
      <c r="D65" s="1">
        <v>29</v>
      </c>
      <c r="E65" s="1" t="s">
        <v>4</v>
      </c>
      <c r="F65" s="1">
        <v>21</v>
      </c>
      <c r="G65" s="1">
        <v>0</v>
      </c>
    </row>
    <row r="66" spans="1:7" x14ac:dyDescent="0.3">
      <c r="A66" s="1">
        <v>2</v>
      </c>
      <c r="B66" s="1">
        <v>1</v>
      </c>
      <c r="C66" s="1" t="s">
        <v>0</v>
      </c>
      <c r="D66" s="1">
        <v>33</v>
      </c>
      <c r="E66" s="1" t="s">
        <v>4</v>
      </c>
      <c r="F66" s="1">
        <v>31</v>
      </c>
      <c r="G66" s="1">
        <v>0</v>
      </c>
    </row>
    <row r="67" spans="1:7" x14ac:dyDescent="0.3">
      <c r="A67" s="1">
        <v>2</v>
      </c>
      <c r="B67" s="1">
        <v>1</v>
      </c>
      <c r="C67" s="1" t="s">
        <v>0</v>
      </c>
      <c r="D67" s="1">
        <v>29</v>
      </c>
      <c r="E67" s="1" t="s">
        <v>4</v>
      </c>
      <c r="F67" s="1">
        <v>31</v>
      </c>
      <c r="G67" s="1">
        <v>1</v>
      </c>
    </row>
    <row r="68" spans="1:7" x14ac:dyDescent="0.3">
      <c r="A68" s="1">
        <v>2</v>
      </c>
      <c r="B68" s="1">
        <v>1</v>
      </c>
      <c r="C68" s="1" t="s">
        <v>0</v>
      </c>
      <c r="D68" s="1">
        <v>31</v>
      </c>
      <c r="E68" s="1" t="s">
        <v>4</v>
      </c>
      <c r="F68" s="1">
        <v>12</v>
      </c>
      <c r="G68" s="1">
        <v>0</v>
      </c>
    </row>
    <row r="69" spans="1:7" x14ac:dyDescent="0.3">
      <c r="A69" s="1">
        <v>2</v>
      </c>
      <c r="B69" s="1">
        <v>1</v>
      </c>
      <c r="C69" s="1" t="s">
        <v>0</v>
      </c>
      <c r="D69" s="1">
        <v>15</v>
      </c>
      <c r="E69" s="1" t="s">
        <v>4</v>
      </c>
      <c r="F69" s="1">
        <v>6</v>
      </c>
      <c r="G69" s="1">
        <v>0</v>
      </c>
    </row>
    <row r="70" spans="1:7" x14ac:dyDescent="0.3">
      <c r="A70" s="1">
        <v>2</v>
      </c>
      <c r="B70" s="1">
        <v>1</v>
      </c>
      <c r="C70" s="1" t="s">
        <v>0</v>
      </c>
      <c r="D70" s="1">
        <v>48</v>
      </c>
      <c r="E70" s="1" t="s">
        <v>4</v>
      </c>
      <c r="F70" s="1">
        <v>22</v>
      </c>
      <c r="G70" s="1">
        <v>0</v>
      </c>
    </row>
    <row r="71" spans="1:7" x14ac:dyDescent="0.3">
      <c r="A71" s="1">
        <v>2</v>
      </c>
      <c r="B71" s="1">
        <v>1</v>
      </c>
      <c r="C71" s="1" t="s">
        <v>0</v>
      </c>
      <c r="D71" s="1">
        <v>10</v>
      </c>
      <c r="E71" s="1" t="s">
        <v>4</v>
      </c>
      <c r="F71" s="1">
        <v>7</v>
      </c>
      <c r="G71" s="1">
        <v>0</v>
      </c>
    </row>
    <row r="72" spans="1:7" x14ac:dyDescent="0.3">
      <c r="A72" s="1">
        <v>2</v>
      </c>
      <c r="B72" s="1">
        <v>1</v>
      </c>
      <c r="C72" s="1" t="s">
        <v>0</v>
      </c>
      <c r="D72" s="1">
        <v>46</v>
      </c>
      <c r="E72" s="1" t="s">
        <v>4</v>
      </c>
      <c r="F72" s="1">
        <v>16</v>
      </c>
      <c r="G72" s="1">
        <v>0</v>
      </c>
    </row>
    <row r="73" spans="1:7" x14ac:dyDescent="0.3">
      <c r="A73" s="1">
        <v>2</v>
      </c>
      <c r="B73" s="1">
        <v>1</v>
      </c>
      <c r="C73" s="1" t="s">
        <v>0</v>
      </c>
      <c r="D73" s="1">
        <v>39</v>
      </c>
      <c r="E73" s="1" t="s">
        <v>4</v>
      </c>
      <c r="F73" s="1">
        <v>30</v>
      </c>
      <c r="G73" s="1">
        <v>0</v>
      </c>
    </row>
    <row r="74" spans="1:7" x14ac:dyDescent="0.3">
      <c r="A74" s="1">
        <v>2</v>
      </c>
      <c r="B74" s="1">
        <v>1</v>
      </c>
      <c r="C74" s="1" t="s">
        <v>0</v>
      </c>
      <c r="D74" s="1">
        <v>17</v>
      </c>
      <c r="E74" s="1" t="s">
        <v>4</v>
      </c>
      <c r="F74" s="1">
        <v>31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45</v>
      </c>
      <c r="E75" s="1" t="s">
        <v>4</v>
      </c>
      <c r="F75" s="1">
        <v>7</v>
      </c>
      <c r="G75" s="1">
        <v>0</v>
      </c>
    </row>
    <row r="76" spans="1:7" x14ac:dyDescent="0.3">
      <c r="A76" s="1">
        <v>2</v>
      </c>
      <c r="B76" s="1">
        <v>1</v>
      </c>
      <c r="C76" s="1" t="s">
        <v>0</v>
      </c>
      <c r="D76" s="1">
        <v>45</v>
      </c>
      <c r="E76" s="1" t="s">
        <v>4</v>
      </c>
      <c r="F76" s="1">
        <v>27</v>
      </c>
      <c r="G76" s="1">
        <v>0</v>
      </c>
    </row>
    <row r="77" spans="1:7" x14ac:dyDescent="0.3">
      <c r="A77" s="1">
        <v>2</v>
      </c>
      <c r="B77" s="1">
        <v>1</v>
      </c>
      <c r="C77" s="1" t="s">
        <v>0</v>
      </c>
      <c r="D77" s="1">
        <v>32</v>
      </c>
      <c r="E77" s="1" t="s">
        <v>4</v>
      </c>
      <c r="F77" s="1">
        <v>33</v>
      </c>
      <c r="G77" s="1">
        <v>1</v>
      </c>
    </row>
    <row r="78" spans="1:7" x14ac:dyDescent="0.3">
      <c r="A78" s="1">
        <v>2</v>
      </c>
      <c r="B78" s="1">
        <v>1</v>
      </c>
      <c r="C78" s="1" t="s">
        <v>0</v>
      </c>
      <c r="D78" s="1">
        <v>13</v>
      </c>
      <c r="E78" s="1" t="s">
        <v>4</v>
      </c>
      <c r="F78" s="1">
        <v>4</v>
      </c>
      <c r="G78" s="1">
        <v>0</v>
      </c>
    </row>
    <row r="79" spans="1:7" x14ac:dyDescent="0.3">
      <c r="A79" s="1">
        <v>2</v>
      </c>
      <c r="B79" s="1">
        <v>1</v>
      </c>
      <c r="C79" s="1" t="s">
        <v>0</v>
      </c>
      <c r="D79" s="1">
        <v>46</v>
      </c>
      <c r="E79" s="1" t="s">
        <v>4</v>
      </c>
      <c r="F79" s="1">
        <v>2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29</v>
      </c>
      <c r="E80" s="1" t="s">
        <v>4</v>
      </c>
      <c r="F80" s="1">
        <v>22</v>
      </c>
      <c r="G80" s="1">
        <v>0</v>
      </c>
    </row>
    <row r="81" spans="1:7" x14ac:dyDescent="0.3">
      <c r="A81" s="1">
        <v>2</v>
      </c>
      <c r="B81" s="1">
        <v>1</v>
      </c>
      <c r="C81" s="1" t="s">
        <v>0</v>
      </c>
      <c r="D81" s="1">
        <v>45</v>
      </c>
      <c r="E81" s="1" t="s">
        <v>4</v>
      </c>
      <c r="F81" s="1">
        <v>22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40</v>
      </c>
      <c r="E82" s="1" t="s">
        <v>4</v>
      </c>
      <c r="F82" s="1">
        <v>39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26</v>
      </c>
      <c r="E83" s="1" t="s">
        <v>4</v>
      </c>
      <c r="F83" s="1">
        <v>41</v>
      </c>
      <c r="G83" s="1">
        <v>1</v>
      </c>
    </row>
    <row r="84" spans="1:7" x14ac:dyDescent="0.3">
      <c r="A84" s="1">
        <v>2</v>
      </c>
      <c r="B84" s="1">
        <v>1</v>
      </c>
      <c r="C84" s="1" t="s">
        <v>0</v>
      </c>
      <c r="D84" s="1">
        <v>29</v>
      </c>
      <c r="E84" s="1" t="s">
        <v>4</v>
      </c>
      <c r="F84" s="1">
        <v>34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24</v>
      </c>
      <c r="E85" s="1" t="s">
        <v>4</v>
      </c>
      <c r="F85" s="1">
        <v>10</v>
      </c>
      <c r="G85" s="1">
        <v>0</v>
      </c>
    </row>
    <row r="86" spans="1:7" x14ac:dyDescent="0.3">
      <c r="A86" s="1">
        <v>2</v>
      </c>
      <c r="B86" s="1">
        <v>1</v>
      </c>
      <c r="C86" s="1" t="s">
        <v>0</v>
      </c>
      <c r="D86" s="1">
        <v>43</v>
      </c>
      <c r="E86" s="1" t="s">
        <v>4</v>
      </c>
      <c r="F86" s="1">
        <v>20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44</v>
      </c>
      <c r="E87" s="1" t="s">
        <v>4</v>
      </c>
      <c r="F87" s="1">
        <v>0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37</v>
      </c>
      <c r="E88" s="1" t="s">
        <v>4</v>
      </c>
      <c r="F88" s="1">
        <v>0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37</v>
      </c>
      <c r="E89" s="1" t="s">
        <v>4</v>
      </c>
      <c r="F89" s="1">
        <v>32</v>
      </c>
      <c r="G89" s="1">
        <v>0</v>
      </c>
    </row>
    <row r="90" spans="1:7" x14ac:dyDescent="0.3">
      <c r="A90" s="1">
        <v>2</v>
      </c>
      <c r="B90" s="1">
        <v>1</v>
      </c>
      <c r="C90" s="1" t="s">
        <v>0</v>
      </c>
      <c r="D90" s="1">
        <v>46</v>
      </c>
      <c r="E90" s="1" t="s">
        <v>4</v>
      </c>
      <c r="F90" s="1">
        <v>54</v>
      </c>
      <c r="G90" s="1">
        <v>1</v>
      </c>
    </row>
    <row r="91" spans="1:7" x14ac:dyDescent="0.3">
      <c r="A91" s="1">
        <v>2</v>
      </c>
      <c r="B91" s="1">
        <v>1</v>
      </c>
      <c r="C91" s="1" t="s">
        <v>0</v>
      </c>
      <c r="D91" s="1">
        <v>37</v>
      </c>
      <c r="E91" s="1" t="s">
        <v>4</v>
      </c>
      <c r="F91" s="1">
        <v>5</v>
      </c>
      <c r="G91" s="1">
        <v>0</v>
      </c>
    </row>
    <row r="92" spans="1:7" x14ac:dyDescent="0.3">
      <c r="A92" s="1">
        <v>2</v>
      </c>
      <c r="B92" s="1">
        <v>1</v>
      </c>
      <c r="C92" s="1" t="s">
        <v>0</v>
      </c>
      <c r="D92" s="1">
        <v>43</v>
      </c>
      <c r="E92" s="1" t="s">
        <v>4</v>
      </c>
      <c r="F92" s="1">
        <v>20</v>
      </c>
      <c r="G92" s="1">
        <v>0</v>
      </c>
    </row>
    <row r="93" spans="1:7" x14ac:dyDescent="0.3">
      <c r="A93" s="1">
        <v>2</v>
      </c>
      <c r="B93" s="1">
        <v>1</v>
      </c>
      <c r="C93" s="1" t="s">
        <v>0</v>
      </c>
      <c r="D93" s="1">
        <v>30</v>
      </c>
      <c r="E93" s="1" t="s">
        <v>4</v>
      </c>
      <c r="F93" s="1">
        <v>10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27</v>
      </c>
      <c r="E94" s="1" t="s">
        <v>4</v>
      </c>
      <c r="F94" s="1">
        <v>15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35</v>
      </c>
      <c r="E95" s="1" t="s">
        <v>4</v>
      </c>
      <c r="F95" s="1">
        <v>2</v>
      </c>
      <c r="G95" s="1">
        <v>0</v>
      </c>
    </row>
    <row r="96" spans="1:7" x14ac:dyDescent="0.3">
      <c r="A96" s="1">
        <v>2</v>
      </c>
      <c r="B96" s="1">
        <v>1</v>
      </c>
      <c r="C96" s="1" t="s">
        <v>0</v>
      </c>
      <c r="D96" s="1">
        <v>24</v>
      </c>
      <c r="E96" s="1" t="s">
        <v>4</v>
      </c>
      <c r="F96" s="1">
        <v>55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9</v>
      </c>
      <c r="E97" s="1" t="s">
        <v>4</v>
      </c>
      <c r="F97" s="1">
        <v>9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18</v>
      </c>
      <c r="E98" s="1" t="s">
        <v>4</v>
      </c>
      <c r="F98" s="1">
        <v>63</v>
      </c>
      <c r="G98" s="1">
        <v>1</v>
      </c>
    </row>
    <row r="99" spans="1:7" x14ac:dyDescent="0.3">
      <c r="A99" s="1">
        <v>2</v>
      </c>
      <c r="B99" s="1">
        <v>1</v>
      </c>
      <c r="C99" s="1" t="s">
        <v>0</v>
      </c>
      <c r="D99" s="1">
        <v>43</v>
      </c>
      <c r="E99" s="1" t="s">
        <v>4</v>
      </c>
      <c r="F99" s="1">
        <v>63</v>
      </c>
      <c r="G99" s="1">
        <v>1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21</v>
      </c>
      <c r="E100" s="1" t="s">
        <v>4</v>
      </c>
      <c r="F100" s="1">
        <v>21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3F41-5CC0-492F-95F8-8CC0ABC3CC4E}">
  <dimension ref="A1:S100"/>
  <sheetViews>
    <sheetView topLeftCell="F7" workbookViewId="0">
      <selection activeCell="O21" sqref="O21"/>
    </sheetView>
  </sheetViews>
  <sheetFormatPr defaultRowHeight="14.4" x14ac:dyDescent="0.3"/>
  <cols>
    <col min="1" max="16384" width="8.88671875" style="1"/>
  </cols>
  <sheetData>
    <row r="1" spans="1:19" x14ac:dyDescent="0.3">
      <c r="A1" s="1">
        <v>2</v>
      </c>
      <c r="B1" s="1">
        <v>0</v>
      </c>
      <c r="C1" s="1" t="s">
        <v>5</v>
      </c>
      <c r="D1" s="1">
        <v>29</v>
      </c>
      <c r="E1" s="1" t="s">
        <v>0</v>
      </c>
      <c r="F1" s="1">
        <v>53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9" x14ac:dyDescent="0.3">
      <c r="A2" s="1">
        <v>2</v>
      </c>
      <c r="B2" s="1">
        <v>0</v>
      </c>
      <c r="C2" s="1" t="s">
        <v>5</v>
      </c>
      <c r="D2" s="1">
        <v>31</v>
      </c>
      <c r="E2" s="1" t="s">
        <v>0</v>
      </c>
      <c r="F2" s="1">
        <v>35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9" x14ac:dyDescent="0.3">
      <c r="A3" s="1">
        <v>2</v>
      </c>
      <c r="B3" s="1">
        <v>0</v>
      </c>
      <c r="C3" s="1" t="s">
        <v>5</v>
      </c>
      <c r="D3" s="1">
        <v>15</v>
      </c>
      <c r="E3" s="1" t="s">
        <v>0</v>
      </c>
      <c r="F3" s="1">
        <v>27</v>
      </c>
      <c r="G3" s="1">
        <v>1</v>
      </c>
      <c r="I3" s="5" t="s">
        <v>11</v>
      </c>
      <c r="J3" s="5"/>
      <c r="K3" s="9">
        <f>COUNTIF($G$1:$G$100, 0)</f>
        <v>39</v>
      </c>
      <c r="L3" s="9"/>
      <c r="M3" s="9">
        <f>COUNTIFS($G$1:$G$100, 0, $B$1:$B$100, 0)</f>
        <v>25</v>
      </c>
      <c r="N3" s="9"/>
      <c r="O3" s="10">
        <f>COUNTIFS($G$1:$G$100, 0, $B$1:$B$100, 1)</f>
        <v>14</v>
      </c>
      <c r="P3" s="11"/>
      <c r="Q3" s="12" cm="1">
        <f t="array" ref="Q3">SUMPRODUCT(--($D$1:$D$100=$G$1:$G$100))</f>
        <v>0</v>
      </c>
      <c r="R3">
        <v>0</v>
      </c>
      <c r="S3">
        <v>0</v>
      </c>
    </row>
    <row r="4" spans="1:19" x14ac:dyDescent="0.3">
      <c r="A4" s="1">
        <v>2</v>
      </c>
      <c r="B4" s="1">
        <v>0</v>
      </c>
      <c r="C4" s="1" t="s">
        <v>5</v>
      </c>
      <c r="D4" s="1">
        <v>53</v>
      </c>
      <c r="E4" s="1" t="s">
        <v>0</v>
      </c>
      <c r="F4" s="1">
        <v>35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9" x14ac:dyDescent="0.3">
      <c r="A5" s="1">
        <v>2</v>
      </c>
      <c r="B5" s="1">
        <v>0</v>
      </c>
      <c r="C5" s="1" t="s">
        <v>5</v>
      </c>
      <c r="D5" s="1">
        <v>40</v>
      </c>
      <c r="E5" s="1" t="s">
        <v>0</v>
      </c>
      <c r="F5" s="1">
        <v>29</v>
      </c>
      <c r="G5" s="1">
        <v>0</v>
      </c>
      <c r="I5" s="5" t="s">
        <v>12</v>
      </c>
      <c r="J5" s="5"/>
      <c r="K5" s="14">
        <f>COUNTIF($G$1:$G$100, 1)</f>
        <v>61</v>
      </c>
      <c r="L5" s="9"/>
      <c r="M5" s="9">
        <f>COUNTIFS($G$1:$G$100, 1, $B$1:$B$100, 0)</f>
        <v>25</v>
      </c>
      <c r="N5" s="9"/>
      <c r="O5" s="9">
        <f>COUNTIFS($G$1:$G$100, 1, $B$1:$B$100, 1)</f>
        <v>36</v>
      </c>
      <c r="P5" s="13"/>
      <c r="Q5"/>
    </row>
    <row r="6" spans="1:19" x14ac:dyDescent="0.3">
      <c r="A6" s="1">
        <v>2</v>
      </c>
      <c r="B6" s="1">
        <v>0</v>
      </c>
      <c r="C6" s="1" t="s">
        <v>5</v>
      </c>
      <c r="D6" s="1">
        <v>25</v>
      </c>
      <c r="E6" s="1" t="s">
        <v>0</v>
      </c>
      <c r="F6" s="1">
        <v>22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9" x14ac:dyDescent="0.3">
      <c r="A7" s="1">
        <v>2</v>
      </c>
      <c r="B7" s="1">
        <v>0</v>
      </c>
      <c r="C7" s="1" t="s">
        <v>5</v>
      </c>
      <c r="D7" s="1">
        <v>40</v>
      </c>
      <c r="E7" s="1" t="s">
        <v>0</v>
      </c>
      <c r="F7" s="1">
        <v>31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9" x14ac:dyDescent="0.3">
      <c r="A8" s="1">
        <v>2</v>
      </c>
      <c r="B8" s="1">
        <v>0</v>
      </c>
      <c r="C8" s="1" t="s">
        <v>5</v>
      </c>
      <c r="D8" s="1">
        <v>40</v>
      </c>
      <c r="E8" s="1" t="s">
        <v>0</v>
      </c>
      <c r="F8" s="1">
        <v>33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9" x14ac:dyDescent="0.3">
      <c r="A9" s="1">
        <v>2</v>
      </c>
      <c r="B9" s="1">
        <v>0</v>
      </c>
      <c r="C9" s="1" t="s">
        <v>5</v>
      </c>
      <c r="D9" s="1">
        <v>35</v>
      </c>
      <c r="E9" s="1" t="s">
        <v>0</v>
      </c>
      <c r="F9" s="1">
        <v>13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9" x14ac:dyDescent="0.3">
      <c r="A10" s="1">
        <v>2</v>
      </c>
      <c r="B10" s="1">
        <v>0</v>
      </c>
      <c r="C10" s="1" t="s">
        <v>5</v>
      </c>
      <c r="D10" s="1">
        <v>19</v>
      </c>
      <c r="E10" s="1" t="s">
        <v>0</v>
      </c>
      <c r="F10" s="1">
        <v>13</v>
      </c>
      <c r="G10" s="1">
        <v>0</v>
      </c>
      <c r="I10" s="5" t="s">
        <v>15</v>
      </c>
      <c r="J10" s="5"/>
      <c r="K10" s="9">
        <f>AVERAGE($D$1:$D$100,)</f>
        <v>27.14851485148515</v>
      </c>
      <c r="L10" s="9"/>
      <c r="M10" s="9" cm="1">
        <f t="array" ref="M10">AVERAGE(_xlfn._xlws.FILTER($D$1:$D$100,$G$1:$G$100 = 0))</f>
        <v>34.743589743589745</v>
      </c>
      <c r="N10" s="9"/>
      <c r="O10" s="10" cm="1">
        <f t="array" ref="O10">AVERAGE(_xlfn._xlws.FILTER($D$1:$D$100,$G$1:$G$100 = 1))</f>
        <v>22.737704918032787</v>
      </c>
      <c r="P10" s="11"/>
      <c r="Q10"/>
    </row>
    <row r="11" spans="1:19" x14ac:dyDescent="0.3">
      <c r="A11" s="1">
        <v>2</v>
      </c>
      <c r="B11" s="1">
        <v>0</v>
      </c>
      <c r="C11" s="1" t="s">
        <v>5</v>
      </c>
      <c r="D11" s="1">
        <v>33</v>
      </c>
      <c r="E11" s="1" t="s">
        <v>0</v>
      </c>
      <c r="F11" s="1">
        <v>31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9" x14ac:dyDescent="0.3">
      <c r="A12" s="1">
        <v>2</v>
      </c>
      <c r="B12" s="1">
        <v>0</v>
      </c>
      <c r="C12" s="1" t="s">
        <v>5</v>
      </c>
      <c r="D12" s="1">
        <v>38</v>
      </c>
      <c r="E12" s="1" t="s">
        <v>0</v>
      </c>
      <c r="F12" s="1">
        <v>28</v>
      </c>
      <c r="G12" s="1">
        <v>0</v>
      </c>
      <c r="I12" s="5" t="s">
        <v>16</v>
      </c>
      <c r="J12" s="5"/>
      <c r="K12" s="9">
        <f>AVERAGE($F$1:$F$100,)</f>
        <v>32.732673267326732</v>
      </c>
      <c r="L12" s="9"/>
      <c r="M12" s="9" cm="1">
        <f t="array" ref="M12">AVERAGE(_xlfn._xlws.FILTER($F$1:$F$100,$G$1:$G$100 = 0))</f>
        <v>26.358974358974358</v>
      </c>
      <c r="N12" s="9"/>
      <c r="O12" s="9" cm="1">
        <f t="array" ref="O12">AVERAGE(_xlfn._xlws.FILTER($F$1:$F$100,$G$1:$G$100 = 1))</f>
        <v>37.344262295081968</v>
      </c>
      <c r="P12" s="13"/>
      <c r="Q12"/>
    </row>
    <row r="13" spans="1:19" x14ac:dyDescent="0.3">
      <c r="A13" s="1">
        <v>2</v>
      </c>
      <c r="B13" s="1">
        <v>0</v>
      </c>
      <c r="C13" s="1" t="s">
        <v>5</v>
      </c>
      <c r="D13" s="1">
        <v>36</v>
      </c>
      <c r="E13" s="1" t="s">
        <v>0</v>
      </c>
      <c r="F13" s="1">
        <v>50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9" x14ac:dyDescent="0.3">
      <c r="A14" s="1">
        <v>2</v>
      </c>
      <c r="B14" s="1">
        <v>0</v>
      </c>
      <c r="C14" s="1" t="s">
        <v>5</v>
      </c>
      <c r="D14" s="1">
        <v>22</v>
      </c>
      <c r="E14" s="1" t="s">
        <v>0</v>
      </c>
      <c r="F14" s="1">
        <v>41</v>
      </c>
      <c r="G14" s="1">
        <v>1</v>
      </c>
      <c r="I14" s="22" t="s">
        <v>17</v>
      </c>
      <c r="J14" s="11"/>
      <c r="K14" s="23" cm="1">
        <f t="array" ref="K14">AVERAGE($D$1:$D$100 - $F$1:$F$100)</f>
        <v>-5.64</v>
      </c>
      <c r="L14" s="23"/>
      <c r="M14" s="23" cm="1">
        <f t="array" ref="M14">AVERAGE(_xlfn._xlws.FILTER($D$1:$D$100 - $F$1:$F$100, G$1:G$100 = 0))</f>
        <v>8.384615384615385</v>
      </c>
      <c r="N14" s="23"/>
      <c r="O14" s="23" cm="1">
        <f t="array" ref="O14">AVERAGE(_xlfn._xlws.FILTER($D$1:$D$100 - $F$1:$F$100, G$1:G$100 = 1))</f>
        <v>-14.60655737704918</v>
      </c>
      <c r="P14" s="24"/>
      <c r="Q14"/>
    </row>
    <row r="15" spans="1:19" x14ac:dyDescent="0.3">
      <c r="A15" s="1">
        <v>2</v>
      </c>
      <c r="B15" s="1">
        <v>0</v>
      </c>
      <c r="C15" s="1" t="s">
        <v>5</v>
      </c>
      <c r="D15" s="1">
        <v>21</v>
      </c>
      <c r="E15" s="1" t="s">
        <v>0</v>
      </c>
      <c r="F15" s="1">
        <v>9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9" x14ac:dyDescent="0.3">
      <c r="A16" s="1">
        <v>2</v>
      </c>
      <c r="B16" s="1">
        <v>0</v>
      </c>
      <c r="C16" s="1" t="s">
        <v>5</v>
      </c>
      <c r="D16" s="1">
        <v>25</v>
      </c>
      <c r="E16" s="1" t="s">
        <v>0</v>
      </c>
      <c r="F16" s="1">
        <v>41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14" x14ac:dyDescent="0.3">
      <c r="A17" s="1">
        <v>2</v>
      </c>
      <c r="B17" s="1">
        <v>0</v>
      </c>
      <c r="C17" s="1" t="s">
        <v>5</v>
      </c>
      <c r="D17" s="1">
        <v>19</v>
      </c>
      <c r="E17" s="1" t="s">
        <v>0</v>
      </c>
      <c r="F17" s="1">
        <v>36</v>
      </c>
      <c r="G17" s="1">
        <v>1</v>
      </c>
    </row>
    <row r="18" spans="1:14" x14ac:dyDescent="0.3">
      <c r="A18" s="1">
        <v>2</v>
      </c>
      <c r="B18" s="1">
        <v>0</v>
      </c>
      <c r="C18" s="1" t="s">
        <v>5</v>
      </c>
      <c r="D18" s="1">
        <v>42</v>
      </c>
      <c r="E18" s="1" t="s">
        <v>0</v>
      </c>
      <c r="F18" s="1">
        <v>24</v>
      </c>
      <c r="G18" s="1">
        <v>0</v>
      </c>
    </row>
    <row r="19" spans="1:14" x14ac:dyDescent="0.3">
      <c r="A19" s="1">
        <v>2</v>
      </c>
      <c r="B19" s="1">
        <v>0</v>
      </c>
      <c r="C19" s="1" t="s">
        <v>5</v>
      </c>
      <c r="D19" s="1">
        <v>2</v>
      </c>
      <c r="E19" s="1" t="s">
        <v>0</v>
      </c>
      <c r="F19" s="1">
        <v>19</v>
      </c>
      <c r="G19" s="1">
        <v>1</v>
      </c>
      <c r="I19" s="27" t="s">
        <v>7</v>
      </c>
      <c r="J19" s="27"/>
      <c r="K19" s="27" t="s">
        <v>22</v>
      </c>
      <c r="L19" s="27"/>
      <c r="M19" s="27" t="s">
        <v>21</v>
      </c>
      <c r="N19" s="27"/>
    </row>
    <row r="20" spans="1:14" x14ac:dyDescent="0.3">
      <c r="A20" s="1">
        <v>2</v>
      </c>
      <c r="B20" s="1">
        <v>0</v>
      </c>
      <c r="C20" s="1" t="s">
        <v>5</v>
      </c>
      <c r="D20" s="1">
        <v>27</v>
      </c>
      <c r="E20" s="1" t="s">
        <v>0</v>
      </c>
      <c r="F20" s="1">
        <v>29</v>
      </c>
      <c r="G20" s="1">
        <v>1</v>
      </c>
      <c r="I20" s="28">
        <f>COUNTIF($G$1:$G$100, 0) / 100</f>
        <v>0.39</v>
      </c>
      <c r="J20" s="28"/>
      <c r="K20" s="28">
        <f>COUNTIFS($G$1:$G$100, 0, $B$1:$B$100, 0) / 50</f>
        <v>0.5</v>
      </c>
      <c r="L20" s="28"/>
      <c r="M20" s="28">
        <f>COUNTIFS($G$1:$G$100, 0, $B$1:$B$100, 1) / 50</f>
        <v>0.28000000000000003</v>
      </c>
      <c r="N20" s="28"/>
    </row>
    <row r="21" spans="1:14" x14ac:dyDescent="0.3">
      <c r="A21" s="1">
        <v>2</v>
      </c>
      <c r="B21" s="1">
        <v>0</v>
      </c>
      <c r="C21" s="1" t="s">
        <v>5</v>
      </c>
      <c r="D21" s="1">
        <v>16</v>
      </c>
      <c r="E21" s="1" t="s">
        <v>0</v>
      </c>
      <c r="F21" s="1">
        <v>39</v>
      </c>
      <c r="G21" s="1">
        <v>1</v>
      </c>
      <c r="I21" s="28"/>
      <c r="J21" s="28"/>
      <c r="K21" s="28"/>
      <c r="L21" s="28"/>
      <c r="M21" s="28"/>
      <c r="N21" s="28"/>
    </row>
    <row r="22" spans="1:14" x14ac:dyDescent="0.3">
      <c r="A22" s="1">
        <v>2</v>
      </c>
      <c r="B22" s="1">
        <v>0</v>
      </c>
      <c r="C22" s="1" t="s">
        <v>5</v>
      </c>
      <c r="D22" s="1">
        <v>53</v>
      </c>
      <c r="E22" s="1" t="s">
        <v>0</v>
      </c>
      <c r="F22" s="1">
        <v>46</v>
      </c>
      <c r="G22" s="1">
        <v>0</v>
      </c>
      <c r="I22" s="28">
        <f>COUNTIF($G$1:$G$100, 1) / 100</f>
        <v>0.61</v>
      </c>
      <c r="J22" s="28"/>
      <c r="K22" s="28">
        <f>COUNTIFS($G$1:$G$100, 1, $B$1:$B$100, 0) / 50</f>
        <v>0.5</v>
      </c>
      <c r="L22" s="28"/>
      <c r="M22" s="28">
        <f>COUNTIFS($G$1:$G$100, 1, $B$1:$B$100, 1) / 50</f>
        <v>0.72</v>
      </c>
      <c r="N22" s="28"/>
    </row>
    <row r="23" spans="1:14" x14ac:dyDescent="0.3">
      <c r="A23" s="1">
        <v>2</v>
      </c>
      <c r="B23" s="1">
        <v>0</v>
      </c>
      <c r="C23" s="1" t="s">
        <v>5</v>
      </c>
      <c r="D23" s="1">
        <v>33</v>
      </c>
      <c r="E23" s="1" t="s">
        <v>0</v>
      </c>
      <c r="F23" s="1">
        <v>15</v>
      </c>
      <c r="G23" s="1">
        <v>0</v>
      </c>
      <c r="I23" s="28"/>
      <c r="J23" s="28"/>
      <c r="K23" s="28"/>
      <c r="L23" s="28"/>
      <c r="M23" s="28"/>
      <c r="N23" s="28"/>
    </row>
    <row r="24" spans="1:14" x14ac:dyDescent="0.3">
      <c r="A24" s="1">
        <v>2</v>
      </c>
      <c r="B24" s="1">
        <v>0</v>
      </c>
      <c r="C24" s="1" t="s">
        <v>5</v>
      </c>
      <c r="D24" s="1">
        <v>4</v>
      </c>
      <c r="E24" s="1" t="s">
        <v>0</v>
      </c>
      <c r="F24" s="1">
        <v>20</v>
      </c>
      <c r="G24" s="1">
        <v>1</v>
      </c>
      <c r="I24" s="29">
        <v>0</v>
      </c>
      <c r="J24" s="29"/>
      <c r="K24" s="29">
        <v>0</v>
      </c>
      <c r="L24" s="29"/>
      <c r="M24" s="29">
        <v>0</v>
      </c>
      <c r="N24" s="29"/>
    </row>
    <row r="25" spans="1:14" x14ac:dyDescent="0.3">
      <c r="A25" s="1">
        <v>2</v>
      </c>
      <c r="B25" s="1">
        <v>0</v>
      </c>
      <c r="C25" s="1" t="s">
        <v>5</v>
      </c>
      <c r="D25" s="1">
        <v>27</v>
      </c>
      <c r="E25" s="1" t="s">
        <v>0</v>
      </c>
      <c r="F25" s="1">
        <v>34</v>
      </c>
      <c r="G25" s="1">
        <v>1</v>
      </c>
      <c r="I25" s="29"/>
      <c r="J25" s="29"/>
      <c r="K25" s="29"/>
      <c r="L25" s="29"/>
      <c r="M25" s="29"/>
      <c r="N25" s="29"/>
    </row>
    <row r="26" spans="1:14" x14ac:dyDescent="0.3">
      <c r="A26" s="1">
        <v>2</v>
      </c>
      <c r="B26" s="1">
        <v>0</v>
      </c>
      <c r="C26" s="1" t="s">
        <v>5</v>
      </c>
      <c r="D26" s="1">
        <v>23</v>
      </c>
      <c r="E26" s="1" t="s">
        <v>0</v>
      </c>
      <c r="F26" s="1">
        <v>21</v>
      </c>
      <c r="G26" s="1">
        <v>0</v>
      </c>
      <c r="I26"/>
      <c r="J26"/>
      <c r="K26"/>
      <c r="L26"/>
      <c r="M26"/>
      <c r="N26"/>
    </row>
    <row r="27" spans="1:14" x14ac:dyDescent="0.3">
      <c r="A27" s="1">
        <v>2</v>
      </c>
      <c r="B27" s="1">
        <v>0</v>
      </c>
      <c r="C27" s="1" t="s">
        <v>5</v>
      </c>
      <c r="D27" s="1">
        <v>39</v>
      </c>
      <c r="E27" s="1" t="s">
        <v>0</v>
      </c>
      <c r="F27" s="1">
        <v>50</v>
      </c>
      <c r="G27" s="1">
        <v>1</v>
      </c>
      <c r="I27"/>
      <c r="J27" t="s">
        <v>18</v>
      </c>
      <c r="K27" t="s">
        <v>19</v>
      </c>
      <c r="L27" t="s">
        <v>20</v>
      </c>
      <c r="M27"/>
      <c r="N27"/>
    </row>
    <row r="28" spans="1:14" x14ac:dyDescent="0.3">
      <c r="A28" s="1">
        <v>2</v>
      </c>
      <c r="B28" s="1">
        <v>0</v>
      </c>
      <c r="C28" s="1" t="s">
        <v>5</v>
      </c>
      <c r="D28" s="1">
        <v>38</v>
      </c>
      <c r="E28" s="1" t="s">
        <v>0</v>
      </c>
      <c r="F28" s="1">
        <v>34</v>
      </c>
      <c r="G28" s="1">
        <v>0</v>
      </c>
    </row>
    <row r="29" spans="1:14" x14ac:dyDescent="0.3">
      <c r="A29" s="1">
        <v>2</v>
      </c>
      <c r="B29" s="1">
        <v>0</v>
      </c>
      <c r="C29" s="1" t="s">
        <v>5</v>
      </c>
      <c r="D29" s="1">
        <v>20</v>
      </c>
      <c r="E29" s="1" t="s">
        <v>0</v>
      </c>
      <c r="F29" s="1">
        <v>21</v>
      </c>
      <c r="G29" s="1">
        <v>1</v>
      </c>
    </row>
    <row r="30" spans="1:14" x14ac:dyDescent="0.3">
      <c r="A30" s="1">
        <v>2</v>
      </c>
      <c r="B30" s="1">
        <v>0</v>
      </c>
      <c r="C30" s="1" t="s">
        <v>5</v>
      </c>
      <c r="D30" s="1">
        <v>47</v>
      </c>
      <c r="E30" s="1" t="s">
        <v>0</v>
      </c>
      <c r="F30" s="1">
        <v>45</v>
      </c>
      <c r="G30" s="1">
        <v>0</v>
      </c>
    </row>
    <row r="31" spans="1:14" x14ac:dyDescent="0.3">
      <c r="A31" s="1">
        <v>2</v>
      </c>
      <c r="B31" s="1">
        <v>0</v>
      </c>
      <c r="C31" s="1" t="s">
        <v>5</v>
      </c>
      <c r="D31" s="1">
        <v>25</v>
      </c>
      <c r="E31" s="1" t="s">
        <v>0</v>
      </c>
      <c r="F31" s="1">
        <v>51</v>
      </c>
      <c r="G31" s="1">
        <v>1</v>
      </c>
    </row>
    <row r="32" spans="1:14" x14ac:dyDescent="0.3">
      <c r="A32" s="1">
        <v>2</v>
      </c>
      <c r="B32" s="1">
        <v>0</v>
      </c>
      <c r="C32" s="1" t="s">
        <v>5</v>
      </c>
      <c r="D32" s="1">
        <v>14</v>
      </c>
      <c r="E32" s="1" t="s">
        <v>0</v>
      </c>
      <c r="F32" s="1">
        <v>36</v>
      </c>
      <c r="G32" s="1">
        <v>1</v>
      </c>
    </row>
    <row r="33" spans="1:7" x14ac:dyDescent="0.3">
      <c r="A33" s="1">
        <v>2</v>
      </c>
      <c r="B33" s="1">
        <v>0</v>
      </c>
      <c r="C33" s="1" t="s">
        <v>5</v>
      </c>
      <c r="D33" s="1">
        <v>21</v>
      </c>
      <c r="E33" s="1" t="s">
        <v>0</v>
      </c>
      <c r="F33" s="1">
        <v>8</v>
      </c>
      <c r="G33" s="1">
        <v>0</v>
      </c>
    </row>
    <row r="34" spans="1:7" x14ac:dyDescent="0.3">
      <c r="A34" s="1">
        <v>2</v>
      </c>
      <c r="B34" s="1">
        <v>0</v>
      </c>
      <c r="C34" s="1" t="s">
        <v>5</v>
      </c>
      <c r="D34" s="1">
        <v>28</v>
      </c>
      <c r="E34" s="1" t="s">
        <v>0</v>
      </c>
      <c r="F34" s="1">
        <v>26</v>
      </c>
      <c r="G34" s="1">
        <v>0</v>
      </c>
    </row>
    <row r="35" spans="1:7" x14ac:dyDescent="0.3">
      <c r="A35" s="1">
        <v>2</v>
      </c>
      <c r="B35" s="1">
        <v>0</v>
      </c>
      <c r="C35" s="1" t="s">
        <v>5</v>
      </c>
      <c r="D35" s="1">
        <v>48</v>
      </c>
      <c r="E35" s="1" t="s">
        <v>0</v>
      </c>
      <c r="F35" s="1">
        <v>44</v>
      </c>
      <c r="G35" s="1">
        <v>0</v>
      </c>
    </row>
    <row r="36" spans="1:7" x14ac:dyDescent="0.3">
      <c r="A36" s="1">
        <v>2</v>
      </c>
      <c r="B36" s="1">
        <v>0</v>
      </c>
      <c r="C36" s="1" t="s">
        <v>5</v>
      </c>
      <c r="D36" s="1">
        <v>57</v>
      </c>
      <c r="E36" s="1" t="s">
        <v>0</v>
      </c>
      <c r="F36" s="1">
        <v>36</v>
      </c>
      <c r="G36" s="1">
        <v>0</v>
      </c>
    </row>
    <row r="37" spans="1:7" x14ac:dyDescent="0.3">
      <c r="A37" s="1">
        <v>2</v>
      </c>
      <c r="B37" s="1">
        <v>0</v>
      </c>
      <c r="C37" s="1" t="s">
        <v>5</v>
      </c>
      <c r="D37" s="1">
        <v>10</v>
      </c>
      <c r="E37" s="1" t="s">
        <v>0</v>
      </c>
      <c r="F37" s="1">
        <v>29</v>
      </c>
      <c r="G37" s="1">
        <v>1</v>
      </c>
    </row>
    <row r="38" spans="1:7" x14ac:dyDescent="0.3">
      <c r="A38" s="1">
        <v>2</v>
      </c>
      <c r="B38" s="1">
        <v>0</v>
      </c>
      <c r="C38" s="1" t="s">
        <v>5</v>
      </c>
      <c r="D38" s="1">
        <v>15</v>
      </c>
      <c r="E38" s="1" t="s">
        <v>0</v>
      </c>
      <c r="F38" s="1">
        <v>29</v>
      </c>
      <c r="G38" s="1">
        <v>1</v>
      </c>
    </row>
    <row r="39" spans="1:7" x14ac:dyDescent="0.3">
      <c r="A39" s="1">
        <v>2</v>
      </c>
      <c r="B39" s="1">
        <v>0</v>
      </c>
      <c r="C39" s="1" t="s">
        <v>5</v>
      </c>
      <c r="D39" s="1">
        <v>15</v>
      </c>
      <c r="E39" s="1" t="s">
        <v>0</v>
      </c>
      <c r="F39" s="1">
        <v>42</v>
      </c>
      <c r="G39" s="1">
        <v>1</v>
      </c>
    </row>
    <row r="40" spans="1:7" x14ac:dyDescent="0.3">
      <c r="A40" s="1">
        <v>2</v>
      </c>
      <c r="B40" s="1">
        <v>0</v>
      </c>
      <c r="C40" s="1" t="s">
        <v>5</v>
      </c>
      <c r="D40" s="1">
        <v>26</v>
      </c>
      <c r="E40" s="1" t="s">
        <v>0</v>
      </c>
      <c r="F40" s="1">
        <v>20</v>
      </c>
      <c r="G40" s="1">
        <v>0</v>
      </c>
    </row>
    <row r="41" spans="1:7" x14ac:dyDescent="0.3">
      <c r="A41" s="1">
        <v>2</v>
      </c>
      <c r="B41" s="1">
        <v>0</v>
      </c>
      <c r="C41" s="1" t="s">
        <v>5</v>
      </c>
      <c r="D41" s="1">
        <v>38</v>
      </c>
      <c r="E41" s="1" t="s">
        <v>0</v>
      </c>
      <c r="F41" s="1">
        <v>17</v>
      </c>
      <c r="G41" s="1">
        <v>0</v>
      </c>
    </row>
    <row r="42" spans="1:7" x14ac:dyDescent="0.3">
      <c r="A42" s="1">
        <v>2</v>
      </c>
      <c r="B42" s="1">
        <v>0</v>
      </c>
      <c r="C42" s="1" t="s">
        <v>5</v>
      </c>
      <c r="D42" s="1">
        <v>25</v>
      </c>
      <c r="E42" s="1" t="s">
        <v>0</v>
      </c>
      <c r="F42" s="1">
        <v>50</v>
      </c>
      <c r="G42" s="1">
        <v>1</v>
      </c>
    </row>
    <row r="43" spans="1:7" x14ac:dyDescent="0.3">
      <c r="A43" s="1">
        <v>2</v>
      </c>
      <c r="B43" s="1">
        <v>0</v>
      </c>
      <c r="C43" s="1" t="s">
        <v>5</v>
      </c>
      <c r="D43" s="1">
        <v>12</v>
      </c>
      <c r="E43" s="1" t="s">
        <v>0</v>
      </c>
      <c r="F43" s="1">
        <v>27</v>
      </c>
      <c r="G43" s="1">
        <v>1</v>
      </c>
    </row>
    <row r="44" spans="1:7" x14ac:dyDescent="0.3">
      <c r="A44" s="1">
        <v>2</v>
      </c>
      <c r="B44" s="1">
        <v>0</v>
      </c>
      <c r="C44" s="1" t="s">
        <v>5</v>
      </c>
      <c r="D44" s="1">
        <v>11</v>
      </c>
      <c r="E44" s="1" t="s">
        <v>0</v>
      </c>
      <c r="F44" s="1">
        <v>17</v>
      </c>
      <c r="G44" s="1">
        <v>1</v>
      </c>
    </row>
    <row r="45" spans="1:7" x14ac:dyDescent="0.3">
      <c r="A45" s="1">
        <v>2</v>
      </c>
      <c r="B45" s="1">
        <v>0</v>
      </c>
      <c r="C45" s="1" t="s">
        <v>5</v>
      </c>
      <c r="D45" s="1">
        <v>32</v>
      </c>
      <c r="E45" s="1" t="s">
        <v>0</v>
      </c>
      <c r="F45" s="1">
        <v>46</v>
      </c>
      <c r="G45" s="1">
        <v>1</v>
      </c>
    </row>
    <row r="46" spans="1:7" x14ac:dyDescent="0.3">
      <c r="A46" s="1">
        <v>2</v>
      </c>
      <c r="B46" s="1">
        <v>0</v>
      </c>
      <c r="C46" s="1" t="s">
        <v>5</v>
      </c>
      <c r="D46" s="1">
        <v>57</v>
      </c>
      <c r="E46" s="1" t="s">
        <v>0</v>
      </c>
      <c r="F46" s="1">
        <v>70</v>
      </c>
      <c r="G46" s="1">
        <v>1</v>
      </c>
    </row>
    <row r="47" spans="1:7" x14ac:dyDescent="0.3">
      <c r="A47" s="1">
        <v>2</v>
      </c>
      <c r="B47" s="1">
        <v>0</v>
      </c>
      <c r="C47" s="1" t="s">
        <v>5</v>
      </c>
      <c r="D47" s="1">
        <v>50</v>
      </c>
      <c r="E47" s="1" t="s">
        <v>0</v>
      </c>
      <c r="F47" s="1">
        <v>41</v>
      </c>
      <c r="G47" s="1">
        <v>0</v>
      </c>
    </row>
    <row r="48" spans="1:7" x14ac:dyDescent="0.3">
      <c r="A48" s="1">
        <v>2</v>
      </c>
      <c r="B48" s="1">
        <v>0</v>
      </c>
      <c r="C48" s="1" t="s">
        <v>5</v>
      </c>
      <c r="D48" s="1">
        <v>30</v>
      </c>
      <c r="E48" s="1" t="s">
        <v>0</v>
      </c>
      <c r="F48" s="1">
        <v>20</v>
      </c>
      <c r="G48" s="1">
        <v>0</v>
      </c>
    </row>
    <row r="49" spans="1:7" x14ac:dyDescent="0.3">
      <c r="A49" s="1">
        <v>2</v>
      </c>
      <c r="B49" s="1">
        <v>0</v>
      </c>
      <c r="C49" s="1" t="s">
        <v>5</v>
      </c>
      <c r="D49" s="1">
        <v>4</v>
      </c>
      <c r="E49" s="1" t="s">
        <v>0</v>
      </c>
      <c r="F49" s="1">
        <v>25</v>
      </c>
      <c r="G49" s="1">
        <v>1</v>
      </c>
    </row>
    <row r="50" spans="1:7" x14ac:dyDescent="0.3">
      <c r="A50" s="1">
        <v>2</v>
      </c>
      <c r="B50" s="1">
        <v>0</v>
      </c>
      <c r="C50" s="1" t="s">
        <v>5</v>
      </c>
      <c r="D50" s="1">
        <v>33</v>
      </c>
      <c r="E50" s="1" t="s">
        <v>0</v>
      </c>
      <c r="F50" s="1">
        <v>13</v>
      </c>
      <c r="G50" s="1">
        <v>0</v>
      </c>
    </row>
    <row r="51" spans="1:7" x14ac:dyDescent="0.3">
      <c r="A51" s="1">
        <v>2</v>
      </c>
      <c r="B51" s="1">
        <v>1</v>
      </c>
      <c r="C51" s="1" t="s">
        <v>5</v>
      </c>
      <c r="D51" s="1">
        <v>18</v>
      </c>
      <c r="E51" s="1" t="s">
        <v>0</v>
      </c>
      <c r="F51" s="1">
        <v>17</v>
      </c>
      <c r="G51" s="1">
        <v>0</v>
      </c>
    </row>
    <row r="52" spans="1:7" x14ac:dyDescent="0.3">
      <c r="A52" s="1">
        <v>2</v>
      </c>
      <c r="B52" s="1">
        <v>1</v>
      </c>
      <c r="C52" s="1" t="s">
        <v>5</v>
      </c>
      <c r="D52" s="1">
        <v>29</v>
      </c>
      <c r="E52" s="1" t="s">
        <v>0</v>
      </c>
      <c r="F52" s="1">
        <v>34</v>
      </c>
      <c r="G52" s="1">
        <v>1</v>
      </c>
    </row>
    <row r="53" spans="1:7" x14ac:dyDescent="0.3">
      <c r="A53" s="1">
        <v>2</v>
      </c>
      <c r="B53" s="1">
        <v>1</v>
      </c>
      <c r="C53" s="1" t="s">
        <v>5</v>
      </c>
      <c r="D53" s="1">
        <v>28</v>
      </c>
      <c r="E53" s="1" t="s">
        <v>0</v>
      </c>
      <c r="F53" s="1">
        <v>36</v>
      </c>
      <c r="G53" s="1">
        <v>1</v>
      </c>
    </row>
    <row r="54" spans="1:7" x14ac:dyDescent="0.3">
      <c r="A54" s="1">
        <v>2</v>
      </c>
      <c r="B54" s="1">
        <v>1</v>
      </c>
      <c r="C54" s="1" t="s">
        <v>5</v>
      </c>
      <c r="D54" s="1">
        <v>33</v>
      </c>
      <c r="E54" s="1" t="s">
        <v>0</v>
      </c>
      <c r="F54" s="1">
        <v>56</v>
      </c>
      <c r="G54" s="1">
        <v>1</v>
      </c>
    </row>
    <row r="55" spans="1:7" x14ac:dyDescent="0.3">
      <c r="A55" s="1">
        <v>2</v>
      </c>
      <c r="B55" s="1">
        <v>1</v>
      </c>
      <c r="C55" s="1" t="s">
        <v>5</v>
      </c>
      <c r="D55" s="1">
        <v>45</v>
      </c>
      <c r="E55" s="1" t="s">
        <v>0</v>
      </c>
      <c r="F55" s="1">
        <v>71</v>
      </c>
      <c r="G55" s="1">
        <v>1</v>
      </c>
    </row>
    <row r="56" spans="1:7" x14ac:dyDescent="0.3">
      <c r="A56" s="1">
        <v>2</v>
      </c>
      <c r="B56" s="1">
        <v>1</v>
      </c>
      <c r="C56" s="1" t="s">
        <v>5</v>
      </c>
      <c r="D56" s="1">
        <v>19</v>
      </c>
      <c r="E56" s="1" t="s">
        <v>0</v>
      </c>
      <c r="F56" s="1">
        <v>19</v>
      </c>
      <c r="G56" s="1">
        <v>0</v>
      </c>
    </row>
    <row r="57" spans="1:7" x14ac:dyDescent="0.3">
      <c r="A57" s="1">
        <v>2</v>
      </c>
      <c r="B57" s="1">
        <v>1</v>
      </c>
      <c r="C57" s="1" t="s">
        <v>5</v>
      </c>
      <c r="D57" s="1">
        <v>30</v>
      </c>
      <c r="E57" s="1" t="s">
        <v>0</v>
      </c>
      <c r="F57" s="1">
        <v>37</v>
      </c>
      <c r="G57" s="1">
        <v>1</v>
      </c>
    </row>
    <row r="58" spans="1:7" x14ac:dyDescent="0.3">
      <c r="A58" s="1">
        <v>2</v>
      </c>
      <c r="B58" s="1">
        <v>1</v>
      </c>
      <c r="C58" s="1" t="s">
        <v>5</v>
      </c>
      <c r="D58" s="1">
        <v>14</v>
      </c>
      <c r="E58" s="1" t="s">
        <v>0</v>
      </c>
      <c r="F58" s="1">
        <v>36</v>
      </c>
      <c r="G58" s="1">
        <v>1</v>
      </c>
    </row>
    <row r="59" spans="1:7" x14ac:dyDescent="0.3">
      <c r="A59" s="1">
        <v>2</v>
      </c>
      <c r="B59" s="1">
        <v>1</v>
      </c>
      <c r="C59" s="1" t="s">
        <v>5</v>
      </c>
      <c r="D59" s="1">
        <v>16</v>
      </c>
      <c r="E59" s="1" t="s">
        <v>0</v>
      </c>
      <c r="F59" s="1">
        <v>18</v>
      </c>
      <c r="G59" s="1">
        <v>1</v>
      </c>
    </row>
    <row r="60" spans="1:7" x14ac:dyDescent="0.3">
      <c r="A60" s="1">
        <v>2</v>
      </c>
      <c r="B60" s="1">
        <v>1</v>
      </c>
      <c r="C60" s="1" t="s">
        <v>5</v>
      </c>
      <c r="D60" s="1">
        <v>33</v>
      </c>
      <c r="E60" s="1" t="s">
        <v>0</v>
      </c>
      <c r="F60" s="1">
        <v>27</v>
      </c>
      <c r="G60" s="1">
        <v>0</v>
      </c>
    </row>
    <row r="61" spans="1:7" x14ac:dyDescent="0.3">
      <c r="A61" s="1">
        <v>2</v>
      </c>
      <c r="B61" s="1">
        <v>1</v>
      </c>
      <c r="C61" s="1" t="s">
        <v>5</v>
      </c>
      <c r="D61" s="1">
        <v>50</v>
      </c>
      <c r="E61" s="1" t="s">
        <v>0</v>
      </c>
      <c r="F61" s="1">
        <v>41</v>
      </c>
      <c r="G61" s="1">
        <v>0</v>
      </c>
    </row>
    <row r="62" spans="1:7" x14ac:dyDescent="0.3">
      <c r="A62" s="1">
        <v>2</v>
      </c>
      <c r="B62" s="1">
        <v>1</v>
      </c>
      <c r="C62" s="1" t="s">
        <v>5</v>
      </c>
      <c r="D62" s="1">
        <v>16</v>
      </c>
      <c r="E62" s="1" t="s">
        <v>0</v>
      </c>
      <c r="F62" s="1">
        <v>42</v>
      </c>
      <c r="G62" s="1">
        <v>1</v>
      </c>
    </row>
    <row r="63" spans="1:7" x14ac:dyDescent="0.3">
      <c r="A63" s="1">
        <v>2</v>
      </c>
      <c r="B63" s="1">
        <v>1</v>
      </c>
      <c r="C63" s="1" t="s">
        <v>5</v>
      </c>
      <c r="D63" s="1">
        <v>22</v>
      </c>
      <c r="E63" s="1" t="s">
        <v>0</v>
      </c>
      <c r="F63" s="1">
        <v>42</v>
      </c>
      <c r="G63" s="1">
        <v>1</v>
      </c>
    </row>
    <row r="64" spans="1:7" x14ac:dyDescent="0.3">
      <c r="A64" s="1">
        <v>2</v>
      </c>
      <c r="B64" s="1">
        <v>1</v>
      </c>
      <c r="C64" s="1" t="s">
        <v>5</v>
      </c>
      <c r="D64" s="1">
        <v>16</v>
      </c>
      <c r="E64" s="1" t="s">
        <v>0</v>
      </c>
      <c r="F64" s="1">
        <v>23</v>
      </c>
      <c r="G64" s="1">
        <v>1</v>
      </c>
    </row>
    <row r="65" spans="1:7" x14ac:dyDescent="0.3">
      <c r="A65" s="1">
        <v>2</v>
      </c>
      <c r="B65" s="1">
        <v>1</v>
      </c>
      <c r="C65" s="1" t="s">
        <v>5</v>
      </c>
      <c r="D65" s="1">
        <v>2</v>
      </c>
      <c r="E65" s="1" t="s">
        <v>0</v>
      </c>
      <c r="F65" s="1">
        <v>19</v>
      </c>
      <c r="G65" s="1">
        <v>1</v>
      </c>
    </row>
    <row r="66" spans="1:7" x14ac:dyDescent="0.3">
      <c r="A66" s="1">
        <v>2</v>
      </c>
      <c r="B66" s="1">
        <v>1</v>
      </c>
      <c r="C66" s="1" t="s">
        <v>5</v>
      </c>
      <c r="D66" s="1">
        <v>28</v>
      </c>
      <c r="E66" s="1" t="s">
        <v>0</v>
      </c>
      <c r="F66" s="1">
        <v>32</v>
      </c>
      <c r="G66" s="1">
        <v>1</v>
      </c>
    </row>
    <row r="67" spans="1:7" x14ac:dyDescent="0.3">
      <c r="A67" s="1">
        <v>2</v>
      </c>
      <c r="B67" s="1">
        <v>1</v>
      </c>
      <c r="C67" s="1" t="s">
        <v>5</v>
      </c>
      <c r="D67" s="1">
        <v>29</v>
      </c>
      <c r="E67" s="1" t="s">
        <v>0</v>
      </c>
      <c r="F67" s="1">
        <v>40</v>
      </c>
      <c r="G67" s="1">
        <v>1</v>
      </c>
    </row>
    <row r="68" spans="1:7" x14ac:dyDescent="0.3">
      <c r="A68" s="1">
        <v>2</v>
      </c>
      <c r="B68" s="1">
        <v>1</v>
      </c>
      <c r="C68" s="1" t="s">
        <v>5</v>
      </c>
      <c r="D68" s="1">
        <v>45</v>
      </c>
      <c r="E68" s="1" t="s">
        <v>0</v>
      </c>
      <c r="F68" s="1">
        <v>55</v>
      </c>
      <c r="G68" s="1">
        <v>1</v>
      </c>
    </row>
    <row r="69" spans="1:7" x14ac:dyDescent="0.3">
      <c r="A69" s="1">
        <v>2</v>
      </c>
      <c r="B69" s="1">
        <v>1</v>
      </c>
      <c r="C69" s="1" t="s">
        <v>5</v>
      </c>
      <c r="D69" s="1">
        <v>39</v>
      </c>
      <c r="E69" s="1" t="s">
        <v>0</v>
      </c>
      <c r="F69" s="1">
        <v>42</v>
      </c>
      <c r="G69" s="1">
        <v>1</v>
      </c>
    </row>
    <row r="70" spans="1:7" x14ac:dyDescent="0.3">
      <c r="A70" s="1">
        <v>2</v>
      </c>
      <c r="B70" s="1">
        <v>1</v>
      </c>
      <c r="C70" s="1" t="s">
        <v>5</v>
      </c>
      <c r="D70" s="1">
        <v>34</v>
      </c>
      <c r="E70" s="1" t="s">
        <v>0</v>
      </c>
      <c r="F70" s="1">
        <v>40</v>
      </c>
      <c r="G70" s="1">
        <v>1</v>
      </c>
    </row>
    <row r="71" spans="1:7" x14ac:dyDescent="0.3">
      <c r="A71" s="1">
        <v>2</v>
      </c>
      <c r="B71" s="1">
        <v>1</v>
      </c>
      <c r="C71" s="1" t="s">
        <v>5</v>
      </c>
      <c r="D71" s="1">
        <v>46</v>
      </c>
      <c r="E71" s="1" t="s">
        <v>0</v>
      </c>
      <c r="F71" s="1">
        <v>57</v>
      </c>
      <c r="G71" s="1">
        <v>1</v>
      </c>
    </row>
    <row r="72" spans="1:7" x14ac:dyDescent="0.3">
      <c r="A72" s="1">
        <v>2</v>
      </c>
      <c r="B72" s="1">
        <v>1</v>
      </c>
      <c r="C72" s="1" t="s">
        <v>5</v>
      </c>
      <c r="D72" s="1">
        <v>18</v>
      </c>
      <c r="E72" s="1" t="s">
        <v>0</v>
      </c>
      <c r="F72" s="1">
        <v>48</v>
      </c>
      <c r="G72" s="1">
        <v>1</v>
      </c>
    </row>
    <row r="73" spans="1:7" x14ac:dyDescent="0.3">
      <c r="A73" s="1">
        <v>2</v>
      </c>
      <c r="B73" s="1">
        <v>1</v>
      </c>
      <c r="C73" s="1" t="s">
        <v>5</v>
      </c>
      <c r="D73" s="1">
        <v>40</v>
      </c>
      <c r="E73" s="1" t="s">
        <v>0</v>
      </c>
      <c r="F73" s="1">
        <v>40</v>
      </c>
      <c r="G73" s="1">
        <v>0</v>
      </c>
    </row>
    <row r="74" spans="1:7" x14ac:dyDescent="0.3">
      <c r="A74" s="1">
        <v>2</v>
      </c>
      <c r="B74" s="1">
        <v>1</v>
      </c>
      <c r="C74" s="1" t="s">
        <v>5</v>
      </c>
      <c r="D74" s="1">
        <v>8</v>
      </c>
      <c r="E74" s="1" t="s">
        <v>0</v>
      </c>
      <c r="F74" s="1">
        <v>18</v>
      </c>
      <c r="G74" s="1">
        <v>1</v>
      </c>
    </row>
    <row r="75" spans="1:7" x14ac:dyDescent="0.3">
      <c r="A75" s="1">
        <v>2</v>
      </c>
      <c r="B75" s="1">
        <v>1</v>
      </c>
      <c r="C75" s="1" t="s">
        <v>5</v>
      </c>
      <c r="D75" s="1">
        <v>35</v>
      </c>
      <c r="E75" s="1" t="s">
        <v>0</v>
      </c>
      <c r="F75" s="1">
        <v>35</v>
      </c>
      <c r="G75" s="1">
        <v>0</v>
      </c>
    </row>
    <row r="76" spans="1:7" x14ac:dyDescent="0.3">
      <c r="A76" s="1">
        <v>2</v>
      </c>
      <c r="B76" s="1">
        <v>1</v>
      </c>
      <c r="C76" s="1" t="s">
        <v>5</v>
      </c>
      <c r="D76" s="1">
        <v>37</v>
      </c>
      <c r="E76" s="1" t="s">
        <v>0</v>
      </c>
      <c r="F76" s="1">
        <v>32</v>
      </c>
      <c r="G76" s="1">
        <v>0</v>
      </c>
    </row>
    <row r="77" spans="1:7" x14ac:dyDescent="0.3">
      <c r="A77" s="1">
        <v>2</v>
      </c>
      <c r="B77" s="1">
        <v>1</v>
      </c>
      <c r="C77" s="1" t="s">
        <v>5</v>
      </c>
      <c r="D77" s="1">
        <v>17</v>
      </c>
      <c r="E77" s="1" t="s">
        <v>0</v>
      </c>
      <c r="F77" s="1">
        <v>13</v>
      </c>
      <c r="G77" s="1">
        <v>0</v>
      </c>
    </row>
    <row r="78" spans="1:7" x14ac:dyDescent="0.3">
      <c r="A78" s="1">
        <v>2</v>
      </c>
      <c r="B78" s="1">
        <v>1</v>
      </c>
      <c r="C78" s="1" t="s">
        <v>5</v>
      </c>
      <c r="D78" s="1">
        <v>21</v>
      </c>
      <c r="E78" s="1" t="s">
        <v>0</v>
      </c>
      <c r="F78" s="1">
        <v>45</v>
      </c>
      <c r="G78" s="1">
        <v>1</v>
      </c>
    </row>
    <row r="79" spans="1:7" x14ac:dyDescent="0.3">
      <c r="A79" s="1">
        <v>2</v>
      </c>
      <c r="B79" s="1">
        <v>1</v>
      </c>
      <c r="C79" s="1" t="s">
        <v>5</v>
      </c>
      <c r="D79" s="1">
        <v>20</v>
      </c>
      <c r="E79" s="1" t="s">
        <v>0</v>
      </c>
      <c r="F79" s="1">
        <v>25</v>
      </c>
      <c r="G79" s="1">
        <v>1</v>
      </c>
    </row>
    <row r="80" spans="1:7" x14ac:dyDescent="0.3">
      <c r="A80" s="1">
        <v>2</v>
      </c>
      <c r="B80" s="1">
        <v>1</v>
      </c>
      <c r="C80" s="1" t="s">
        <v>5</v>
      </c>
      <c r="D80" s="1">
        <v>52</v>
      </c>
      <c r="E80" s="1" t="s">
        <v>0</v>
      </c>
      <c r="F80" s="1">
        <v>38</v>
      </c>
      <c r="G80" s="1">
        <v>0</v>
      </c>
    </row>
    <row r="81" spans="1:7" x14ac:dyDescent="0.3">
      <c r="A81" s="1">
        <v>2</v>
      </c>
      <c r="B81" s="1">
        <v>1</v>
      </c>
      <c r="C81" s="1" t="s">
        <v>5</v>
      </c>
      <c r="D81" s="1">
        <v>22</v>
      </c>
      <c r="E81" s="1" t="s">
        <v>0</v>
      </c>
      <c r="F81" s="1">
        <v>48</v>
      </c>
      <c r="G81" s="1">
        <v>1</v>
      </c>
    </row>
    <row r="82" spans="1:7" x14ac:dyDescent="0.3">
      <c r="A82" s="1">
        <v>2</v>
      </c>
      <c r="B82" s="1">
        <v>1</v>
      </c>
      <c r="C82" s="1" t="s">
        <v>5</v>
      </c>
      <c r="D82" s="1">
        <v>10</v>
      </c>
      <c r="E82" s="1" t="s">
        <v>0</v>
      </c>
      <c r="F82" s="1">
        <v>8</v>
      </c>
      <c r="G82" s="1">
        <v>0</v>
      </c>
    </row>
    <row r="83" spans="1:7" x14ac:dyDescent="0.3">
      <c r="A83" s="1">
        <v>2</v>
      </c>
      <c r="B83" s="1">
        <v>1</v>
      </c>
      <c r="C83" s="1" t="s">
        <v>5</v>
      </c>
      <c r="D83" s="1">
        <v>32</v>
      </c>
      <c r="E83" s="1" t="s">
        <v>0</v>
      </c>
      <c r="F83" s="1">
        <v>45</v>
      </c>
      <c r="G83" s="1">
        <v>1</v>
      </c>
    </row>
    <row r="84" spans="1:7" x14ac:dyDescent="0.3">
      <c r="A84" s="1">
        <v>2</v>
      </c>
      <c r="B84" s="1">
        <v>1</v>
      </c>
      <c r="C84" s="1" t="s">
        <v>5</v>
      </c>
      <c r="D84" s="1">
        <v>13</v>
      </c>
      <c r="E84" s="1" t="s">
        <v>0</v>
      </c>
      <c r="F84" s="1">
        <v>28</v>
      </c>
      <c r="G84" s="1">
        <v>1</v>
      </c>
    </row>
    <row r="85" spans="1:7" x14ac:dyDescent="0.3">
      <c r="A85" s="1">
        <v>2</v>
      </c>
      <c r="B85" s="1">
        <v>1</v>
      </c>
      <c r="C85" s="1" t="s">
        <v>5</v>
      </c>
      <c r="D85" s="1">
        <v>14</v>
      </c>
      <c r="E85" s="1" t="s">
        <v>0</v>
      </c>
      <c r="F85" s="1">
        <v>25</v>
      </c>
      <c r="G85" s="1">
        <v>1</v>
      </c>
    </row>
    <row r="86" spans="1:7" x14ac:dyDescent="0.3">
      <c r="A86" s="1">
        <v>2</v>
      </c>
      <c r="B86" s="1">
        <v>1</v>
      </c>
      <c r="C86" s="1" t="s">
        <v>5</v>
      </c>
      <c r="D86" s="1">
        <v>29</v>
      </c>
      <c r="E86" s="1" t="s">
        <v>0</v>
      </c>
      <c r="F86" s="1">
        <v>18</v>
      </c>
      <c r="G86" s="1">
        <v>0</v>
      </c>
    </row>
    <row r="87" spans="1:7" x14ac:dyDescent="0.3">
      <c r="A87" s="1">
        <v>2</v>
      </c>
      <c r="B87" s="1">
        <v>1</v>
      </c>
      <c r="C87" s="1" t="s">
        <v>5</v>
      </c>
      <c r="D87" s="1">
        <v>14</v>
      </c>
      <c r="E87" s="1" t="s">
        <v>0</v>
      </c>
      <c r="F87" s="1">
        <v>17</v>
      </c>
      <c r="G87" s="1">
        <v>1</v>
      </c>
    </row>
    <row r="88" spans="1:7" x14ac:dyDescent="0.3">
      <c r="A88" s="1">
        <v>2</v>
      </c>
      <c r="B88" s="1">
        <v>1</v>
      </c>
      <c r="C88" s="1" t="s">
        <v>5</v>
      </c>
      <c r="D88" s="1">
        <v>35</v>
      </c>
      <c r="E88" s="1" t="s">
        <v>0</v>
      </c>
      <c r="F88" s="1">
        <v>60</v>
      </c>
      <c r="G88" s="1">
        <v>1</v>
      </c>
    </row>
    <row r="89" spans="1:7" x14ac:dyDescent="0.3">
      <c r="A89" s="1">
        <v>2</v>
      </c>
      <c r="B89" s="1">
        <v>1</v>
      </c>
      <c r="C89" s="1" t="s">
        <v>5</v>
      </c>
      <c r="D89" s="1">
        <v>30</v>
      </c>
      <c r="E89" s="1" t="s">
        <v>0</v>
      </c>
      <c r="F89" s="1">
        <v>41</v>
      </c>
      <c r="G89" s="1">
        <v>1</v>
      </c>
    </row>
    <row r="90" spans="1:7" x14ac:dyDescent="0.3">
      <c r="A90" s="1">
        <v>2</v>
      </c>
      <c r="B90" s="1">
        <v>1</v>
      </c>
      <c r="C90" s="1" t="s">
        <v>5</v>
      </c>
      <c r="D90" s="1">
        <v>31</v>
      </c>
      <c r="E90" s="1" t="s">
        <v>0</v>
      </c>
      <c r="F90" s="1">
        <v>39</v>
      </c>
      <c r="G90" s="1">
        <v>1</v>
      </c>
    </row>
    <row r="91" spans="1:7" x14ac:dyDescent="0.3">
      <c r="A91" s="1">
        <v>2</v>
      </c>
      <c r="B91" s="1">
        <v>1</v>
      </c>
      <c r="C91" s="1" t="s">
        <v>5</v>
      </c>
      <c r="D91" s="1">
        <v>11</v>
      </c>
      <c r="E91" s="1" t="s">
        <v>0</v>
      </c>
      <c r="F91" s="1">
        <v>39</v>
      </c>
      <c r="G91" s="1">
        <v>1</v>
      </c>
    </row>
    <row r="92" spans="1:7" x14ac:dyDescent="0.3">
      <c r="A92" s="1">
        <v>2</v>
      </c>
      <c r="B92" s="1">
        <v>1</v>
      </c>
      <c r="C92" s="1" t="s">
        <v>5</v>
      </c>
      <c r="D92" s="1">
        <v>42</v>
      </c>
      <c r="E92" s="1" t="s">
        <v>0</v>
      </c>
      <c r="F92" s="1">
        <v>45</v>
      </c>
      <c r="G92" s="1">
        <v>1</v>
      </c>
    </row>
    <row r="93" spans="1:7" x14ac:dyDescent="0.3">
      <c r="A93" s="1">
        <v>2</v>
      </c>
      <c r="B93" s="1">
        <v>1</v>
      </c>
      <c r="C93" s="1" t="s">
        <v>5</v>
      </c>
      <c r="D93" s="1">
        <v>37</v>
      </c>
      <c r="E93" s="1" t="s">
        <v>0</v>
      </c>
      <c r="F93" s="1">
        <v>28</v>
      </c>
      <c r="G93" s="1">
        <v>0</v>
      </c>
    </row>
    <row r="94" spans="1:7" x14ac:dyDescent="0.3">
      <c r="A94" s="1">
        <v>2</v>
      </c>
      <c r="B94" s="1">
        <v>1</v>
      </c>
      <c r="C94" s="1" t="s">
        <v>5</v>
      </c>
      <c r="D94" s="1">
        <v>10</v>
      </c>
      <c r="E94" s="1" t="s">
        <v>0</v>
      </c>
      <c r="F94" s="1">
        <v>19</v>
      </c>
      <c r="G94" s="1">
        <v>1</v>
      </c>
    </row>
    <row r="95" spans="1:7" x14ac:dyDescent="0.3">
      <c r="A95" s="1">
        <v>2</v>
      </c>
      <c r="B95" s="1">
        <v>1</v>
      </c>
      <c r="C95" s="1" t="s">
        <v>5</v>
      </c>
      <c r="D95" s="1">
        <v>12</v>
      </c>
      <c r="E95" s="1" t="s">
        <v>0</v>
      </c>
      <c r="F95" s="1">
        <v>21</v>
      </c>
      <c r="G95" s="1">
        <v>1</v>
      </c>
    </row>
    <row r="96" spans="1:7" x14ac:dyDescent="0.3">
      <c r="A96" s="1">
        <v>2</v>
      </c>
      <c r="B96" s="1">
        <v>1</v>
      </c>
      <c r="C96" s="1" t="s">
        <v>5</v>
      </c>
      <c r="D96" s="1">
        <v>45</v>
      </c>
      <c r="E96" s="1" t="s">
        <v>0</v>
      </c>
      <c r="F96" s="1">
        <v>36</v>
      </c>
      <c r="G96" s="1">
        <v>0</v>
      </c>
    </row>
    <row r="97" spans="1:7" x14ac:dyDescent="0.3">
      <c r="A97" s="1">
        <v>2</v>
      </c>
      <c r="B97" s="1">
        <v>1</v>
      </c>
      <c r="C97" s="1" t="s">
        <v>5</v>
      </c>
      <c r="D97" s="1">
        <v>22</v>
      </c>
      <c r="E97" s="1" t="s">
        <v>0</v>
      </c>
      <c r="F97" s="1">
        <v>22</v>
      </c>
      <c r="G97" s="1">
        <v>0</v>
      </c>
    </row>
    <row r="98" spans="1:7" x14ac:dyDescent="0.3">
      <c r="A98" s="1">
        <v>2</v>
      </c>
      <c r="B98" s="1">
        <v>1</v>
      </c>
      <c r="C98" s="1" t="s">
        <v>5</v>
      </c>
      <c r="D98" s="1">
        <v>14</v>
      </c>
      <c r="E98" s="1" t="s">
        <v>0</v>
      </c>
      <c r="F98" s="1">
        <v>31</v>
      </c>
      <c r="G98" s="1">
        <v>1</v>
      </c>
    </row>
    <row r="99" spans="1:7" x14ac:dyDescent="0.3">
      <c r="A99" s="1">
        <v>2</v>
      </c>
      <c r="B99" s="1">
        <v>1</v>
      </c>
      <c r="C99" s="1" t="s">
        <v>5</v>
      </c>
      <c r="D99" s="1">
        <v>23</v>
      </c>
      <c r="E99" s="1" t="s">
        <v>0</v>
      </c>
      <c r="F99" s="1">
        <v>36</v>
      </c>
      <c r="G99" s="1">
        <v>1</v>
      </c>
    </row>
    <row r="100" spans="1:7" x14ac:dyDescent="0.3">
      <c r="A100" s="1">
        <v>2</v>
      </c>
      <c r="B100" s="1">
        <v>1</v>
      </c>
      <c r="C100" s="1" t="s">
        <v>5</v>
      </c>
      <c r="D100" s="1">
        <v>13</v>
      </c>
      <c r="E100" s="1" t="s">
        <v>0</v>
      </c>
      <c r="F100" s="1">
        <v>51</v>
      </c>
      <c r="G100" s="1">
        <v>1</v>
      </c>
    </row>
  </sheetData>
  <mergeCells count="38">
    <mergeCell ref="I24:J25"/>
    <mergeCell ref="K24:L25"/>
    <mergeCell ref="M24:N25"/>
    <mergeCell ref="I20:J21"/>
    <mergeCell ref="K20:L21"/>
    <mergeCell ref="M20:N21"/>
    <mergeCell ref="I22:J23"/>
    <mergeCell ref="K22:L23"/>
    <mergeCell ref="M22:N23"/>
    <mergeCell ref="I14:J16"/>
    <mergeCell ref="K14:L16"/>
    <mergeCell ref="M14:N16"/>
    <mergeCell ref="O14:P16"/>
    <mergeCell ref="I19:J19"/>
    <mergeCell ref="K19:L19"/>
    <mergeCell ref="M19:N19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6650-CC57-4C4B-A9C8-FC1591F1B901}">
  <dimension ref="A1:Q100"/>
  <sheetViews>
    <sheetView topLeftCell="G1" workbookViewId="0">
      <selection activeCell="M24" sqref="M24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6</v>
      </c>
      <c r="D1" s="1">
        <v>34</v>
      </c>
      <c r="E1" s="1" t="s">
        <v>0</v>
      </c>
      <c r="F1" s="1">
        <v>24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6</v>
      </c>
      <c r="D2" s="1">
        <v>0</v>
      </c>
      <c r="E2" s="1" t="s">
        <v>0</v>
      </c>
      <c r="F2" s="1">
        <v>33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6</v>
      </c>
      <c r="D3" s="1">
        <v>0</v>
      </c>
      <c r="E3" s="1" t="s">
        <v>0</v>
      </c>
      <c r="F3" s="1">
        <v>26</v>
      </c>
      <c r="G3" s="1">
        <v>1</v>
      </c>
      <c r="I3" s="5" t="s">
        <v>11</v>
      </c>
      <c r="J3" s="5"/>
      <c r="K3" s="9">
        <f>COUNTIF($G$1:$G$100, 0)</f>
        <v>10</v>
      </c>
      <c r="L3" s="9"/>
      <c r="M3" s="9">
        <f>COUNTIFS($G$1:$G$100, 0, $B$1:$B$100, 0)</f>
        <v>5</v>
      </c>
      <c r="N3" s="9"/>
      <c r="O3" s="10">
        <f>COUNTIFS($G$1:$G$100, 0, $B$1:$B$100, 1)</f>
        <v>5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6</v>
      </c>
      <c r="D4" s="1">
        <v>43</v>
      </c>
      <c r="E4" s="1" t="s">
        <v>0</v>
      </c>
      <c r="F4" s="1">
        <v>41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6</v>
      </c>
      <c r="D5" s="1">
        <v>14</v>
      </c>
      <c r="E5" s="1" t="s">
        <v>0</v>
      </c>
      <c r="F5" s="1">
        <v>47</v>
      </c>
      <c r="G5" s="1">
        <v>1</v>
      </c>
      <c r="I5" s="5" t="s">
        <v>12</v>
      </c>
      <c r="J5" s="5"/>
      <c r="K5" s="14">
        <f>COUNTIF($G$1:$G$100, 1)</f>
        <v>90</v>
      </c>
      <c r="L5" s="9"/>
      <c r="M5" s="9">
        <f>COUNTIFS($G$1:$G$100, 1, $B$1:$B$100, 0)</f>
        <v>45</v>
      </c>
      <c r="N5" s="9"/>
      <c r="O5" s="9">
        <f>COUNTIFS($G$1:$G$100, 1, $B$1:$B$100, 1)</f>
        <v>45</v>
      </c>
      <c r="P5" s="13"/>
      <c r="Q5"/>
    </row>
    <row r="6" spans="1:17" x14ac:dyDescent="0.3">
      <c r="A6" s="1">
        <v>2</v>
      </c>
      <c r="B6" s="1">
        <v>0</v>
      </c>
      <c r="C6" s="1" t="s">
        <v>6</v>
      </c>
      <c r="D6" s="1">
        <v>9</v>
      </c>
      <c r="E6" s="1" t="s">
        <v>0</v>
      </c>
      <c r="F6" s="1">
        <v>11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6</v>
      </c>
      <c r="D7" s="1">
        <v>18</v>
      </c>
      <c r="E7" s="1" t="s">
        <v>0</v>
      </c>
      <c r="F7" s="1">
        <v>40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6</v>
      </c>
      <c r="D8" s="1">
        <v>28</v>
      </c>
      <c r="E8" s="1" t="s">
        <v>0</v>
      </c>
      <c r="F8" s="1">
        <v>23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6</v>
      </c>
      <c r="D9" s="1">
        <v>6</v>
      </c>
      <c r="E9" s="1" t="s">
        <v>0</v>
      </c>
      <c r="F9" s="1">
        <v>50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6</v>
      </c>
      <c r="D10" s="1">
        <v>16</v>
      </c>
      <c r="E10" s="1" t="s">
        <v>0</v>
      </c>
      <c r="F10" s="1">
        <v>34</v>
      </c>
      <c r="G10" s="1">
        <v>1</v>
      </c>
      <c r="I10" s="5" t="s">
        <v>15</v>
      </c>
      <c r="J10" s="5"/>
      <c r="K10" s="9">
        <f>AVERAGE($D$1:$D$100,)</f>
        <v>11.495049504950495</v>
      </c>
      <c r="L10" s="9"/>
      <c r="M10" s="9" cm="1">
        <f t="array" ref="M10">AVERAGE(_xlfn._xlws.FILTER($D$1:$D$100,$G$1:$G$100 = 0))</f>
        <v>28.1</v>
      </c>
      <c r="N10" s="9"/>
      <c r="O10" s="10" cm="1">
        <f t="array" ref="O10">AVERAGE(_xlfn._xlws.FILTER($D$1:$D$100,$G$1:$G$100 = 1))</f>
        <v>9.7777777777777786</v>
      </c>
      <c r="P10" s="11"/>
      <c r="Q10"/>
    </row>
    <row r="11" spans="1:17" x14ac:dyDescent="0.3">
      <c r="A11" s="1">
        <v>2</v>
      </c>
      <c r="B11" s="1">
        <v>0</v>
      </c>
      <c r="C11" s="1" t="s">
        <v>6</v>
      </c>
      <c r="D11" s="1">
        <v>7</v>
      </c>
      <c r="E11" s="1" t="s">
        <v>0</v>
      </c>
      <c r="F11" s="1">
        <v>29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6</v>
      </c>
      <c r="D12" s="1">
        <v>17</v>
      </c>
      <c r="E12" s="1" t="s">
        <v>0</v>
      </c>
      <c r="F12" s="1">
        <v>49</v>
      </c>
      <c r="G12" s="1">
        <v>1</v>
      </c>
      <c r="I12" s="5" t="s">
        <v>16</v>
      </c>
      <c r="J12" s="5"/>
      <c r="K12" s="9">
        <f>AVERAGE($F$1:$F$100,)</f>
        <v>31.455445544554454</v>
      </c>
      <c r="L12" s="9"/>
      <c r="M12" s="9" cm="1">
        <f t="array" ref="M12">AVERAGE(_xlfn._xlws.FILTER($F$1:$F$100,$G$1:$G$100 = 0))</f>
        <v>22</v>
      </c>
      <c r="N12" s="9"/>
      <c r="O12" s="9" cm="1">
        <f t="array" ref="O12">AVERAGE(_xlfn._xlws.FILTER($F$1:$F$100,$G$1:$G$100 = 1))</f>
        <v>32.855555555555554</v>
      </c>
      <c r="P12" s="13"/>
      <c r="Q12"/>
    </row>
    <row r="13" spans="1:17" x14ac:dyDescent="0.3">
      <c r="A13" s="1">
        <v>2</v>
      </c>
      <c r="B13" s="1">
        <v>0</v>
      </c>
      <c r="C13" s="1" t="s">
        <v>6</v>
      </c>
      <c r="D13" s="1">
        <v>13</v>
      </c>
      <c r="E13" s="1" t="s">
        <v>0</v>
      </c>
      <c r="F13" s="1">
        <v>53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6</v>
      </c>
      <c r="D14" s="1">
        <v>15</v>
      </c>
      <c r="E14" s="1" t="s">
        <v>0</v>
      </c>
      <c r="F14" s="1">
        <v>18</v>
      </c>
      <c r="G14" s="1">
        <v>1</v>
      </c>
      <c r="I14" s="22" t="s">
        <v>17</v>
      </c>
      <c r="J14" s="11"/>
      <c r="K14" s="23" cm="1">
        <f t="array" ref="K14">AVERAGE($D$1:$D$100 - $F$1:$F$100)</f>
        <v>-20.16</v>
      </c>
      <c r="L14" s="23"/>
      <c r="M14" s="23" cm="1">
        <f t="array" ref="M14">AVERAGE(_xlfn._xlws.FILTER($D$1:$D$100 - $F$1:$F$100, G$1:G$100 = 0))</f>
        <v>6.1</v>
      </c>
      <c r="N14" s="23"/>
      <c r="O14" s="23" cm="1">
        <f t="array" ref="O14">AVERAGE(_xlfn._xlws.FILTER($D$1:$D$100 - $F$1:$F$100, G$1:G$100 = 1))</f>
        <v>-23.077777777777779</v>
      </c>
      <c r="P14" s="24"/>
      <c r="Q14"/>
    </row>
    <row r="15" spans="1:17" x14ac:dyDescent="0.3">
      <c r="A15" s="1">
        <v>2</v>
      </c>
      <c r="B15" s="1">
        <v>0</v>
      </c>
      <c r="C15" s="1" t="s">
        <v>6</v>
      </c>
      <c r="D15" s="1">
        <v>14</v>
      </c>
      <c r="E15" s="1" t="s">
        <v>0</v>
      </c>
      <c r="F15" s="1">
        <v>30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6</v>
      </c>
      <c r="D16" s="1">
        <v>4</v>
      </c>
      <c r="E16" s="1" t="s">
        <v>0</v>
      </c>
      <c r="F16" s="1">
        <v>41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6</v>
      </c>
      <c r="D17" s="1">
        <v>20</v>
      </c>
      <c r="E17" s="1" t="s">
        <v>0</v>
      </c>
      <c r="F17" s="1">
        <v>13</v>
      </c>
      <c r="G17" s="1">
        <v>0</v>
      </c>
    </row>
    <row r="18" spans="1:7" x14ac:dyDescent="0.3">
      <c r="A18" s="1">
        <v>2</v>
      </c>
      <c r="B18" s="1">
        <v>0</v>
      </c>
      <c r="C18" s="1" t="s">
        <v>6</v>
      </c>
      <c r="D18" s="1">
        <v>6</v>
      </c>
      <c r="E18" s="1" t="s">
        <v>0</v>
      </c>
      <c r="F18" s="1">
        <v>34</v>
      </c>
      <c r="G18" s="1">
        <v>1</v>
      </c>
    </row>
    <row r="19" spans="1:7" x14ac:dyDescent="0.3">
      <c r="A19" s="1">
        <v>2</v>
      </c>
      <c r="B19" s="1">
        <v>0</v>
      </c>
      <c r="C19" s="1" t="s">
        <v>6</v>
      </c>
      <c r="D19" s="1">
        <v>2</v>
      </c>
      <c r="E19" s="1" t="s">
        <v>0</v>
      </c>
      <c r="F19" s="1">
        <v>17</v>
      </c>
      <c r="G19" s="1">
        <v>1</v>
      </c>
    </row>
    <row r="20" spans="1:7" x14ac:dyDescent="0.3">
      <c r="A20" s="1">
        <v>2</v>
      </c>
      <c r="B20" s="1">
        <v>0</v>
      </c>
      <c r="C20" s="1" t="s">
        <v>6</v>
      </c>
      <c r="D20" s="1">
        <v>8</v>
      </c>
      <c r="E20" s="1" t="s">
        <v>0</v>
      </c>
      <c r="F20" s="1">
        <v>24</v>
      </c>
      <c r="G20" s="1">
        <v>1</v>
      </c>
    </row>
    <row r="21" spans="1:7" x14ac:dyDescent="0.3">
      <c r="A21" s="1">
        <v>2</v>
      </c>
      <c r="B21" s="1">
        <v>0</v>
      </c>
      <c r="C21" s="1" t="s">
        <v>6</v>
      </c>
      <c r="D21" s="1">
        <v>14</v>
      </c>
      <c r="E21" s="1" t="s">
        <v>0</v>
      </c>
      <c r="F21" s="1">
        <v>19</v>
      </c>
      <c r="G21" s="1">
        <v>1</v>
      </c>
    </row>
    <row r="22" spans="1:7" x14ac:dyDescent="0.3">
      <c r="A22" s="1">
        <v>2</v>
      </c>
      <c r="B22" s="1">
        <v>0</v>
      </c>
      <c r="C22" s="1" t="s">
        <v>6</v>
      </c>
      <c r="D22" s="1">
        <v>0</v>
      </c>
      <c r="E22" s="1" t="s">
        <v>0</v>
      </c>
      <c r="F22" s="1">
        <v>37</v>
      </c>
      <c r="G22" s="1">
        <v>1</v>
      </c>
    </row>
    <row r="23" spans="1:7" x14ac:dyDescent="0.3">
      <c r="A23" s="1">
        <v>2</v>
      </c>
      <c r="B23" s="1">
        <v>0</v>
      </c>
      <c r="C23" s="1" t="s">
        <v>6</v>
      </c>
      <c r="D23" s="1">
        <v>7</v>
      </c>
      <c r="E23" s="1" t="s">
        <v>0</v>
      </c>
      <c r="F23" s="1">
        <v>25</v>
      </c>
      <c r="G23" s="1">
        <v>1</v>
      </c>
    </row>
    <row r="24" spans="1:7" x14ac:dyDescent="0.3">
      <c r="A24" s="1">
        <v>2</v>
      </c>
      <c r="B24" s="1">
        <v>0</v>
      </c>
      <c r="C24" s="1" t="s">
        <v>6</v>
      </c>
      <c r="D24" s="1">
        <v>0</v>
      </c>
      <c r="E24" s="1" t="s">
        <v>0</v>
      </c>
      <c r="F24" s="1">
        <v>42</v>
      </c>
      <c r="G24" s="1">
        <v>1</v>
      </c>
    </row>
    <row r="25" spans="1:7" x14ac:dyDescent="0.3">
      <c r="A25" s="1">
        <v>2</v>
      </c>
      <c r="B25" s="1">
        <v>0</v>
      </c>
      <c r="C25" s="1" t="s">
        <v>6</v>
      </c>
      <c r="D25" s="1">
        <v>23</v>
      </c>
      <c r="E25" s="1" t="s">
        <v>0</v>
      </c>
      <c r="F25" s="1">
        <v>53</v>
      </c>
      <c r="G25" s="1">
        <v>1</v>
      </c>
    </row>
    <row r="26" spans="1:7" x14ac:dyDescent="0.3">
      <c r="A26" s="1">
        <v>2</v>
      </c>
      <c r="B26" s="1">
        <v>0</v>
      </c>
      <c r="C26" s="1" t="s">
        <v>6</v>
      </c>
      <c r="D26" s="1">
        <v>48</v>
      </c>
      <c r="E26" s="1" t="s">
        <v>0</v>
      </c>
      <c r="F26" s="1">
        <v>23</v>
      </c>
      <c r="G26" s="1">
        <v>0</v>
      </c>
    </row>
    <row r="27" spans="1:7" x14ac:dyDescent="0.3">
      <c r="A27" s="1">
        <v>2</v>
      </c>
      <c r="B27" s="1">
        <v>0</v>
      </c>
      <c r="C27" s="1" t="s">
        <v>6</v>
      </c>
      <c r="D27" s="1">
        <v>0</v>
      </c>
      <c r="E27" s="1" t="s">
        <v>0</v>
      </c>
      <c r="F27" s="1">
        <v>43</v>
      </c>
      <c r="G27" s="1">
        <v>1</v>
      </c>
    </row>
    <row r="28" spans="1:7" x14ac:dyDescent="0.3">
      <c r="A28" s="1">
        <v>2</v>
      </c>
      <c r="B28" s="1">
        <v>0</v>
      </c>
      <c r="C28" s="1" t="s">
        <v>6</v>
      </c>
      <c r="D28" s="1">
        <v>5</v>
      </c>
      <c r="E28" s="1" t="s">
        <v>0</v>
      </c>
      <c r="F28" s="1">
        <v>18</v>
      </c>
      <c r="G28" s="1">
        <v>1</v>
      </c>
    </row>
    <row r="29" spans="1:7" x14ac:dyDescent="0.3">
      <c r="A29" s="1">
        <v>2</v>
      </c>
      <c r="B29" s="1">
        <v>0</v>
      </c>
      <c r="C29" s="1" t="s">
        <v>6</v>
      </c>
      <c r="D29" s="1">
        <v>10</v>
      </c>
      <c r="E29" s="1" t="s">
        <v>0</v>
      </c>
      <c r="F29" s="1">
        <v>46</v>
      </c>
      <c r="G29" s="1">
        <v>1</v>
      </c>
    </row>
    <row r="30" spans="1:7" x14ac:dyDescent="0.3">
      <c r="A30" s="1">
        <v>2</v>
      </c>
      <c r="B30" s="1">
        <v>0</v>
      </c>
      <c r="C30" s="1" t="s">
        <v>6</v>
      </c>
      <c r="D30" s="1">
        <v>3</v>
      </c>
      <c r="E30" s="1" t="s">
        <v>0</v>
      </c>
      <c r="F30" s="1">
        <v>31</v>
      </c>
      <c r="G30" s="1">
        <v>1</v>
      </c>
    </row>
    <row r="31" spans="1:7" x14ac:dyDescent="0.3">
      <c r="A31" s="1">
        <v>2</v>
      </c>
      <c r="B31" s="1">
        <v>0</v>
      </c>
      <c r="C31" s="1" t="s">
        <v>6</v>
      </c>
      <c r="D31" s="1">
        <v>15</v>
      </c>
      <c r="E31" s="1" t="s">
        <v>0</v>
      </c>
      <c r="F31" s="1">
        <v>39</v>
      </c>
      <c r="G31" s="1">
        <v>1</v>
      </c>
    </row>
    <row r="32" spans="1:7" x14ac:dyDescent="0.3">
      <c r="A32" s="1">
        <v>2</v>
      </c>
      <c r="B32" s="1">
        <v>0</v>
      </c>
      <c r="C32" s="1" t="s">
        <v>6</v>
      </c>
      <c r="D32" s="1">
        <v>19</v>
      </c>
      <c r="E32" s="1" t="s">
        <v>0</v>
      </c>
      <c r="F32" s="1">
        <v>29</v>
      </c>
      <c r="G32" s="1">
        <v>1</v>
      </c>
    </row>
    <row r="33" spans="1:7" x14ac:dyDescent="0.3">
      <c r="A33" s="1">
        <v>2</v>
      </c>
      <c r="B33" s="1">
        <v>0</v>
      </c>
      <c r="C33" s="1" t="s">
        <v>6</v>
      </c>
      <c r="D33" s="1">
        <v>18</v>
      </c>
      <c r="E33" s="1" t="s">
        <v>0</v>
      </c>
      <c r="F33" s="1">
        <v>22</v>
      </c>
      <c r="G33" s="1">
        <v>1</v>
      </c>
    </row>
    <row r="34" spans="1:7" x14ac:dyDescent="0.3">
      <c r="A34" s="1">
        <v>2</v>
      </c>
      <c r="B34" s="1">
        <v>0</v>
      </c>
      <c r="C34" s="1" t="s">
        <v>6</v>
      </c>
      <c r="D34" s="1">
        <v>0</v>
      </c>
      <c r="E34" s="1" t="s">
        <v>0</v>
      </c>
      <c r="F34" s="1">
        <v>21</v>
      </c>
      <c r="G34" s="1">
        <v>1</v>
      </c>
    </row>
    <row r="35" spans="1:7" x14ac:dyDescent="0.3">
      <c r="A35" s="1">
        <v>2</v>
      </c>
      <c r="B35" s="1">
        <v>0</v>
      </c>
      <c r="C35" s="1" t="s">
        <v>6</v>
      </c>
      <c r="D35" s="1">
        <v>15</v>
      </c>
      <c r="E35" s="1" t="s">
        <v>0</v>
      </c>
      <c r="F35" s="1">
        <v>20</v>
      </c>
      <c r="G35" s="1">
        <v>1</v>
      </c>
    </row>
    <row r="36" spans="1:7" x14ac:dyDescent="0.3">
      <c r="A36" s="1">
        <v>2</v>
      </c>
      <c r="B36" s="1">
        <v>0</v>
      </c>
      <c r="C36" s="1" t="s">
        <v>6</v>
      </c>
      <c r="D36" s="1">
        <v>7</v>
      </c>
      <c r="E36" s="1" t="s">
        <v>0</v>
      </c>
      <c r="F36" s="1">
        <v>26</v>
      </c>
      <c r="G36" s="1">
        <v>1</v>
      </c>
    </row>
    <row r="37" spans="1:7" x14ac:dyDescent="0.3">
      <c r="A37" s="1">
        <v>2</v>
      </c>
      <c r="B37" s="1">
        <v>0</v>
      </c>
      <c r="C37" s="1" t="s">
        <v>6</v>
      </c>
      <c r="D37" s="1">
        <v>6</v>
      </c>
      <c r="E37" s="1" t="s">
        <v>0</v>
      </c>
      <c r="F37" s="1">
        <v>32</v>
      </c>
      <c r="G37" s="1">
        <v>1</v>
      </c>
    </row>
    <row r="38" spans="1:7" x14ac:dyDescent="0.3">
      <c r="A38" s="1">
        <v>2</v>
      </c>
      <c r="B38" s="1">
        <v>0</v>
      </c>
      <c r="C38" s="1" t="s">
        <v>6</v>
      </c>
      <c r="D38" s="1">
        <v>5</v>
      </c>
      <c r="E38" s="1" t="s">
        <v>0</v>
      </c>
      <c r="F38" s="1">
        <v>36</v>
      </c>
      <c r="G38" s="1">
        <v>1</v>
      </c>
    </row>
    <row r="39" spans="1:7" x14ac:dyDescent="0.3">
      <c r="A39" s="1">
        <v>2</v>
      </c>
      <c r="B39" s="1">
        <v>0</v>
      </c>
      <c r="C39" s="1" t="s">
        <v>6</v>
      </c>
      <c r="D39" s="1">
        <v>11</v>
      </c>
      <c r="E39" s="1" t="s">
        <v>0</v>
      </c>
      <c r="F39" s="1">
        <v>40</v>
      </c>
      <c r="G39" s="1">
        <v>1</v>
      </c>
    </row>
    <row r="40" spans="1:7" x14ac:dyDescent="0.3">
      <c r="A40" s="1">
        <v>2</v>
      </c>
      <c r="B40" s="1">
        <v>0</v>
      </c>
      <c r="C40" s="1" t="s">
        <v>6</v>
      </c>
      <c r="D40" s="1">
        <v>18</v>
      </c>
      <c r="E40" s="1" t="s">
        <v>0</v>
      </c>
      <c r="F40" s="1">
        <v>42</v>
      </c>
      <c r="G40" s="1">
        <v>1</v>
      </c>
    </row>
    <row r="41" spans="1:7" x14ac:dyDescent="0.3">
      <c r="A41" s="1">
        <v>2</v>
      </c>
      <c r="B41" s="1">
        <v>0</v>
      </c>
      <c r="C41" s="1" t="s">
        <v>6</v>
      </c>
      <c r="D41" s="1">
        <v>15</v>
      </c>
      <c r="E41" s="1" t="s">
        <v>0</v>
      </c>
      <c r="F41" s="1">
        <v>42</v>
      </c>
      <c r="G41" s="1">
        <v>1</v>
      </c>
    </row>
    <row r="42" spans="1:7" x14ac:dyDescent="0.3">
      <c r="A42" s="1">
        <v>2</v>
      </c>
      <c r="B42" s="1">
        <v>0</v>
      </c>
      <c r="C42" s="1" t="s">
        <v>6</v>
      </c>
      <c r="D42" s="1">
        <v>0</v>
      </c>
      <c r="E42" s="1" t="s">
        <v>0</v>
      </c>
      <c r="F42" s="1">
        <v>25</v>
      </c>
      <c r="G42" s="1">
        <v>1</v>
      </c>
    </row>
    <row r="43" spans="1:7" x14ac:dyDescent="0.3">
      <c r="A43" s="1">
        <v>2</v>
      </c>
      <c r="B43" s="1">
        <v>0</v>
      </c>
      <c r="C43" s="1" t="s">
        <v>6</v>
      </c>
      <c r="D43" s="1">
        <v>4</v>
      </c>
      <c r="E43" s="1" t="s">
        <v>0</v>
      </c>
      <c r="F43" s="1">
        <v>26</v>
      </c>
      <c r="G43" s="1">
        <v>1</v>
      </c>
    </row>
    <row r="44" spans="1:7" x14ac:dyDescent="0.3">
      <c r="A44" s="1">
        <v>2</v>
      </c>
      <c r="B44" s="1">
        <v>0</v>
      </c>
      <c r="C44" s="1" t="s">
        <v>6</v>
      </c>
      <c r="D44" s="1">
        <v>13</v>
      </c>
      <c r="E44" s="1" t="s">
        <v>0</v>
      </c>
      <c r="F44" s="1">
        <v>35</v>
      </c>
      <c r="G44" s="1">
        <v>1</v>
      </c>
    </row>
    <row r="45" spans="1:7" x14ac:dyDescent="0.3">
      <c r="A45" s="1">
        <v>2</v>
      </c>
      <c r="B45" s="1">
        <v>0</v>
      </c>
      <c r="C45" s="1" t="s">
        <v>6</v>
      </c>
      <c r="D45" s="1">
        <v>27</v>
      </c>
      <c r="E45" s="1" t="s">
        <v>0</v>
      </c>
      <c r="F45" s="1">
        <v>50</v>
      </c>
      <c r="G45" s="1">
        <v>1</v>
      </c>
    </row>
    <row r="46" spans="1:7" x14ac:dyDescent="0.3">
      <c r="A46" s="1">
        <v>2</v>
      </c>
      <c r="B46" s="1">
        <v>0</v>
      </c>
      <c r="C46" s="1" t="s">
        <v>6</v>
      </c>
      <c r="D46" s="1">
        <v>10</v>
      </c>
      <c r="E46" s="1" t="s">
        <v>0</v>
      </c>
      <c r="F46" s="1">
        <v>32</v>
      </c>
      <c r="G46" s="1">
        <v>1</v>
      </c>
    </row>
    <row r="47" spans="1:7" x14ac:dyDescent="0.3">
      <c r="A47" s="1">
        <v>2</v>
      </c>
      <c r="B47" s="1">
        <v>0</v>
      </c>
      <c r="C47" s="1" t="s">
        <v>6</v>
      </c>
      <c r="D47" s="1">
        <v>14</v>
      </c>
      <c r="E47" s="1" t="s">
        <v>0</v>
      </c>
      <c r="F47" s="1">
        <v>24</v>
      </c>
      <c r="G47" s="1">
        <v>1</v>
      </c>
    </row>
    <row r="48" spans="1:7" x14ac:dyDescent="0.3">
      <c r="A48" s="1">
        <v>2</v>
      </c>
      <c r="B48" s="1">
        <v>0</v>
      </c>
      <c r="C48" s="1" t="s">
        <v>6</v>
      </c>
      <c r="D48" s="1">
        <v>13</v>
      </c>
      <c r="E48" s="1" t="s">
        <v>0</v>
      </c>
      <c r="F48" s="1">
        <v>33</v>
      </c>
      <c r="G48" s="1">
        <v>1</v>
      </c>
    </row>
    <row r="49" spans="1:7" x14ac:dyDescent="0.3">
      <c r="A49" s="1">
        <v>2</v>
      </c>
      <c r="B49" s="1">
        <v>0</v>
      </c>
      <c r="C49" s="1" t="s">
        <v>6</v>
      </c>
      <c r="D49" s="1">
        <v>2</v>
      </c>
      <c r="E49" s="1" t="s">
        <v>0</v>
      </c>
      <c r="F49" s="1">
        <v>27</v>
      </c>
      <c r="G49" s="1">
        <v>1</v>
      </c>
    </row>
    <row r="50" spans="1:7" x14ac:dyDescent="0.3">
      <c r="A50" s="1">
        <v>2</v>
      </c>
      <c r="B50" s="1">
        <v>0</v>
      </c>
      <c r="C50" s="1" t="s">
        <v>6</v>
      </c>
      <c r="D50" s="1">
        <v>0</v>
      </c>
      <c r="E50" s="1" t="s">
        <v>0</v>
      </c>
      <c r="F50" s="1">
        <v>28</v>
      </c>
      <c r="G50" s="1">
        <v>1</v>
      </c>
    </row>
    <row r="51" spans="1:7" x14ac:dyDescent="0.3">
      <c r="A51" s="1">
        <v>2</v>
      </c>
      <c r="B51" s="1">
        <v>1</v>
      </c>
      <c r="C51" s="1" t="s">
        <v>6</v>
      </c>
      <c r="D51" s="1">
        <v>5</v>
      </c>
      <c r="E51" s="1" t="s">
        <v>0</v>
      </c>
      <c r="F51" s="1">
        <v>46</v>
      </c>
      <c r="G51" s="1">
        <v>1</v>
      </c>
    </row>
    <row r="52" spans="1:7" x14ac:dyDescent="0.3">
      <c r="A52" s="1">
        <v>2</v>
      </c>
      <c r="B52" s="1">
        <v>1</v>
      </c>
      <c r="C52" s="1" t="s">
        <v>6</v>
      </c>
      <c r="D52" s="1">
        <v>0</v>
      </c>
      <c r="E52" s="1" t="s">
        <v>0</v>
      </c>
      <c r="F52" s="1">
        <v>17</v>
      </c>
      <c r="G52" s="1">
        <v>1</v>
      </c>
    </row>
    <row r="53" spans="1:7" x14ac:dyDescent="0.3">
      <c r="A53" s="1">
        <v>2</v>
      </c>
      <c r="B53" s="1">
        <v>1</v>
      </c>
      <c r="C53" s="1" t="s">
        <v>6</v>
      </c>
      <c r="D53" s="1">
        <v>0</v>
      </c>
      <c r="E53" s="1" t="s">
        <v>0</v>
      </c>
      <c r="F53" s="1">
        <v>17</v>
      </c>
      <c r="G53" s="1">
        <v>1</v>
      </c>
    </row>
    <row r="54" spans="1:7" x14ac:dyDescent="0.3">
      <c r="A54" s="1">
        <v>2</v>
      </c>
      <c r="B54" s="1">
        <v>1</v>
      </c>
      <c r="C54" s="1" t="s">
        <v>6</v>
      </c>
      <c r="D54" s="1">
        <v>7</v>
      </c>
      <c r="E54" s="1" t="s">
        <v>0</v>
      </c>
      <c r="F54" s="1">
        <v>40</v>
      </c>
      <c r="G54" s="1">
        <v>1</v>
      </c>
    </row>
    <row r="55" spans="1:7" x14ac:dyDescent="0.3">
      <c r="A55" s="1">
        <v>2</v>
      </c>
      <c r="B55" s="1">
        <v>1</v>
      </c>
      <c r="C55" s="1" t="s">
        <v>6</v>
      </c>
      <c r="D55" s="1">
        <v>24</v>
      </c>
      <c r="E55" s="1" t="s">
        <v>0</v>
      </c>
      <c r="F55" s="1">
        <v>24</v>
      </c>
      <c r="G55" s="1">
        <v>0</v>
      </c>
    </row>
    <row r="56" spans="1:7" x14ac:dyDescent="0.3">
      <c r="A56" s="1">
        <v>2</v>
      </c>
      <c r="B56" s="1">
        <v>1</v>
      </c>
      <c r="C56" s="1" t="s">
        <v>6</v>
      </c>
      <c r="D56" s="1">
        <v>16</v>
      </c>
      <c r="E56" s="1" t="s">
        <v>0</v>
      </c>
      <c r="F56" s="1">
        <v>29</v>
      </c>
      <c r="G56" s="1">
        <v>1</v>
      </c>
    </row>
    <row r="57" spans="1:7" x14ac:dyDescent="0.3">
      <c r="A57" s="1">
        <v>2</v>
      </c>
      <c r="B57" s="1">
        <v>1</v>
      </c>
      <c r="C57" s="1" t="s">
        <v>6</v>
      </c>
      <c r="D57" s="1">
        <v>14</v>
      </c>
      <c r="E57" s="1" t="s">
        <v>0</v>
      </c>
      <c r="F57" s="1">
        <v>18</v>
      </c>
      <c r="G57" s="1">
        <v>1</v>
      </c>
    </row>
    <row r="58" spans="1:7" x14ac:dyDescent="0.3">
      <c r="A58" s="1">
        <v>2</v>
      </c>
      <c r="B58" s="1">
        <v>1</v>
      </c>
      <c r="C58" s="1" t="s">
        <v>6</v>
      </c>
      <c r="D58" s="1">
        <v>13</v>
      </c>
      <c r="E58" s="1" t="s">
        <v>0</v>
      </c>
      <c r="F58" s="1">
        <v>35</v>
      </c>
      <c r="G58" s="1">
        <v>1</v>
      </c>
    </row>
    <row r="59" spans="1:7" x14ac:dyDescent="0.3">
      <c r="A59" s="1">
        <v>2</v>
      </c>
      <c r="B59" s="1">
        <v>1</v>
      </c>
      <c r="C59" s="1" t="s">
        <v>6</v>
      </c>
      <c r="D59" s="1">
        <v>20</v>
      </c>
      <c r="E59" s="1" t="s">
        <v>0</v>
      </c>
      <c r="F59" s="1">
        <v>14</v>
      </c>
      <c r="G59" s="1">
        <v>0</v>
      </c>
    </row>
    <row r="60" spans="1:7" x14ac:dyDescent="0.3">
      <c r="A60" s="1">
        <v>2</v>
      </c>
      <c r="B60" s="1">
        <v>1</v>
      </c>
      <c r="C60" s="1" t="s">
        <v>6</v>
      </c>
      <c r="D60" s="1">
        <v>2</v>
      </c>
      <c r="E60" s="1" t="s">
        <v>0</v>
      </c>
      <c r="F60" s="1">
        <v>22</v>
      </c>
      <c r="G60" s="1">
        <v>1</v>
      </c>
    </row>
    <row r="61" spans="1:7" x14ac:dyDescent="0.3">
      <c r="A61" s="1">
        <v>2</v>
      </c>
      <c r="B61" s="1">
        <v>1</v>
      </c>
      <c r="C61" s="1" t="s">
        <v>6</v>
      </c>
      <c r="D61" s="1">
        <v>12</v>
      </c>
      <c r="E61" s="1" t="s">
        <v>0</v>
      </c>
      <c r="F61" s="1">
        <v>20</v>
      </c>
      <c r="G61" s="1">
        <v>1</v>
      </c>
    </row>
    <row r="62" spans="1:7" x14ac:dyDescent="0.3">
      <c r="A62" s="1">
        <v>2</v>
      </c>
      <c r="B62" s="1">
        <v>1</v>
      </c>
      <c r="C62" s="1" t="s">
        <v>6</v>
      </c>
      <c r="D62" s="1">
        <v>26</v>
      </c>
      <c r="E62" s="1" t="s">
        <v>0</v>
      </c>
      <c r="F62" s="1">
        <v>30</v>
      </c>
      <c r="G62" s="1">
        <v>1</v>
      </c>
    </row>
    <row r="63" spans="1:7" x14ac:dyDescent="0.3">
      <c r="A63" s="1">
        <v>2</v>
      </c>
      <c r="B63" s="1">
        <v>1</v>
      </c>
      <c r="C63" s="1" t="s">
        <v>6</v>
      </c>
      <c r="D63" s="1">
        <v>4</v>
      </c>
      <c r="E63" s="1" t="s">
        <v>0</v>
      </c>
      <c r="F63" s="1">
        <v>20</v>
      </c>
      <c r="G63" s="1">
        <v>1</v>
      </c>
    </row>
    <row r="64" spans="1:7" x14ac:dyDescent="0.3">
      <c r="A64" s="1">
        <v>2</v>
      </c>
      <c r="B64" s="1">
        <v>1</v>
      </c>
      <c r="C64" s="1" t="s">
        <v>6</v>
      </c>
      <c r="D64" s="1">
        <v>0</v>
      </c>
      <c r="E64" s="1" t="s">
        <v>0</v>
      </c>
      <c r="F64" s="1">
        <v>25</v>
      </c>
      <c r="G64" s="1">
        <v>1</v>
      </c>
    </row>
    <row r="65" spans="1:7" x14ac:dyDescent="0.3">
      <c r="A65" s="1">
        <v>2</v>
      </c>
      <c r="B65" s="1">
        <v>1</v>
      </c>
      <c r="C65" s="1" t="s">
        <v>6</v>
      </c>
      <c r="D65" s="1">
        <v>8</v>
      </c>
      <c r="E65" s="1" t="s">
        <v>0</v>
      </c>
      <c r="F65" s="1">
        <v>19</v>
      </c>
      <c r="G65" s="1">
        <v>1</v>
      </c>
    </row>
    <row r="66" spans="1:7" x14ac:dyDescent="0.3">
      <c r="A66" s="1">
        <v>2</v>
      </c>
      <c r="B66" s="1">
        <v>1</v>
      </c>
      <c r="C66" s="1" t="s">
        <v>6</v>
      </c>
      <c r="D66" s="1">
        <v>0</v>
      </c>
      <c r="E66" s="1" t="s">
        <v>0</v>
      </c>
      <c r="F66" s="1">
        <v>33</v>
      </c>
      <c r="G66" s="1">
        <v>1</v>
      </c>
    </row>
    <row r="67" spans="1:7" x14ac:dyDescent="0.3">
      <c r="A67" s="1">
        <v>2</v>
      </c>
      <c r="B67" s="1">
        <v>1</v>
      </c>
      <c r="C67" s="1" t="s">
        <v>6</v>
      </c>
      <c r="D67" s="1">
        <v>15</v>
      </c>
      <c r="E67" s="1" t="s">
        <v>0</v>
      </c>
      <c r="F67" s="1">
        <v>30</v>
      </c>
      <c r="G67" s="1">
        <v>1</v>
      </c>
    </row>
    <row r="68" spans="1:7" x14ac:dyDescent="0.3">
      <c r="A68" s="1">
        <v>2</v>
      </c>
      <c r="B68" s="1">
        <v>1</v>
      </c>
      <c r="C68" s="1" t="s">
        <v>6</v>
      </c>
      <c r="D68" s="1">
        <v>10</v>
      </c>
      <c r="E68" s="1" t="s">
        <v>0</v>
      </c>
      <c r="F68" s="1">
        <v>45</v>
      </c>
      <c r="G68" s="1">
        <v>1</v>
      </c>
    </row>
    <row r="69" spans="1:7" x14ac:dyDescent="0.3">
      <c r="A69" s="1">
        <v>2</v>
      </c>
      <c r="B69" s="1">
        <v>1</v>
      </c>
      <c r="C69" s="1" t="s">
        <v>6</v>
      </c>
      <c r="D69" s="1">
        <v>8</v>
      </c>
      <c r="E69" s="1" t="s">
        <v>0</v>
      </c>
      <c r="F69" s="1">
        <v>40</v>
      </c>
      <c r="G69" s="1">
        <v>1</v>
      </c>
    </row>
    <row r="70" spans="1:7" x14ac:dyDescent="0.3">
      <c r="A70" s="1">
        <v>2</v>
      </c>
      <c r="B70" s="1">
        <v>1</v>
      </c>
      <c r="C70" s="1" t="s">
        <v>6</v>
      </c>
      <c r="D70" s="1">
        <v>17</v>
      </c>
      <c r="E70" s="1" t="s">
        <v>0</v>
      </c>
      <c r="F70" s="1">
        <v>45</v>
      </c>
      <c r="G70" s="1">
        <v>1</v>
      </c>
    </row>
    <row r="71" spans="1:7" x14ac:dyDescent="0.3">
      <c r="A71" s="1">
        <v>2</v>
      </c>
      <c r="B71" s="1">
        <v>1</v>
      </c>
      <c r="C71" s="1" t="s">
        <v>6</v>
      </c>
      <c r="D71" s="1">
        <v>20</v>
      </c>
      <c r="E71" s="1" t="s">
        <v>0</v>
      </c>
      <c r="F71" s="1">
        <v>24</v>
      </c>
      <c r="G71" s="1">
        <v>1</v>
      </c>
    </row>
    <row r="72" spans="1:7" x14ac:dyDescent="0.3">
      <c r="A72" s="1">
        <v>2</v>
      </c>
      <c r="B72" s="1">
        <v>1</v>
      </c>
      <c r="C72" s="1" t="s">
        <v>6</v>
      </c>
      <c r="D72" s="1">
        <v>32</v>
      </c>
      <c r="E72" s="1" t="s">
        <v>0</v>
      </c>
      <c r="F72" s="1">
        <v>31</v>
      </c>
      <c r="G72" s="1">
        <v>0</v>
      </c>
    </row>
    <row r="73" spans="1:7" x14ac:dyDescent="0.3">
      <c r="A73" s="1">
        <v>2</v>
      </c>
      <c r="B73" s="1">
        <v>1</v>
      </c>
      <c r="C73" s="1" t="s">
        <v>6</v>
      </c>
      <c r="D73" s="1">
        <v>22</v>
      </c>
      <c r="E73" s="1" t="s">
        <v>0</v>
      </c>
      <c r="F73" s="1">
        <v>43</v>
      </c>
      <c r="G73" s="1">
        <v>1</v>
      </c>
    </row>
    <row r="74" spans="1:7" x14ac:dyDescent="0.3">
      <c r="A74" s="1">
        <v>2</v>
      </c>
      <c r="B74" s="1">
        <v>1</v>
      </c>
      <c r="C74" s="1" t="s">
        <v>6</v>
      </c>
      <c r="D74" s="1">
        <v>2</v>
      </c>
      <c r="E74" s="1" t="s">
        <v>0</v>
      </c>
      <c r="F74" s="1">
        <v>37</v>
      </c>
      <c r="G74" s="1">
        <v>1</v>
      </c>
    </row>
    <row r="75" spans="1:7" x14ac:dyDescent="0.3">
      <c r="A75" s="1">
        <v>2</v>
      </c>
      <c r="B75" s="1">
        <v>1</v>
      </c>
      <c r="C75" s="1" t="s">
        <v>6</v>
      </c>
      <c r="D75" s="1">
        <v>8</v>
      </c>
      <c r="E75" s="1" t="s">
        <v>0</v>
      </c>
      <c r="F75" s="1">
        <v>38</v>
      </c>
      <c r="G75" s="1">
        <v>1</v>
      </c>
    </row>
    <row r="76" spans="1:7" x14ac:dyDescent="0.3">
      <c r="A76" s="1">
        <v>2</v>
      </c>
      <c r="B76" s="1">
        <v>1</v>
      </c>
      <c r="C76" s="1" t="s">
        <v>6</v>
      </c>
      <c r="D76" s="1">
        <v>13</v>
      </c>
      <c r="E76" s="1" t="s">
        <v>0</v>
      </c>
      <c r="F76" s="1">
        <v>26</v>
      </c>
      <c r="G76" s="1">
        <v>1</v>
      </c>
    </row>
    <row r="77" spans="1:7" x14ac:dyDescent="0.3">
      <c r="A77" s="1">
        <v>2</v>
      </c>
      <c r="B77" s="1">
        <v>1</v>
      </c>
      <c r="C77" s="1" t="s">
        <v>6</v>
      </c>
      <c r="D77" s="1">
        <v>0</v>
      </c>
      <c r="E77" s="1" t="s">
        <v>0</v>
      </c>
      <c r="F77" s="1">
        <v>33</v>
      </c>
      <c r="G77" s="1">
        <v>1</v>
      </c>
    </row>
    <row r="78" spans="1:7" x14ac:dyDescent="0.3">
      <c r="A78" s="1">
        <v>2</v>
      </c>
      <c r="B78" s="1">
        <v>1</v>
      </c>
      <c r="C78" s="1" t="s">
        <v>6</v>
      </c>
      <c r="D78" s="1">
        <v>6</v>
      </c>
      <c r="E78" s="1" t="s">
        <v>0</v>
      </c>
      <c r="F78" s="1">
        <v>54</v>
      </c>
      <c r="G78" s="1">
        <v>1</v>
      </c>
    </row>
    <row r="79" spans="1:7" x14ac:dyDescent="0.3">
      <c r="A79" s="1">
        <v>2</v>
      </c>
      <c r="B79" s="1">
        <v>1</v>
      </c>
      <c r="C79" s="1" t="s">
        <v>6</v>
      </c>
      <c r="D79" s="1">
        <v>13</v>
      </c>
      <c r="E79" s="1" t="s">
        <v>0</v>
      </c>
      <c r="F79" s="1">
        <v>13</v>
      </c>
      <c r="G79" s="1">
        <v>0</v>
      </c>
    </row>
    <row r="80" spans="1:7" x14ac:dyDescent="0.3">
      <c r="A80" s="1">
        <v>2</v>
      </c>
      <c r="B80" s="1">
        <v>1</v>
      </c>
      <c r="C80" s="1" t="s">
        <v>6</v>
      </c>
      <c r="D80" s="1">
        <v>17</v>
      </c>
      <c r="E80" s="1" t="s">
        <v>0</v>
      </c>
      <c r="F80" s="1">
        <v>32</v>
      </c>
      <c r="G80" s="1">
        <v>1</v>
      </c>
    </row>
    <row r="81" spans="1:7" x14ac:dyDescent="0.3">
      <c r="A81" s="1">
        <v>2</v>
      </c>
      <c r="B81" s="1">
        <v>1</v>
      </c>
      <c r="C81" s="1" t="s">
        <v>6</v>
      </c>
      <c r="D81" s="1">
        <v>7</v>
      </c>
      <c r="E81" s="1" t="s">
        <v>0</v>
      </c>
      <c r="F81" s="1">
        <v>39</v>
      </c>
      <c r="G81" s="1">
        <v>1</v>
      </c>
    </row>
    <row r="82" spans="1:7" x14ac:dyDescent="0.3">
      <c r="A82" s="1">
        <v>2</v>
      </c>
      <c r="B82" s="1">
        <v>1</v>
      </c>
      <c r="C82" s="1" t="s">
        <v>6</v>
      </c>
      <c r="D82" s="1">
        <v>18</v>
      </c>
      <c r="E82" s="1" t="s">
        <v>0</v>
      </c>
      <c r="F82" s="1">
        <v>34</v>
      </c>
      <c r="G82" s="1">
        <v>1</v>
      </c>
    </row>
    <row r="83" spans="1:7" x14ac:dyDescent="0.3">
      <c r="A83" s="1">
        <v>2</v>
      </c>
      <c r="B83" s="1">
        <v>1</v>
      </c>
      <c r="C83" s="1" t="s">
        <v>6</v>
      </c>
      <c r="D83" s="1">
        <v>3</v>
      </c>
      <c r="E83" s="1" t="s">
        <v>0</v>
      </c>
      <c r="F83" s="1">
        <v>30</v>
      </c>
      <c r="G83" s="1">
        <v>1</v>
      </c>
    </row>
    <row r="84" spans="1:7" x14ac:dyDescent="0.3">
      <c r="A84" s="1">
        <v>2</v>
      </c>
      <c r="B84" s="1">
        <v>1</v>
      </c>
      <c r="C84" s="1" t="s">
        <v>6</v>
      </c>
      <c r="D84" s="1">
        <v>16</v>
      </c>
      <c r="E84" s="1" t="s">
        <v>0</v>
      </c>
      <c r="F84" s="1">
        <v>29</v>
      </c>
      <c r="G84" s="1">
        <v>1</v>
      </c>
    </row>
    <row r="85" spans="1:7" x14ac:dyDescent="0.3">
      <c r="A85" s="1">
        <v>2</v>
      </c>
      <c r="B85" s="1">
        <v>1</v>
      </c>
      <c r="C85" s="1" t="s">
        <v>6</v>
      </c>
      <c r="D85" s="1">
        <v>11</v>
      </c>
      <c r="E85" s="1" t="s">
        <v>0</v>
      </c>
      <c r="F85" s="1">
        <v>27</v>
      </c>
      <c r="G85" s="1">
        <v>1</v>
      </c>
    </row>
    <row r="86" spans="1:7" x14ac:dyDescent="0.3">
      <c r="A86" s="1">
        <v>2</v>
      </c>
      <c r="B86" s="1">
        <v>1</v>
      </c>
      <c r="C86" s="1" t="s">
        <v>6</v>
      </c>
      <c r="D86" s="1">
        <v>10</v>
      </c>
      <c r="E86" s="1" t="s">
        <v>0</v>
      </c>
      <c r="F86" s="1">
        <v>35</v>
      </c>
      <c r="G86" s="1">
        <v>1</v>
      </c>
    </row>
    <row r="87" spans="1:7" x14ac:dyDescent="0.3">
      <c r="A87" s="1">
        <v>2</v>
      </c>
      <c r="B87" s="1">
        <v>1</v>
      </c>
      <c r="C87" s="1" t="s">
        <v>6</v>
      </c>
      <c r="D87" s="1">
        <v>30</v>
      </c>
      <c r="E87" s="1" t="s">
        <v>0</v>
      </c>
      <c r="F87" s="1">
        <v>48</v>
      </c>
      <c r="G87" s="1">
        <v>1</v>
      </c>
    </row>
    <row r="88" spans="1:7" x14ac:dyDescent="0.3">
      <c r="A88" s="1">
        <v>2</v>
      </c>
      <c r="B88" s="1">
        <v>1</v>
      </c>
      <c r="C88" s="1" t="s">
        <v>6</v>
      </c>
      <c r="D88" s="1">
        <v>8</v>
      </c>
      <c r="E88" s="1" t="s">
        <v>0</v>
      </c>
      <c r="F88" s="1">
        <v>33</v>
      </c>
      <c r="G88" s="1">
        <v>1</v>
      </c>
    </row>
    <row r="89" spans="1:7" x14ac:dyDescent="0.3">
      <c r="A89" s="1">
        <v>2</v>
      </c>
      <c r="B89" s="1">
        <v>1</v>
      </c>
      <c r="C89" s="1" t="s">
        <v>6</v>
      </c>
      <c r="D89" s="1">
        <v>2</v>
      </c>
      <c r="E89" s="1" t="s">
        <v>0</v>
      </c>
      <c r="F89" s="1">
        <v>33</v>
      </c>
      <c r="G89" s="1">
        <v>1</v>
      </c>
    </row>
    <row r="90" spans="1:7" x14ac:dyDescent="0.3">
      <c r="A90" s="1">
        <v>2</v>
      </c>
      <c r="B90" s="1">
        <v>1</v>
      </c>
      <c r="C90" s="1" t="s">
        <v>6</v>
      </c>
      <c r="D90" s="1">
        <v>9</v>
      </c>
      <c r="E90" s="1" t="s">
        <v>0</v>
      </c>
      <c r="F90" s="1">
        <v>46</v>
      </c>
      <c r="G90" s="1">
        <v>1</v>
      </c>
    </row>
    <row r="91" spans="1:7" x14ac:dyDescent="0.3">
      <c r="A91" s="1">
        <v>2</v>
      </c>
      <c r="B91" s="1">
        <v>1</v>
      </c>
      <c r="C91" s="1" t="s">
        <v>6</v>
      </c>
      <c r="D91" s="1">
        <v>14</v>
      </c>
      <c r="E91" s="1" t="s">
        <v>0</v>
      </c>
      <c r="F91" s="1">
        <v>27</v>
      </c>
      <c r="G91" s="1">
        <v>1</v>
      </c>
    </row>
    <row r="92" spans="1:7" x14ac:dyDescent="0.3">
      <c r="A92" s="1">
        <v>2</v>
      </c>
      <c r="B92" s="1">
        <v>1</v>
      </c>
      <c r="C92" s="1" t="s">
        <v>6</v>
      </c>
      <c r="D92" s="1">
        <v>7</v>
      </c>
      <c r="E92" s="1" t="s">
        <v>0</v>
      </c>
      <c r="F92" s="1">
        <v>24</v>
      </c>
      <c r="G92" s="1">
        <v>1</v>
      </c>
    </row>
    <row r="93" spans="1:7" x14ac:dyDescent="0.3">
      <c r="A93" s="1">
        <v>2</v>
      </c>
      <c r="B93" s="1">
        <v>1</v>
      </c>
      <c r="C93" s="1" t="s">
        <v>6</v>
      </c>
      <c r="D93" s="1">
        <v>2</v>
      </c>
      <c r="E93" s="1" t="s">
        <v>0</v>
      </c>
      <c r="F93" s="1">
        <v>28</v>
      </c>
      <c r="G93" s="1">
        <v>1</v>
      </c>
    </row>
    <row r="94" spans="1:7" x14ac:dyDescent="0.3">
      <c r="A94" s="1">
        <v>2</v>
      </c>
      <c r="B94" s="1">
        <v>1</v>
      </c>
      <c r="C94" s="1" t="s">
        <v>6</v>
      </c>
      <c r="D94" s="1">
        <v>0</v>
      </c>
      <c r="E94" s="1" t="s">
        <v>0</v>
      </c>
      <c r="F94" s="1">
        <v>29</v>
      </c>
      <c r="G94" s="1">
        <v>1</v>
      </c>
    </row>
    <row r="95" spans="1:7" x14ac:dyDescent="0.3">
      <c r="A95" s="1">
        <v>2</v>
      </c>
      <c r="B95" s="1">
        <v>1</v>
      </c>
      <c r="C95" s="1" t="s">
        <v>6</v>
      </c>
      <c r="D95" s="1">
        <v>18</v>
      </c>
      <c r="E95" s="1" t="s">
        <v>0</v>
      </c>
      <c r="F95" s="1">
        <v>52</v>
      </c>
      <c r="G95" s="1">
        <v>1</v>
      </c>
    </row>
    <row r="96" spans="1:7" x14ac:dyDescent="0.3">
      <c r="A96" s="1">
        <v>2</v>
      </c>
      <c r="B96" s="1">
        <v>1</v>
      </c>
      <c r="C96" s="1" t="s">
        <v>6</v>
      </c>
      <c r="D96" s="1">
        <v>16</v>
      </c>
      <c r="E96" s="1" t="s">
        <v>0</v>
      </c>
      <c r="F96" s="1">
        <v>38</v>
      </c>
      <c r="G96" s="1">
        <v>1</v>
      </c>
    </row>
    <row r="97" spans="1:7" x14ac:dyDescent="0.3">
      <c r="A97" s="1">
        <v>2</v>
      </c>
      <c r="B97" s="1">
        <v>1</v>
      </c>
      <c r="C97" s="1" t="s">
        <v>6</v>
      </c>
      <c r="D97" s="1">
        <v>0</v>
      </c>
      <c r="E97" s="1" t="s">
        <v>0</v>
      </c>
      <c r="F97" s="1">
        <v>38</v>
      </c>
      <c r="G97" s="1">
        <v>1</v>
      </c>
    </row>
    <row r="98" spans="1:7" x14ac:dyDescent="0.3">
      <c r="A98" s="1">
        <v>2</v>
      </c>
      <c r="B98" s="1">
        <v>1</v>
      </c>
      <c r="C98" s="1" t="s">
        <v>6</v>
      </c>
      <c r="D98" s="1">
        <v>19</v>
      </c>
      <c r="E98" s="1" t="s">
        <v>0</v>
      </c>
      <c r="F98" s="1">
        <v>40</v>
      </c>
      <c r="G98" s="1">
        <v>1</v>
      </c>
    </row>
    <row r="99" spans="1:7" x14ac:dyDescent="0.3">
      <c r="A99" s="1">
        <v>2</v>
      </c>
      <c r="B99" s="1">
        <v>1</v>
      </c>
      <c r="C99" s="1" t="s">
        <v>6</v>
      </c>
      <c r="D99" s="1">
        <v>19</v>
      </c>
      <c r="E99" s="1" t="s">
        <v>0</v>
      </c>
      <c r="F99" s="1">
        <v>14</v>
      </c>
      <c r="G99" s="1">
        <v>0</v>
      </c>
    </row>
    <row r="100" spans="1:7" x14ac:dyDescent="0.3">
      <c r="A100" s="1">
        <v>2</v>
      </c>
      <c r="B100" s="1">
        <v>1</v>
      </c>
      <c r="C100" s="1" t="s">
        <v>6</v>
      </c>
      <c r="D100" s="1">
        <v>22</v>
      </c>
      <c r="E100" s="1" t="s">
        <v>0</v>
      </c>
      <c r="F100" s="1">
        <v>30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PolicyOnlyVSMCTSnNNAI</vt:lpstr>
      <vt:lpstr>MCTSnPolicyVSMCTSnNNAI</vt:lpstr>
      <vt:lpstr>MCTSnNNAIVSMinimaxAI</vt:lpstr>
      <vt:lpstr>MCTSnNNAIVSMCTSAIScoreDiffAvg</vt:lpstr>
      <vt:lpstr>MCTSnCustomEvalVSMCTSnNNAI</vt:lpstr>
      <vt:lpstr>HeuristicVSMCTSnNNAI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2015-06-05T18:17:20Z</dcterms:created>
  <dcterms:modified xsi:type="dcterms:W3CDTF">2026-05-23T12:35:21Z</dcterms:modified>
</cp:coreProperties>
</file>
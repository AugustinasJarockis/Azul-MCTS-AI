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rau\Downloads\FinalTests\FinalTests\"/>
    </mc:Choice>
  </mc:AlternateContent>
  <xr:revisionPtr revIDLastSave="0" documentId="13_ncr:1_{4CB98873-47ED-4E59-83DF-6A09A85DBCD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ConvVSLinearBigModel" sheetId="2" r:id="rId2"/>
    <sheet name="ConvVSLinearBigModelWithMCTS" sheetId="3" r:id="rId3"/>
    <sheet name="SmallVSBigLinearModelWithMCTS" sheetId="4" r:id="rId4"/>
    <sheet name="SmallVSBigLinearModel" sheetId="5" r:id="rId5"/>
    <sheet name="SmallVSBigConvModelWithMCTS" sheetId="6" r:id="rId6"/>
    <sheet name="SmallVSBigConvModel" sheetId="7" r:id="rId7"/>
    <sheet name="MCTSnPolicyVSPolicyOnly" sheetId="8" r:id="rId8"/>
    <sheet name="MCTSnPolicyVSMCTSnCustomEval" sheetId="9" r:id="rId9"/>
    <sheet name="MCTSnCustomEvalVSMinimaxAI" sheetId="10" r:id="rId10"/>
    <sheet name="MCTSnCustomEvalVSMCTSnNNAI" sheetId="11" r:id="rId11"/>
    <sheet name="MCTSnCustomEvalVSMCTSAIScoreDif" sheetId="12" r:id="rId12"/>
    <sheet name="MCTSAIScoreDiffAvgVSMinimaxAI" sheetId="13" r:id="rId13"/>
    <sheet name="HeuristicVSPolicyOnly" sheetId="14" r:id="rId14"/>
    <sheet name="HeuristicVSMinimaxAI" sheetId="15" r:id="rId15"/>
    <sheet name="HeuristicVSMCTSnPolicy" sheetId="16" r:id="rId16"/>
    <sheet name="HeuristicVSMCTSnNNAI" sheetId="17" r:id="rId17"/>
    <sheet name="HeuristicVSMCTSnCustomEval" sheetId="18" r:id="rId18"/>
    <sheet name="ConvVSLinearSmallModel" sheetId="20" r:id="rId19"/>
    <sheet name="ConvVSLinearSmallModelWithMCTS" sheetId="19" r:id="rId20"/>
    <sheet name="FixedConvVSLinearBigModel" sheetId="21" r:id="rId21"/>
    <sheet name="FixedSmallVSBigConvModel" sheetId="22" r:id="rId22"/>
    <sheet name="FixedConvVSLinearBigModelWithMC" sheetId="23" r:id="rId23"/>
    <sheet name="FixedSmallVSBigConvModelWithMCT" sheetId="24" r:id="rId24"/>
    <sheet name="FixedSmallVSBigLinearModel" sheetId="25" r:id="rId25"/>
    <sheet name="FixedSmallVSBigLinearModelWithM" sheetId="26" r:id="rId26"/>
    <sheet name="BigConvVSSmallLinearModelWithMC" sheetId="27" r:id="rId27"/>
    <sheet name="SmallConvVSBigLinearModel" sheetId="28" r:id="rId28"/>
    <sheet name="SmallConvVSBigLinearModelWithMC" sheetId="29" r:id="rId29"/>
    <sheet name="BigConvVSSmallLinearModel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6" l="1" a="1"/>
  <c r="K14" i="26" s="1"/>
  <c r="K23" i="27" a="1"/>
  <c r="K23" i="27"/>
  <c r="C21" i="1"/>
  <c r="B21" i="1"/>
  <c r="C20" i="1"/>
  <c r="B20" i="1"/>
  <c r="D5" i="1"/>
  <c r="D4" i="1"/>
  <c r="D13" i="1"/>
  <c r="D12" i="1"/>
  <c r="C6" i="1"/>
  <c r="B6" i="1"/>
  <c r="C14" i="1"/>
  <c r="B14" i="1"/>
  <c r="C13" i="1"/>
  <c r="B13" i="1"/>
  <c r="C12" i="1"/>
  <c r="B12" i="1"/>
  <c r="C5" i="1"/>
  <c r="B5" i="1"/>
  <c r="C4" i="1"/>
  <c r="B4" i="1"/>
  <c r="O14" i="30" a="1"/>
  <c r="O14" i="30" s="1"/>
  <c r="M14" i="30"/>
  <c r="M14" i="30" a="1"/>
  <c r="K14" i="30" a="1"/>
  <c r="K14" i="30" s="1"/>
  <c r="O12" i="30" a="1"/>
  <c r="O12" i="30" s="1"/>
  <c r="M12" i="30" a="1"/>
  <c r="M12" i="30" s="1"/>
  <c r="K12" i="30"/>
  <c r="O10" i="30"/>
  <c r="O10" i="30" a="1"/>
  <c r="M10" i="30"/>
  <c r="M10" i="30" a="1"/>
  <c r="K10" i="30"/>
  <c r="O5" i="30"/>
  <c r="M5" i="30"/>
  <c r="K5" i="30"/>
  <c r="Q3" i="30" a="1"/>
  <c r="Q3" i="30" s="1"/>
  <c r="O3" i="30"/>
  <c r="M3" i="30"/>
  <c r="K3" i="30"/>
  <c r="O14" i="29" a="1"/>
  <c r="O14" i="29" s="1"/>
  <c r="M14" i="29"/>
  <c r="M14" i="29" a="1"/>
  <c r="K14" i="29" a="1"/>
  <c r="K14" i="29" s="1"/>
  <c r="O12" i="29" a="1"/>
  <c r="O12" i="29" s="1"/>
  <c r="M12" i="29" a="1"/>
  <c r="M12" i="29" s="1"/>
  <c r="K12" i="29"/>
  <c r="O10" i="29"/>
  <c r="O10" i="29" a="1"/>
  <c r="M10" i="29"/>
  <c r="M10" i="29" a="1"/>
  <c r="K10" i="29"/>
  <c r="O5" i="29"/>
  <c r="M5" i="29"/>
  <c r="K5" i="29"/>
  <c r="Q3" i="29" a="1"/>
  <c r="Q3" i="29" s="1"/>
  <c r="O3" i="29"/>
  <c r="M3" i="29"/>
  <c r="K3" i="29"/>
  <c r="O14" i="28" a="1"/>
  <c r="O14" i="28" s="1"/>
  <c r="M14" i="28" a="1"/>
  <c r="M14" i="28" s="1"/>
  <c r="K14" i="28" a="1"/>
  <c r="K14" i="28" s="1"/>
  <c r="O12" i="28" a="1"/>
  <c r="O12" i="28" s="1"/>
  <c r="M12" i="28" a="1"/>
  <c r="M12" i="28" s="1"/>
  <c r="K12" i="28"/>
  <c r="O10" i="28"/>
  <c r="O10" i="28" a="1"/>
  <c r="M10" i="28" a="1"/>
  <c r="M10" i="28" s="1"/>
  <c r="K10" i="28"/>
  <c r="O5" i="28"/>
  <c r="M5" i="28"/>
  <c r="K5" i="28"/>
  <c r="Q3" i="28" a="1"/>
  <c r="Q3" i="28" s="1"/>
  <c r="O3" i="28"/>
  <c r="M3" i="28"/>
  <c r="K3" i="28"/>
  <c r="O23" i="27" a="1"/>
  <c r="O23" i="27" s="1"/>
  <c r="M23" i="27" a="1"/>
  <c r="M23" i="27" s="1"/>
  <c r="O21" i="27" a="1"/>
  <c r="O21" i="27" s="1"/>
  <c r="M21" i="27" a="1"/>
  <c r="M21" i="27" s="1"/>
  <c r="K21" i="27"/>
  <c r="O19" i="27"/>
  <c r="O19" i="27" a="1"/>
  <c r="M19" i="27" a="1"/>
  <c r="M19" i="27" s="1"/>
  <c r="K19" i="27"/>
  <c r="O14" i="27"/>
  <c r="M14" i="27"/>
  <c r="K14" i="27"/>
  <c r="Q12" i="27"/>
  <c r="Q12" i="27" a="1"/>
  <c r="O12" i="27"/>
  <c r="M12" i="27"/>
  <c r="K12" i="27"/>
  <c r="K3" i="26"/>
  <c r="M3" i="26"/>
  <c r="O3" i="26"/>
  <c r="Q3" i="26" a="1"/>
  <c r="Q3" i="26" s="1"/>
  <c r="K5" i="26"/>
  <c r="M5" i="26"/>
  <c r="O5" i="26"/>
  <c r="K10" i="26"/>
  <c r="M10" i="26" a="1"/>
  <c r="M10" i="26" s="1"/>
  <c r="O10" i="26" a="1"/>
  <c r="O10" i="26" s="1"/>
  <c r="K12" i="26"/>
  <c r="M12" i="26" a="1"/>
  <c r="M12" i="26" s="1"/>
  <c r="O12" i="26" a="1"/>
  <c r="O12" i="26" s="1"/>
  <c r="M14" i="26" a="1"/>
  <c r="M14" i="26" s="1"/>
  <c r="O14" i="26" a="1"/>
  <c r="O14" i="26" s="1"/>
  <c r="K3" i="25"/>
  <c r="M3" i="25"/>
  <c r="O3" i="25"/>
  <c r="Q3" i="25" a="1"/>
  <c r="Q3" i="25" s="1"/>
  <c r="K5" i="25"/>
  <c r="M5" i="25"/>
  <c r="O5" i="25"/>
  <c r="K10" i="25"/>
  <c r="M10" i="25" a="1"/>
  <c r="M10" i="25" s="1"/>
  <c r="O10" i="25" a="1"/>
  <c r="O10" i="25" s="1"/>
  <c r="K12" i="25"/>
  <c r="M12" i="25" a="1"/>
  <c r="M12" i="25" s="1"/>
  <c r="O12" i="25" a="1"/>
  <c r="O12" i="25" s="1"/>
  <c r="K14" i="25" a="1"/>
  <c r="K14" i="25" s="1"/>
  <c r="M14" i="25" a="1"/>
  <c r="M14" i="25" s="1"/>
  <c r="O14" i="25" a="1"/>
  <c r="O14" i="25" s="1"/>
  <c r="K3" i="24"/>
  <c r="M3" i="24"/>
  <c r="O3" i="24"/>
  <c r="Q3" i="24" a="1"/>
  <c r="Q3" i="24" s="1"/>
  <c r="K5" i="24"/>
  <c r="M5" i="24"/>
  <c r="O5" i="24"/>
  <c r="K10" i="24"/>
  <c r="M10" i="24" a="1"/>
  <c r="M10" i="24" s="1"/>
  <c r="O10" i="24" a="1"/>
  <c r="O10" i="24" s="1"/>
  <c r="K12" i="24"/>
  <c r="M12" i="24" a="1"/>
  <c r="M12" i="24" s="1"/>
  <c r="O12" i="24" a="1"/>
  <c r="O12" i="24" s="1"/>
  <c r="K14" i="24" a="1"/>
  <c r="K14" i="24" s="1"/>
  <c r="M14" i="24" a="1"/>
  <c r="M14" i="24" s="1"/>
  <c r="O14" i="24" a="1"/>
  <c r="O14" i="24" s="1"/>
  <c r="K3" i="23"/>
  <c r="M3" i="23"/>
  <c r="O3" i="23"/>
  <c r="Q3" i="23" a="1"/>
  <c r="Q3" i="23" s="1"/>
  <c r="K5" i="23"/>
  <c r="M5" i="23"/>
  <c r="O5" i="23"/>
  <c r="K10" i="23"/>
  <c r="M10" i="23" a="1"/>
  <c r="M10" i="23" s="1"/>
  <c r="O10" i="23" a="1"/>
  <c r="O10" i="23" s="1"/>
  <c r="K12" i="23"/>
  <c r="M12" i="23" a="1"/>
  <c r="M12" i="23" s="1"/>
  <c r="O12" i="23" a="1"/>
  <c r="O12" i="23" s="1"/>
  <c r="K14" i="23" a="1"/>
  <c r="K14" i="23" s="1"/>
  <c r="M14" i="23" a="1"/>
  <c r="M14" i="23" s="1"/>
  <c r="O14" i="23" a="1"/>
  <c r="O14" i="23" s="1"/>
  <c r="K3" i="22"/>
  <c r="M3" i="22"/>
  <c r="O3" i="22"/>
  <c r="Q3" i="22" a="1"/>
  <c r="Q3" i="22" s="1"/>
  <c r="K5" i="22"/>
  <c r="M5" i="22"/>
  <c r="O5" i="22"/>
  <c r="K10" i="22"/>
  <c r="M10" i="22" a="1"/>
  <c r="M10" i="22" s="1"/>
  <c r="O10" i="22" a="1"/>
  <c r="O10" i="22" s="1"/>
  <c r="K12" i="22"/>
  <c r="M12" i="22" a="1"/>
  <c r="M12" i="22" s="1"/>
  <c r="O12" i="22" a="1"/>
  <c r="O12" i="22" s="1"/>
  <c r="K14" i="22" a="1"/>
  <c r="K14" i="22" s="1"/>
  <c r="M14" i="22" a="1"/>
  <c r="M14" i="22" s="1"/>
  <c r="O14" i="22" a="1"/>
  <c r="O14" i="22" s="1"/>
  <c r="K3" i="21"/>
  <c r="M3" i="21"/>
  <c r="O3" i="21"/>
  <c r="Q3" i="21" a="1"/>
  <c r="Q3" i="21" s="1"/>
  <c r="K5" i="21"/>
  <c r="M5" i="21"/>
  <c r="O5" i="21"/>
  <c r="K10" i="21"/>
  <c r="M10" i="21" a="1"/>
  <c r="M10" i="21" s="1"/>
  <c r="O10" i="21" a="1"/>
  <c r="O10" i="21" s="1"/>
  <c r="K12" i="21"/>
  <c r="M12" i="21" a="1"/>
  <c r="M12" i="21" s="1"/>
  <c r="O12" i="21" a="1"/>
  <c r="O12" i="21" s="1"/>
  <c r="K14" i="21" a="1"/>
  <c r="K14" i="21" s="1"/>
  <c r="M14" i="21" a="1"/>
  <c r="M14" i="21" s="1"/>
  <c r="O14" i="21" a="1"/>
  <c r="O14" i="21" s="1"/>
  <c r="O14" i="20" a="1"/>
  <c r="O14" i="20" s="1"/>
  <c r="M14" i="20" a="1"/>
  <c r="M14" i="20" s="1"/>
  <c r="K14" i="20" a="1"/>
  <c r="K14" i="20" s="1"/>
  <c r="O12" i="20" a="1"/>
  <c r="O12" i="20" s="1"/>
  <c r="M12" i="20" a="1"/>
  <c r="M12" i="20" s="1"/>
  <c r="K12" i="20"/>
  <c r="O10" i="20"/>
  <c r="O10" i="20" a="1"/>
  <c r="M10" i="20" a="1"/>
  <c r="M10" i="20" s="1"/>
  <c r="K10" i="20"/>
  <c r="O5" i="20"/>
  <c r="M5" i="20"/>
  <c r="K5" i="20"/>
  <c r="Q3" i="20" a="1"/>
  <c r="Q3" i="20" s="1"/>
  <c r="O3" i="20"/>
  <c r="M3" i="20"/>
  <c r="K3" i="20"/>
  <c r="O14" i="19" a="1"/>
  <c r="O14" i="19" s="1"/>
  <c r="M14" i="19"/>
  <c r="M14" i="19" a="1"/>
  <c r="K14" i="19" a="1"/>
  <c r="K14" i="19" s="1"/>
  <c r="O12" i="19" a="1"/>
  <c r="O12" i="19" s="1"/>
  <c r="M12" i="19" a="1"/>
  <c r="M12" i="19" s="1"/>
  <c r="K12" i="19"/>
  <c r="O10" i="19" a="1"/>
  <c r="O10" i="19" s="1"/>
  <c r="M10" i="19"/>
  <c r="M10" i="19" a="1"/>
  <c r="K10" i="19"/>
  <c r="O5" i="19"/>
  <c r="M5" i="19"/>
  <c r="K5" i="19"/>
  <c r="Q3" i="19" a="1"/>
  <c r="Q3" i="19" s="1"/>
  <c r="O3" i="19"/>
  <c r="M3" i="19"/>
  <c r="K3" i="19"/>
  <c r="O14" i="18" a="1"/>
  <c r="O14" i="18" s="1"/>
  <c r="M14" i="18"/>
  <c r="M14" i="18" a="1"/>
  <c r="K14" i="18" a="1"/>
  <c r="K14" i="18" s="1"/>
  <c r="O12" i="18" a="1"/>
  <c r="O12" i="18" s="1"/>
  <c r="M12" i="18" a="1"/>
  <c r="M12" i="18" s="1"/>
  <c r="K12" i="18"/>
  <c r="O10" i="18"/>
  <c r="O10" i="18" a="1"/>
  <c r="M10" i="18"/>
  <c r="M10" i="18" a="1"/>
  <c r="K10" i="18"/>
  <c r="O5" i="18"/>
  <c r="M5" i="18"/>
  <c r="K5" i="18"/>
  <c r="Q3" i="18" a="1"/>
  <c r="Q3" i="18" s="1"/>
  <c r="O3" i="18"/>
  <c r="M3" i="18"/>
  <c r="K3" i="18"/>
  <c r="O14" i="17" a="1"/>
  <c r="O14" i="17" s="1"/>
  <c r="M14" i="17"/>
  <c r="M14" i="17" a="1"/>
  <c r="K14" i="17" a="1"/>
  <c r="K14" i="17" s="1"/>
  <c r="O12" i="17" a="1"/>
  <c r="O12" i="17" s="1"/>
  <c r="M12" i="17" a="1"/>
  <c r="M12" i="17" s="1"/>
  <c r="K12" i="17"/>
  <c r="O10" i="17"/>
  <c r="O10" i="17" a="1"/>
  <c r="M10" i="17"/>
  <c r="M10" i="17" a="1"/>
  <c r="K10" i="17"/>
  <c r="O5" i="17"/>
  <c r="M5" i="17"/>
  <c r="K5" i="17"/>
  <c r="Q3" i="17" a="1"/>
  <c r="Q3" i="17" s="1"/>
  <c r="O3" i="17"/>
  <c r="M3" i="17"/>
  <c r="K3" i="17"/>
  <c r="O14" i="16" a="1"/>
  <c r="O14" i="16" s="1"/>
  <c r="M14" i="16" a="1"/>
  <c r="M14" i="16" s="1"/>
  <c r="K14" i="16" a="1"/>
  <c r="K14" i="16" s="1"/>
  <c r="O12" i="16" a="1"/>
  <c r="O12" i="16" s="1"/>
  <c r="M12" i="16" a="1"/>
  <c r="M12" i="16" s="1"/>
  <c r="K12" i="16"/>
  <c r="O10" i="16" a="1"/>
  <c r="O10" i="16" s="1"/>
  <c r="M10" i="16"/>
  <c r="M10" i="16" a="1"/>
  <c r="K10" i="16"/>
  <c r="O5" i="16"/>
  <c r="M5" i="16"/>
  <c r="K5" i="16"/>
  <c r="Q3" i="16" a="1"/>
  <c r="Q3" i="16" s="1"/>
  <c r="O3" i="16"/>
  <c r="M3" i="16"/>
  <c r="K3" i="16"/>
  <c r="O14" i="15" a="1"/>
  <c r="O14" i="15" s="1"/>
  <c r="M14" i="15" a="1"/>
  <c r="M14" i="15" s="1"/>
  <c r="K14" i="15" a="1"/>
  <c r="K14" i="15" s="1"/>
  <c r="O12" i="15" a="1"/>
  <c r="O12" i="15" s="1"/>
  <c r="M12" i="15" a="1"/>
  <c r="M12" i="15" s="1"/>
  <c r="K12" i="15"/>
  <c r="O10" i="15" a="1"/>
  <c r="O10" i="15" s="1"/>
  <c r="M10" i="15"/>
  <c r="M10" i="15" a="1"/>
  <c r="K10" i="15"/>
  <c r="O5" i="15"/>
  <c r="M5" i="15"/>
  <c r="K5" i="15"/>
  <c r="Q3" i="15" a="1"/>
  <c r="Q3" i="15" s="1"/>
  <c r="O3" i="15"/>
  <c r="M3" i="15"/>
  <c r="K3" i="15"/>
  <c r="O14" i="14" a="1"/>
  <c r="O14" i="14" s="1"/>
  <c r="M14" i="14" a="1"/>
  <c r="M14" i="14" s="1"/>
  <c r="K14" i="14" a="1"/>
  <c r="K14" i="14" s="1"/>
  <c r="O12" i="14" a="1"/>
  <c r="O12" i="14" s="1"/>
  <c r="M12" i="14" a="1"/>
  <c r="M12" i="14" s="1"/>
  <c r="K12" i="14"/>
  <c r="O10" i="14" a="1"/>
  <c r="O10" i="14" s="1"/>
  <c r="M10" i="14" a="1"/>
  <c r="M10" i="14" s="1"/>
  <c r="K10" i="14"/>
  <c r="O5" i="14"/>
  <c r="M5" i="14"/>
  <c r="K5" i="14"/>
  <c r="Q3" i="14" a="1"/>
  <c r="Q3" i="14" s="1"/>
  <c r="O3" i="14"/>
  <c r="M3" i="14"/>
  <c r="K3" i="14"/>
  <c r="O15" i="13" a="1"/>
  <c r="O15" i="13" s="1"/>
  <c r="M15" i="13" a="1"/>
  <c r="M15" i="13" s="1"/>
  <c r="K15" i="13" a="1"/>
  <c r="K15" i="13" s="1"/>
  <c r="O13" i="13" a="1"/>
  <c r="O13" i="13" s="1"/>
  <c r="M13" i="13" a="1"/>
  <c r="M13" i="13" s="1"/>
  <c r="K13" i="13"/>
  <c r="O11" i="13"/>
  <c r="O11" i="13" a="1"/>
  <c r="M11" i="13"/>
  <c r="M11" i="13" a="1"/>
  <c r="K11" i="13"/>
  <c r="O6" i="13"/>
  <c r="M6" i="13"/>
  <c r="K6" i="13"/>
  <c r="Q4" i="13" a="1"/>
  <c r="Q4" i="13" s="1"/>
  <c r="O4" i="13"/>
  <c r="M4" i="13"/>
  <c r="K4" i="13"/>
  <c r="O14" i="12" a="1"/>
  <c r="O14" i="12" s="1"/>
  <c r="M14" i="12"/>
  <c r="M14" i="12" a="1"/>
  <c r="K14" i="12"/>
  <c r="K14" i="12" a="1"/>
  <c r="O12" i="12" a="1"/>
  <c r="O12" i="12" s="1"/>
  <c r="M12" i="12" a="1"/>
  <c r="M12" i="12" s="1"/>
  <c r="K12" i="12"/>
  <c r="O10" i="12" a="1"/>
  <c r="O10" i="12" s="1"/>
  <c r="M10" i="12" a="1"/>
  <c r="M10" i="12" s="1"/>
  <c r="K10" i="12"/>
  <c r="O5" i="12"/>
  <c r="M5" i="12"/>
  <c r="K5" i="12"/>
  <c r="Q3" i="12" a="1"/>
  <c r="Q3" i="12" s="1"/>
  <c r="O3" i="12"/>
  <c r="M3" i="12"/>
  <c r="K3" i="12"/>
  <c r="O14" i="11" a="1"/>
  <c r="O14" i="11" s="1"/>
  <c r="M14" i="11" a="1"/>
  <c r="M14" i="11" s="1"/>
  <c r="K14" i="11" a="1"/>
  <c r="K14" i="11" s="1"/>
  <c r="O12" i="11" a="1"/>
  <c r="O12" i="11" s="1"/>
  <c r="M12" i="11" a="1"/>
  <c r="M12" i="11" s="1"/>
  <c r="K12" i="11"/>
  <c r="O10" i="11" a="1"/>
  <c r="O10" i="11" s="1"/>
  <c r="M10" i="11" a="1"/>
  <c r="M10" i="11" s="1"/>
  <c r="K10" i="11"/>
  <c r="O5" i="11"/>
  <c r="M5" i="11"/>
  <c r="K5" i="11"/>
  <c r="Q3" i="11" a="1"/>
  <c r="Q3" i="11" s="1"/>
  <c r="O3" i="11"/>
  <c r="M3" i="11"/>
  <c r="K3" i="11"/>
  <c r="O14" i="10" a="1"/>
  <c r="O14" i="10" s="1"/>
  <c r="M14" i="10" a="1"/>
  <c r="M14" i="10" s="1"/>
  <c r="K14" i="10" a="1"/>
  <c r="K14" i="10" s="1"/>
  <c r="O12" i="10" a="1"/>
  <c r="O12" i="10" s="1"/>
  <c r="M12" i="10" a="1"/>
  <c r="M12" i="10" s="1"/>
  <c r="K12" i="10"/>
  <c r="O10" i="10" a="1"/>
  <c r="O10" i="10" s="1"/>
  <c r="M10" i="10"/>
  <c r="M10" i="10" a="1"/>
  <c r="K10" i="10"/>
  <c r="O5" i="10"/>
  <c r="M5" i="10"/>
  <c r="K5" i="10"/>
  <c r="Q3" i="10" a="1"/>
  <c r="Q3" i="10" s="1"/>
  <c r="O3" i="10"/>
  <c r="M3" i="10"/>
  <c r="K3" i="10"/>
  <c r="O14" i="9" a="1"/>
  <c r="O14" i="9" s="1"/>
  <c r="M14" i="9" a="1"/>
  <c r="M14" i="9" s="1"/>
  <c r="K14" i="9" a="1"/>
  <c r="K14" i="9" s="1"/>
  <c r="O12" i="9" a="1"/>
  <c r="O12" i="9" s="1"/>
  <c r="M12" i="9" a="1"/>
  <c r="M12" i="9" s="1"/>
  <c r="K12" i="9"/>
  <c r="O10" i="9" a="1"/>
  <c r="O10" i="9" s="1"/>
  <c r="M10" i="9" a="1"/>
  <c r="M10" i="9" s="1"/>
  <c r="K10" i="9"/>
  <c r="O5" i="9"/>
  <c r="M5" i="9"/>
  <c r="K5" i="9"/>
  <c r="Q3" i="9" a="1"/>
  <c r="Q3" i="9" s="1"/>
  <c r="O3" i="9"/>
  <c r="M3" i="9"/>
  <c r="K3" i="9"/>
  <c r="O14" i="8"/>
  <c r="O14" i="8" a="1"/>
  <c r="M14" i="8" a="1"/>
  <c r="M14" i="8" s="1"/>
  <c r="K14" i="8" a="1"/>
  <c r="K14" i="8" s="1"/>
  <c r="O12" i="8" a="1"/>
  <c r="O12" i="8" s="1"/>
  <c r="M12" i="8"/>
  <c r="M12" i="8" a="1"/>
  <c r="K12" i="8"/>
  <c r="O10" i="8" a="1"/>
  <c r="O10" i="8" s="1"/>
  <c r="M10" i="8"/>
  <c r="M10" i="8" a="1"/>
  <c r="K10" i="8"/>
  <c r="O5" i="8"/>
  <c r="M5" i="8"/>
  <c r="K5" i="8"/>
  <c r="Q3" i="8" a="1"/>
  <c r="Q3" i="8" s="1"/>
  <c r="O3" i="8"/>
  <c r="M3" i="8"/>
  <c r="K3" i="8"/>
  <c r="O14" i="7" a="1"/>
  <c r="O14" i="7" s="1"/>
  <c r="M14" i="7"/>
  <c r="M14" i="7" a="1"/>
  <c r="K14" i="7" a="1"/>
  <c r="K14" i="7" s="1"/>
  <c r="O12" i="7" a="1"/>
  <c r="O12" i="7" s="1"/>
  <c r="M12" i="7" a="1"/>
  <c r="M12" i="7" s="1"/>
  <c r="K12" i="7"/>
  <c r="O10" i="7"/>
  <c r="O10" i="7" a="1"/>
  <c r="M10" i="7"/>
  <c r="M10" i="7" a="1"/>
  <c r="K10" i="7"/>
  <c r="O5" i="7"/>
  <c r="M5" i="7"/>
  <c r="K5" i="7"/>
  <c r="Q3" i="7" a="1"/>
  <c r="Q3" i="7" s="1"/>
  <c r="O3" i="7"/>
  <c r="M3" i="7"/>
  <c r="K3" i="7"/>
  <c r="O14" i="6" a="1"/>
  <c r="O14" i="6" s="1"/>
  <c r="M14" i="6" a="1"/>
  <c r="M14" i="6" s="1"/>
  <c r="K14" i="6" a="1"/>
  <c r="K14" i="6" s="1"/>
  <c r="O12" i="6" a="1"/>
  <c r="O12" i="6" s="1"/>
  <c r="M12" i="6" a="1"/>
  <c r="M12" i="6" s="1"/>
  <c r="K12" i="6"/>
  <c r="O10" i="6" a="1"/>
  <c r="O10" i="6" s="1"/>
  <c r="M10" i="6" a="1"/>
  <c r="M10" i="6" s="1"/>
  <c r="K10" i="6"/>
  <c r="O5" i="6"/>
  <c r="M5" i="6"/>
  <c r="K5" i="6"/>
  <c r="Q3" i="6" a="1"/>
  <c r="Q3" i="6" s="1"/>
  <c r="O3" i="6"/>
  <c r="M3" i="6"/>
  <c r="K3" i="6"/>
  <c r="O14" i="5" a="1"/>
  <c r="O14" i="5" s="1"/>
  <c r="M14" i="5"/>
  <c r="M14" i="5" a="1"/>
  <c r="K14" i="5" a="1"/>
  <c r="K14" i="5" s="1"/>
  <c r="O12" i="5" a="1"/>
  <c r="O12" i="5" s="1"/>
  <c r="M12" i="5" a="1"/>
  <c r="M12" i="5" s="1"/>
  <c r="K12" i="5"/>
  <c r="O10" i="5" a="1"/>
  <c r="O10" i="5" s="1"/>
  <c r="M10" i="5"/>
  <c r="M10" i="5" a="1"/>
  <c r="K10" i="5"/>
  <c r="O5" i="5"/>
  <c r="M5" i="5"/>
  <c r="K5" i="5"/>
  <c r="Q3" i="5" a="1"/>
  <c r="Q3" i="5" s="1"/>
  <c r="O3" i="5"/>
  <c r="M3" i="5"/>
  <c r="K3" i="5"/>
  <c r="O14" i="4" a="1"/>
  <c r="O14" i="4" s="1"/>
  <c r="M14" i="4" a="1"/>
  <c r="M14" i="4" s="1"/>
  <c r="K14" i="4" a="1"/>
  <c r="K14" i="4" s="1"/>
  <c r="O12" i="4" a="1"/>
  <c r="O12" i="4" s="1"/>
  <c r="M12" i="4" a="1"/>
  <c r="M12" i="4" s="1"/>
  <c r="K12" i="4"/>
  <c r="O10" i="4" a="1"/>
  <c r="O10" i="4" s="1"/>
  <c r="M10" i="4"/>
  <c r="M10" i="4" a="1"/>
  <c r="K10" i="4"/>
  <c r="O5" i="4"/>
  <c r="M5" i="4"/>
  <c r="K5" i="4"/>
  <c r="Q3" i="4" a="1"/>
  <c r="Q3" i="4" s="1"/>
  <c r="O3" i="4"/>
  <c r="M3" i="4"/>
  <c r="K3" i="4"/>
  <c r="O14" i="3" a="1"/>
  <c r="O14" i="3" s="1"/>
  <c r="M14" i="3" a="1"/>
  <c r="M14" i="3" s="1"/>
  <c r="K14" i="3" a="1"/>
  <c r="K14" i="3" s="1"/>
  <c r="O12" i="3" a="1"/>
  <c r="O12" i="3" s="1"/>
  <c r="M12" i="3" a="1"/>
  <c r="M12" i="3" s="1"/>
  <c r="K12" i="3"/>
  <c r="O10" i="3" a="1"/>
  <c r="O10" i="3" s="1"/>
  <c r="M10" i="3" a="1"/>
  <c r="M10" i="3" s="1"/>
  <c r="K10" i="3"/>
  <c r="O5" i="3"/>
  <c r="M5" i="3"/>
  <c r="K5" i="3"/>
  <c r="Q3" i="3" a="1"/>
  <c r="Q3" i="3" s="1"/>
  <c r="O3" i="3"/>
  <c r="M3" i="3"/>
  <c r="K3" i="3"/>
  <c r="O14" i="2"/>
  <c r="O14" i="2" a="1"/>
  <c r="M14" i="2"/>
  <c r="M14" i="2" a="1"/>
  <c r="K14" i="2" a="1"/>
  <c r="K14" i="2" s="1"/>
  <c r="O12" i="2" a="1"/>
  <c r="O12" i="2" s="1"/>
  <c r="M12" i="2" a="1"/>
  <c r="M12" i="2" s="1"/>
  <c r="K12" i="2"/>
  <c r="O10" i="2" a="1"/>
  <c r="O10" i="2" s="1"/>
  <c r="M10" i="2"/>
  <c r="M10" i="2" a="1"/>
  <c r="K10" i="2"/>
  <c r="O5" i="2"/>
  <c r="M5" i="2"/>
  <c r="K5" i="2"/>
  <c r="Q3" i="2"/>
  <c r="Q3" i="2" a="1"/>
  <c r="O3" i="2"/>
  <c r="M3" i="2"/>
  <c r="K3" i="2"/>
  <c r="C22" i="1" l="1"/>
  <c r="D21" i="1"/>
  <c r="B22" i="1"/>
  <c r="D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<sst xmlns="http://schemas.openxmlformats.org/spreadsheetml/2006/main" count="6188" uniqueCount="29">
  <si>
    <t>Bendru atveju</t>
  </si>
  <si>
    <t>Kai pradeda pirmas žaidėjas</t>
  </si>
  <si>
    <t>Kai pradeda antras žaidėjas</t>
  </si>
  <si>
    <t>Lygu</t>
  </si>
  <si>
    <t>Pirmo žaidėjo pergalių skaičius</t>
  </si>
  <si>
    <t>Antro žaidėjo pergalių skaičius</t>
  </si>
  <si>
    <t>Pirmo žaidėjo pergalės atveju</t>
  </si>
  <si>
    <t>Antro žaidėjo pergalės atveju</t>
  </si>
  <si>
    <t>Pirmo žaidėjo taškų vidurkis</t>
  </si>
  <si>
    <t>Antro žaidėjo taškų vidurkis</t>
  </si>
  <si>
    <t>Vidutinė pirmo žaidėjo taškų persvara</t>
  </si>
  <si>
    <t xml:space="preserve"> AzulAIAndGameState.Players.MCTS_CNN.PolicyNetworkAI</t>
  </si>
  <si>
    <t xml:space="preserve"> AzulAIAndGameState.Players.MCTS_NN.MCTSnPolicy</t>
  </si>
  <si>
    <t xml:space="preserve"> AzulAIAndGameState.Players.MCTS_NN.MCTSnCustomEval</t>
  </si>
  <si>
    <t xml:space="preserve"> AzulAIAndGameState.Players.MiniMax.MinimaxAI</t>
  </si>
  <si>
    <t xml:space="preserve"> AzulAIAndGameState.Players.MCTS_NN.MCTSnNNAI</t>
  </si>
  <si>
    <t xml:space="preserve"> AzulBoardGame.Players.MCTS.MCTSVariants.MCTSAIScoreDiffAvg</t>
  </si>
  <si>
    <t xml:space="preserve"> AzulBoardGame.Players.HeuristicAI</t>
  </si>
  <si>
    <t>Networks</t>
  </si>
  <si>
    <t>Linear</t>
  </si>
  <si>
    <t>Small</t>
  </si>
  <si>
    <t>Big</t>
  </si>
  <si>
    <t>Conv</t>
  </si>
  <si>
    <t>Small conv</t>
  </si>
  <si>
    <t>Big Conv</t>
  </si>
  <si>
    <t>Small linear</t>
  </si>
  <si>
    <t>Big linear</t>
  </si>
  <si>
    <t>With MCTS</t>
  </si>
  <si>
    <t>Taškų skirtumas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</si>
</sst>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1"/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5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8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3" xfId="1" applyBorder="1" applyAlignment="1">
      <alignment horizontal="center" wrapText="1"/>
    </xf>
    <xf numFmtId="0" fontId="1" fillId="0" borderId="7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5" xfId="1" applyBorder="1" applyAlignment="1">
      <alignment wrapText="1"/>
    </xf>
    <xf numFmtId="0" fontId="1" fillId="0" borderId="4" xfId="1" applyBorder="1" applyAlignment="1">
      <alignment wrapText="1"/>
    </xf>
    <xf numFmtId="0" fontId="1" fillId="0" borderId="2" xfId="1" applyBorder="1" applyAlignment="1">
      <alignment wrapText="1"/>
    </xf>
    <xf numFmtId="0" fontId="1" fillId="0" borderId="1" xfId="1" applyBorder="1" applyAlignment="1">
      <alignment wrapText="1"/>
    </xf>
    <xf numFmtId="0" fontId="1" fillId="0" borderId="0" xfId="1" applyAlignment="1">
      <alignment wrapText="1"/>
    </xf>
    <xf numFmtId="0" fontId="1" fillId="0" borderId="10" xfId="1" applyBorder="1" applyAlignment="1">
      <alignment horizontal="center" vertical="center" wrapText="1"/>
    </xf>
    <xf numFmtId="0" fontId="1" fillId="0" borderId="3" xfId="1" applyBorder="1"/>
    <xf numFmtId="0" fontId="1" fillId="0" borderId="6" xfId="1" applyBorder="1"/>
    <xf numFmtId="0" fontId="1" fillId="0" borderId="3" xfId="1" applyBorder="1" applyAlignment="1">
      <alignment horizontal="center" vertical="center"/>
    </xf>
    <xf numFmtId="0" fontId="1" fillId="0" borderId="2" xfId="1" applyBorder="1"/>
    <xf numFmtId="0" fontId="1" fillId="0" borderId="1" xfId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2" borderId="3" xfId="0" applyFill="1" applyBorder="1"/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</cellXfs>
  <cellStyles count="2">
    <cellStyle name="Normal" xfId="0" builtinId="0"/>
    <cellStyle name="Normal 2" xfId="1" xr:uid="{9EBAE647-994E-4D52-A793-4C7890A1A3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="85" zoomScaleNormal="85" workbookViewId="0">
      <selection sqref="A1:I23"/>
    </sheetView>
  </sheetViews>
  <sheetFormatPr defaultRowHeight="14.4" x14ac:dyDescent="0.3"/>
  <cols>
    <col min="1" max="1" width="16.109375" customWidth="1"/>
    <col min="2" max="2" width="10.44140625" customWidth="1"/>
    <col min="5" max="5" width="11.88671875" customWidth="1"/>
    <col min="6" max="6" width="10.77734375" customWidth="1"/>
    <col min="7" max="7" width="12.5546875" customWidth="1"/>
    <col min="8" max="8" width="11.109375" customWidth="1"/>
    <col min="9" max="9" width="10.44140625" customWidth="1"/>
  </cols>
  <sheetData>
    <row r="1" spans="1:18" x14ac:dyDescent="0.3">
      <c r="B1" t="s">
        <v>18</v>
      </c>
      <c r="I1" s="52"/>
      <c r="J1" s="52"/>
      <c r="K1" s="55"/>
      <c r="L1" s="55"/>
      <c r="M1" s="53"/>
      <c r="N1" s="53"/>
      <c r="O1" s="53"/>
      <c r="P1" s="53"/>
      <c r="Q1" s="52"/>
      <c r="R1" s="52"/>
    </row>
    <row r="2" spans="1:18" x14ac:dyDescent="0.3">
      <c r="I2" s="53"/>
      <c r="J2" s="53"/>
      <c r="K2" s="55"/>
      <c r="L2" s="55"/>
      <c r="M2" s="53"/>
      <c r="N2" s="53"/>
      <c r="O2" s="53"/>
      <c r="P2" s="53"/>
      <c r="Q2" s="52"/>
      <c r="R2" s="52"/>
    </row>
    <row r="3" spans="1:18" x14ac:dyDescent="0.3">
      <c r="A3" s="11"/>
      <c r="B3" s="11" t="s">
        <v>19</v>
      </c>
      <c r="C3" s="11" t="s">
        <v>22</v>
      </c>
      <c r="D3" s="11"/>
      <c r="E3" s="11"/>
      <c r="F3" s="11" t="s">
        <v>23</v>
      </c>
      <c r="G3" s="11" t="s">
        <v>24</v>
      </c>
      <c r="H3" s="11" t="s">
        <v>25</v>
      </c>
      <c r="I3" s="11" t="s">
        <v>26</v>
      </c>
      <c r="J3" s="53"/>
      <c r="K3" s="54"/>
      <c r="L3" s="54"/>
      <c r="M3" s="54"/>
      <c r="N3" s="54"/>
      <c r="O3" s="54"/>
      <c r="P3" s="54"/>
      <c r="Q3" s="52"/>
      <c r="R3" s="52"/>
    </row>
    <row r="4" spans="1:18" x14ac:dyDescent="0.3">
      <c r="A4" s="11" t="s">
        <v>20</v>
      </c>
      <c r="B4" s="11">
        <f>F6+G6+I6</f>
        <v>138</v>
      </c>
      <c r="C4" s="11">
        <f>G4+H4+I4</f>
        <v>126</v>
      </c>
      <c r="D4" s="11">
        <f>B4+C4</f>
        <v>264</v>
      </c>
      <c r="E4" s="11" t="s">
        <v>23</v>
      </c>
      <c r="F4" s="56"/>
      <c r="G4" s="11">
        <v>41</v>
      </c>
      <c r="H4" s="11">
        <v>47</v>
      </c>
      <c r="I4" s="57">
        <v>38</v>
      </c>
      <c r="J4" s="53"/>
      <c r="K4" s="54"/>
      <c r="L4" s="54"/>
      <c r="M4" s="54"/>
      <c r="N4" s="54"/>
      <c r="O4" s="54"/>
      <c r="P4" s="54"/>
      <c r="Q4" s="52"/>
      <c r="R4" s="52"/>
    </row>
    <row r="5" spans="1:18" x14ac:dyDescent="0.3">
      <c r="A5" s="11" t="s">
        <v>21</v>
      </c>
      <c r="B5" s="11">
        <f>F7+G7+H7</f>
        <v>161</v>
      </c>
      <c r="C5" s="11">
        <f>F5+H5+I5</f>
        <v>175</v>
      </c>
      <c r="D5" s="11">
        <f>B5+C5</f>
        <v>336</v>
      </c>
      <c r="E5" s="11" t="s">
        <v>24</v>
      </c>
      <c r="F5" s="11">
        <v>59</v>
      </c>
      <c r="G5" s="56"/>
      <c r="H5" s="11">
        <v>59</v>
      </c>
      <c r="I5" s="57">
        <v>57</v>
      </c>
      <c r="J5" s="53"/>
      <c r="K5" s="54"/>
      <c r="L5" s="54"/>
      <c r="M5" s="54"/>
      <c r="N5" s="54"/>
      <c r="O5" s="54"/>
      <c r="P5" s="54"/>
      <c r="Q5" s="52"/>
      <c r="R5" s="52"/>
    </row>
    <row r="6" spans="1:18" x14ac:dyDescent="0.3">
      <c r="A6" s="11"/>
      <c r="B6" s="11">
        <f>B4 + B5</f>
        <v>299</v>
      </c>
      <c r="C6" s="11">
        <f>C4 + C5</f>
        <v>301</v>
      </c>
      <c r="D6" s="11"/>
      <c r="E6" s="11" t="s">
        <v>25</v>
      </c>
      <c r="F6" s="11">
        <v>53</v>
      </c>
      <c r="G6" s="11">
        <v>41</v>
      </c>
      <c r="H6" s="56"/>
      <c r="I6" s="57">
        <v>44</v>
      </c>
      <c r="J6" s="53"/>
      <c r="K6" s="54"/>
      <c r="L6" s="54"/>
      <c r="M6" s="54"/>
      <c r="N6" s="54"/>
      <c r="O6" s="54"/>
      <c r="P6" s="54"/>
      <c r="Q6" s="52"/>
      <c r="R6" s="52"/>
    </row>
    <row r="7" spans="1:18" x14ac:dyDescent="0.3">
      <c r="E7" s="11" t="s">
        <v>26</v>
      </c>
      <c r="F7" s="11">
        <v>62</v>
      </c>
      <c r="G7" s="11">
        <v>43</v>
      </c>
      <c r="H7" s="11">
        <v>56</v>
      </c>
      <c r="I7" s="58"/>
      <c r="J7" s="53"/>
      <c r="K7" s="53"/>
      <c r="L7" s="53"/>
      <c r="M7" s="53"/>
      <c r="N7" s="53"/>
      <c r="O7" s="53"/>
      <c r="P7" s="53"/>
      <c r="Q7" s="52"/>
      <c r="R7" s="52"/>
    </row>
    <row r="8" spans="1:18" x14ac:dyDescent="0.3">
      <c r="I8" s="53"/>
      <c r="J8" s="53"/>
      <c r="K8" s="54"/>
      <c r="L8" s="54"/>
      <c r="M8" s="54"/>
      <c r="N8" s="54"/>
      <c r="O8" s="54"/>
      <c r="P8" s="54"/>
      <c r="Q8" s="52"/>
      <c r="R8" s="52"/>
    </row>
    <row r="9" spans="1:18" x14ac:dyDescent="0.3">
      <c r="B9" t="s">
        <v>27</v>
      </c>
      <c r="I9" s="53"/>
      <c r="J9" s="53"/>
      <c r="K9" s="54"/>
      <c r="L9" s="54"/>
      <c r="M9" s="54"/>
      <c r="N9" s="54"/>
      <c r="O9" s="54"/>
      <c r="P9" s="54"/>
      <c r="Q9" s="52"/>
      <c r="R9" s="52"/>
    </row>
    <row r="10" spans="1:18" x14ac:dyDescent="0.3">
      <c r="I10" s="53"/>
      <c r="J10" s="53"/>
      <c r="K10" s="54"/>
      <c r="L10" s="54"/>
      <c r="M10" s="54"/>
      <c r="N10" s="54"/>
      <c r="O10" s="54"/>
      <c r="P10" s="54"/>
      <c r="Q10" s="52"/>
      <c r="R10" s="52"/>
    </row>
    <row r="11" spans="1:18" x14ac:dyDescent="0.3">
      <c r="A11" s="11"/>
      <c r="B11" s="11" t="s">
        <v>19</v>
      </c>
      <c r="C11" s="11" t="s">
        <v>22</v>
      </c>
      <c r="D11" s="11"/>
      <c r="E11" s="11"/>
      <c r="F11" s="11" t="s">
        <v>23</v>
      </c>
      <c r="G11" s="11" t="s">
        <v>24</v>
      </c>
      <c r="H11" s="11" t="s">
        <v>25</v>
      </c>
      <c r="I11" s="11" t="s">
        <v>26</v>
      </c>
      <c r="J11" s="53"/>
      <c r="K11" s="54"/>
      <c r="L11" s="54"/>
      <c r="M11" s="54"/>
      <c r="N11" s="54"/>
      <c r="O11" s="54"/>
      <c r="P11" s="54"/>
      <c r="Q11" s="52"/>
      <c r="R11" s="52"/>
    </row>
    <row r="12" spans="1:18" x14ac:dyDescent="0.3">
      <c r="A12" s="11" t="s">
        <v>20</v>
      </c>
      <c r="B12" s="11">
        <f>F14+G14+I14</f>
        <v>156</v>
      </c>
      <c r="C12" s="11">
        <f>G12+H12+I12</f>
        <v>160</v>
      </c>
      <c r="D12" s="11">
        <f>B12+C12</f>
        <v>316</v>
      </c>
      <c r="E12" s="11" t="s">
        <v>23</v>
      </c>
      <c r="F12" s="56"/>
      <c r="G12" s="11">
        <v>57</v>
      </c>
      <c r="H12" s="11">
        <v>55</v>
      </c>
      <c r="I12" s="57">
        <v>48</v>
      </c>
      <c r="J12" s="53"/>
      <c r="K12" s="54"/>
      <c r="L12" s="54"/>
      <c r="M12" s="54"/>
      <c r="N12" s="54"/>
      <c r="O12" s="54"/>
      <c r="P12" s="54"/>
      <c r="Q12" s="52"/>
      <c r="R12" s="52"/>
    </row>
    <row r="13" spans="1:18" x14ac:dyDescent="0.3">
      <c r="A13" s="11" t="s">
        <v>21</v>
      </c>
      <c r="B13" s="11">
        <f>F15+G15+H15</f>
        <v>164</v>
      </c>
      <c r="C13" s="11">
        <f>F13+H13+I13</f>
        <v>120</v>
      </c>
      <c r="D13" s="11">
        <f>B13+C13</f>
        <v>284</v>
      </c>
      <c r="E13" s="11" t="s">
        <v>24</v>
      </c>
      <c r="F13" s="11">
        <v>43</v>
      </c>
      <c r="G13" s="56"/>
      <c r="H13" s="11">
        <v>36</v>
      </c>
      <c r="I13" s="57">
        <v>41</v>
      </c>
      <c r="J13" s="53"/>
      <c r="K13" s="54"/>
      <c r="L13" s="54"/>
      <c r="M13" s="54"/>
      <c r="N13" s="54"/>
      <c r="O13" s="54"/>
      <c r="P13" s="54"/>
      <c r="Q13" s="52"/>
      <c r="R13" s="52"/>
    </row>
    <row r="14" spans="1:18" x14ac:dyDescent="0.3">
      <c r="A14" s="11"/>
      <c r="B14" s="11">
        <f>B12 + B13</f>
        <v>320</v>
      </c>
      <c r="C14" s="11">
        <f>C12 + C13</f>
        <v>280</v>
      </c>
      <c r="D14" s="11"/>
      <c r="E14" s="11" t="s">
        <v>25</v>
      </c>
      <c r="F14" s="11">
        <v>45</v>
      </c>
      <c r="G14" s="11">
        <v>64</v>
      </c>
      <c r="H14" s="56"/>
      <c r="I14" s="57">
        <v>47</v>
      </c>
      <c r="J14" s="54"/>
      <c r="K14" s="55"/>
      <c r="L14" s="55"/>
      <c r="M14" s="55"/>
      <c r="N14" s="55"/>
      <c r="O14" s="55"/>
      <c r="P14" s="55"/>
      <c r="Q14" s="52"/>
      <c r="R14" s="52"/>
    </row>
    <row r="15" spans="1:18" x14ac:dyDescent="0.3">
      <c r="E15" s="11" t="s">
        <v>26</v>
      </c>
      <c r="F15" s="11">
        <v>52</v>
      </c>
      <c r="G15" s="11">
        <v>59</v>
      </c>
      <c r="H15" s="11">
        <v>53</v>
      </c>
      <c r="I15" s="58"/>
      <c r="J15" s="54"/>
      <c r="K15" s="55"/>
      <c r="L15" s="55"/>
      <c r="M15" s="55"/>
      <c r="N15" s="55"/>
      <c r="O15" s="55"/>
      <c r="P15" s="55"/>
      <c r="Q15" s="52"/>
      <c r="R15" s="52"/>
    </row>
    <row r="16" spans="1:18" x14ac:dyDescent="0.3">
      <c r="I16" s="54"/>
      <c r="J16" s="54"/>
      <c r="K16" s="55"/>
      <c r="L16" s="55"/>
      <c r="M16" s="55"/>
      <c r="N16" s="55"/>
      <c r="O16" s="55"/>
      <c r="P16" s="55"/>
      <c r="Q16" s="52"/>
      <c r="R16" s="52"/>
    </row>
    <row r="17" spans="1:18" x14ac:dyDescent="0.3">
      <c r="A17" t="s">
        <v>28</v>
      </c>
      <c r="B17" t="s">
        <v>27</v>
      </c>
      <c r="I17" s="53"/>
      <c r="J17" s="52"/>
      <c r="K17" s="52"/>
      <c r="L17" s="52"/>
      <c r="M17" s="52"/>
      <c r="N17" s="52"/>
      <c r="O17" s="52"/>
      <c r="P17" s="52"/>
      <c r="Q17" s="52"/>
      <c r="R17" s="52"/>
    </row>
    <row r="18" spans="1:18" x14ac:dyDescent="0.3">
      <c r="I18" s="53"/>
      <c r="J18" s="52"/>
      <c r="K18" s="52"/>
      <c r="L18" s="52"/>
      <c r="M18" s="52"/>
      <c r="N18" s="52"/>
      <c r="O18" s="52"/>
      <c r="P18" s="52"/>
      <c r="Q18" s="52"/>
      <c r="R18" s="52"/>
    </row>
    <row r="19" spans="1:18" x14ac:dyDescent="0.3">
      <c r="A19" s="11"/>
      <c r="B19" s="11" t="s">
        <v>19</v>
      </c>
      <c r="C19" s="11" t="s">
        <v>22</v>
      </c>
      <c r="D19" s="11"/>
      <c r="E19" s="11"/>
      <c r="F19" s="11" t="s">
        <v>23</v>
      </c>
      <c r="G19" s="11" t="s">
        <v>24</v>
      </c>
      <c r="H19" s="11" t="s">
        <v>25</v>
      </c>
      <c r="I19" s="11" t="s">
        <v>26</v>
      </c>
      <c r="J19" s="52"/>
      <c r="K19" s="52"/>
      <c r="L19" s="52"/>
      <c r="M19" s="52"/>
      <c r="N19" s="52"/>
      <c r="O19" s="52"/>
      <c r="P19" s="52"/>
      <c r="Q19" s="52"/>
      <c r="R19" s="52"/>
    </row>
    <row r="20" spans="1:18" x14ac:dyDescent="0.3">
      <c r="A20" s="11" t="s">
        <v>20</v>
      </c>
      <c r="B20" s="11">
        <f>F22+G22+I22</f>
        <v>2.8900000000000006</v>
      </c>
      <c r="C20" s="11">
        <f>G20+H20+I20</f>
        <v>5.21</v>
      </c>
      <c r="D20" s="11">
        <f>B20+C20</f>
        <v>8.1000000000000014</v>
      </c>
      <c r="E20" s="11" t="s">
        <v>23</v>
      </c>
      <c r="F20" s="56"/>
      <c r="G20" s="11">
        <v>1.3</v>
      </c>
      <c r="H20" s="11">
        <v>3.88</v>
      </c>
      <c r="I20" s="57">
        <v>0.03</v>
      </c>
    </row>
    <row r="21" spans="1:18" x14ac:dyDescent="0.3">
      <c r="A21" s="11" t="s">
        <v>21</v>
      </c>
      <c r="B21" s="11">
        <f>F23+G23+H23</f>
        <v>1.78</v>
      </c>
      <c r="C21" s="11">
        <f>F21+H21+I21</f>
        <v>-9.879999999999999</v>
      </c>
      <c r="D21" s="11">
        <f>B21+C21</f>
        <v>-8.1</v>
      </c>
      <c r="E21" s="11" t="s">
        <v>24</v>
      </c>
      <c r="F21" s="11">
        <v>-1.3</v>
      </c>
      <c r="G21" s="56"/>
      <c r="H21" s="11">
        <v>-6.53</v>
      </c>
      <c r="I21" s="57">
        <v>-2.0499999999999998</v>
      </c>
    </row>
    <row r="22" spans="1:18" x14ac:dyDescent="0.3">
      <c r="A22" s="11"/>
      <c r="B22" s="11">
        <f>B20 + B21</f>
        <v>4.6700000000000008</v>
      </c>
      <c r="C22" s="11">
        <f>C20 + C21</f>
        <v>-4.669999999999999</v>
      </c>
      <c r="D22" s="11"/>
      <c r="E22" s="11" t="s">
        <v>25</v>
      </c>
      <c r="F22" s="11">
        <v>-3.88</v>
      </c>
      <c r="G22" s="11">
        <v>6.53</v>
      </c>
      <c r="H22" s="56"/>
      <c r="I22" s="57">
        <v>0.24</v>
      </c>
    </row>
    <row r="23" spans="1:18" x14ac:dyDescent="0.3">
      <c r="E23" s="11" t="s">
        <v>26</v>
      </c>
      <c r="F23" s="11">
        <v>-0.03</v>
      </c>
      <c r="G23" s="11">
        <v>2.0499999999999998</v>
      </c>
      <c r="H23" s="11">
        <v>-0.24</v>
      </c>
      <c r="I23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D7ED-EDBB-45D2-8FEA-77AC189669E0}">
  <dimension ref="A1:Q100"/>
  <sheetViews>
    <sheetView topLeftCell="G1" workbookViewId="0">
      <selection activeCell="I1" sqref="I1:Q16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12</v>
      </c>
      <c r="E1" s="26" t="s">
        <v>11</v>
      </c>
      <c r="F1" s="26">
        <v>9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11</v>
      </c>
      <c r="D2" s="26">
        <v>19</v>
      </c>
      <c r="E2" s="26" t="s">
        <v>11</v>
      </c>
      <c r="F2" s="26">
        <v>0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23</v>
      </c>
      <c r="E3" s="26" t="s">
        <v>11</v>
      </c>
      <c r="F3" s="26">
        <v>15</v>
      </c>
      <c r="G3" s="26">
        <v>0</v>
      </c>
      <c r="I3" s="4" t="s">
        <v>4</v>
      </c>
      <c r="J3" s="4"/>
      <c r="K3" s="8">
        <f>COUNTIF($G$1:$G$100, 0)</f>
        <v>58</v>
      </c>
      <c r="L3" s="8"/>
      <c r="M3" s="8">
        <f>COUNTIFS($G$1:$G$100, 0, $B$1:$B$100, 0)</f>
        <v>29</v>
      </c>
      <c r="N3" s="8"/>
      <c r="O3" s="9">
        <f>COUNTIFS($G$1:$G$100, 0, $B$1:$B$100, 1)</f>
        <v>29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11</v>
      </c>
      <c r="D4" s="26">
        <v>5</v>
      </c>
      <c r="E4" s="26" t="s">
        <v>11</v>
      </c>
      <c r="F4" s="26">
        <v>24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11</v>
      </c>
      <c r="D5" s="26">
        <v>2</v>
      </c>
      <c r="E5" s="26" t="s">
        <v>11</v>
      </c>
      <c r="F5" s="26">
        <v>27</v>
      </c>
      <c r="G5" s="26">
        <v>1</v>
      </c>
      <c r="I5" s="4" t="s">
        <v>5</v>
      </c>
      <c r="J5" s="4"/>
      <c r="K5" s="13">
        <f>COUNTIF($G$1:$G$100, 1)</f>
        <v>42</v>
      </c>
      <c r="L5" s="8"/>
      <c r="M5" s="8">
        <f>COUNTIFS($G$1:$G$100, 1, $B$1:$B$100, 0)</f>
        <v>21</v>
      </c>
      <c r="N5" s="8"/>
      <c r="O5" s="8">
        <f>COUNTIFS($G$1:$G$100, 1, $B$1:$B$100, 1)</f>
        <v>21</v>
      </c>
      <c r="P5" s="12"/>
      <c r="Q5"/>
    </row>
    <row r="6" spans="1:17" x14ac:dyDescent="0.3">
      <c r="A6" s="26">
        <v>2</v>
      </c>
      <c r="B6" s="26">
        <v>0</v>
      </c>
      <c r="C6" s="26" t="s">
        <v>11</v>
      </c>
      <c r="D6" s="26">
        <v>44</v>
      </c>
      <c r="E6" s="26" t="s">
        <v>11</v>
      </c>
      <c r="F6" s="26">
        <v>30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11</v>
      </c>
      <c r="D7" s="26">
        <v>29</v>
      </c>
      <c r="E7" s="26" t="s">
        <v>11</v>
      </c>
      <c r="F7" s="26">
        <v>52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11</v>
      </c>
      <c r="D8" s="26">
        <v>15</v>
      </c>
      <c r="E8" s="26" t="s">
        <v>11</v>
      </c>
      <c r="F8" s="26">
        <v>27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11</v>
      </c>
      <c r="D9" s="26">
        <v>10</v>
      </c>
      <c r="E9" s="26" t="s">
        <v>11</v>
      </c>
      <c r="F9" s="26">
        <v>16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11</v>
      </c>
      <c r="D10" s="26">
        <v>0</v>
      </c>
      <c r="E10" s="26" t="s">
        <v>11</v>
      </c>
      <c r="F10" s="26">
        <v>43</v>
      </c>
      <c r="G10" s="26">
        <v>1</v>
      </c>
      <c r="I10" s="4" t="s">
        <v>8</v>
      </c>
      <c r="J10" s="4"/>
      <c r="K10" s="8">
        <f>AVERAGE($D$1:$D$100,)</f>
        <v>24.85148514851485</v>
      </c>
      <c r="L10" s="8"/>
      <c r="M10" s="8" cm="1">
        <f t="array" ref="M10">AVERAGE(_xlfn._xlws.FILTER($D$1:$D$100,$G$1:$G$100 = 0))</f>
        <v>32.637931034482762</v>
      </c>
      <c r="N10" s="8"/>
      <c r="O10" s="9" cm="1">
        <f t="array" ref="O10">AVERAGE(_xlfn._xlws.FILTER($D$1:$D$100,$G$1:$G$100 = 1))</f>
        <v>14.69047619047619</v>
      </c>
      <c r="P10" s="10"/>
      <c r="Q10"/>
    </row>
    <row r="11" spans="1:17" x14ac:dyDescent="0.3">
      <c r="A11" s="26">
        <v>2</v>
      </c>
      <c r="B11" s="26">
        <v>0</v>
      </c>
      <c r="C11" s="26" t="s">
        <v>11</v>
      </c>
      <c r="D11" s="26">
        <v>36</v>
      </c>
      <c r="E11" s="26" t="s">
        <v>11</v>
      </c>
      <c r="F11" s="26">
        <v>36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11</v>
      </c>
      <c r="D12" s="26">
        <v>25</v>
      </c>
      <c r="E12" s="26" t="s">
        <v>11</v>
      </c>
      <c r="F12" s="26">
        <v>30</v>
      </c>
      <c r="G12" s="26">
        <v>1</v>
      </c>
      <c r="I12" s="4" t="s">
        <v>9</v>
      </c>
      <c r="J12" s="4"/>
      <c r="K12" s="8">
        <f>AVERAGE($F$1:$F$100,)</f>
        <v>20.93069306930693</v>
      </c>
      <c r="L12" s="8"/>
      <c r="M12" s="8" cm="1">
        <f t="array" ref="M12">AVERAGE(_xlfn._xlws.FILTER($F$1:$F$100,$G$1:$G$100 = 0))</f>
        <v>12.413793103448276</v>
      </c>
      <c r="N12" s="8"/>
      <c r="O12" s="8" cm="1">
        <f t="array" ref="O12">AVERAGE(_xlfn._xlws.FILTER($F$1:$F$100,$G$1:$G$100 = 1))</f>
        <v>33.19047619047619</v>
      </c>
      <c r="P12" s="12"/>
      <c r="Q12"/>
    </row>
    <row r="13" spans="1:17" x14ac:dyDescent="0.3">
      <c r="A13" s="26">
        <v>2</v>
      </c>
      <c r="B13" s="26">
        <v>0</v>
      </c>
      <c r="C13" s="26" t="s">
        <v>11</v>
      </c>
      <c r="D13" s="26">
        <v>41</v>
      </c>
      <c r="E13" s="26" t="s">
        <v>11</v>
      </c>
      <c r="F13" s="26">
        <v>63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11</v>
      </c>
      <c r="D14" s="26">
        <v>46</v>
      </c>
      <c r="E14" s="26" t="s">
        <v>11</v>
      </c>
      <c r="F14" s="26">
        <v>9</v>
      </c>
      <c r="G14" s="26">
        <v>0</v>
      </c>
      <c r="I14" s="21" t="s">
        <v>10</v>
      </c>
      <c r="J14" s="10"/>
      <c r="K14" s="22" cm="1">
        <f t="array" ref="K14">AVERAGE($D$1:$D$100 - $F$1:$F$100)</f>
        <v>3.96</v>
      </c>
      <c r="L14" s="22"/>
      <c r="M14" s="22" cm="1">
        <f t="array" ref="M14">AVERAGE(_xlfn._xlws.FILTER($D$1:$D$100 - $F$1:$F$100, G$1:G$100 = 0))</f>
        <v>20.224137931034484</v>
      </c>
      <c r="N14" s="22"/>
      <c r="O14" s="22" cm="1">
        <f t="array" ref="O14">AVERAGE(_xlfn._xlws.FILTER($D$1:$D$100 - $F$1:$F$100, G$1:G$100 = 1))</f>
        <v>-18.5</v>
      </c>
      <c r="P14" s="23"/>
      <c r="Q14"/>
    </row>
    <row r="15" spans="1:17" x14ac:dyDescent="0.3">
      <c r="A15" s="26">
        <v>2</v>
      </c>
      <c r="B15" s="26">
        <v>0</v>
      </c>
      <c r="C15" s="26" t="s">
        <v>11</v>
      </c>
      <c r="D15" s="26">
        <v>25</v>
      </c>
      <c r="E15" s="26" t="s">
        <v>11</v>
      </c>
      <c r="F15" s="26">
        <v>0</v>
      </c>
      <c r="G15" s="26">
        <v>0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11</v>
      </c>
      <c r="D16" s="26">
        <v>25</v>
      </c>
      <c r="E16" s="26" t="s">
        <v>11</v>
      </c>
      <c r="F16" s="26">
        <v>15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11</v>
      </c>
      <c r="D17" s="26">
        <v>31</v>
      </c>
      <c r="E17" s="26" t="s">
        <v>11</v>
      </c>
      <c r="F17" s="26">
        <v>17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2</v>
      </c>
      <c r="E18" s="26" t="s">
        <v>11</v>
      </c>
      <c r="F18" s="26">
        <v>36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20</v>
      </c>
      <c r="E19" s="26" t="s">
        <v>11</v>
      </c>
      <c r="F19" s="26">
        <v>25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3</v>
      </c>
      <c r="E20" s="26" t="s">
        <v>11</v>
      </c>
      <c r="F20" s="26">
        <v>25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18</v>
      </c>
      <c r="E21" s="26" t="s">
        <v>11</v>
      </c>
      <c r="F21" s="26">
        <v>39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26</v>
      </c>
      <c r="E22" s="26" t="s">
        <v>11</v>
      </c>
      <c r="F22" s="26">
        <v>20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21</v>
      </c>
      <c r="E23" s="26" t="s">
        <v>11</v>
      </c>
      <c r="F23" s="26">
        <v>38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42</v>
      </c>
      <c r="E24" s="26" t="s">
        <v>11</v>
      </c>
      <c r="F24" s="26">
        <v>23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50</v>
      </c>
      <c r="E25" s="26" t="s">
        <v>11</v>
      </c>
      <c r="F25" s="26">
        <v>0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39</v>
      </c>
      <c r="E26" s="26" t="s">
        <v>11</v>
      </c>
      <c r="F26" s="26">
        <v>28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0</v>
      </c>
      <c r="E27" s="26" t="s">
        <v>11</v>
      </c>
      <c r="F27" s="26">
        <v>38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21</v>
      </c>
      <c r="E28" s="26" t="s">
        <v>11</v>
      </c>
      <c r="F28" s="26">
        <v>35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32</v>
      </c>
      <c r="E29" s="26" t="s">
        <v>11</v>
      </c>
      <c r="F29" s="26">
        <v>16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23</v>
      </c>
      <c r="E30" s="26" t="s">
        <v>11</v>
      </c>
      <c r="F30" s="26">
        <v>22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37</v>
      </c>
      <c r="E31" s="26" t="s">
        <v>11</v>
      </c>
      <c r="F31" s="26">
        <v>12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49</v>
      </c>
      <c r="E32" s="26" t="s">
        <v>11</v>
      </c>
      <c r="F32" s="26">
        <v>0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20</v>
      </c>
      <c r="E33" s="26" t="s">
        <v>11</v>
      </c>
      <c r="F33" s="26">
        <v>8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13</v>
      </c>
      <c r="E34" s="26" t="s">
        <v>11</v>
      </c>
      <c r="F34" s="26">
        <v>18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37</v>
      </c>
      <c r="E35" s="26" t="s">
        <v>11</v>
      </c>
      <c r="F35" s="26">
        <v>5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11</v>
      </c>
      <c r="E36" s="26" t="s">
        <v>11</v>
      </c>
      <c r="F36" s="26">
        <v>18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16</v>
      </c>
      <c r="E37" s="26" t="s">
        <v>11</v>
      </c>
      <c r="F37" s="26">
        <v>32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41</v>
      </c>
      <c r="E38" s="26" t="s">
        <v>11</v>
      </c>
      <c r="F38" s="26">
        <v>19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5</v>
      </c>
      <c r="E39" s="26" t="s">
        <v>11</v>
      </c>
      <c r="F39" s="26">
        <v>2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21</v>
      </c>
      <c r="E40" s="26" t="s">
        <v>11</v>
      </c>
      <c r="F40" s="26">
        <v>35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29</v>
      </c>
      <c r="E41" s="26" t="s">
        <v>11</v>
      </c>
      <c r="F41" s="26">
        <v>9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0</v>
      </c>
      <c r="E42" s="26" t="s">
        <v>11</v>
      </c>
      <c r="F42" s="26">
        <v>13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19</v>
      </c>
      <c r="E43" s="26" t="s">
        <v>11</v>
      </c>
      <c r="F43" s="26">
        <v>9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28</v>
      </c>
      <c r="E44" s="26" t="s">
        <v>11</v>
      </c>
      <c r="F44" s="26">
        <v>12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59</v>
      </c>
      <c r="E45" s="26" t="s">
        <v>11</v>
      </c>
      <c r="F45" s="26">
        <v>2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47</v>
      </c>
      <c r="E46" s="26" t="s">
        <v>11</v>
      </c>
      <c r="F46" s="26">
        <v>17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42</v>
      </c>
      <c r="E47" s="26" t="s">
        <v>11</v>
      </c>
      <c r="F47" s="26">
        <v>37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6</v>
      </c>
      <c r="E48" s="26" t="s">
        <v>11</v>
      </c>
      <c r="F48" s="26">
        <v>58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38</v>
      </c>
      <c r="E49" s="26" t="s">
        <v>11</v>
      </c>
      <c r="F49" s="26">
        <v>10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32</v>
      </c>
      <c r="E50" s="26" t="s">
        <v>11</v>
      </c>
      <c r="F50" s="26">
        <v>13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5</v>
      </c>
      <c r="E51" s="26" t="s">
        <v>11</v>
      </c>
      <c r="F51" s="26">
        <v>44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25</v>
      </c>
      <c r="E52" s="26" t="s">
        <v>11</v>
      </c>
      <c r="F52" s="26">
        <v>7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59</v>
      </c>
      <c r="E53" s="26" t="s">
        <v>11</v>
      </c>
      <c r="F53" s="26">
        <v>0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0</v>
      </c>
      <c r="E54" s="26" t="s">
        <v>11</v>
      </c>
      <c r="F54" s="26">
        <v>19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37</v>
      </c>
      <c r="E55" s="26" t="s">
        <v>11</v>
      </c>
      <c r="F55" s="26">
        <v>44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34</v>
      </c>
      <c r="E56" s="26" t="s">
        <v>11</v>
      </c>
      <c r="F56" s="26">
        <v>43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32</v>
      </c>
      <c r="E57" s="26" t="s">
        <v>11</v>
      </c>
      <c r="F57" s="26">
        <v>16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36</v>
      </c>
      <c r="E58" s="26" t="s">
        <v>11</v>
      </c>
      <c r="F58" s="26">
        <v>2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18</v>
      </c>
      <c r="E59" s="26" t="s">
        <v>11</v>
      </c>
      <c r="F59" s="26">
        <v>4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11</v>
      </c>
      <c r="E60" s="26" t="s">
        <v>11</v>
      </c>
      <c r="F60" s="26">
        <v>11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17</v>
      </c>
      <c r="E61" s="26" t="s">
        <v>11</v>
      </c>
      <c r="F61" s="26">
        <v>1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14</v>
      </c>
      <c r="E62" s="26" t="s">
        <v>11</v>
      </c>
      <c r="F62" s="26">
        <v>42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29</v>
      </c>
      <c r="E63" s="26" t="s">
        <v>11</v>
      </c>
      <c r="F63" s="26">
        <v>2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12</v>
      </c>
      <c r="E64" s="26" t="s">
        <v>11</v>
      </c>
      <c r="F64" s="26">
        <v>34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42</v>
      </c>
      <c r="E65" s="26" t="s">
        <v>11</v>
      </c>
      <c r="F65" s="26">
        <v>2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28</v>
      </c>
      <c r="E66" s="26" t="s">
        <v>11</v>
      </c>
      <c r="F66" s="26">
        <v>15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15</v>
      </c>
      <c r="E67" s="26" t="s">
        <v>11</v>
      </c>
      <c r="F67" s="26">
        <v>9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50</v>
      </c>
      <c r="E68" s="26" t="s">
        <v>11</v>
      </c>
      <c r="F68" s="26">
        <v>5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20</v>
      </c>
      <c r="E69" s="26" t="s">
        <v>11</v>
      </c>
      <c r="F69" s="26">
        <v>46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21</v>
      </c>
      <c r="E70" s="26" t="s">
        <v>11</v>
      </c>
      <c r="F70" s="26">
        <v>49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30</v>
      </c>
      <c r="E71" s="26" t="s">
        <v>11</v>
      </c>
      <c r="F71" s="26">
        <v>13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15</v>
      </c>
      <c r="E72" s="26" t="s">
        <v>11</v>
      </c>
      <c r="F72" s="26">
        <v>32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25</v>
      </c>
      <c r="E73" s="26" t="s">
        <v>11</v>
      </c>
      <c r="F73" s="26">
        <v>35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21</v>
      </c>
      <c r="E74" s="26" t="s">
        <v>11</v>
      </c>
      <c r="F74" s="26">
        <v>15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2</v>
      </c>
      <c r="E75" s="26" t="s">
        <v>11</v>
      </c>
      <c r="F75" s="26">
        <v>25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40</v>
      </c>
      <c r="E76" s="26" t="s">
        <v>11</v>
      </c>
      <c r="F76" s="26">
        <v>23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47</v>
      </c>
      <c r="E77" s="26" t="s">
        <v>11</v>
      </c>
      <c r="F77" s="26">
        <v>14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17</v>
      </c>
      <c r="E78" s="26" t="s">
        <v>11</v>
      </c>
      <c r="F78" s="26">
        <v>29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16</v>
      </c>
      <c r="E79" s="26" t="s">
        <v>11</v>
      </c>
      <c r="F79" s="26">
        <v>27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11</v>
      </c>
      <c r="E80" s="26" t="s">
        <v>11</v>
      </c>
      <c r="F80" s="26">
        <v>31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42</v>
      </c>
      <c r="E81" s="26" t="s">
        <v>11</v>
      </c>
      <c r="F81" s="26">
        <v>29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49</v>
      </c>
      <c r="E82" s="26" t="s">
        <v>11</v>
      </c>
      <c r="F82" s="26">
        <v>26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20</v>
      </c>
      <c r="E83" s="26" t="s">
        <v>11</v>
      </c>
      <c r="F83" s="26">
        <v>5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35</v>
      </c>
      <c r="E84" s="26" t="s">
        <v>11</v>
      </c>
      <c r="F84" s="26">
        <v>12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18</v>
      </c>
      <c r="E85" s="26" t="s">
        <v>11</v>
      </c>
      <c r="F85" s="26">
        <v>12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14</v>
      </c>
      <c r="E86" s="26" t="s">
        <v>11</v>
      </c>
      <c r="F86" s="26">
        <v>18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23</v>
      </c>
      <c r="E87" s="26" t="s">
        <v>11</v>
      </c>
      <c r="F87" s="26">
        <v>39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14</v>
      </c>
      <c r="E88" s="26" t="s">
        <v>11</v>
      </c>
      <c r="F88" s="26">
        <v>10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58</v>
      </c>
      <c r="E89" s="26" t="s">
        <v>11</v>
      </c>
      <c r="F89" s="26">
        <v>0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51</v>
      </c>
      <c r="E90" s="26" t="s">
        <v>11</v>
      </c>
      <c r="F90" s="26">
        <v>13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16</v>
      </c>
      <c r="E91" s="26" t="s">
        <v>11</v>
      </c>
      <c r="F91" s="26">
        <v>29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6</v>
      </c>
      <c r="E92" s="26" t="s">
        <v>11</v>
      </c>
      <c r="F92" s="26">
        <v>27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31</v>
      </c>
      <c r="E93" s="26" t="s">
        <v>11</v>
      </c>
      <c r="F93" s="26">
        <v>18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31</v>
      </c>
      <c r="E94" s="26" t="s">
        <v>11</v>
      </c>
      <c r="F94" s="26">
        <v>0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32</v>
      </c>
      <c r="E95" s="26" t="s">
        <v>11</v>
      </c>
      <c r="F95" s="26">
        <v>12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40</v>
      </c>
      <c r="E96" s="26" t="s">
        <v>11</v>
      </c>
      <c r="F96" s="26">
        <v>34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24</v>
      </c>
      <c r="E97" s="26" t="s">
        <v>11</v>
      </c>
      <c r="F97" s="26">
        <v>32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16</v>
      </c>
      <c r="E98" s="26" t="s">
        <v>11</v>
      </c>
      <c r="F98" s="26">
        <v>15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14</v>
      </c>
      <c r="E99" s="26" t="s">
        <v>11</v>
      </c>
      <c r="F99" s="26">
        <v>30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12</v>
      </c>
      <c r="E100" s="26" t="s">
        <v>11</v>
      </c>
      <c r="F100" s="26">
        <v>27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F5C5-E80A-4825-9EB2-2E406840B836}">
  <dimension ref="A1:Q100"/>
  <sheetViews>
    <sheetView workbookViewId="0">
      <selection activeCell="K20" sqref="K20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45</v>
      </c>
      <c r="E1" s="26" t="s">
        <v>12</v>
      </c>
      <c r="F1" s="26">
        <v>41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12</v>
      </c>
      <c r="D2" s="26">
        <v>24</v>
      </c>
      <c r="E2" s="26" t="s">
        <v>12</v>
      </c>
      <c r="F2" s="26">
        <v>12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36</v>
      </c>
      <c r="E3" s="26" t="s">
        <v>12</v>
      </c>
      <c r="F3" s="26">
        <v>16</v>
      </c>
      <c r="G3" s="26">
        <v>0</v>
      </c>
      <c r="I3" s="4" t="s">
        <v>4</v>
      </c>
      <c r="J3" s="4"/>
      <c r="K3" s="8">
        <f>COUNTIF($G$1:$G$100, 0)</f>
        <v>56</v>
      </c>
      <c r="L3" s="8"/>
      <c r="M3" s="8">
        <f>COUNTIFS($G$1:$G$100, 0, $B$1:$B$100, 0)</f>
        <v>32</v>
      </c>
      <c r="N3" s="8"/>
      <c r="O3" s="9">
        <f>COUNTIFS($G$1:$G$100, 0, $B$1:$B$100, 1)</f>
        <v>24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12</v>
      </c>
      <c r="D4" s="26">
        <v>12</v>
      </c>
      <c r="E4" s="26" t="s">
        <v>12</v>
      </c>
      <c r="F4" s="26">
        <v>3</v>
      </c>
      <c r="G4" s="26">
        <v>0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12</v>
      </c>
      <c r="D5" s="26">
        <v>33</v>
      </c>
      <c r="E5" s="26" t="s">
        <v>12</v>
      </c>
      <c r="F5" s="26">
        <v>26</v>
      </c>
      <c r="G5" s="26">
        <v>0</v>
      </c>
      <c r="I5" s="4" t="s">
        <v>5</v>
      </c>
      <c r="J5" s="4"/>
      <c r="K5" s="13">
        <f>COUNTIF($G$1:$G$100, 1)</f>
        <v>44</v>
      </c>
      <c r="L5" s="8"/>
      <c r="M5" s="8">
        <f>COUNTIFS($G$1:$G$100, 1, $B$1:$B$100, 0)</f>
        <v>18</v>
      </c>
      <c r="N5" s="8"/>
      <c r="O5" s="8">
        <f>COUNTIFS($G$1:$G$100, 1, $B$1:$B$100, 1)</f>
        <v>26</v>
      </c>
      <c r="P5" s="12"/>
      <c r="Q5"/>
    </row>
    <row r="6" spans="1:17" x14ac:dyDescent="0.3">
      <c r="A6" s="26">
        <v>2</v>
      </c>
      <c r="B6" s="26">
        <v>0</v>
      </c>
      <c r="C6" s="26" t="s">
        <v>12</v>
      </c>
      <c r="D6" s="26">
        <v>31</v>
      </c>
      <c r="E6" s="26" t="s">
        <v>12</v>
      </c>
      <c r="F6" s="26">
        <v>0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12</v>
      </c>
      <c r="D7" s="26">
        <v>43</v>
      </c>
      <c r="E7" s="26" t="s">
        <v>12</v>
      </c>
      <c r="F7" s="26">
        <v>36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12</v>
      </c>
      <c r="D8" s="26">
        <v>18</v>
      </c>
      <c r="E8" s="26" t="s">
        <v>12</v>
      </c>
      <c r="F8" s="26">
        <v>2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12</v>
      </c>
      <c r="D9" s="26">
        <v>28</v>
      </c>
      <c r="E9" s="26" t="s">
        <v>12</v>
      </c>
      <c r="F9" s="26">
        <v>6</v>
      </c>
      <c r="G9" s="26">
        <v>0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12</v>
      </c>
      <c r="D10" s="26">
        <v>35</v>
      </c>
      <c r="E10" s="26" t="s">
        <v>12</v>
      </c>
      <c r="F10" s="26">
        <v>27</v>
      </c>
      <c r="G10" s="26">
        <v>0</v>
      </c>
      <c r="I10" s="4" t="s">
        <v>8</v>
      </c>
      <c r="J10" s="4"/>
      <c r="K10" s="8">
        <f>AVERAGE($D$1:$D$100,)</f>
        <v>27.168316831683168</v>
      </c>
      <c r="L10" s="8"/>
      <c r="M10" s="8" cm="1">
        <f t="array" ref="M10">AVERAGE(_xlfn._xlws.FILTER($D$1:$D$100,$G$1:$G$100 = 0))</f>
        <v>33.553571428571431</v>
      </c>
      <c r="N10" s="8"/>
      <c r="O10" s="9" cm="1">
        <f t="array" ref="O10">AVERAGE(_xlfn._xlws.FILTER($D$1:$D$100,$G$1:$G$100 = 1))</f>
        <v>19.65909090909091</v>
      </c>
      <c r="P10" s="10"/>
      <c r="Q10"/>
    </row>
    <row r="11" spans="1:17" x14ac:dyDescent="0.3">
      <c r="A11" s="26">
        <v>2</v>
      </c>
      <c r="B11" s="26">
        <v>0</v>
      </c>
      <c r="C11" s="26" t="s">
        <v>12</v>
      </c>
      <c r="D11" s="26">
        <v>10</v>
      </c>
      <c r="E11" s="26" t="s">
        <v>12</v>
      </c>
      <c r="F11" s="26">
        <v>32</v>
      </c>
      <c r="G11" s="26">
        <v>1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12</v>
      </c>
      <c r="D12" s="26">
        <v>27</v>
      </c>
      <c r="E12" s="26" t="s">
        <v>12</v>
      </c>
      <c r="F12" s="26">
        <v>22</v>
      </c>
      <c r="G12" s="26">
        <v>0</v>
      </c>
      <c r="I12" s="4" t="s">
        <v>9</v>
      </c>
      <c r="J12" s="4"/>
      <c r="K12" s="8">
        <f>AVERAGE($F$1:$F$100,)</f>
        <v>24.237623762376238</v>
      </c>
      <c r="L12" s="8"/>
      <c r="M12" s="8" cm="1">
        <f t="array" ref="M12">AVERAGE(_xlfn._xlws.FILTER($F$1:$F$100,$G$1:$G$100 = 0))</f>
        <v>16.125</v>
      </c>
      <c r="N12" s="8"/>
      <c r="O12" s="8" cm="1">
        <f t="array" ref="O12">AVERAGE(_xlfn._xlws.FILTER($F$1:$F$100,$G$1:$G$100 = 1))</f>
        <v>35.113636363636367</v>
      </c>
      <c r="P12" s="12"/>
      <c r="Q12"/>
    </row>
    <row r="13" spans="1:17" x14ac:dyDescent="0.3">
      <c r="A13" s="26">
        <v>2</v>
      </c>
      <c r="B13" s="26">
        <v>0</v>
      </c>
      <c r="C13" s="26" t="s">
        <v>12</v>
      </c>
      <c r="D13" s="26">
        <v>39</v>
      </c>
      <c r="E13" s="26" t="s">
        <v>12</v>
      </c>
      <c r="F13" s="26">
        <v>18</v>
      </c>
      <c r="G13" s="26">
        <v>0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12</v>
      </c>
      <c r="D14" s="26">
        <v>15</v>
      </c>
      <c r="E14" s="26" t="s">
        <v>12</v>
      </c>
      <c r="F14" s="26">
        <v>14</v>
      </c>
      <c r="G14" s="26">
        <v>0</v>
      </c>
      <c r="I14" s="21" t="s">
        <v>10</v>
      </c>
      <c r="J14" s="10"/>
      <c r="K14" s="22" cm="1">
        <f t="array" ref="K14">AVERAGE($D$1:$D$100 - $F$1:$F$100)</f>
        <v>2.96</v>
      </c>
      <c r="L14" s="22"/>
      <c r="M14" s="22" cm="1">
        <f t="array" ref="M14">AVERAGE(_xlfn._xlws.FILTER($D$1:$D$100 - $F$1:$F$100, G$1:G$100 = 0))</f>
        <v>17.428571428571427</v>
      </c>
      <c r="N14" s="22"/>
      <c r="O14" s="22" cm="1">
        <f t="array" ref="O14">AVERAGE(_xlfn._xlws.FILTER($D$1:$D$100 - $F$1:$F$100, G$1:G$100 = 1))</f>
        <v>-15.454545454545455</v>
      </c>
      <c r="P14" s="23"/>
      <c r="Q14"/>
    </row>
    <row r="15" spans="1:17" x14ac:dyDescent="0.3">
      <c r="A15" s="26">
        <v>2</v>
      </c>
      <c r="B15" s="26">
        <v>0</v>
      </c>
      <c r="C15" s="26" t="s">
        <v>12</v>
      </c>
      <c r="D15" s="26">
        <v>35</v>
      </c>
      <c r="E15" s="26" t="s">
        <v>12</v>
      </c>
      <c r="F15" s="26">
        <v>41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12</v>
      </c>
      <c r="D16" s="26">
        <v>9</v>
      </c>
      <c r="E16" s="26" t="s">
        <v>12</v>
      </c>
      <c r="F16" s="26">
        <v>2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12</v>
      </c>
      <c r="D17" s="26">
        <v>27</v>
      </c>
      <c r="E17" s="26" t="s">
        <v>12</v>
      </c>
      <c r="F17" s="26">
        <v>28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37</v>
      </c>
      <c r="E18" s="26" t="s">
        <v>12</v>
      </c>
      <c r="F18" s="26">
        <v>22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25</v>
      </c>
      <c r="E19" s="26" t="s">
        <v>12</v>
      </c>
      <c r="F19" s="26">
        <v>26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45</v>
      </c>
      <c r="E20" s="26" t="s">
        <v>12</v>
      </c>
      <c r="F20" s="26">
        <v>28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37</v>
      </c>
      <c r="E21" s="26" t="s">
        <v>12</v>
      </c>
      <c r="F21" s="26">
        <v>46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28</v>
      </c>
      <c r="E22" s="26" t="s">
        <v>12</v>
      </c>
      <c r="F22" s="26">
        <v>18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45</v>
      </c>
      <c r="E23" s="26" t="s">
        <v>12</v>
      </c>
      <c r="F23" s="26">
        <v>33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40</v>
      </c>
      <c r="E24" s="26" t="s">
        <v>12</v>
      </c>
      <c r="F24" s="26">
        <v>19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34</v>
      </c>
      <c r="E25" s="26" t="s">
        <v>12</v>
      </c>
      <c r="F25" s="26">
        <v>43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16</v>
      </c>
      <c r="E26" s="26" t="s">
        <v>12</v>
      </c>
      <c r="F26" s="26">
        <v>12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47</v>
      </c>
      <c r="E27" s="26" t="s">
        <v>12</v>
      </c>
      <c r="F27" s="26">
        <v>5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14</v>
      </c>
      <c r="E28" s="26" t="s">
        <v>12</v>
      </c>
      <c r="F28" s="26">
        <v>53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22</v>
      </c>
      <c r="E29" s="26" t="s">
        <v>12</v>
      </c>
      <c r="F29" s="26">
        <v>43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31</v>
      </c>
      <c r="E30" s="26" t="s">
        <v>12</v>
      </c>
      <c r="F30" s="26">
        <v>26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2</v>
      </c>
      <c r="E31" s="26" t="s">
        <v>12</v>
      </c>
      <c r="F31" s="26">
        <v>11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33</v>
      </c>
      <c r="E32" s="26" t="s">
        <v>12</v>
      </c>
      <c r="F32" s="26">
        <v>26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20</v>
      </c>
      <c r="E33" s="26" t="s">
        <v>12</v>
      </c>
      <c r="F33" s="26">
        <v>21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33</v>
      </c>
      <c r="E34" s="26" t="s">
        <v>12</v>
      </c>
      <c r="F34" s="26">
        <v>17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34</v>
      </c>
      <c r="E35" s="26" t="s">
        <v>12</v>
      </c>
      <c r="F35" s="26">
        <v>13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8</v>
      </c>
      <c r="E36" s="26" t="s">
        <v>12</v>
      </c>
      <c r="F36" s="26">
        <v>16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2</v>
      </c>
      <c r="E37" s="26" t="s">
        <v>12</v>
      </c>
      <c r="F37" s="26">
        <v>23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2</v>
      </c>
      <c r="E38" s="26" t="s">
        <v>12</v>
      </c>
      <c r="F38" s="26">
        <v>13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23</v>
      </c>
      <c r="E39" s="26" t="s">
        <v>12</v>
      </c>
      <c r="F39" s="26">
        <v>7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6</v>
      </c>
      <c r="E40" s="26" t="s">
        <v>12</v>
      </c>
      <c r="F40" s="26">
        <v>29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56</v>
      </c>
      <c r="E41" s="26" t="s">
        <v>12</v>
      </c>
      <c r="F41" s="26">
        <v>0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42</v>
      </c>
      <c r="E42" s="26" t="s">
        <v>12</v>
      </c>
      <c r="F42" s="26">
        <v>44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34</v>
      </c>
      <c r="E43" s="26" t="s">
        <v>12</v>
      </c>
      <c r="F43" s="26">
        <v>5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50</v>
      </c>
      <c r="E44" s="26" t="s">
        <v>12</v>
      </c>
      <c r="F44" s="26">
        <v>53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46</v>
      </c>
      <c r="E45" s="26" t="s">
        <v>12</v>
      </c>
      <c r="F45" s="26">
        <v>9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21</v>
      </c>
      <c r="E46" s="26" t="s">
        <v>12</v>
      </c>
      <c r="F46" s="26">
        <v>7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36</v>
      </c>
      <c r="E47" s="26" t="s">
        <v>12</v>
      </c>
      <c r="F47" s="26">
        <v>28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29</v>
      </c>
      <c r="E48" s="26" t="s">
        <v>12</v>
      </c>
      <c r="F48" s="26">
        <v>50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6</v>
      </c>
      <c r="E49" s="26" t="s">
        <v>12</v>
      </c>
      <c r="F49" s="26">
        <v>25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53</v>
      </c>
      <c r="E50" s="26" t="s">
        <v>12</v>
      </c>
      <c r="F50" s="26">
        <v>2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4</v>
      </c>
      <c r="E51" s="26" t="s">
        <v>12</v>
      </c>
      <c r="F51" s="26">
        <v>39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32</v>
      </c>
      <c r="E52" s="26" t="s">
        <v>12</v>
      </c>
      <c r="F52" s="26">
        <v>40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11</v>
      </c>
      <c r="E53" s="26" t="s">
        <v>12</v>
      </c>
      <c r="F53" s="26">
        <v>28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19</v>
      </c>
      <c r="E54" s="26" t="s">
        <v>12</v>
      </c>
      <c r="F54" s="26">
        <v>33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34</v>
      </c>
      <c r="E55" s="26" t="s">
        <v>12</v>
      </c>
      <c r="F55" s="26">
        <v>14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27</v>
      </c>
      <c r="E56" s="26" t="s">
        <v>12</v>
      </c>
      <c r="F56" s="26">
        <v>18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7</v>
      </c>
      <c r="E57" s="26" t="s">
        <v>12</v>
      </c>
      <c r="F57" s="26">
        <v>22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21</v>
      </c>
      <c r="E58" s="26" t="s">
        <v>12</v>
      </c>
      <c r="F58" s="26">
        <v>29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21</v>
      </c>
      <c r="E59" s="26" t="s">
        <v>12</v>
      </c>
      <c r="F59" s="26">
        <v>50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32</v>
      </c>
      <c r="E60" s="26" t="s">
        <v>12</v>
      </c>
      <c r="F60" s="26">
        <v>43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20</v>
      </c>
      <c r="E61" s="26" t="s">
        <v>12</v>
      </c>
      <c r="F61" s="26">
        <v>32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7</v>
      </c>
      <c r="E62" s="26" t="s">
        <v>12</v>
      </c>
      <c r="F62" s="26">
        <v>14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43</v>
      </c>
      <c r="E63" s="26" t="s">
        <v>12</v>
      </c>
      <c r="F63" s="26">
        <v>39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38</v>
      </c>
      <c r="E64" s="26" t="s">
        <v>12</v>
      </c>
      <c r="F64" s="26">
        <v>54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31</v>
      </c>
      <c r="E65" s="26" t="s">
        <v>12</v>
      </c>
      <c r="F65" s="26">
        <v>20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45</v>
      </c>
      <c r="E66" s="26" t="s">
        <v>12</v>
      </c>
      <c r="F66" s="26">
        <v>26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22</v>
      </c>
      <c r="E67" s="26" t="s">
        <v>12</v>
      </c>
      <c r="F67" s="26">
        <v>11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12</v>
      </c>
      <c r="E68" s="26" t="s">
        <v>12</v>
      </c>
      <c r="F68" s="26">
        <v>39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19</v>
      </c>
      <c r="E69" s="26" t="s">
        <v>12</v>
      </c>
      <c r="F69" s="26">
        <v>32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27</v>
      </c>
      <c r="E70" s="26" t="s">
        <v>12</v>
      </c>
      <c r="F70" s="26">
        <v>36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20</v>
      </c>
      <c r="E71" s="26" t="s">
        <v>12</v>
      </c>
      <c r="F71" s="26">
        <v>27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22</v>
      </c>
      <c r="E72" s="26" t="s">
        <v>12</v>
      </c>
      <c r="F72" s="26">
        <v>44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17</v>
      </c>
      <c r="E73" s="26" t="s">
        <v>12</v>
      </c>
      <c r="F73" s="26">
        <v>41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35</v>
      </c>
      <c r="E74" s="26" t="s">
        <v>12</v>
      </c>
      <c r="F74" s="26">
        <v>20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46</v>
      </c>
      <c r="E75" s="26" t="s">
        <v>12</v>
      </c>
      <c r="F75" s="26">
        <v>21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16</v>
      </c>
      <c r="E76" s="26" t="s">
        <v>12</v>
      </c>
      <c r="F76" s="26">
        <v>55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22</v>
      </c>
      <c r="E77" s="26" t="s">
        <v>12</v>
      </c>
      <c r="F77" s="26">
        <v>20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45</v>
      </c>
      <c r="E78" s="26" t="s">
        <v>12</v>
      </c>
      <c r="F78" s="26">
        <v>11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56</v>
      </c>
      <c r="E79" s="26" t="s">
        <v>12</v>
      </c>
      <c r="F79" s="26">
        <v>3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25</v>
      </c>
      <c r="E80" s="26" t="s">
        <v>12</v>
      </c>
      <c r="F80" s="26">
        <v>29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40</v>
      </c>
      <c r="E81" s="26" t="s">
        <v>12</v>
      </c>
      <c r="F81" s="26">
        <v>29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16</v>
      </c>
      <c r="E82" s="26" t="s">
        <v>12</v>
      </c>
      <c r="F82" s="26">
        <v>50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47</v>
      </c>
      <c r="E83" s="26" t="s">
        <v>12</v>
      </c>
      <c r="F83" s="26">
        <v>18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37</v>
      </c>
      <c r="E84" s="26" t="s">
        <v>12</v>
      </c>
      <c r="F84" s="26">
        <v>7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21</v>
      </c>
      <c r="E85" s="26" t="s">
        <v>12</v>
      </c>
      <c r="F85" s="26">
        <v>49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19</v>
      </c>
      <c r="E86" s="26" t="s">
        <v>12</v>
      </c>
      <c r="F86" s="26">
        <v>31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27</v>
      </c>
      <c r="E87" s="26" t="s">
        <v>12</v>
      </c>
      <c r="F87" s="26">
        <v>23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52</v>
      </c>
      <c r="E88" s="26" t="s">
        <v>12</v>
      </c>
      <c r="F88" s="26">
        <v>11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28</v>
      </c>
      <c r="E89" s="26" t="s">
        <v>12</v>
      </c>
      <c r="F89" s="26">
        <v>18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15</v>
      </c>
      <c r="E90" s="26" t="s">
        <v>12</v>
      </c>
      <c r="F90" s="26">
        <v>2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22</v>
      </c>
      <c r="E91" s="26" t="s">
        <v>12</v>
      </c>
      <c r="F91" s="26">
        <v>42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0</v>
      </c>
      <c r="E92" s="26" t="s">
        <v>12</v>
      </c>
      <c r="F92" s="26">
        <v>23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30</v>
      </c>
      <c r="E93" s="26" t="s">
        <v>12</v>
      </c>
      <c r="F93" s="26">
        <v>39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23</v>
      </c>
      <c r="E94" s="26" t="s">
        <v>12</v>
      </c>
      <c r="F94" s="26">
        <v>12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40</v>
      </c>
      <c r="E95" s="26" t="s">
        <v>12</v>
      </c>
      <c r="F95" s="26">
        <v>21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13</v>
      </c>
      <c r="E96" s="26" t="s">
        <v>12</v>
      </c>
      <c r="F96" s="26">
        <v>13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16</v>
      </c>
      <c r="E97" s="26" t="s">
        <v>12</v>
      </c>
      <c r="F97" s="26">
        <v>27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33</v>
      </c>
      <c r="E98" s="26" t="s">
        <v>12</v>
      </c>
      <c r="F98" s="26">
        <v>21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16</v>
      </c>
      <c r="E99" s="26" t="s">
        <v>12</v>
      </c>
      <c r="F99" s="26">
        <v>11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49</v>
      </c>
      <c r="E100" s="26" t="s">
        <v>12</v>
      </c>
      <c r="F100" s="26">
        <v>12</v>
      </c>
      <c r="G100" s="26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7D49-B8D3-44EC-BEE2-271991041694}">
  <dimension ref="A1:Q100"/>
  <sheetViews>
    <sheetView workbookViewId="0">
      <selection activeCell="L18" sqref="L18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2</v>
      </c>
      <c r="E1" s="26" t="s">
        <v>12</v>
      </c>
      <c r="F1" s="26">
        <v>21</v>
      </c>
      <c r="G1" s="26">
        <v>1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12</v>
      </c>
      <c r="D2" s="26">
        <v>32</v>
      </c>
      <c r="E2" s="26" t="s">
        <v>12</v>
      </c>
      <c r="F2" s="26">
        <v>12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30</v>
      </c>
      <c r="E3" s="26" t="s">
        <v>12</v>
      </c>
      <c r="F3" s="26">
        <v>16</v>
      </c>
      <c r="G3" s="26">
        <v>0</v>
      </c>
      <c r="I3" s="4" t="s">
        <v>4</v>
      </c>
      <c r="J3" s="4"/>
      <c r="K3" s="8">
        <f>COUNTIF($G$1:$G$100, 0)</f>
        <v>49</v>
      </c>
      <c r="L3" s="8"/>
      <c r="M3" s="8">
        <f>COUNTIFS($G$1:$G$100, 0, $B$1:$B$100, 0)</f>
        <v>28</v>
      </c>
      <c r="N3" s="8"/>
      <c r="O3" s="9">
        <f>COUNTIFS($G$1:$G$100, 0, $B$1:$B$100, 1)</f>
        <v>21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12</v>
      </c>
      <c r="D4" s="26">
        <v>27</v>
      </c>
      <c r="E4" s="26" t="s">
        <v>12</v>
      </c>
      <c r="F4" s="26">
        <v>24</v>
      </c>
      <c r="G4" s="26">
        <v>0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12</v>
      </c>
      <c r="D5" s="26">
        <v>30</v>
      </c>
      <c r="E5" s="26" t="s">
        <v>12</v>
      </c>
      <c r="F5" s="26">
        <v>12</v>
      </c>
      <c r="G5" s="26">
        <v>0</v>
      </c>
      <c r="I5" s="4" t="s">
        <v>5</v>
      </c>
      <c r="J5" s="4"/>
      <c r="K5" s="13">
        <f>COUNTIF($G$1:$G$100, 1)</f>
        <v>51</v>
      </c>
      <c r="L5" s="8"/>
      <c r="M5" s="8">
        <f>COUNTIFS($G$1:$G$100, 1, $B$1:$B$100, 0)</f>
        <v>22</v>
      </c>
      <c r="N5" s="8"/>
      <c r="O5" s="8">
        <f>COUNTIFS($G$1:$G$100, 1, $B$1:$B$100, 1)</f>
        <v>29</v>
      </c>
      <c r="P5" s="12"/>
      <c r="Q5"/>
    </row>
    <row r="6" spans="1:17" x14ac:dyDescent="0.3">
      <c r="A6" s="26">
        <v>2</v>
      </c>
      <c r="B6" s="26">
        <v>0</v>
      </c>
      <c r="C6" s="26" t="s">
        <v>12</v>
      </c>
      <c r="D6" s="26">
        <v>37</v>
      </c>
      <c r="E6" s="26" t="s">
        <v>12</v>
      </c>
      <c r="F6" s="26">
        <v>38</v>
      </c>
      <c r="G6" s="26">
        <v>1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12</v>
      </c>
      <c r="D7" s="26">
        <v>12</v>
      </c>
      <c r="E7" s="26" t="s">
        <v>12</v>
      </c>
      <c r="F7" s="26">
        <v>45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12</v>
      </c>
      <c r="D8" s="26">
        <v>26</v>
      </c>
      <c r="E8" s="26" t="s">
        <v>12</v>
      </c>
      <c r="F8" s="26">
        <v>41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12</v>
      </c>
      <c r="D9" s="26">
        <v>21</v>
      </c>
      <c r="E9" s="26" t="s">
        <v>12</v>
      </c>
      <c r="F9" s="26">
        <v>31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12</v>
      </c>
      <c r="D10" s="26">
        <v>10</v>
      </c>
      <c r="E10" s="26" t="s">
        <v>12</v>
      </c>
      <c r="F10" s="26">
        <v>2</v>
      </c>
      <c r="G10" s="26">
        <v>0</v>
      </c>
      <c r="I10" s="4" t="s">
        <v>8</v>
      </c>
      <c r="J10" s="4"/>
      <c r="K10" s="8">
        <f>AVERAGE($D$1:$D$100,)</f>
        <v>25.920792079207921</v>
      </c>
      <c r="L10" s="8"/>
      <c r="M10" s="8" cm="1">
        <f t="array" ref="M10">AVERAGE(_xlfn._xlws.FILTER($D$1:$D$100,$G$1:$G$100 = 0))</f>
        <v>33.530612244897959</v>
      </c>
      <c r="N10" s="8"/>
      <c r="O10" s="9" cm="1">
        <f t="array" ref="O10">AVERAGE(_xlfn._xlws.FILTER($D$1:$D$100,$G$1:$G$100 = 1))</f>
        <v>19.117647058823529</v>
      </c>
      <c r="P10" s="10"/>
      <c r="Q10"/>
    </row>
    <row r="11" spans="1:17" x14ac:dyDescent="0.3">
      <c r="A11" s="26">
        <v>2</v>
      </c>
      <c r="B11" s="26">
        <v>0</v>
      </c>
      <c r="C11" s="26" t="s">
        <v>12</v>
      </c>
      <c r="D11" s="26">
        <v>32</v>
      </c>
      <c r="E11" s="26" t="s">
        <v>12</v>
      </c>
      <c r="F11" s="26">
        <v>22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12</v>
      </c>
      <c r="D12" s="26">
        <v>2</v>
      </c>
      <c r="E12" s="26" t="s">
        <v>12</v>
      </c>
      <c r="F12" s="26">
        <v>22</v>
      </c>
      <c r="G12" s="26">
        <v>1</v>
      </c>
      <c r="I12" s="4" t="s">
        <v>9</v>
      </c>
      <c r="J12" s="4"/>
      <c r="K12" s="8">
        <f>AVERAGE($F$1:$F$100,)</f>
        <v>25.683168316831683</v>
      </c>
      <c r="L12" s="8"/>
      <c r="M12" s="8" cm="1">
        <f t="array" ref="M12">AVERAGE(_xlfn._xlws.FILTER($F$1:$F$100,$G$1:$G$100 = 0))</f>
        <v>16.551020408163264</v>
      </c>
      <c r="N12" s="8"/>
      <c r="O12" s="8" cm="1">
        <f t="array" ref="O12">AVERAGE(_xlfn._xlws.FILTER($F$1:$F$100,$G$1:$G$100 = 1))</f>
        <v>34.96078431372549</v>
      </c>
      <c r="P12" s="12"/>
      <c r="Q12"/>
    </row>
    <row r="13" spans="1:17" x14ac:dyDescent="0.3">
      <c r="A13" s="26">
        <v>2</v>
      </c>
      <c r="B13" s="26">
        <v>0</v>
      </c>
      <c r="C13" s="26" t="s">
        <v>12</v>
      </c>
      <c r="D13" s="26">
        <v>36</v>
      </c>
      <c r="E13" s="26" t="s">
        <v>12</v>
      </c>
      <c r="F13" s="26">
        <v>32</v>
      </c>
      <c r="G13" s="26">
        <v>0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12</v>
      </c>
      <c r="D14" s="26">
        <v>20</v>
      </c>
      <c r="E14" s="26" t="s">
        <v>12</v>
      </c>
      <c r="F14" s="26">
        <v>19</v>
      </c>
      <c r="G14" s="26">
        <v>0</v>
      </c>
      <c r="I14" s="21" t="s">
        <v>10</v>
      </c>
      <c r="J14" s="10"/>
      <c r="K14" s="22" cm="1">
        <f t="array" ref="K14">AVERAGE($D$1:$D$100 - $F$1:$F$100)</f>
        <v>0.24</v>
      </c>
      <c r="L14" s="22"/>
      <c r="M14" s="22" cm="1">
        <f t="array" ref="M14">AVERAGE(_xlfn._xlws.FILTER($D$1:$D$100 - $F$1:$F$100, G$1:G$100 = 0))</f>
        <v>16.979591836734695</v>
      </c>
      <c r="N14" s="22"/>
      <c r="O14" s="22" cm="1">
        <f t="array" ref="O14">AVERAGE(_xlfn._xlws.FILTER($D$1:$D$100 - $F$1:$F$100, G$1:G$100 = 1))</f>
        <v>-15.843137254901961</v>
      </c>
      <c r="P14" s="23"/>
      <c r="Q14"/>
    </row>
    <row r="15" spans="1:17" x14ac:dyDescent="0.3">
      <c r="A15" s="26">
        <v>2</v>
      </c>
      <c r="B15" s="26">
        <v>0</v>
      </c>
      <c r="C15" s="26" t="s">
        <v>12</v>
      </c>
      <c r="D15" s="26">
        <v>32</v>
      </c>
      <c r="E15" s="26" t="s">
        <v>12</v>
      </c>
      <c r="F15" s="26">
        <v>50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12</v>
      </c>
      <c r="D16" s="26">
        <v>43</v>
      </c>
      <c r="E16" s="26" t="s">
        <v>12</v>
      </c>
      <c r="F16" s="26">
        <v>17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12</v>
      </c>
      <c r="D17" s="26">
        <v>32</v>
      </c>
      <c r="E17" s="26" t="s">
        <v>12</v>
      </c>
      <c r="F17" s="26">
        <v>26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44</v>
      </c>
      <c r="E18" s="26" t="s">
        <v>12</v>
      </c>
      <c r="F18" s="26">
        <v>47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32</v>
      </c>
      <c r="E19" s="26" t="s">
        <v>12</v>
      </c>
      <c r="F19" s="26">
        <v>11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37</v>
      </c>
      <c r="E20" s="26" t="s">
        <v>12</v>
      </c>
      <c r="F20" s="26">
        <v>20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43</v>
      </c>
      <c r="E21" s="26" t="s">
        <v>12</v>
      </c>
      <c r="F21" s="26">
        <v>32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42</v>
      </c>
      <c r="E22" s="26" t="s">
        <v>12</v>
      </c>
      <c r="F22" s="26">
        <v>23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27</v>
      </c>
      <c r="E23" s="26" t="s">
        <v>12</v>
      </c>
      <c r="F23" s="26">
        <v>58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41</v>
      </c>
      <c r="E24" s="26" t="s">
        <v>12</v>
      </c>
      <c r="F24" s="26">
        <v>5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12</v>
      </c>
      <c r="E25" s="26" t="s">
        <v>12</v>
      </c>
      <c r="F25" s="26">
        <v>8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59</v>
      </c>
      <c r="E26" s="26" t="s">
        <v>12</v>
      </c>
      <c r="F26" s="26">
        <v>11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21</v>
      </c>
      <c r="E27" s="26" t="s">
        <v>12</v>
      </c>
      <c r="F27" s="26">
        <v>32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4</v>
      </c>
      <c r="E28" s="26" t="s">
        <v>12</v>
      </c>
      <c r="F28" s="26">
        <v>46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27</v>
      </c>
      <c r="E29" s="26" t="s">
        <v>12</v>
      </c>
      <c r="F29" s="26">
        <v>36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32</v>
      </c>
      <c r="E30" s="26" t="s">
        <v>12</v>
      </c>
      <c r="F30" s="26">
        <v>31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29</v>
      </c>
      <c r="E31" s="26" t="s">
        <v>12</v>
      </c>
      <c r="F31" s="26">
        <v>48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34</v>
      </c>
      <c r="E32" s="26" t="s">
        <v>12</v>
      </c>
      <c r="F32" s="26">
        <v>26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14</v>
      </c>
      <c r="E33" s="26" t="s">
        <v>12</v>
      </c>
      <c r="F33" s="26">
        <v>40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37</v>
      </c>
      <c r="E34" s="26" t="s">
        <v>12</v>
      </c>
      <c r="F34" s="26">
        <v>18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37</v>
      </c>
      <c r="E35" s="26" t="s">
        <v>12</v>
      </c>
      <c r="F35" s="26">
        <v>6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20</v>
      </c>
      <c r="E36" s="26" t="s">
        <v>12</v>
      </c>
      <c r="F36" s="26">
        <v>28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10</v>
      </c>
      <c r="E37" s="26" t="s">
        <v>12</v>
      </c>
      <c r="F37" s="26">
        <v>3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22</v>
      </c>
      <c r="E38" s="26" t="s">
        <v>12</v>
      </c>
      <c r="F38" s="26">
        <v>21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5</v>
      </c>
      <c r="E39" s="26" t="s">
        <v>12</v>
      </c>
      <c r="F39" s="26">
        <v>37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40</v>
      </c>
      <c r="E40" s="26" t="s">
        <v>12</v>
      </c>
      <c r="F40" s="26">
        <v>15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34</v>
      </c>
      <c r="E41" s="26" t="s">
        <v>12</v>
      </c>
      <c r="F41" s="26">
        <v>38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12</v>
      </c>
      <c r="E42" s="26" t="s">
        <v>12</v>
      </c>
      <c r="F42" s="26">
        <v>36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54</v>
      </c>
      <c r="E43" s="26" t="s">
        <v>12</v>
      </c>
      <c r="F43" s="26">
        <v>14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23</v>
      </c>
      <c r="E44" s="26" t="s">
        <v>12</v>
      </c>
      <c r="F44" s="26">
        <v>42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19</v>
      </c>
      <c r="E45" s="26" t="s">
        <v>12</v>
      </c>
      <c r="F45" s="26">
        <v>43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14</v>
      </c>
      <c r="E46" s="26" t="s">
        <v>12</v>
      </c>
      <c r="F46" s="26">
        <v>24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15</v>
      </c>
      <c r="E47" s="26" t="s">
        <v>12</v>
      </c>
      <c r="F47" s="26">
        <v>6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25</v>
      </c>
      <c r="E48" s="26" t="s">
        <v>12</v>
      </c>
      <c r="F48" s="26">
        <v>35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38</v>
      </c>
      <c r="E49" s="26" t="s">
        <v>12</v>
      </c>
      <c r="F49" s="26">
        <v>16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30</v>
      </c>
      <c r="E50" s="26" t="s">
        <v>12</v>
      </c>
      <c r="F50" s="26">
        <v>18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22</v>
      </c>
      <c r="E51" s="26" t="s">
        <v>12</v>
      </c>
      <c r="F51" s="26">
        <v>18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44</v>
      </c>
      <c r="E52" s="26" t="s">
        <v>12</v>
      </c>
      <c r="F52" s="26">
        <v>1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53</v>
      </c>
      <c r="E53" s="26" t="s">
        <v>12</v>
      </c>
      <c r="F53" s="26">
        <v>29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11</v>
      </c>
      <c r="E54" s="26" t="s">
        <v>12</v>
      </c>
      <c r="F54" s="26">
        <v>17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29</v>
      </c>
      <c r="E55" s="26" t="s">
        <v>12</v>
      </c>
      <c r="F55" s="26">
        <v>31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26</v>
      </c>
      <c r="E56" s="26" t="s">
        <v>12</v>
      </c>
      <c r="F56" s="26">
        <v>39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11</v>
      </c>
      <c r="E57" s="26" t="s">
        <v>12</v>
      </c>
      <c r="F57" s="26">
        <v>30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38</v>
      </c>
      <c r="E58" s="26" t="s">
        <v>12</v>
      </c>
      <c r="F58" s="26">
        <v>2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31</v>
      </c>
      <c r="E59" s="26" t="s">
        <v>12</v>
      </c>
      <c r="F59" s="26">
        <v>18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17</v>
      </c>
      <c r="E60" s="26" t="s">
        <v>12</v>
      </c>
      <c r="F60" s="26">
        <v>24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14</v>
      </c>
      <c r="E61" s="26" t="s">
        <v>12</v>
      </c>
      <c r="F61" s="26">
        <v>25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33</v>
      </c>
      <c r="E62" s="26" t="s">
        <v>12</v>
      </c>
      <c r="F62" s="26">
        <v>40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11</v>
      </c>
      <c r="E63" s="26" t="s">
        <v>12</v>
      </c>
      <c r="F63" s="26">
        <v>16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48</v>
      </c>
      <c r="E64" s="26" t="s">
        <v>12</v>
      </c>
      <c r="F64" s="26">
        <v>18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27</v>
      </c>
      <c r="E65" s="26" t="s">
        <v>12</v>
      </c>
      <c r="F65" s="26">
        <v>38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7</v>
      </c>
      <c r="E66" s="26" t="s">
        <v>12</v>
      </c>
      <c r="F66" s="26">
        <v>28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40</v>
      </c>
      <c r="E67" s="26" t="s">
        <v>12</v>
      </c>
      <c r="F67" s="26">
        <v>17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21</v>
      </c>
      <c r="E68" s="26" t="s">
        <v>12</v>
      </c>
      <c r="F68" s="26">
        <v>8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23</v>
      </c>
      <c r="E69" s="26" t="s">
        <v>12</v>
      </c>
      <c r="F69" s="26">
        <v>2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28</v>
      </c>
      <c r="E70" s="26" t="s">
        <v>12</v>
      </c>
      <c r="F70" s="26">
        <v>33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50</v>
      </c>
      <c r="E71" s="26" t="s">
        <v>12</v>
      </c>
      <c r="F71" s="26">
        <v>15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9</v>
      </c>
      <c r="E72" s="26" t="s">
        <v>12</v>
      </c>
      <c r="F72" s="26">
        <v>18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35</v>
      </c>
      <c r="E73" s="26" t="s">
        <v>12</v>
      </c>
      <c r="F73" s="26">
        <v>7</v>
      </c>
      <c r="G73" s="26">
        <v>0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41</v>
      </c>
      <c r="E74" s="26" t="s">
        <v>12</v>
      </c>
      <c r="F74" s="26">
        <v>9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35</v>
      </c>
      <c r="E75" s="26" t="s">
        <v>12</v>
      </c>
      <c r="F75" s="26">
        <v>62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14</v>
      </c>
      <c r="E76" s="26" t="s">
        <v>12</v>
      </c>
      <c r="F76" s="26">
        <v>23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18</v>
      </c>
      <c r="E77" s="26" t="s">
        <v>12</v>
      </c>
      <c r="F77" s="26">
        <v>34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6</v>
      </c>
      <c r="E78" s="26" t="s">
        <v>12</v>
      </c>
      <c r="F78" s="26">
        <v>29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34</v>
      </c>
      <c r="E79" s="26" t="s">
        <v>12</v>
      </c>
      <c r="F79" s="26">
        <v>38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25</v>
      </c>
      <c r="E80" s="26" t="s">
        <v>12</v>
      </c>
      <c r="F80" s="26">
        <v>29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13</v>
      </c>
      <c r="E81" s="26" t="s">
        <v>12</v>
      </c>
      <c r="F81" s="26">
        <v>39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23</v>
      </c>
      <c r="E82" s="26" t="s">
        <v>12</v>
      </c>
      <c r="F82" s="26">
        <v>35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17</v>
      </c>
      <c r="E83" s="26" t="s">
        <v>12</v>
      </c>
      <c r="F83" s="26">
        <v>19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23</v>
      </c>
      <c r="E84" s="26" t="s">
        <v>12</v>
      </c>
      <c r="F84" s="26">
        <v>47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18</v>
      </c>
      <c r="E85" s="26" t="s">
        <v>12</v>
      </c>
      <c r="F85" s="26">
        <v>17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38</v>
      </c>
      <c r="E86" s="26" t="s">
        <v>12</v>
      </c>
      <c r="F86" s="26">
        <v>29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14</v>
      </c>
      <c r="E87" s="26" t="s">
        <v>12</v>
      </c>
      <c r="F87" s="26">
        <v>52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16</v>
      </c>
      <c r="E88" s="26" t="s">
        <v>12</v>
      </c>
      <c r="F88" s="26">
        <v>13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15</v>
      </c>
      <c r="E89" s="26" t="s">
        <v>12</v>
      </c>
      <c r="F89" s="26">
        <v>51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14</v>
      </c>
      <c r="E90" s="26" t="s">
        <v>12</v>
      </c>
      <c r="F90" s="26">
        <v>39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46</v>
      </c>
      <c r="E91" s="26" t="s">
        <v>12</v>
      </c>
      <c r="F91" s="26">
        <v>40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15</v>
      </c>
      <c r="E92" s="26" t="s">
        <v>12</v>
      </c>
      <c r="F92" s="26">
        <v>23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32</v>
      </c>
      <c r="E93" s="26" t="s">
        <v>12</v>
      </c>
      <c r="F93" s="26">
        <v>26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29</v>
      </c>
      <c r="E94" s="26" t="s">
        <v>12</v>
      </c>
      <c r="F94" s="26">
        <v>19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47</v>
      </c>
      <c r="E95" s="26" t="s">
        <v>12</v>
      </c>
      <c r="F95" s="26">
        <v>23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8</v>
      </c>
      <c r="E96" s="26" t="s">
        <v>12</v>
      </c>
      <c r="F96" s="26">
        <v>41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15</v>
      </c>
      <c r="E97" s="26" t="s">
        <v>12</v>
      </c>
      <c r="F97" s="26">
        <v>28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46</v>
      </c>
      <c r="E98" s="26" t="s">
        <v>12</v>
      </c>
      <c r="F98" s="26">
        <v>23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18</v>
      </c>
      <c r="E99" s="26" t="s">
        <v>12</v>
      </c>
      <c r="F99" s="26">
        <v>11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13</v>
      </c>
      <c r="E100" s="26" t="s">
        <v>12</v>
      </c>
      <c r="F100" s="26">
        <v>17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5300-B5B4-4EEE-88DF-6FAB625432C8}">
  <dimension ref="A1:Q100"/>
  <sheetViews>
    <sheetView workbookViewId="0">
      <selection activeCell="K24" sqref="K24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31</v>
      </c>
      <c r="E1" s="26" t="s">
        <v>11</v>
      </c>
      <c r="F1" s="26">
        <v>5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11</v>
      </c>
      <c r="D2" s="26">
        <v>7</v>
      </c>
      <c r="E2" s="26" t="s">
        <v>11</v>
      </c>
      <c r="F2" s="26">
        <v>37</v>
      </c>
      <c r="G2" s="26">
        <v>1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23</v>
      </c>
      <c r="E3" s="26" t="s">
        <v>11</v>
      </c>
      <c r="F3" s="26">
        <v>13</v>
      </c>
      <c r="G3" s="26">
        <v>0</v>
      </c>
      <c r="I3" s="4" t="s">
        <v>4</v>
      </c>
      <c r="J3" s="4"/>
      <c r="K3" s="8">
        <f>COUNTIF($G$1:$G$100, 0)</f>
        <v>47</v>
      </c>
      <c r="L3" s="8"/>
      <c r="M3" s="8">
        <f>COUNTIFS($G$1:$G$100, 0, $B$1:$B$100, 0)</f>
        <v>22</v>
      </c>
      <c r="N3" s="8"/>
      <c r="O3" s="9">
        <f>COUNTIFS($G$1:$G$100, 0, $B$1:$B$100, 1)</f>
        <v>25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11</v>
      </c>
      <c r="D4" s="26">
        <v>12</v>
      </c>
      <c r="E4" s="26" t="s">
        <v>11</v>
      </c>
      <c r="F4" s="26">
        <v>13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11</v>
      </c>
      <c r="D5" s="26">
        <v>7</v>
      </c>
      <c r="E5" s="26" t="s">
        <v>11</v>
      </c>
      <c r="F5" s="26">
        <v>21</v>
      </c>
      <c r="G5" s="26">
        <v>1</v>
      </c>
      <c r="I5" s="4" t="s">
        <v>5</v>
      </c>
      <c r="J5" s="4"/>
      <c r="K5" s="13">
        <f>COUNTIF($G$1:$G$100, 1)</f>
        <v>53</v>
      </c>
      <c r="L5" s="8"/>
      <c r="M5" s="8">
        <f>COUNTIFS($G$1:$G$100, 1, $B$1:$B$100, 0)</f>
        <v>28</v>
      </c>
      <c r="N5" s="8"/>
      <c r="O5" s="8">
        <f>COUNTIFS($G$1:$G$100, 1, $B$1:$B$100, 1)</f>
        <v>25</v>
      </c>
      <c r="P5" s="12"/>
      <c r="Q5"/>
    </row>
    <row r="6" spans="1:17" x14ac:dyDescent="0.3">
      <c r="A6" s="26">
        <v>2</v>
      </c>
      <c r="B6" s="26">
        <v>0</v>
      </c>
      <c r="C6" s="26" t="s">
        <v>11</v>
      </c>
      <c r="D6" s="26">
        <v>25</v>
      </c>
      <c r="E6" s="26" t="s">
        <v>11</v>
      </c>
      <c r="F6" s="26">
        <v>2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11</v>
      </c>
      <c r="D7" s="26">
        <v>31</v>
      </c>
      <c r="E7" s="26" t="s">
        <v>11</v>
      </c>
      <c r="F7" s="26">
        <v>43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11</v>
      </c>
      <c r="D8" s="26">
        <v>3</v>
      </c>
      <c r="E8" s="26" t="s">
        <v>11</v>
      </c>
      <c r="F8" s="26">
        <v>30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11</v>
      </c>
      <c r="D9" s="26">
        <v>21</v>
      </c>
      <c r="E9" s="26" t="s">
        <v>11</v>
      </c>
      <c r="F9" s="26">
        <v>3</v>
      </c>
      <c r="G9" s="26">
        <v>0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11</v>
      </c>
      <c r="D10" s="26">
        <v>19</v>
      </c>
      <c r="E10" s="26" t="s">
        <v>11</v>
      </c>
      <c r="F10" s="26">
        <v>26</v>
      </c>
      <c r="G10" s="26">
        <v>1</v>
      </c>
      <c r="I10" s="4" t="s">
        <v>8</v>
      </c>
      <c r="J10" s="4"/>
      <c r="K10" s="8">
        <f>AVERAGE($D$1:$D$100,)</f>
        <v>20.009900990099009</v>
      </c>
      <c r="L10" s="8"/>
      <c r="M10" s="8" cm="1">
        <f t="array" ref="M10">AVERAGE(_xlfn._xlws.FILTER($D$1:$D$100,$G$1:$G$100 = 0))</f>
        <v>30.425531914893618</v>
      </c>
      <c r="N10" s="8"/>
      <c r="O10" s="9" cm="1">
        <f t="array" ref="O10">AVERAGE(_xlfn._xlws.FILTER($D$1:$D$100,$G$1:$G$100 = 1))</f>
        <v>11.150943396226415</v>
      </c>
      <c r="P10" s="10"/>
      <c r="Q10"/>
    </row>
    <row r="11" spans="1:17" x14ac:dyDescent="0.3">
      <c r="A11" s="26">
        <v>2</v>
      </c>
      <c r="B11" s="26">
        <v>0</v>
      </c>
      <c r="C11" s="26" t="s">
        <v>11</v>
      </c>
      <c r="D11" s="26">
        <v>14</v>
      </c>
      <c r="E11" s="26" t="s">
        <v>11</v>
      </c>
      <c r="F11" s="26">
        <v>5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11</v>
      </c>
      <c r="D12" s="26">
        <v>11</v>
      </c>
      <c r="E12" s="26" t="s">
        <v>11</v>
      </c>
      <c r="F12" s="26">
        <v>21</v>
      </c>
      <c r="G12" s="26">
        <v>1</v>
      </c>
      <c r="I12" s="4" t="s">
        <v>9</v>
      </c>
      <c r="J12" s="4"/>
      <c r="K12" s="8">
        <f>AVERAGE($F$1:$F$100,)</f>
        <v>19.425742574257427</v>
      </c>
      <c r="L12" s="8"/>
      <c r="M12" s="8" cm="1">
        <f t="array" ref="M12">AVERAGE(_xlfn._xlws.FILTER($F$1:$F$100,$G$1:$G$100 = 0))</f>
        <v>10.851063829787234</v>
      </c>
      <c r="N12" s="8"/>
      <c r="O12" s="8" cm="1">
        <f t="array" ref="O12">AVERAGE(_xlfn._xlws.FILTER($F$1:$F$100,$G$1:$G$100 = 1))</f>
        <v>27.39622641509434</v>
      </c>
      <c r="P12" s="12"/>
      <c r="Q12"/>
    </row>
    <row r="13" spans="1:17" x14ac:dyDescent="0.3">
      <c r="A13" s="26">
        <v>2</v>
      </c>
      <c r="B13" s="26">
        <v>0</v>
      </c>
      <c r="C13" s="26" t="s">
        <v>11</v>
      </c>
      <c r="D13" s="26">
        <v>4</v>
      </c>
      <c r="E13" s="26" t="s">
        <v>11</v>
      </c>
      <c r="F13" s="26">
        <v>7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11</v>
      </c>
      <c r="D14" s="26">
        <v>12</v>
      </c>
      <c r="E14" s="26" t="s">
        <v>11</v>
      </c>
      <c r="F14" s="26">
        <v>15</v>
      </c>
      <c r="G14" s="26">
        <v>1</v>
      </c>
      <c r="I14" s="21" t="s">
        <v>10</v>
      </c>
      <c r="J14" s="10"/>
      <c r="K14" s="22" cm="1">
        <f t="array" ref="K14">AVERAGE($D$1:$D$100 - $F$1:$F$100)</f>
        <v>0.59</v>
      </c>
      <c r="L14" s="22"/>
      <c r="M14" s="22" cm="1">
        <f t="array" ref="M14">AVERAGE(_xlfn._xlws.FILTER($D$1:$D$100 - $F$1:$F$100, G$1:G$100 = 0))</f>
        <v>19.574468085106382</v>
      </c>
      <c r="N14" s="22"/>
      <c r="O14" s="22" cm="1">
        <f t="array" ref="O14">AVERAGE(_xlfn._xlws.FILTER($D$1:$D$100 - $F$1:$F$100, G$1:G$100 = 1))</f>
        <v>-16.245283018867923</v>
      </c>
      <c r="P14" s="23"/>
      <c r="Q14"/>
    </row>
    <row r="15" spans="1:17" x14ac:dyDescent="0.3">
      <c r="A15" s="26">
        <v>2</v>
      </c>
      <c r="B15" s="26">
        <v>0</v>
      </c>
      <c r="C15" s="26" t="s">
        <v>11</v>
      </c>
      <c r="D15" s="26">
        <v>19</v>
      </c>
      <c r="E15" s="26" t="s">
        <v>11</v>
      </c>
      <c r="F15" s="26">
        <v>6</v>
      </c>
      <c r="G15" s="26">
        <v>0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11</v>
      </c>
      <c r="D16" s="26">
        <v>49</v>
      </c>
      <c r="E16" s="26" t="s">
        <v>11</v>
      </c>
      <c r="F16" s="26">
        <v>2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11</v>
      </c>
      <c r="D17" s="26">
        <v>13</v>
      </c>
      <c r="E17" s="26" t="s">
        <v>11</v>
      </c>
      <c r="F17" s="26">
        <v>38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19</v>
      </c>
      <c r="E18" s="26" t="s">
        <v>11</v>
      </c>
      <c r="F18" s="26">
        <v>36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6</v>
      </c>
      <c r="E19" s="26" t="s">
        <v>11</v>
      </c>
      <c r="F19" s="26">
        <v>24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43</v>
      </c>
      <c r="E20" s="26" t="s">
        <v>11</v>
      </c>
      <c r="F20" s="26">
        <v>13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23</v>
      </c>
      <c r="E21" s="26" t="s">
        <v>11</v>
      </c>
      <c r="F21" s="26">
        <v>32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32</v>
      </c>
      <c r="E22" s="26" t="s">
        <v>11</v>
      </c>
      <c r="F22" s="26">
        <v>9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14</v>
      </c>
      <c r="E23" s="26" t="s">
        <v>11</v>
      </c>
      <c r="F23" s="26">
        <v>15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7</v>
      </c>
      <c r="E24" s="26" t="s">
        <v>11</v>
      </c>
      <c r="F24" s="26">
        <v>28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39</v>
      </c>
      <c r="E25" s="26" t="s">
        <v>11</v>
      </c>
      <c r="F25" s="26">
        <v>2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23</v>
      </c>
      <c r="E26" s="26" t="s">
        <v>11</v>
      </c>
      <c r="F26" s="26">
        <v>4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14</v>
      </c>
      <c r="E27" s="26" t="s">
        <v>11</v>
      </c>
      <c r="F27" s="26">
        <v>43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29</v>
      </c>
      <c r="E28" s="26" t="s">
        <v>11</v>
      </c>
      <c r="F28" s="26">
        <v>29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32</v>
      </c>
      <c r="E29" s="26" t="s">
        <v>11</v>
      </c>
      <c r="F29" s="26">
        <v>18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6</v>
      </c>
      <c r="E30" s="26" t="s">
        <v>11</v>
      </c>
      <c r="F30" s="26">
        <v>21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4</v>
      </c>
      <c r="E31" s="26" t="s">
        <v>11</v>
      </c>
      <c r="F31" s="26">
        <v>37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23</v>
      </c>
      <c r="E32" s="26" t="s">
        <v>11</v>
      </c>
      <c r="F32" s="26">
        <v>40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0</v>
      </c>
      <c r="E33" s="26" t="s">
        <v>11</v>
      </c>
      <c r="F33" s="26">
        <v>16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2</v>
      </c>
      <c r="E34" s="26" t="s">
        <v>11</v>
      </c>
      <c r="F34" s="26">
        <v>3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28</v>
      </c>
      <c r="E35" s="26" t="s">
        <v>11</v>
      </c>
      <c r="F35" s="26">
        <v>17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21</v>
      </c>
      <c r="E36" s="26" t="s">
        <v>11</v>
      </c>
      <c r="F36" s="26">
        <v>4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2</v>
      </c>
      <c r="E37" s="26" t="s">
        <v>11</v>
      </c>
      <c r="F37" s="26">
        <v>17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11</v>
      </c>
      <c r="E38" s="26" t="s">
        <v>11</v>
      </c>
      <c r="F38" s="26">
        <v>16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7</v>
      </c>
      <c r="E39" s="26" t="s">
        <v>11</v>
      </c>
      <c r="F39" s="26">
        <v>32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21</v>
      </c>
      <c r="E40" s="26" t="s">
        <v>11</v>
      </c>
      <c r="F40" s="26">
        <v>49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28</v>
      </c>
      <c r="E41" s="26" t="s">
        <v>11</v>
      </c>
      <c r="F41" s="26">
        <v>8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36</v>
      </c>
      <c r="E42" s="26" t="s">
        <v>11</v>
      </c>
      <c r="F42" s="26">
        <v>15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32</v>
      </c>
      <c r="E43" s="26" t="s">
        <v>11</v>
      </c>
      <c r="F43" s="26">
        <v>5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0</v>
      </c>
      <c r="E44" s="26" t="s">
        <v>11</v>
      </c>
      <c r="F44" s="26">
        <v>32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14</v>
      </c>
      <c r="E45" s="26" t="s">
        <v>11</v>
      </c>
      <c r="F45" s="26">
        <v>46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30</v>
      </c>
      <c r="E46" s="26" t="s">
        <v>11</v>
      </c>
      <c r="F46" s="26">
        <v>5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35</v>
      </c>
      <c r="E47" s="26" t="s">
        <v>11</v>
      </c>
      <c r="F47" s="26">
        <v>23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14</v>
      </c>
      <c r="E48" s="26" t="s">
        <v>11</v>
      </c>
      <c r="F48" s="26">
        <v>2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29</v>
      </c>
      <c r="E49" s="26" t="s">
        <v>11</v>
      </c>
      <c r="F49" s="26">
        <v>2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2</v>
      </c>
      <c r="E50" s="26" t="s">
        <v>11</v>
      </c>
      <c r="F50" s="26">
        <v>25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0</v>
      </c>
      <c r="E51" s="26" t="s">
        <v>11</v>
      </c>
      <c r="F51" s="26">
        <v>22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0</v>
      </c>
      <c r="E52" s="26" t="s">
        <v>11</v>
      </c>
      <c r="F52" s="26">
        <v>29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22</v>
      </c>
      <c r="E53" s="26" t="s">
        <v>11</v>
      </c>
      <c r="F53" s="26">
        <v>38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20</v>
      </c>
      <c r="E54" s="26" t="s">
        <v>11</v>
      </c>
      <c r="F54" s="26">
        <v>29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36</v>
      </c>
      <c r="E55" s="26" t="s">
        <v>11</v>
      </c>
      <c r="F55" s="26">
        <v>28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19</v>
      </c>
      <c r="E56" s="26" t="s">
        <v>11</v>
      </c>
      <c r="F56" s="26">
        <v>21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46</v>
      </c>
      <c r="E57" s="26" t="s">
        <v>11</v>
      </c>
      <c r="F57" s="26">
        <v>37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5</v>
      </c>
      <c r="E58" s="26" t="s">
        <v>11</v>
      </c>
      <c r="F58" s="26">
        <v>73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61</v>
      </c>
      <c r="E59" s="26" t="s">
        <v>11</v>
      </c>
      <c r="F59" s="26">
        <v>2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31</v>
      </c>
      <c r="E60" s="26" t="s">
        <v>11</v>
      </c>
      <c r="F60" s="26">
        <v>27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27</v>
      </c>
      <c r="E61" s="26" t="s">
        <v>11</v>
      </c>
      <c r="F61" s="26">
        <v>2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9</v>
      </c>
      <c r="E62" s="26" t="s">
        <v>11</v>
      </c>
      <c r="F62" s="26">
        <v>20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2</v>
      </c>
      <c r="E63" s="26" t="s">
        <v>11</v>
      </c>
      <c r="F63" s="26">
        <v>27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23</v>
      </c>
      <c r="E64" s="26" t="s">
        <v>11</v>
      </c>
      <c r="F64" s="26">
        <v>14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17</v>
      </c>
      <c r="E65" s="26" t="s">
        <v>11</v>
      </c>
      <c r="F65" s="26">
        <v>14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26</v>
      </c>
      <c r="E66" s="26" t="s">
        <v>11</v>
      </c>
      <c r="F66" s="26">
        <v>41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5</v>
      </c>
      <c r="E67" s="26" t="s">
        <v>11</v>
      </c>
      <c r="F67" s="26">
        <v>8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26</v>
      </c>
      <c r="E68" s="26" t="s">
        <v>11</v>
      </c>
      <c r="F68" s="26">
        <v>0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10</v>
      </c>
      <c r="E69" s="26" t="s">
        <v>11</v>
      </c>
      <c r="F69" s="26">
        <v>32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41</v>
      </c>
      <c r="E70" s="26" t="s">
        <v>11</v>
      </c>
      <c r="F70" s="26">
        <v>17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44</v>
      </c>
      <c r="E71" s="26" t="s">
        <v>11</v>
      </c>
      <c r="F71" s="26">
        <v>13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18</v>
      </c>
      <c r="E72" s="26" t="s">
        <v>11</v>
      </c>
      <c r="F72" s="26">
        <v>19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19</v>
      </c>
      <c r="E73" s="26" t="s">
        <v>11</v>
      </c>
      <c r="F73" s="26">
        <v>20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16</v>
      </c>
      <c r="E74" s="26" t="s">
        <v>11</v>
      </c>
      <c r="F74" s="26">
        <v>42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6</v>
      </c>
      <c r="E75" s="26" t="s">
        <v>11</v>
      </c>
      <c r="F75" s="26">
        <v>22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21</v>
      </c>
      <c r="E76" s="26" t="s">
        <v>11</v>
      </c>
      <c r="F76" s="26">
        <v>45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33</v>
      </c>
      <c r="E77" s="26" t="s">
        <v>11</v>
      </c>
      <c r="F77" s="26">
        <v>7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22</v>
      </c>
      <c r="E78" s="26" t="s">
        <v>11</v>
      </c>
      <c r="F78" s="26">
        <v>20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50</v>
      </c>
      <c r="E79" s="26" t="s">
        <v>11</v>
      </c>
      <c r="F79" s="26">
        <v>14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20</v>
      </c>
      <c r="E80" s="26" t="s">
        <v>11</v>
      </c>
      <c r="F80" s="26">
        <v>12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50</v>
      </c>
      <c r="E81" s="26" t="s">
        <v>11</v>
      </c>
      <c r="F81" s="26">
        <v>7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45</v>
      </c>
      <c r="E82" s="26" t="s">
        <v>11</v>
      </c>
      <c r="F82" s="26">
        <v>22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10</v>
      </c>
      <c r="E83" s="26" t="s">
        <v>11</v>
      </c>
      <c r="F83" s="26">
        <v>13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5</v>
      </c>
      <c r="E84" s="26" t="s">
        <v>11</v>
      </c>
      <c r="F84" s="26">
        <v>35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24</v>
      </c>
      <c r="E85" s="26" t="s">
        <v>11</v>
      </c>
      <c r="F85" s="26">
        <v>2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16</v>
      </c>
      <c r="E86" s="26" t="s">
        <v>11</v>
      </c>
      <c r="F86" s="26">
        <v>13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19</v>
      </c>
      <c r="E87" s="26" t="s">
        <v>11</v>
      </c>
      <c r="F87" s="26">
        <v>4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28</v>
      </c>
      <c r="E88" s="26" t="s">
        <v>11</v>
      </c>
      <c r="F88" s="26">
        <v>31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31</v>
      </c>
      <c r="E89" s="26" t="s">
        <v>11</v>
      </c>
      <c r="F89" s="26">
        <v>14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24</v>
      </c>
      <c r="E90" s="26" t="s">
        <v>11</v>
      </c>
      <c r="F90" s="26">
        <v>25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42</v>
      </c>
      <c r="E91" s="26" t="s">
        <v>11</v>
      </c>
      <c r="F91" s="26">
        <v>11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2</v>
      </c>
      <c r="E92" s="26" t="s">
        <v>11</v>
      </c>
      <c r="F92" s="26">
        <v>11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4</v>
      </c>
      <c r="E93" s="26" t="s">
        <v>11</v>
      </c>
      <c r="F93" s="26">
        <v>26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26</v>
      </c>
      <c r="E94" s="26" t="s">
        <v>11</v>
      </c>
      <c r="F94" s="26">
        <v>11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7</v>
      </c>
      <c r="E95" s="26" t="s">
        <v>11</v>
      </c>
      <c r="F95" s="26">
        <v>28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5</v>
      </c>
      <c r="E96" s="26" t="s">
        <v>11</v>
      </c>
      <c r="F96" s="26">
        <v>8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2</v>
      </c>
      <c r="E97" s="26" t="s">
        <v>11</v>
      </c>
      <c r="F97" s="26">
        <v>2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29</v>
      </c>
      <c r="E98" s="26" t="s">
        <v>11</v>
      </c>
      <c r="F98" s="26">
        <v>2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36</v>
      </c>
      <c r="E99" s="26" t="s">
        <v>11</v>
      </c>
      <c r="F99" s="26">
        <v>23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14</v>
      </c>
      <c r="E100" s="26" t="s">
        <v>11</v>
      </c>
      <c r="F100" s="26">
        <v>24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8578-F25C-49B9-A272-DB5DB0F34658}">
  <dimension ref="A1:Q100"/>
  <sheetViews>
    <sheetView workbookViewId="0">
      <selection activeCell="J20" sqref="J20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21</v>
      </c>
      <c r="E1" s="26" t="s">
        <v>12</v>
      </c>
      <c r="F1" s="26">
        <v>35</v>
      </c>
      <c r="G1" s="26">
        <v>1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12</v>
      </c>
      <c r="D2" s="26">
        <v>26</v>
      </c>
      <c r="E2" s="26" t="s">
        <v>12</v>
      </c>
      <c r="F2" s="26">
        <v>25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32</v>
      </c>
      <c r="E3" s="26" t="s">
        <v>12</v>
      </c>
      <c r="F3" s="26">
        <v>27</v>
      </c>
      <c r="G3" s="26">
        <v>0</v>
      </c>
      <c r="I3" s="4" t="s">
        <v>4</v>
      </c>
      <c r="J3" s="4"/>
      <c r="K3" s="8">
        <f>COUNTIF($G$1:$G$100, 0)</f>
        <v>62</v>
      </c>
      <c r="L3" s="8"/>
      <c r="M3" s="8">
        <f>COUNTIFS($G$1:$G$100, 0, $B$1:$B$100, 0)</f>
        <v>33</v>
      </c>
      <c r="N3" s="8"/>
      <c r="O3" s="9">
        <f>COUNTIFS($G$1:$G$100, 0, $B$1:$B$100, 1)</f>
        <v>29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12</v>
      </c>
      <c r="D4" s="26">
        <v>40</v>
      </c>
      <c r="E4" s="26" t="s">
        <v>12</v>
      </c>
      <c r="F4" s="26">
        <v>11</v>
      </c>
      <c r="G4" s="26">
        <v>0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12</v>
      </c>
      <c r="D5" s="26">
        <v>32</v>
      </c>
      <c r="E5" s="26" t="s">
        <v>12</v>
      </c>
      <c r="F5" s="26">
        <v>14</v>
      </c>
      <c r="G5" s="26">
        <v>0</v>
      </c>
      <c r="I5" s="4" t="s">
        <v>5</v>
      </c>
      <c r="J5" s="4"/>
      <c r="K5" s="13">
        <f>COUNTIF($G$1:$G$100, 1)</f>
        <v>38</v>
      </c>
      <c r="L5" s="8"/>
      <c r="M5" s="8">
        <f>COUNTIFS($G$1:$G$100, 1, $B$1:$B$100, 0)</f>
        <v>17</v>
      </c>
      <c r="N5" s="8"/>
      <c r="O5" s="8">
        <f>COUNTIFS($G$1:$G$100, 1, $B$1:$B$100, 1)</f>
        <v>21</v>
      </c>
      <c r="P5" s="12"/>
      <c r="Q5"/>
    </row>
    <row r="6" spans="1:17" x14ac:dyDescent="0.3">
      <c r="A6" s="26">
        <v>2</v>
      </c>
      <c r="B6" s="26">
        <v>0</v>
      </c>
      <c r="C6" s="26" t="s">
        <v>12</v>
      </c>
      <c r="D6" s="26">
        <v>37</v>
      </c>
      <c r="E6" s="26" t="s">
        <v>12</v>
      </c>
      <c r="F6" s="26">
        <v>11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12</v>
      </c>
      <c r="D7" s="26">
        <v>56</v>
      </c>
      <c r="E7" s="26" t="s">
        <v>12</v>
      </c>
      <c r="F7" s="26">
        <v>34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12</v>
      </c>
      <c r="D8" s="26">
        <v>2</v>
      </c>
      <c r="E8" s="26" t="s">
        <v>12</v>
      </c>
      <c r="F8" s="26">
        <v>25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12</v>
      </c>
      <c r="D9" s="26">
        <v>17</v>
      </c>
      <c r="E9" s="26" t="s">
        <v>12</v>
      </c>
      <c r="F9" s="26">
        <v>42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12</v>
      </c>
      <c r="D10" s="26">
        <v>48</v>
      </c>
      <c r="E10" s="26" t="s">
        <v>12</v>
      </c>
      <c r="F10" s="26">
        <v>43</v>
      </c>
      <c r="G10" s="26">
        <v>0</v>
      </c>
      <c r="I10" s="4" t="s">
        <v>8</v>
      </c>
      <c r="J10" s="4"/>
      <c r="K10" s="8">
        <f>AVERAGE($D$1:$D$100,)</f>
        <v>30.079207920792079</v>
      </c>
      <c r="L10" s="8"/>
      <c r="M10" s="8" cm="1">
        <f t="array" ref="M10">AVERAGE(_xlfn._xlws.FILTER($D$1:$D$100,$G$1:$G$100 = 0))</f>
        <v>36.822580645161288</v>
      </c>
      <c r="N10" s="8"/>
      <c r="O10" s="9" cm="1">
        <f t="array" ref="O10">AVERAGE(_xlfn._xlws.FILTER($D$1:$D$100,$G$1:$G$100 = 1))</f>
        <v>19.868421052631579</v>
      </c>
      <c r="P10" s="10"/>
      <c r="Q10"/>
    </row>
    <row r="11" spans="1:17" x14ac:dyDescent="0.3">
      <c r="A11" s="26">
        <v>2</v>
      </c>
      <c r="B11" s="26">
        <v>0</v>
      </c>
      <c r="C11" s="26" t="s">
        <v>12</v>
      </c>
      <c r="D11" s="26">
        <v>36</v>
      </c>
      <c r="E11" s="26" t="s">
        <v>12</v>
      </c>
      <c r="F11" s="26">
        <v>19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12</v>
      </c>
      <c r="D12" s="26">
        <v>25</v>
      </c>
      <c r="E12" s="26" t="s">
        <v>12</v>
      </c>
      <c r="F12" s="26">
        <v>9</v>
      </c>
      <c r="G12" s="26">
        <v>0</v>
      </c>
      <c r="I12" s="4" t="s">
        <v>9</v>
      </c>
      <c r="J12" s="4"/>
      <c r="K12" s="8">
        <f>AVERAGE($F$1:$F$100,)</f>
        <v>26.049504950495049</v>
      </c>
      <c r="L12" s="8"/>
      <c r="M12" s="8" cm="1">
        <f t="array" ref="M12">AVERAGE(_xlfn._xlws.FILTER($F$1:$F$100,$G$1:$G$100 = 0))</f>
        <v>20.35483870967742</v>
      </c>
      <c r="N12" s="8"/>
      <c r="O12" s="8" cm="1">
        <f t="array" ref="O12">AVERAGE(_xlfn._xlws.FILTER($F$1:$F$100,$G$1:$G$100 = 1))</f>
        <v>36.026315789473685</v>
      </c>
      <c r="P12" s="12"/>
      <c r="Q12"/>
    </row>
    <row r="13" spans="1:17" x14ac:dyDescent="0.3">
      <c r="A13" s="26">
        <v>2</v>
      </c>
      <c r="B13" s="26">
        <v>0</v>
      </c>
      <c r="C13" s="26" t="s">
        <v>12</v>
      </c>
      <c r="D13" s="26">
        <v>34</v>
      </c>
      <c r="E13" s="26" t="s">
        <v>12</v>
      </c>
      <c r="F13" s="26">
        <v>35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12</v>
      </c>
      <c r="D14" s="26">
        <v>32</v>
      </c>
      <c r="E14" s="26" t="s">
        <v>12</v>
      </c>
      <c r="F14" s="26">
        <v>21</v>
      </c>
      <c r="G14" s="26">
        <v>0</v>
      </c>
      <c r="I14" s="21" t="s">
        <v>10</v>
      </c>
      <c r="J14" s="10"/>
      <c r="K14" s="22" cm="1">
        <f t="array" ref="K14">AVERAGE($D$1:$D$100 - $F$1:$F$100)</f>
        <v>4.07</v>
      </c>
      <c r="L14" s="22"/>
      <c r="M14" s="22" cm="1">
        <f t="array" ref="M14">AVERAGE(_xlfn._xlws.FILTER($D$1:$D$100 - $F$1:$F$100, G$1:G$100 = 0))</f>
        <v>16.467741935483872</v>
      </c>
      <c r="N14" s="22"/>
      <c r="O14" s="22" cm="1">
        <f t="array" ref="O14">AVERAGE(_xlfn._xlws.FILTER($D$1:$D$100 - $F$1:$F$100, G$1:G$100 = 1))</f>
        <v>-16.157894736842106</v>
      </c>
      <c r="P14" s="23"/>
      <c r="Q14"/>
    </row>
    <row r="15" spans="1:17" x14ac:dyDescent="0.3">
      <c r="A15" s="26">
        <v>2</v>
      </c>
      <c r="B15" s="26">
        <v>0</v>
      </c>
      <c r="C15" s="26" t="s">
        <v>12</v>
      </c>
      <c r="D15" s="26">
        <v>29</v>
      </c>
      <c r="E15" s="26" t="s">
        <v>12</v>
      </c>
      <c r="F15" s="26">
        <v>2</v>
      </c>
      <c r="G15" s="26">
        <v>0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12</v>
      </c>
      <c r="D16" s="26">
        <v>28</v>
      </c>
      <c r="E16" s="26" t="s">
        <v>12</v>
      </c>
      <c r="F16" s="26">
        <v>25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12</v>
      </c>
      <c r="D17" s="26">
        <v>50</v>
      </c>
      <c r="E17" s="26" t="s">
        <v>12</v>
      </c>
      <c r="F17" s="26">
        <v>15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22</v>
      </c>
      <c r="E18" s="26" t="s">
        <v>12</v>
      </c>
      <c r="F18" s="26">
        <v>12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32</v>
      </c>
      <c r="E19" s="26" t="s">
        <v>12</v>
      </c>
      <c r="F19" s="26">
        <v>31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27</v>
      </c>
      <c r="E20" s="26" t="s">
        <v>12</v>
      </c>
      <c r="F20" s="26">
        <v>37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13</v>
      </c>
      <c r="E21" s="26" t="s">
        <v>12</v>
      </c>
      <c r="F21" s="26">
        <v>22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18</v>
      </c>
      <c r="E22" s="26" t="s">
        <v>12</v>
      </c>
      <c r="F22" s="26">
        <v>38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33</v>
      </c>
      <c r="E23" s="26" t="s">
        <v>12</v>
      </c>
      <c r="F23" s="26">
        <v>24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55</v>
      </c>
      <c r="E24" s="26" t="s">
        <v>12</v>
      </c>
      <c r="F24" s="26">
        <v>20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44</v>
      </c>
      <c r="E25" s="26" t="s">
        <v>12</v>
      </c>
      <c r="F25" s="26">
        <v>28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6</v>
      </c>
      <c r="E26" s="26" t="s">
        <v>12</v>
      </c>
      <c r="F26" s="26">
        <v>34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51</v>
      </c>
      <c r="E27" s="26" t="s">
        <v>12</v>
      </c>
      <c r="F27" s="26">
        <v>38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44</v>
      </c>
      <c r="E28" s="26" t="s">
        <v>12</v>
      </c>
      <c r="F28" s="26">
        <v>25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27</v>
      </c>
      <c r="E29" s="26" t="s">
        <v>12</v>
      </c>
      <c r="F29" s="26">
        <v>23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55</v>
      </c>
      <c r="E30" s="26" t="s">
        <v>12</v>
      </c>
      <c r="F30" s="26">
        <v>31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12</v>
      </c>
      <c r="E31" s="26" t="s">
        <v>12</v>
      </c>
      <c r="F31" s="26">
        <v>43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18</v>
      </c>
      <c r="E32" s="26" t="s">
        <v>12</v>
      </c>
      <c r="F32" s="26">
        <v>38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36</v>
      </c>
      <c r="E33" s="26" t="s">
        <v>12</v>
      </c>
      <c r="F33" s="26">
        <v>8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27</v>
      </c>
      <c r="E34" s="26" t="s">
        <v>12</v>
      </c>
      <c r="F34" s="26">
        <v>27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52</v>
      </c>
      <c r="E35" s="26" t="s">
        <v>12</v>
      </c>
      <c r="F35" s="26">
        <v>42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10</v>
      </c>
      <c r="E36" s="26" t="s">
        <v>12</v>
      </c>
      <c r="F36" s="26">
        <v>37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21</v>
      </c>
      <c r="E37" s="26" t="s">
        <v>12</v>
      </c>
      <c r="F37" s="26">
        <v>30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53</v>
      </c>
      <c r="E38" s="26" t="s">
        <v>12</v>
      </c>
      <c r="F38" s="26">
        <v>31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4</v>
      </c>
      <c r="E39" s="26" t="s">
        <v>12</v>
      </c>
      <c r="F39" s="26">
        <v>12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31</v>
      </c>
      <c r="E40" s="26" t="s">
        <v>12</v>
      </c>
      <c r="F40" s="26">
        <v>17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45</v>
      </c>
      <c r="E41" s="26" t="s">
        <v>12</v>
      </c>
      <c r="F41" s="26">
        <v>36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51</v>
      </c>
      <c r="E42" s="26" t="s">
        <v>12</v>
      </c>
      <c r="F42" s="26">
        <v>10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21</v>
      </c>
      <c r="E43" s="26" t="s">
        <v>12</v>
      </c>
      <c r="F43" s="26">
        <v>71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4</v>
      </c>
      <c r="E44" s="26" t="s">
        <v>12</v>
      </c>
      <c r="F44" s="26">
        <v>24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27</v>
      </c>
      <c r="E45" s="26" t="s">
        <v>12</v>
      </c>
      <c r="F45" s="26">
        <v>7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41</v>
      </c>
      <c r="E46" s="26" t="s">
        <v>12</v>
      </c>
      <c r="F46" s="26">
        <v>69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35</v>
      </c>
      <c r="E47" s="26" t="s">
        <v>12</v>
      </c>
      <c r="F47" s="26">
        <v>21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52</v>
      </c>
      <c r="E48" s="26" t="s">
        <v>12</v>
      </c>
      <c r="F48" s="26">
        <v>41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24</v>
      </c>
      <c r="E49" s="26" t="s">
        <v>12</v>
      </c>
      <c r="F49" s="26">
        <v>25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43</v>
      </c>
      <c r="E50" s="26" t="s">
        <v>12</v>
      </c>
      <c r="F50" s="26">
        <v>28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60</v>
      </c>
      <c r="E51" s="26" t="s">
        <v>12</v>
      </c>
      <c r="F51" s="26">
        <v>12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5</v>
      </c>
      <c r="E52" s="26" t="s">
        <v>12</v>
      </c>
      <c r="F52" s="26">
        <v>31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47</v>
      </c>
      <c r="E53" s="26" t="s">
        <v>12</v>
      </c>
      <c r="F53" s="26">
        <v>9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28</v>
      </c>
      <c r="E54" s="26" t="s">
        <v>12</v>
      </c>
      <c r="F54" s="26">
        <v>27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37</v>
      </c>
      <c r="E55" s="26" t="s">
        <v>12</v>
      </c>
      <c r="F55" s="26">
        <v>21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56</v>
      </c>
      <c r="E56" s="26" t="s">
        <v>12</v>
      </c>
      <c r="F56" s="26">
        <v>17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13</v>
      </c>
      <c r="E57" s="26" t="s">
        <v>12</v>
      </c>
      <c r="F57" s="26">
        <v>31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21</v>
      </c>
      <c r="E58" s="26" t="s">
        <v>12</v>
      </c>
      <c r="F58" s="26">
        <v>40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7</v>
      </c>
      <c r="E59" s="26" t="s">
        <v>12</v>
      </c>
      <c r="F59" s="26">
        <v>40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19</v>
      </c>
      <c r="E60" s="26" t="s">
        <v>12</v>
      </c>
      <c r="F60" s="26">
        <v>10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40</v>
      </c>
      <c r="E61" s="26" t="s">
        <v>12</v>
      </c>
      <c r="F61" s="26">
        <v>36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39</v>
      </c>
      <c r="E62" s="26" t="s">
        <v>12</v>
      </c>
      <c r="F62" s="26">
        <v>53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43</v>
      </c>
      <c r="E63" s="26" t="s">
        <v>12</v>
      </c>
      <c r="F63" s="26">
        <v>41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24</v>
      </c>
      <c r="E64" s="26" t="s">
        <v>12</v>
      </c>
      <c r="F64" s="26">
        <v>32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27</v>
      </c>
      <c r="E65" s="26" t="s">
        <v>12</v>
      </c>
      <c r="F65" s="26">
        <v>17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23</v>
      </c>
      <c r="E66" s="26" t="s">
        <v>12</v>
      </c>
      <c r="F66" s="26">
        <v>30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51</v>
      </c>
      <c r="E67" s="26" t="s">
        <v>12</v>
      </c>
      <c r="F67" s="26">
        <v>19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34</v>
      </c>
      <c r="E68" s="26" t="s">
        <v>12</v>
      </c>
      <c r="F68" s="26">
        <v>12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18</v>
      </c>
      <c r="E69" s="26" t="s">
        <v>12</v>
      </c>
      <c r="F69" s="26">
        <v>33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22</v>
      </c>
      <c r="E70" s="26" t="s">
        <v>12</v>
      </c>
      <c r="F70" s="26">
        <v>39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23</v>
      </c>
      <c r="E71" s="26" t="s">
        <v>12</v>
      </c>
      <c r="F71" s="26">
        <v>18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14</v>
      </c>
      <c r="E72" s="26" t="s">
        <v>12</v>
      </c>
      <c r="F72" s="26">
        <v>19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14</v>
      </c>
      <c r="E73" s="26" t="s">
        <v>12</v>
      </c>
      <c r="F73" s="26">
        <v>30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25</v>
      </c>
      <c r="E74" s="26" t="s">
        <v>12</v>
      </c>
      <c r="F74" s="26">
        <v>35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20</v>
      </c>
      <c r="E75" s="26" t="s">
        <v>12</v>
      </c>
      <c r="F75" s="26">
        <v>8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52</v>
      </c>
      <c r="E76" s="26" t="s">
        <v>12</v>
      </c>
      <c r="F76" s="26">
        <v>2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30</v>
      </c>
      <c r="E77" s="26" t="s">
        <v>12</v>
      </c>
      <c r="F77" s="26">
        <v>49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39</v>
      </c>
      <c r="E78" s="26" t="s">
        <v>12</v>
      </c>
      <c r="F78" s="26">
        <v>28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7</v>
      </c>
      <c r="E79" s="26" t="s">
        <v>12</v>
      </c>
      <c r="F79" s="26">
        <v>15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28</v>
      </c>
      <c r="E80" s="26" t="s">
        <v>12</v>
      </c>
      <c r="F80" s="26">
        <v>15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23</v>
      </c>
      <c r="E81" s="26" t="s">
        <v>12</v>
      </c>
      <c r="F81" s="26">
        <v>28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22</v>
      </c>
      <c r="E82" s="26" t="s">
        <v>12</v>
      </c>
      <c r="F82" s="26">
        <v>34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30</v>
      </c>
      <c r="E83" s="26" t="s">
        <v>12</v>
      </c>
      <c r="F83" s="26">
        <v>45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35</v>
      </c>
      <c r="E84" s="26" t="s">
        <v>12</v>
      </c>
      <c r="F84" s="26">
        <v>7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40</v>
      </c>
      <c r="E85" s="26" t="s">
        <v>12</v>
      </c>
      <c r="F85" s="26">
        <v>23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28</v>
      </c>
      <c r="E86" s="26" t="s">
        <v>12</v>
      </c>
      <c r="F86" s="26">
        <v>17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43</v>
      </c>
      <c r="E87" s="26" t="s">
        <v>12</v>
      </c>
      <c r="F87" s="26">
        <v>30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26</v>
      </c>
      <c r="E88" s="26" t="s">
        <v>12</v>
      </c>
      <c r="F88" s="26">
        <v>9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31</v>
      </c>
      <c r="E89" s="26" t="s">
        <v>12</v>
      </c>
      <c r="F89" s="26">
        <v>13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18</v>
      </c>
      <c r="E90" s="26" t="s">
        <v>12</v>
      </c>
      <c r="F90" s="26">
        <v>24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30</v>
      </c>
      <c r="E91" s="26" t="s">
        <v>12</v>
      </c>
      <c r="F91" s="26">
        <v>22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44</v>
      </c>
      <c r="E92" s="26" t="s">
        <v>12</v>
      </c>
      <c r="F92" s="26">
        <v>56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36</v>
      </c>
      <c r="E93" s="26" t="s">
        <v>12</v>
      </c>
      <c r="F93" s="26">
        <v>33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18</v>
      </c>
      <c r="E94" s="26" t="s">
        <v>12</v>
      </c>
      <c r="F94" s="26">
        <v>13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43</v>
      </c>
      <c r="E95" s="26" t="s">
        <v>12</v>
      </c>
      <c r="F95" s="26">
        <v>9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21</v>
      </c>
      <c r="E96" s="26" t="s">
        <v>12</v>
      </c>
      <c r="F96" s="26">
        <v>12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25</v>
      </c>
      <c r="E97" s="26" t="s">
        <v>12</v>
      </c>
      <c r="F97" s="26">
        <v>23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24</v>
      </c>
      <c r="E98" s="26" t="s">
        <v>12</v>
      </c>
      <c r="F98" s="26">
        <v>31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17</v>
      </c>
      <c r="E99" s="26" t="s">
        <v>12</v>
      </c>
      <c r="F99" s="26">
        <v>3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39</v>
      </c>
      <c r="E100" s="26" t="s">
        <v>12</v>
      </c>
      <c r="F100" s="26">
        <v>57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882E-4AAB-4ABE-86C0-6D0E9BB91DCB}">
  <dimension ref="A1:Q100"/>
  <sheetViews>
    <sheetView workbookViewId="0">
      <selection activeCell="L25" sqref="L25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31</v>
      </c>
      <c r="E1" s="26" t="s">
        <v>11</v>
      </c>
      <c r="F1" s="26">
        <v>22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11</v>
      </c>
      <c r="D2" s="26">
        <v>28</v>
      </c>
      <c r="E2" s="26" t="s">
        <v>11</v>
      </c>
      <c r="F2" s="26">
        <v>10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0</v>
      </c>
      <c r="E3" s="26" t="s">
        <v>11</v>
      </c>
      <c r="F3" s="26">
        <v>16</v>
      </c>
      <c r="G3" s="26">
        <v>1</v>
      </c>
      <c r="I3" s="4" t="s">
        <v>4</v>
      </c>
      <c r="J3" s="4"/>
      <c r="K3" s="8">
        <f>COUNTIF($G$1:$G$100, 0)</f>
        <v>52</v>
      </c>
      <c r="L3" s="8"/>
      <c r="M3" s="8">
        <f>COUNTIFS($G$1:$G$100, 0, $B$1:$B$100, 0)</f>
        <v>31</v>
      </c>
      <c r="N3" s="8"/>
      <c r="O3" s="9">
        <f>COUNTIFS($G$1:$G$100, 0, $B$1:$B$100, 1)</f>
        <v>21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11</v>
      </c>
      <c r="D4" s="26">
        <v>53</v>
      </c>
      <c r="E4" s="26" t="s">
        <v>11</v>
      </c>
      <c r="F4" s="26">
        <v>4</v>
      </c>
      <c r="G4" s="26">
        <v>0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11</v>
      </c>
      <c r="D5" s="26">
        <v>14</v>
      </c>
      <c r="E5" s="26" t="s">
        <v>11</v>
      </c>
      <c r="F5" s="26">
        <v>13</v>
      </c>
      <c r="G5" s="26">
        <v>0</v>
      </c>
      <c r="I5" s="4" t="s">
        <v>5</v>
      </c>
      <c r="J5" s="4"/>
      <c r="K5" s="13">
        <f>COUNTIF($G$1:$G$100, 1)</f>
        <v>48</v>
      </c>
      <c r="L5" s="8"/>
      <c r="M5" s="8">
        <f>COUNTIFS($G$1:$G$100, 1, $B$1:$B$100, 0)</f>
        <v>19</v>
      </c>
      <c r="N5" s="8"/>
      <c r="O5" s="8">
        <f>COUNTIFS($G$1:$G$100, 1, $B$1:$B$100, 1)</f>
        <v>29</v>
      </c>
      <c r="P5" s="12"/>
      <c r="Q5"/>
    </row>
    <row r="6" spans="1:17" x14ac:dyDescent="0.3">
      <c r="A6" s="26">
        <v>2</v>
      </c>
      <c r="B6" s="26">
        <v>0</v>
      </c>
      <c r="C6" s="26" t="s">
        <v>11</v>
      </c>
      <c r="D6" s="26">
        <v>54</v>
      </c>
      <c r="E6" s="26" t="s">
        <v>11</v>
      </c>
      <c r="F6" s="26">
        <v>20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11</v>
      </c>
      <c r="D7" s="26">
        <v>20</v>
      </c>
      <c r="E7" s="26" t="s">
        <v>11</v>
      </c>
      <c r="F7" s="26">
        <v>8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11</v>
      </c>
      <c r="D8" s="26">
        <v>6</v>
      </c>
      <c r="E8" s="26" t="s">
        <v>11</v>
      </c>
      <c r="F8" s="26">
        <v>42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11</v>
      </c>
      <c r="D9" s="26">
        <v>27</v>
      </c>
      <c r="E9" s="26" t="s">
        <v>11</v>
      </c>
      <c r="F9" s="26">
        <v>18</v>
      </c>
      <c r="G9" s="26">
        <v>0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11</v>
      </c>
      <c r="D10" s="26">
        <v>46</v>
      </c>
      <c r="E10" s="26" t="s">
        <v>11</v>
      </c>
      <c r="F10" s="26">
        <v>19</v>
      </c>
      <c r="G10" s="26">
        <v>0</v>
      </c>
      <c r="I10" s="4" t="s">
        <v>8</v>
      </c>
      <c r="J10" s="4"/>
      <c r="K10" s="8">
        <f>AVERAGE($D$1:$D$100,)</f>
        <v>21.623762376237625</v>
      </c>
      <c r="L10" s="8"/>
      <c r="M10" s="8" cm="1">
        <f t="array" ref="M10">AVERAGE(_xlfn._xlws.FILTER($D$1:$D$100,$G$1:$G$100 = 0))</f>
        <v>30.71153846153846</v>
      </c>
      <c r="N10" s="8"/>
      <c r="O10" s="9" cm="1">
        <f t="array" ref="O10">AVERAGE(_xlfn._xlws.FILTER($D$1:$D$100,$G$1:$G$100 = 1))</f>
        <v>12.229166666666666</v>
      </c>
      <c r="P10" s="10"/>
      <c r="Q10"/>
    </row>
    <row r="11" spans="1:17" x14ac:dyDescent="0.3">
      <c r="A11" s="26">
        <v>2</v>
      </c>
      <c r="B11" s="26">
        <v>0</v>
      </c>
      <c r="C11" s="26" t="s">
        <v>11</v>
      </c>
      <c r="D11" s="26">
        <v>6</v>
      </c>
      <c r="E11" s="26" t="s">
        <v>11</v>
      </c>
      <c r="F11" s="26">
        <v>50</v>
      </c>
      <c r="G11" s="26">
        <v>1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11</v>
      </c>
      <c r="D12" s="26">
        <v>44</v>
      </c>
      <c r="E12" s="26" t="s">
        <v>11</v>
      </c>
      <c r="F12" s="26">
        <v>34</v>
      </c>
      <c r="G12" s="26">
        <v>0</v>
      </c>
      <c r="I12" s="4" t="s">
        <v>9</v>
      </c>
      <c r="J12" s="4"/>
      <c r="K12" s="8">
        <f>AVERAGE($F$1:$F$100,)</f>
        <v>22.217821782178216</v>
      </c>
      <c r="L12" s="8"/>
      <c r="M12" s="8" cm="1">
        <f t="array" ref="M12">AVERAGE(_xlfn._xlws.FILTER($F$1:$F$100,$G$1:$G$100 = 0))</f>
        <v>13.788461538461538</v>
      </c>
      <c r="N12" s="8"/>
      <c r="O12" s="8" cm="1">
        <f t="array" ref="O12">AVERAGE(_xlfn._xlws.FILTER($F$1:$F$100,$G$1:$G$100 = 1))</f>
        <v>31.8125</v>
      </c>
      <c r="P12" s="12"/>
      <c r="Q12"/>
    </row>
    <row r="13" spans="1:17" x14ac:dyDescent="0.3">
      <c r="A13" s="26">
        <v>2</v>
      </c>
      <c r="B13" s="26">
        <v>0</v>
      </c>
      <c r="C13" s="26" t="s">
        <v>11</v>
      </c>
      <c r="D13" s="26">
        <v>11</v>
      </c>
      <c r="E13" s="26" t="s">
        <v>11</v>
      </c>
      <c r="F13" s="26">
        <v>42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11</v>
      </c>
      <c r="D14" s="26">
        <v>23</v>
      </c>
      <c r="E14" s="26" t="s">
        <v>11</v>
      </c>
      <c r="F14" s="26">
        <v>17</v>
      </c>
      <c r="G14" s="26">
        <v>0</v>
      </c>
      <c r="I14" s="21" t="s">
        <v>10</v>
      </c>
      <c r="J14" s="10"/>
      <c r="K14" s="22" cm="1">
        <f t="array" ref="K14">AVERAGE($D$1:$D$100 - $F$1:$F$100)</f>
        <v>-0.6</v>
      </c>
      <c r="L14" s="22"/>
      <c r="M14" s="22" cm="1">
        <f t="array" ref="M14">AVERAGE(_xlfn._xlws.FILTER($D$1:$D$100 - $F$1:$F$100, G$1:G$100 = 0))</f>
        <v>16.923076923076923</v>
      </c>
      <c r="N14" s="22"/>
      <c r="O14" s="22" cm="1">
        <f t="array" ref="O14">AVERAGE(_xlfn._xlws.FILTER($D$1:$D$100 - $F$1:$F$100, G$1:G$100 = 1))</f>
        <v>-19.583333333333332</v>
      </c>
      <c r="P14" s="23"/>
      <c r="Q14"/>
    </row>
    <row r="15" spans="1:17" x14ac:dyDescent="0.3">
      <c r="A15" s="26">
        <v>2</v>
      </c>
      <c r="B15" s="26">
        <v>0</v>
      </c>
      <c r="C15" s="26" t="s">
        <v>11</v>
      </c>
      <c r="D15" s="26">
        <v>5</v>
      </c>
      <c r="E15" s="26" t="s">
        <v>11</v>
      </c>
      <c r="F15" s="26">
        <v>46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11</v>
      </c>
      <c r="D16" s="26">
        <v>22</v>
      </c>
      <c r="E16" s="26" t="s">
        <v>11</v>
      </c>
      <c r="F16" s="26">
        <v>49</v>
      </c>
      <c r="G16" s="26">
        <v>1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11</v>
      </c>
      <c r="D17" s="26">
        <v>32</v>
      </c>
      <c r="E17" s="26" t="s">
        <v>11</v>
      </c>
      <c r="F17" s="26">
        <v>2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37</v>
      </c>
      <c r="E18" s="26" t="s">
        <v>11</v>
      </c>
      <c r="F18" s="26">
        <v>7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35</v>
      </c>
      <c r="E19" s="26" t="s">
        <v>11</v>
      </c>
      <c r="F19" s="26">
        <v>16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24</v>
      </c>
      <c r="E20" s="26" t="s">
        <v>11</v>
      </c>
      <c r="F20" s="26">
        <v>12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42</v>
      </c>
      <c r="E21" s="26" t="s">
        <v>11</v>
      </c>
      <c r="F21" s="26">
        <v>7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11</v>
      </c>
      <c r="E22" s="26" t="s">
        <v>11</v>
      </c>
      <c r="F22" s="26">
        <v>33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43</v>
      </c>
      <c r="E23" s="26" t="s">
        <v>11</v>
      </c>
      <c r="F23" s="26">
        <v>14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32</v>
      </c>
      <c r="E24" s="26" t="s">
        <v>11</v>
      </c>
      <c r="F24" s="26">
        <v>9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37</v>
      </c>
      <c r="E25" s="26" t="s">
        <v>11</v>
      </c>
      <c r="F25" s="26">
        <v>22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13</v>
      </c>
      <c r="E26" s="26" t="s">
        <v>11</v>
      </c>
      <c r="F26" s="26">
        <v>17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30</v>
      </c>
      <c r="E27" s="26" t="s">
        <v>11</v>
      </c>
      <c r="F27" s="26">
        <v>26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0</v>
      </c>
      <c r="E28" s="26" t="s">
        <v>11</v>
      </c>
      <c r="F28" s="26">
        <v>7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30</v>
      </c>
      <c r="E29" s="26" t="s">
        <v>11</v>
      </c>
      <c r="F29" s="26">
        <v>2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16</v>
      </c>
      <c r="E30" s="26" t="s">
        <v>11</v>
      </c>
      <c r="F30" s="26">
        <v>21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2</v>
      </c>
      <c r="E31" s="26" t="s">
        <v>11</v>
      </c>
      <c r="F31" s="26">
        <v>29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34</v>
      </c>
      <c r="E32" s="26" t="s">
        <v>11</v>
      </c>
      <c r="F32" s="26">
        <v>36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32</v>
      </c>
      <c r="E33" s="26" t="s">
        <v>11</v>
      </c>
      <c r="F33" s="26">
        <v>36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2</v>
      </c>
      <c r="E34" s="26" t="s">
        <v>11</v>
      </c>
      <c r="F34" s="26">
        <v>21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15</v>
      </c>
      <c r="E35" s="26" t="s">
        <v>11</v>
      </c>
      <c r="F35" s="26">
        <v>13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41</v>
      </c>
      <c r="E36" s="26" t="s">
        <v>11</v>
      </c>
      <c r="F36" s="26">
        <v>12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38</v>
      </c>
      <c r="E37" s="26" t="s">
        <v>11</v>
      </c>
      <c r="F37" s="26">
        <v>29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6</v>
      </c>
      <c r="E38" s="26" t="s">
        <v>11</v>
      </c>
      <c r="F38" s="26">
        <v>15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41</v>
      </c>
      <c r="E39" s="26" t="s">
        <v>11</v>
      </c>
      <c r="F39" s="26">
        <v>23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34</v>
      </c>
      <c r="E40" s="26" t="s">
        <v>11</v>
      </c>
      <c r="F40" s="26">
        <v>16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11</v>
      </c>
      <c r="E41" s="26" t="s">
        <v>11</v>
      </c>
      <c r="F41" s="26">
        <v>27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16</v>
      </c>
      <c r="E42" s="26" t="s">
        <v>11</v>
      </c>
      <c r="F42" s="26">
        <v>21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18</v>
      </c>
      <c r="E43" s="26" t="s">
        <v>11</v>
      </c>
      <c r="F43" s="26">
        <v>41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47</v>
      </c>
      <c r="E44" s="26" t="s">
        <v>11</v>
      </c>
      <c r="F44" s="26">
        <v>23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20</v>
      </c>
      <c r="E45" s="26" t="s">
        <v>11</v>
      </c>
      <c r="F45" s="26">
        <v>12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41</v>
      </c>
      <c r="E46" s="26" t="s">
        <v>11</v>
      </c>
      <c r="F46" s="26">
        <v>14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39</v>
      </c>
      <c r="E47" s="26" t="s">
        <v>11</v>
      </c>
      <c r="F47" s="26">
        <v>6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28</v>
      </c>
      <c r="E48" s="26" t="s">
        <v>11</v>
      </c>
      <c r="F48" s="26">
        <v>2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32</v>
      </c>
      <c r="E49" s="26" t="s">
        <v>11</v>
      </c>
      <c r="F49" s="26">
        <v>2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0</v>
      </c>
      <c r="E50" s="26" t="s">
        <v>11</v>
      </c>
      <c r="F50" s="26">
        <v>15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2</v>
      </c>
      <c r="E51" s="26" t="s">
        <v>11</v>
      </c>
      <c r="F51" s="26">
        <v>16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11</v>
      </c>
      <c r="E52" s="26" t="s">
        <v>11</v>
      </c>
      <c r="F52" s="26">
        <v>44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30</v>
      </c>
      <c r="E53" s="26" t="s">
        <v>11</v>
      </c>
      <c r="F53" s="26">
        <v>17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25</v>
      </c>
      <c r="E54" s="26" t="s">
        <v>11</v>
      </c>
      <c r="F54" s="26">
        <v>12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17</v>
      </c>
      <c r="E55" s="26" t="s">
        <v>11</v>
      </c>
      <c r="F55" s="26">
        <v>11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15</v>
      </c>
      <c r="E56" s="26" t="s">
        <v>11</v>
      </c>
      <c r="F56" s="26">
        <v>32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18</v>
      </c>
      <c r="E57" s="26" t="s">
        <v>11</v>
      </c>
      <c r="F57" s="26">
        <v>57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22</v>
      </c>
      <c r="E58" s="26" t="s">
        <v>11</v>
      </c>
      <c r="F58" s="26">
        <v>13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54</v>
      </c>
      <c r="E59" s="26" t="s">
        <v>11</v>
      </c>
      <c r="F59" s="26">
        <v>21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2</v>
      </c>
      <c r="E60" s="26" t="s">
        <v>11</v>
      </c>
      <c r="F60" s="26">
        <v>43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21</v>
      </c>
      <c r="E61" s="26" t="s">
        <v>11</v>
      </c>
      <c r="F61" s="26">
        <v>10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28</v>
      </c>
      <c r="E62" s="26" t="s">
        <v>11</v>
      </c>
      <c r="F62" s="26">
        <v>21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12</v>
      </c>
      <c r="E63" s="26" t="s">
        <v>11</v>
      </c>
      <c r="F63" s="26">
        <v>21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24</v>
      </c>
      <c r="E64" s="26" t="s">
        <v>11</v>
      </c>
      <c r="F64" s="26">
        <v>19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28</v>
      </c>
      <c r="E65" s="26" t="s">
        <v>11</v>
      </c>
      <c r="F65" s="26">
        <v>31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23</v>
      </c>
      <c r="E66" s="26" t="s">
        <v>11</v>
      </c>
      <c r="F66" s="26">
        <v>18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39</v>
      </c>
      <c r="E67" s="26" t="s">
        <v>11</v>
      </c>
      <c r="F67" s="26">
        <v>20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18</v>
      </c>
      <c r="E68" s="26" t="s">
        <v>11</v>
      </c>
      <c r="F68" s="26">
        <v>19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2</v>
      </c>
      <c r="E69" s="26" t="s">
        <v>11</v>
      </c>
      <c r="F69" s="26">
        <v>2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35</v>
      </c>
      <c r="E70" s="26" t="s">
        <v>11</v>
      </c>
      <c r="F70" s="26">
        <v>9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24</v>
      </c>
      <c r="E71" s="26" t="s">
        <v>11</v>
      </c>
      <c r="F71" s="26">
        <v>2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14</v>
      </c>
      <c r="E72" s="26" t="s">
        <v>11</v>
      </c>
      <c r="F72" s="26">
        <v>27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2</v>
      </c>
      <c r="E73" s="26" t="s">
        <v>11</v>
      </c>
      <c r="F73" s="26">
        <v>27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35</v>
      </c>
      <c r="E74" s="26" t="s">
        <v>11</v>
      </c>
      <c r="F74" s="26">
        <v>15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11</v>
      </c>
      <c r="E75" s="26" t="s">
        <v>11</v>
      </c>
      <c r="F75" s="26">
        <v>56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16</v>
      </c>
      <c r="E76" s="26" t="s">
        <v>11</v>
      </c>
      <c r="F76" s="26">
        <v>55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4</v>
      </c>
      <c r="E77" s="26" t="s">
        <v>11</v>
      </c>
      <c r="F77" s="26">
        <v>43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4</v>
      </c>
      <c r="E78" s="26" t="s">
        <v>11</v>
      </c>
      <c r="F78" s="26">
        <v>44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2</v>
      </c>
      <c r="E79" s="26" t="s">
        <v>11</v>
      </c>
      <c r="F79" s="26">
        <v>2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25</v>
      </c>
      <c r="E80" s="26" t="s">
        <v>11</v>
      </c>
      <c r="F80" s="26">
        <v>25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10</v>
      </c>
      <c r="E81" s="26" t="s">
        <v>11</v>
      </c>
      <c r="F81" s="26">
        <v>19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18</v>
      </c>
      <c r="E82" s="26" t="s">
        <v>11</v>
      </c>
      <c r="F82" s="26">
        <v>47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30</v>
      </c>
      <c r="E83" s="26" t="s">
        <v>11</v>
      </c>
      <c r="F83" s="26">
        <v>29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21</v>
      </c>
      <c r="E84" s="26" t="s">
        <v>11</v>
      </c>
      <c r="F84" s="26">
        <v>38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12</v>
      </c>
      <c r="E85" s="26" t="s">
        <v>11</v>
      </c>
      <c r="F85" s="26">
        <v>15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3</v>
      </c>
      <c r="E86" s="26" t="s">
        <v>11</v>
      </c>
      <c r="F86" s="26">
        <v>32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24</v>
      </c>
      <c r="E87" s="26" t="s">
        <v>11</v>
      </c>
      <c r="F87" s="26">
        <v>37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23</v>
      </c>
      <c r="E88" s="26" t="s">
        <v>11</v>
      </c>
      <c r="F88" s="26">
        <v>13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13</v>
      </c>
      <c r="E89" s="26" t="s">
        <v>11</v>
      </c>
      <c r="F89" s="26">
        <v>28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9</v>
      </c>
      <c r="E90" s="26" t="s">
        <v>11</v>
      </c>
      <c r="F90" s="26">
        <v>37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22</v>
      </c>
      <c r="E91" s="26" t="s">
        <v>11</v>
      </c>
      <c r="F91" s="26">
        <v>31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17</v>
      </c>
      <c r="E92" s="26" t="s">
        <v>11</v>
      </c>
      <c r="F92" s="26">
        <v>4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28</v>
      </c>
      <c r="E93" s="26" t="s">
        <v>11</v>
      </c>
      <c r="F93" s="26">
        <v>10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35</v>
      </c>
      <c r="E94" s="26" t="s">
        <v>11</v>
      </c>
      <c r="F94" s="26">
        <v>10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21</v>
      </c>
      <c r="E95" s="26" t="s">
        <v>11</v>
      </c>
      <c r="F95" s="26">
        <v>22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20</v>
      </c>
      <c r="E96" s="26" t="s">
        <v>11</v>
      </c>
      <c r="F96" s="26">
        <v>37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3</v>
      </c>
      <c r="E97" s="26" t="s">
        <v>11</v>
      </c>
      <c r="F97" s="26">
        <v>32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19</v>
      </c>
      <c r="E98" s="26" t="s">
        <v>11</v>
      </c>
      <c r="F98" s="26">
        <v>24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10</v>
      </c>
      <c r="E99" s="26" t="s">
        <v>11</v>
      </c>
      <c r="F99" s="26">
        <v>26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14</v>
      </c>
      <c r="E100" s="26" t="s">
        <v>11</v>
      </c>
      <c r="F100" s="26">
        <v>23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3A02-C2E9-401A-9B38-70CECB1F56D1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31</v>
      </c>
      <c r="E1" s="26" t="s">
        <v>11</v>
      </c>
      <c r="F1" s="26">
        <v>27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12</v>
      </c>
      <c r="D2" s="26">
        <v>33</v>
      </c>
      <c r="E2" s="26" t="s">
        <v>11</v>
      </c>
      <c r="F2" s="26">
        <v>16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7</v>
      </c>
      <c r="E3" s="26" t="s">
        <v>11</v>
      </c>
      <c r="F3" s="26">
        <v>10</v>
      </c>
      <c r="G3" s="26">
        <v>1</v>
      </c>
      <c r="I3" s="4" t="s">
        <v>4</v>
      </c>
      <c r="J3" s="4"/>
      <c r="K3" s="8">
        <f>COUNTIF($G$1:$G$100, 0)</f>
        <v>92</v>
      </c>
      <c r="L3" s="8"/>
      <c r="M3" s="8">
        <f>COUNTIFS($G$1:$G$100, 0, $B$1:$B$100, 0)</f>
        <v>49</v>
      </c>
      <c r="N3" s="8"/>
      <c r="O3" s="9">
        <f>COUNTIFS($G$1:$G$100, 0, $B$1:$B$100, 1)</f>
        <v>43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12</v>
      </c>
      <c r="D4" s="26">
        <v>16</v>
      </c>
      <c r="E4" s="26" t="s">
        <v>11</v>
      </c>
      <c r="F4" s="26">
        <v>16</v>
      </c>
      <c r="G4" s="26">
        <v>0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12</v>
      </c>
      <c r="D5" s="26">
        <v>12</v>
      </c>
      <c r="E5" s="26" t="s">
        <v>11</v>
      </c>
      <c r="F5" s="26">
        <v>7</v>
      </c>
      <c r="G5" s="26">
        <v>0</v>
      </c>
      <c r="I5" s="4" t="s">
        <v>5</v>
      </c>
      <c r="J5" s="4"/>
      <c r="K5" s="13">
        <f>COUNTIF($G$1:$G$100, 1)</f>
        <v>8</v>
      </c>
      <c r="L5" s="8"/>
      <c r="M5" s="8">
        <f>COUNTIFS($G$1:$G$100, 1, $B$1:$B$100, 0)</f>
        <v>1</v>
      </c>
      <c r="N5" s="8"/>
      <c r="O5" s="8">
        <f>COUNTIFS($G$1:$G$100, 1, $B$1:$B$100, 1)</f>
        <v>7</v>
      </c>
      <c r="P5" s="12"/>
      <c r="Q5"/>
    </row>
    <row r="6" spans="1:17" x14ac:dyDescent="0.3">
      <c r="A6" s="26">
        <v>2</v>
      </c>
      <c r="B6" s="26">
        <v>0</v>
      </c>
      <c r="C6" s="26" t="s">
        <v>12</v>
      </c>
      <c r="D6" s="26">
        <v>39</v>
      </c>
      <c r="E6" s="26" t="s">
        <v>11</v>
      </c>
      <c r="F6" s="26">
        <v>25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12</v>
      </c>
      <c r="D7" s="26">
        <v>31</v>
      </c>
      <c r="E7" s="26" t="s">
        <v>11</v>
      </c>
      <c r="F7" s="26">
        <v>10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12</v>
      </c>
      <c r="D8" s="26">
        <v>44</v>
      </c>
      <c r="E8" s="26" t="s">
        <v>11</v>
      </c>
      <c r="F8" s="26">
        <v>17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12</v>
      </c>
      <c r="D9" s="26">
        <v>27</v>
      </c>
      <c r="E9" s="26" t="s">
        <v>11</v>
      </c>
      <c r="F9" s="26">
        <v>15</v>
      </c>
      <c r="G9" s="26">
        <v>0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12</v>
      </c>
      <c r="D10" s="26">
        <v>37</v>
      </c>
      <c r="E10" s="26" t="s">
        <v>11</v>
      </c>
      <c r="F10" s="26">
        <v>26</v>
      </c>
      <c r="G10" s="26">
        <v>0</v>
      </c>
      <c r="I10" s="4" t="s">
        <v>8</v>
      </c>
      <c r="J10" s="4"/>
      <c r="K10" s="8">
        <f>AVERAGE($D$1:$D$100,)</f>
        <v>31.198019801980198</v>
      </c>
      <c r="L10" s="8"/>
      <c r="M10" s="8" cm="1">
        <f t="array" ref="M10">AVERAGE(_xlfn._xlws.FILTER($D$1:$D$100,$G$1:$G$100 = 0))</f>
        <v>33.163043478260867</v>
      </c>
      <c r="N10" s="8"/>
      <c r="O10" s="9" cm="1">
        <f t="array" ref="O10">AVERAGE(_xlfn._xlws.FILTER($D$1:$D$100,$G$1:$G$100 = 1))</f>
        <v>12.5</v>
      </c>
      <c r="P10" s="10"/>
      <c r="Q10"/>
    </row>
    <row r="11" spans="1:17" x14ac:dyDescent="0.3">
      <c r="A11" s="26">
        <v>2</v>
      </c>
      <c r="B11" s="26">
        <v>0</v>
      </c>
      <c r="C11" s="26" t="s">
        <v>12</v>
      </c>
      <c r="D11" s="26">
        <v>25</v>
      </c>
      <c r="E11" s="26" t="s">
        <v>11</v>
      </c>
      <c r="F11" s="26">
        <v>2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12</v>
      </c>
      <c r="D12" s="26">
        <v>24</v>
      </c>
      <c r="E12" s="26" t="s">
        <v>11</v>
      </c>
      <c r="F12" s="26">
        <v>7</v>
      </c>
      <c r="G12" s="26">
        <v>0</v>
      </c>
      <c r="I12" s="4" t="s">
        <v>9</v>
      </c>
      <c r="J12" s="4"/>
      <c r="K12" s="8">
        <f>AVERAGE($F$1:$F$100,)</f>
        <v>13.940594059405941</v>
      </c>
      <c r="L12" s="8"/>
      <c r="M12" s="8" cm="1">
        <f t="array" ref="M12">AVERAGE(_xlfn._xlws.FILTER($F$1:$F$100,$G$1:$G$100 = 0))</f>
        <v>12.489130434782609</v>
      </c>
      <c r="N12" s="8"/>
      <c r="O12" s="8" cm="1">
        <f t="array" ref="O12">AVERAGE(_xlfn._xlws.FILTER($F$1:$F$100,$G$1:$G$100 = 1))</f>
        <v>32.375</v>
      </c>
      <c r="P12" s="12"/>
      <c r="Q12"/>
    </row>
    <row r="13" spans="1:17" x14ac:dyDescent="0.3">
      <c r="A13" s="26">
        <v>2</v>
      </c>
      <c r="B13" s="26">
        <v>0</v>
      </c>
      <c r="C13" s="26" t="s">
        <v>12</v>
      </c>
      <c r="D13" s="26">
        <v>51</v>
      </c>
      <c r="E13" s="26" t="s">
        <v>11</v>
      </c>
      <c r="F13" s="26">
        <v>25</v>
      </c>
      <c r="G13" s="26">
        <v>0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12</v>
      </c>
      <c r="D14" s="26">
        <v>60</v>
      </c>
      <c r="E14" s="26" t="s">
        <v>11</v>
      </c>
      <c r="F14" s="26">
        <v>0</v>
      </c>
      <c r="G14" s="26">
        <v>0</v>
      </c>
      <c r="I14" s="21" t="s">
        <v>10</v>
      </c>
      <c r="J14" s="10"/>
      <c r="K14" s="22" cm="1">
        <f t="array" ref="K14">AVERAGE($D$1:$D$100 - $F$1:$F$100)</f>
        <v>17.43</v>
      </c>
      <c r="L14" s="22"/>
      <c r="M14" s="22" cm="1">
        <f t="array" ref="M14">AVERAGE(_xlfn._xlws.FILTER($D$1:$D$100 - $F$1:$F$100, G$1:G$100 = 0))</f>
        <v>20.673913043478262</v>
      </c>
      <c r="N14" s="22"/>
      <c r="O14" s="22" cm="1">
        <f t="array" ref="O14">AVERAGE(_xlfn._xlws.FILTER($D$1:$D$100 - $F$1:$F$100, G$1:G$100 = 1))</f>
        <v>-19.875</v>
      </c>
      <c r="P14" s="23"/>
      <c r="Q14"/>
    </row>
    <row r="15" spans="1:17" x14ac:dyDescent="0.3">
      <c r="A15" s="26">
        <v>2</v>
      </c>
      <c r="B15" s="26">
        <v>0</v>
      </c>
      <c r="C15" s="26" t="s">
        <v>12</v>
      </c>
      <c r="D15" s="26">
        <v>29</v>
      </c>
      <c r="E15" s="26" t="s">
        <v>11</v>
      </c>
      <c r="F15" s="26">
        <v>15</v>
      </c>
      <c r="G15" s="26">
        <v>0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12</v>
      </c>
      <c r="D16" s="26">
        <v>26</v>
      </c>
      <c r="E16" s="26" t="s">
        <v>11</v>
      </c>
      <c r="F16" s="26">
        <v>13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12</v>
      </c>
      <c r="D17" s="26">
        <v>50</v>
      </c>
      <c r="E17" s="26" t="s">
        <v>11</v>
      </c>
      <c r="F17" s="26">
        <v>0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26</v>
      </c>
      <c r="E18" s="26" t="s">
        <v>11</v>
      </c>
      <c r="F18" s="26">
        <v>5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16</v>
      </c>
      <c r="E19" s="26" t="s">
        <v>11</v>
      </c>
      <c r="F19" s="26">
        <v>2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35</v>
      </c>
      <c r="E20" s="26" t="s">
        <v>11</v>
      </c>
      <c r="F20" s="26">
        <v>2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40</v>
      </c>
      <c r="E21" s="26" t="s">
        <v>11</v>
      </c>
      <c r="F21" s="26">
        <v>7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32</v>
      </c>
      <c r="E22" s="26" t="s">
        <v>11</v>
      </c>
      <c r="F22" s="26">
        <v>20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27</v>
      </c>
      <c r="E23" s="26" t="s">
        <v>11</v>
      </c>
      <c r="F23" s="26">
        <v>14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41</v>
      </c>
      <c r="E24" s="26" t="s">
        <v>11</v>
      </c>
      <c r="F24" s="26">
        <v>13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62</v>
      </c>
      <c r="E25" s="26" t="s">
        <v>11</v>
      </c>
      <c r="F25" s="26">
        <v>28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27</v>
      </c>
      <c r="E26" s="26" t="s">
        <v>11</v>
      </c>
      <c r="F26" s="26">
        <v>9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53</v>
      </c>
      <c r="E27" s="26" t="s">
        <v>11</v>
      </c>
      <c r="F27" s="26">
        <v>7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40</v>
      </c>
      <c r="E28" s="26" t="s">
        <v>11</v>
      </c>
      <c r="F28" s="26">
        <v>23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23</v>
      </c>
      <c r="E29" s="26" t="s">
        <v>11</v>
      </c>
      <c r="F29" s="26">
        <v>8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44</v>
      </c>
      <c r="E30" s="26" t="s">
        <v>11</v>
      </c>
      <c r="F30" s="26">
        <v>14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40</v>
      </c>
      <c r="E31" s="26" t="s">
        <v>11</v>
      </c>
      <c r="F31" s="26">
        <v>14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40</v>
      </c>
      <c r="E32" s="26" t="s">
        <v>11</v>
      </c>
      <c r="F32" s="26">
        <v>11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20</v>
      </c>
      <c r="E33" s="26" t="s">
        <v>11</v>
      </c>
      <c r="F33" s="26">
        <v>2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24</v>
      </c>
      <c r="E34" s="26" t="s">
        <v>11</v>
      </c>
      <c r="F34" s="26">
        <v>14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26</v>
      </c>
      <c r="E35" s="26" t="s">
        <v>11</v>
      </c>
      <c r="F35" s="26">
        <v>4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26</v>
      </c>
      <c r="E36" s="26" t="s">
        <v>11</v>
      </c>
      <c r="F36" s="26">
        <v>14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26</v>
      </c>
      <c r="E37" s="26" t="s">
        <v>11</v>
      </c>
      <c r="F37" s="26">
        <v>0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37</v>
      </c>
      <c r="E38" s="26" t="s">
        <v>11</v>
      </c>
      <c r="F38" s="26">
        <v>29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42</v>
      </c>
      <c r="E39" s="26" t="s">
        <v>11</v>
      </c>
      <c r="F39" s="26">
        <v>0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36</v>
      </c>
      <c r="E40" s="26" t="s">
        <v>11</v>
      </c>
      <c r="F40" s="26">
        <v>29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12</v>
      </c>
      <c r="E41" s="26" t="s">
        <v>11</v>
      </c>
      <c r="F41" s="26">
        <v>11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34</v>
      </c>
      <c r="E42" s="26" t="s">
        <v>11</v>
      </c>
      <c r="F42" s="26">
        <v>2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54</v>
      </c>
      <c r="E43" s="26" t="s">
        <v>11</v>
      </c>
      <c r="F43" s="26">
        <v>5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40</v>
      </c>
      <c r="E44" s="26" t="s">
        <v>11</v>
      </c>
      <c r="F44" s="26">
        <v>0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41</v>
      </c>
      <c r="E45" s="26" t="s">
        <v>11</v>
      </c>
      <c r="F45" s="26">
        <v>0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23</v>
      </c>
      <c r="E46" s="26" t="s">
        <v>11</v>
      </c>
      <c r="F46" s="26">
        <v>15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31</v>
      </c>
      <c r="E47" s="26" t="s">
        <v>11</v>
      </c>
      <c r="F47" s="26">
        <v>21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38</v>
      </c>
      <c r="E48" s="26" t="s">
        <v>11</v>
      </c>
      <c r="F48" s="26">
        <v>30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28</v>
      </c>
      <c r="E49" s="26" t="s">
        <v>11</v>
      </c>
      <c r="F49" s="26">
        <v>0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47</v>
      </c>
      <c r="E50" s="26" t="s">
        <v>11</v>
      </c>
      <c r="F50" s="26">
        <v>32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30</v>
      </c>
      <c r="E51" s="26" t="s">
        <v>11</v>
      </c>
      <c r="F51" s="26">
        <v>9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31</v>
      </c>
      <c r="E52" s="26" t="s">
        <v>11</v>
      </c>
      <c r="F52" s="26">
        <v>6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61</v>
      </c>
      <c r="E53" s="26" t="s">
        <v>11</v>
      </c>
      <c r="F53" s="26">
        <v>14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13</v>
      </c>
      <c r="E54" s="26" t="s">
        <v>11</v>
      </c>
      <c r="F54" s="26">
        <v>0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21</v>
      </c>
      <c r="E55" s="26" t="s">
        <v>11</v>
      </c>
      <c r="F55" s="26">
        <v>20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37</v>
      </c>
      <c r="E56" s="26" t="s">
        <v>11</v>
      </c>
      <c r="F56" s="26">
        <v>32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47</v>
      </c>
      <c r="E57" s="26" t="s">
        <v>11</v>
      </c>
      <c r="F57" s="26">
        <v>12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20</v>
      </c>
      <c r="E58" s="26" t="s">
        <v>11</v>
      </c>
      <c r="F58" s="26">
        <v>14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38</v>
      </c>
      <c r="E59" s="26" t="s">
        <v>11</v>
      </c>
      <c r="F59" s="26">
        <v>7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25</v>
      </c>
      <c r="E60" s="26" t="s">
        <v>11</v>
      </c>
      <c r="F60" s="26">
        <v>8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16</v>
      </c>
      <c r="E61" s="26" t="s">
        <v>11</v>
      </c>
      <c r="F61" s="26">
        <v>23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44</v>
      </c>
      <c r="E62" s="26" t="s">
        <v>11</v>
      </c>
      <c r="F62" s="26">
        <v>11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25</v>
      </c>
      <c r="E63" s="26" t="s">
        <v>11</v>
      </c>
      <c r="F63" s="26">
        <v>2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54</v>
      </c>
      <c r="E64" s="26" t="s">
        <v>11</v>
      </c>
      <c r="F64" s="26">
        <v>15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29</v>
      </c>
      <c r="E65" s="26" t="s">
        <v>11</v>
      </c>
      <c r="F65" s="26">
        <v>3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50</v>
      </c>
      <c r="E66" s="26" t="s">
        <v>11</v>
      </c>
      <c r="F66" s="26">
        <v>34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35</v>
      </c>
      <c r="E67" s="26" t="s">
        <v>11</v>
      </c>
      <c r="F67" s="26">
        <v>2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27</v>
      </c>
      <c r="E68" s="26" t="s">
        <v>11</v>
      </c>
      <c r="F68" s="26">
        <v>4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30</v>
      </c>
      <c r="E69" s="26" t="s">
        <v>11</v>
      </c>
      <c r="F69" s="26">
        <v>30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45</v>
      </c>
      <c r="E70" s="26" t="s">
        <v>11</v>
      </c>
      <c r="F70" s="26">
        <v>30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25</v>
      </c>
      <c r="E71" s="26" t="s">
        <v>11</v>
      </c>
      <c r="F71" s="26">
        <v>14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28</v>
      </c>
      <c r="E72" s="26" t="s">
        <v>11</v>
      </c>
      <c r="F72" s="26">
        <v>7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26</v>
      </c>
      <c r="E73" s="26" t="s">
        <v>11</v>
      </c>
      <c r="F73" s="26">
        <v>14</v>
      </c>
      <c r="G73" s="26">
        <v>0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15</v>
      </c>
      <c r="E74" s="26" t="s">
        <v>11</v>
      </c>
      <c r="F74" s="26">
        <v>33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27</v>
      </c>
      <c r="E75" s="26" t="s">
        <v>11</v>
      </c>
      <c r="F75" s="26">
        <v>8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43</v>
      </c>
      <c r="E76" s="26" t="s">
        <v>11</v>
      </c>
      <c r="F76" s="26">
        <v>10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27</v>
      </c>
      <c r="E77" s="26" t="s">
        <v>11</v>
      </c>
      <c r="F77" s="26">
        <v>18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15</v>
      </c>
      <c r="E78" s="26" t="s">
        <v>11</v>
      </c>
      <c r="F78" s="26">
        <v>13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22</v>
      </c>
      <c r="E79" s="26" t="s">
        <v>11</v>
      </c>
      <c r="F79" s="26">
        <v>35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29</v>
      </c>
      <c r="E80" s="26" t="s">
        <v>11</v>
      </c>
      <c r="F80" s="26">
        <v>2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43</v>
      </c>
      <c r="E81" s="26" t="s">
        <v>11</v>
      </c>
      <c r="F81" s="26">
        <v>20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29</v>
      </c>
      <c r="E82" s="26" t="s">
        <v>11</v>
      </c>
      <c r="F82" s="26">
        <v>12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30</v>
      </c>
      <c r="E83" s="26" t="s">
        <v>11</v>
      </c>
      <c r="F83" s="26">
        <v>11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29</v>
      </c>
      <c r="E84" s="26" t="s">
        <v>11</v>
      </c>
      <c r="F84" s="26">
        <v>29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33</v>
      </c>
      <c r="E85" s="26" t="s">
        <v>11</v>
      </c>
      <c r="F85" s="26">
        <v>20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29</v>
      </c>
      <c r="E86" s="26" t="s">
        <v>11</v>
      </c>
      <c r="F86" s="26">
        <v>2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8</v>
      </c>
      <c r="E87" s="26" t="s">
        <v>11</v>
      </c>
      <c r="F87" s="26">
        <v>2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20</v>
      </c>
      <c r="E88" s="26" t="s">
        <v>11</v>
      </c>
      <c r="F88" s="26">
        <v>15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34</v>
      </c>
      <c r="E89" s="26" t="s">
        <v>11</v>
      </c>
      <c r="F89" s="26">
        <v>10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26</v>
      </c>
      <c r="E90" s="26" t="s">
        <v>11</v>
      </c>
      <c r="F90" s="26">
        <v>8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38</v>
      </c>
      <c r="E91" s="26" t="s">
        <v>11</v>
      </c>
      <c r="F91" s="26">
        <v>33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50</v>
      </c>
      <c r="E92" s="26" t="s">
        <v>11</v>
      </c>
      <c r="F92" s="26">
        <v>24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18</v>
      </c>
      <c r="E93" s="26" t="s">
        <v>11</v>
      </c>
      <c r="F93" s="26">
        <v>23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0</v>
      </c>
      <c r="E94" s="26" t="s">
        <v>11</v>
      </c>
      <c r="F94" s="26">
        <v>39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22</v>
      </c>
      <c r="E95" s="26" t="s">
        <v>11</v>
      </c>
      <c r="F95" s="26">
        <v>0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0</v>
      </c>
      <c r="E96" s="26" t="s">
        <v>11</v>
      </c>
      <c r="F96" s="26">
        <v>49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22</v>
      </c>
      <c r="E97" s="26" t="s">
        <v>11</v>
      </c>
      <c r="F97" s="26">
        <v>47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52</v>
      </c>
      <c r="E98" s="26" t="s">
        <v>11</v>
      </c>
      <c r="F98" s="26">
        <v>14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41</v>
      </c>
      <c r="E99" s="26" t="s">
        <v>11</v>
      </c>
      <c r="F99" s="26">
        <v>2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19</v>
      </c>
      <c r="E100" s="26" t="s">
        <v>11</v>
      </c>
      <c r="F100" s="26">
        <v>2</v>
      </c>
      <c r="G100" s="26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F9E5-3D2E-4F8F-8613-5E58EFF3569E}">
  <dimension ref="A1:Q100"/>
  <sheetViews>
    <sheetView workbookViewId="0">
      <selection activeCell="L24" sqref="L24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22</v>
      </c>
      <c r="E1" s="26" t="s">
        <v>13</v>
      </c>
      <c r="F1" s="26">
        <v>68</v>
      </c>
      <c r="G1" s="26">
        <v>1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12</v>
      </c>
      <c r="D2" s="26">
        <v>46</v>
      </c>
      <c r="E2" s="26" t="s">
        <v>13</v>
      </c>
      <c r="F2" s="26">
        <v>27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5</v>
      </c>
      <c r="E3" s="26" t="s">
        <v>13</v>
      </c>
      <c r="F3" s="26">
        <v>57</v>
      </c>
      <c r="G3" s="26">
        <v>1</v>
      </c>
      <c r="I3" s="4" t="s">
        <v>4</v>
      </c>
      <c r="J3" s="4"/>
      <c r="K3" s="8">
        <f>COUNTIF($G$1:$G$100, 0)</f>
        <v>35</v>
      </c>
      <c r="L3" s="8"/>
      <c r="M3" s="8">
        <f>COUNTIFS($G$1:$G$100, 0, $B$1:$B$100, 0)</f>
        <v>15</v>
      </c>
      <c r="N3" s="8"/>
      <c r="O3" s="9">
        <f>COUNTIFS($G$1:$G$100, 0, $B$1:$B$100, 1)</f>
        <v>20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12</v>
      </c>
      <c r="D4" s="26">
        <v>16</v>
      </c>
      <c r="E4" s="26" t="s">
        <v>13</v>
      </c>
      <c r="F4" s="26">
        <v>38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12</v>
      </c>
      <c r="D5" s="26">
        <v>20</v>
      </c>
      <c r="E5" s="26" t="s">
        <v>13</v>
      </c>
      <c r="F5" s="26">
        <v>33</v>
      </c>
      <c r="G5" s="26">
        <v>1</v>
      </c>
      <c r="I5" s="4" t="s">
        <v>5</v>
      </c>
      <c r="J5" s="4"/>
      <c r="K5" s="13">
        <f>COUNTIF($G$1:$G$100, 1)</f>
        <v>65</v>
      </c>
      <c r="L5" s="8"/>
      <c r="M5" s="8">
        <f>COUNTIFS($G$1:$G$100, 1, $B$1:$B$100, 0)</f>
        <v>35</v>
      </c>
      <c r="N5" s="8"/>
      <c r="O5" s="8">
        <f>COUNTIFS($G$1:$G$100, 1, $B$1:$B$100, 1)</f>
        <v>30</v>
      </c>
      <c r="P5" s="12"/>
      <c r="Q5"/>
    </row>
    <row r="6" spans="1:17" x14ac:dyDescent="0.3">
      <c r="A6" s="26">
        <v>2</v>
      </c>
      <c r="B6" s="26">
        <v>0</v>
      </c>
      <c r="C6" s="26" t="s">
        <v>12</v>
      </c>
      <c r="D6" s="26">
        <v>28</v>
      </c>
      <c r="E6" s="26" t="s">
        <v>13</v>
      </c>
      <c r="F6" s="26">
        <v>65</v>
      </c>
      <c r="G6" s="26">
        <v>1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12</v>
      </c>
      <c r="D7" s="26">
        <v>25</v>
      </c>
      <c r="E7" s="26" t="s">
        <v>13</v>
      </c>
      <c r="F7" s="26">
        <v>15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12</v>
      </c>
      <c r="D8" s="26">
        <v>19</v>
      </c>
      <c r="E8" s="26" t="s">
        <v>13</v>
      </c>
      <c r="F8" s="26">
        <v>7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12</v>
      </c>
      <c r="D9" s="26">
        <v>43</v>
      </c>
      <c r="E9" s="26" t="s">
        <v>13</v>
      </c>
      <c r="F9" s="26">
        <v>25</v>
      </c>
      <c r="G9" s="26">
        <v>0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12</v>
      </c>
      <c r="D10" s="26">
        <v>11</v>
      </c>
      <c r="E10" s="26" t="s">
        <v>13</v>
      </c>
      <c r="F10" s="26">
        <v>20</v>
      </c>
      <c r="G10" s="26">
        <v>1</v>
      </c>
      <c r="I10" s="4" t="s">
        <v>8</v>
      </c>
      <c r="J10" s="4"/>
      <c r="K10" s="8">
        <f>AVERAGE($D$1:$D$100,)</f>
        <v>23.06930693069307</v>
      </c>
      <c r="L10" s="8"/>
      <c r="M10" s="8" cm="1">
        <f t="array" ref="M10">AVERAGE(_xlfn._xlws.FILTER($D$1:$D$100,$G$1:$G$100 = 0))</f>
        <v>31.971428571428572</v>
      </c>
      <c r="N10" s="8"/>
      <c r="O10" s="9" cm="1">
        <f t="array" ref="O10">AVERAGE(_xlfn._xlws.FILTER($D$1:$D$100,$G$1:$G$100 = 1))</f>
        <v>18.630769230769232</v>
      </c>
      <c r="P10" s="10"/>
      <c r="Q10"/>
    </row>
    <row r="11" spans="1:17" x14ac:dyDescent="0.3">
      <c r="A11" s="26">
        <v>2</v>
      </c>
      <c r="B11" s="26">
        <v>0</v>
      </c>
      <c r="C11" s="26" t="s">
        <v>12</v>
      </c>
      <c r="D11" s="26">
        <v>22</v>
      </c>
      <c r="E11" s="26" t="s">
        <v>13</v>
      </c>
      <c r="F11" s="26">
        <v>11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12</v>
      </c>
      <c r="D12" s="26">
        <v>18</v>
      </c>
      <c r="E12" s="26" t="s">
        <v>13</v>
      </c>
      <c r="F12" s="26">
        <v>54</v>
      </c>
      <c r="G12" s="26">
        <v>1</v>
      </c>
      <c r="I12" s="4" t="s">
        <v>9</v>
      </c>
      <c r="J12" s="4"/>
      <c r="K12" s="8">
        <f>AVERAGE($F$1:$F$100,)</f>
        <v>36.089108910891092</v>
      </c>
      <c r="L12" s="8"/>
      <c r="M12" s="8" cm="1">
        <f t="array" ref="M12">AVERAGE(_xlfn._xlws.FILTER($F$1:$F$100,$G$1:$G$100 = 0))</f>
        <v>22.857142857142858</v>
      </c>
      <c r="N12" s="8"/>
      <c r="O12" s="8" cm="1">
        <f t="array" ref="O12">AVERAGE(_xlfn._xlws.FILTER($F$1:$F$100,$G$1:$G$100 = 1))</f>
        <v>43.769230769230766</v>
      </c>
      <c r="P12" s="12"/>
      <c r="Q12"/>
    </row>
    <row r="13" spans="1:17" x14ac:dyDescent="0.3">
      <c r="A13" s="26">
        <v>2</v>
      </c>
      <c r="B13" s="26">
        <v>0</v>
      </c>
      <c r="C13" s="26" t="s">
        <v>12</v>
      </c>
      <c r="D13" s="26">
        <v>32</v>
      </c>
      <c r="E13" s="26" t="s">
        <v>13</v>
      </c>
      <c r="F13" s="26">
        <v>45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12</v>
      </c>
      <c r="D14" s="26">
        <v>28</v>
      </c>
      <c r="E14" s="26" t="s">
        <v>13</v>
      </c>
      <c r="F14" s="26">
        <v>35</v>
      </c>
      <c r="G14" s="26">
        <v>1</v>
      </c>
      <c r="I14" s="21" t="s">
        <v>10</v>
      </c>
      <c r="J14" s="10"/>
      <c r="K14" s="22" cm="1">
        <f t="array" ref="K14">AVERAGE($D$1:$D$100 - $F$1:$F$100)</f>
        <v>-13.15</v>
      </c>
      <c r="L14" s="22"/>
      <c r="M14" s="22" cm="1">
        <f t="array" ref="M14">AVERAGE(_xlfn._xlws.FILTER($D$1:$D$100 - $F$1:$F$100, G$1:G$100 = 0))</f>
        <v>9.1142857142857139</v>
      </c>
      <c r="N14" s="22"/>
      <c r="O14" s="22" cm="1">
        <f t="array" ref="O14">AVERAGE(_xlfn._xlws.FILTER($D$1:$D$100 - $F$1:$F$100, G$1:G$100 = 1))</f>
        <v>-25.138461538461538</v>
      </c>
      <c r="P14" s="23"/>
      <c r="Q14"/>
    </row>
    <row r="15" spans="1:17" x14ac:dyDescent="0.3">
      <c r="A15" s="26">
        <v>2</v>
      </c>
      <c r="B15" s="26">
        <v>0</v>
      </c>
      <c r="C15" s="26" t="s">
        <v>12</v>
      </c>
      <c r="D15" s="26">
        <v>40</v>
      </c>
      <c r="E15" s="26" t="s">
        <v>13</v>
      </c>
      <c r="F15" s="26">
        <v>31</v>
      </c>
      <c r="G15" s="26">
        <v>0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12</v>
      </c>
      <c r="D16" s="26">
        <v>54</v>
      </c>
      <c r="E16" s="26" t="s">
        <v>13</v>
      </c>
      <c r="F16" s="26">
        <v>35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12</v>
      </c>
      <c r="D17" s="26">
        <v>4</v>
      </c>
      <c r="E17" s="26" t="s">
        <v>13</v>
      </c>
      <c r="F17" s="26">
        <v>32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37</v>
      </c>
      <c r="E18" s="26" t="s">
        <v>13</v>
      </c>
      <c r="F18" s="26">
        <v>38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45</v>
      </c>
      <c r="E19" s="26" t="s">
        <v>13</v>
      </c>
      <c r="F19" s="26">
        <v>42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31</v>
      </c>
      <c r="E20" s="26" t="s">
        <v>13</v>
      </c>
      <c r="F20" s="26">
        <v>17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30</v>
      </c>
      <c r="E21" s="26" t="s">
        <v>13</v>
      </c>
      <c r="F21" s="26">
        <v>35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14</v>
      </c>
      <c r="E22" s="26" t="s">
        <v>13</v>
      </c>
      <c r="F22" s="26">
        <v>78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26</v>
      </c>
      <c r="E23" s="26" t="s">
        <v>13</v>
      </c>
      <c r="F23" s="26">
        <v>50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20</v>
      </c>
      <c r="E24" s="26" t="s">
        <v>13</v>
      </c>
      <c r="F24" s="26">
        <v>62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28</v>
      </c>
      <c r="E25" s="26" t="s">
        <v>13</v>
      </c>
      <c r="F25" s="26">
        <v>58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7</v>
      </c>
      <c r="E26" s="26" t="s">
        <v>13</v>
      </c>
      <c r="F26" s="26">
        <v>68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2</v>
      </c>
      <c r="E27" s="26" t="s">
        <v>13</v>
      </c>
      <c r="F27" s="26">
        <v>64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10</v>
      </c>
      <c r="E28" s="26" t="s">
        <v>13</v>
      </c>
      <c r="F28" s="26">
        <v>49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11</v>
      </c>
      <c r="E29" s="26" t="s">
        <v>13</v>
      </c>
      <c r="F29" s="26">
        <v>20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21</v>
      </c>
      <c r="E30" s="26" t="s">
        <v>13</v>
      </c>
      <c r="F30" s="26">
        <v>26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12</v>
      </c>
      <c r="E31" s="26" t="s">
        <v>13</v>
      </c>
      <c r="F31" s="26">
        <v>24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12</v>
      </c>
      <c r="E32" s="26" t="s">
        <v>13</v>
      </c>
      <c r="F32" s="26">
        <v>61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18</v>
      </c>
      <c r="E33" s="26" t="s">
        <v>13</v>
      </c>
      <c r="F33" s="26">
        <v>42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12</v>
      </c>
      <c r="E34" s="26" t="s">
        <v>13</v>
      </c>
      <c r="F34" s="26">
        <v>45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19</v>
      </c>
      <c r="E35" s="26" t="s">
        <v>13</v>
      </c>
      <c r="F35" s="26">
        <v>62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40</v>
      </c>
      <c r="E36" s="26" t="s">
        <v>13</v>
      </c>
      <c r="F36" s="26">
        <v>41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41</v>
      </c>
      <c r="E37" s="26" t="s">
        <v>13</v>
      </c>
      <c r="F37" s="26">
        <v>27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18</v>
      </c>
      <c r="E38" s="26" t="s">
        <v>13</v>
      </c>
      <c r="F38" s="26">
        <v>11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40</v>
      </c>
      <c r="E39" s="26" t="s">
        <v>13</v>
      </c>
      <c r="F39" s="26">
        <v>35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24</v>
      </c>
      <c r="E40" s="26" t="s">
        <v>13</v>
      </c>
      <c r="F40" s="26">
        <v>34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11</v>
      </c>
      <c r="E41" s="26" t="s">
        <v>13</v>
      </c>
      <c r="F41" s="26">
        <v>39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14</v>
      </c>
      <c r="E42" s="26" t="s">
        <v>13</v>
      </c>
      <c r="F42" s="26">
        <v>47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29</v>
      </c>
      <c r="E43" s="26" t="s">
        <v>13</v>
      </c>
      <c r="F43" s="26">
        <v>18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25</v>
      </c>
      <c r="E44" s="26" t="s">
        <v>13</v>
      </c>
      <c r="F44" s="26">
        <v>49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26</v>
      </c>
      <c r="E45" s="26" t="s">
        <v>13</v>
      </c>
      <c r="F45" s="26">
        <v>33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21</v>
      </c>
      <c r="E46" s="26" t="s">
        <v>13</v>
      </c>
      <c r="F46" s="26">
        <v>21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38</v>
      </c>
      <c r="E47" s="26" t="s">
        <v>13</v>
      </c>
      <c r="F47" s="26">
        <v>36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21</v>
      </c>
      <c r="E48" s="26" t="s">
        <v>13</v>
      </c>
      <c r="F48" s="26">
        <v>26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27</v>
      </c>
      <c r="E49" s="26" t="s">
        <v>13</v>
      </c>
      <c r="F49" s="26">
        <v>31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31</v>
      </c>
      <c r="E50" s="26" t="s">
        <v>13</v>
      </c>
      <c r="F50" s="26">
        <v>37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44</v>
      </c>
      <c r="E51" s="26" t="s">
        <v>13</v>
      </c>
      <c r="F51" s="26">
        <v>43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17</v>
      </c>
      <c r="E52" s="26" t="s">
        <v>13</v>
      </c>
      <c r="F52" s="26">
        <v>35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2</v>
      </c>
      <c r="E53" s="26" t="s">
        <v>13</v>
      </c>
      <c r="F53" s="26">
        <v>52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23</v>
      </c>
      <c r="E54" s="26" t="s">
        <v>13</v>
      </c>
      <c r="F54" s="26">
        <v>32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12</v>
      </c>
      <c r="E55" s="26" t="s">
        <v>13</v>
      </c>
      <c r="F55" s="26">
        <v>20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33</v>
      </c>
      <c r="E56" s="26" t="s">
        <v>13</v>
      </c>
      <c r="F56" s="26">
        <v>17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27</v>
      </c>
      <c r="E57" s="26" t="s">
        <v>13</v>
      </c>
      <c r="F57" s="26">
        <v>74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21</v>
      </c>
      <c r="E58" s="26" t="s">
        <v>13</v>
      </c>
      <c r="F58" s="26">
        <v>14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2</v>
      </c>
      <c r="E59" s="26" t="s">
        <v>13</v>
      </c>
      <c r="F59" s="26">
        <v>61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35</v>
      </c>
      <c r="E60" s="26" t="s">
        <v>13</v>
      </c>
      <c r="F60" s="26">
        <v>26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23</v>
      </c>
      <c r="E61" s="26" t="s">
        <v>13</v>
      </c>
      <c r="F61" s="26">
        <v>2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34</v>
      </c>
      <c r="E62" s="26" t="s">
        <v>13</v>
      </c>
      <c r="F62" s="26">
        <v>35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27</v>
      </c>
      <c r="E63" s="26" t="s">
        <v>13</v>
      </c>
      <c r="F63" s="26">
        <v>36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0</v>
      </c>
      <c r="E64" s="26" t="s">
        <v>13</v>
      </c>
      <c r="F64" s="26">
        <v>36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39</v>
      </c>
      <c r="E65" s="26" t="s">
        <v>13</v>
      </c>
      <c r="F65" s="26">
        <v>52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13</v>
      </c>
      <c r="E66" s="26" t="s">
        <v>13</v>
      </c>
      <c r="F66" s="26">
        <v>32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10</v>
      </c>
      <c r="E67" s="26" t="s">
        <v>13</v>
      </c>
      <c r="F67" s="26">
        <v>29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2</v>
      </c>
      <c r="E68" s="26" t="s">
        <v>13</v>
      </c>
      <c r="F68" s="26">
        <v>23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37</v>
      </c>
      <c r="E69" s="26" t="s">
        <v>13</v>
      </c>
      <c r="F69" s="26">
        <v>28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20</v>
      </c>
      <c r="E70" s="26" t="s">
        <v>13</v>
      </c>
      <c r="F70" s="26">
        <v>2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29</v>
      </c>
      <c r="E71" s="26" t="s">
        <v>13</v>
      </c>
      <c r="F71" s="26">
        <v>35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37</v>
      </c>
      <c r="E72" s="26" t="s">
        <v>13</v>
      </c>
      <c r="F72" s="26">
        <v>19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25</v>
      </c>
      <c r="E73" s="26" t="s">
        <v>13</v>
      </c>
      <c r="F73" s="26">
        <v>12</v>
      </c>
      <c r="G73" s="26">
        <v>0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19</v>
      </c>
      <c r="E74" s="26" t="s">
        <v>13</v>
      </c>
      <c r="F74" s="26">
        <v>11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32</v>
      </c>
      <c r="E75" s="26" t="s">
        <v>13</v>
      </c>
      <c r="F75" s="26">
        <v>23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20</v>
      </c>
      <c r="E76" s="26" t="s">
        <v>13</v>
      </c>
      <c r="F76" s="26">
        <v>18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11</v>
      </c>
      <c r="E77" s="26" t="s">
        <v>13</v>
      </c>
      <c r="F77" s="26">
        <v>6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20</v>
      </c>
      <c r="E78" s="26" t="s">
        <v>13</v>
      </c>
      <c r="F78" s="26">
        <v>45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26</v>
      </c>
      <c r="E79" s="26" t="s">
        <v>13</v>
      </c>
      <c r="F79" s="26">
        <v>21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36</v>
      </c>
      <c r="E80" s="26" t="s">
        <v>13</v>
      </c>
      <c r="F80" s="26">
        <v>28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2</v>
      </c>
      <c r="E81" s="26" t="s">
        <v>13</v>
      </c>
      <c r="F81" s="26">
        <v>38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4</v>
      </c>
      <c r="E82" s="26" t="s">
        <v>13</v>
      </c>
      <c r="F82" s="26">
        <v>46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28</v>
      </c>
      <c r="E83" s="26" t="s">
        <v>13</v>
      </c>
      <c r="F83" s="26">
        <v>33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17</v>
      </c>
      <c r="E84" s="26" t="s">
        <v>13</v>
      </c>
      <c r="F84" s="26">
        <v>51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13</v>
      </c>
      <c r="E85" s="26" t="s">
        <v>13</v>
      </c>
      <c r="F85" s="26">
        <v>51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13</v>
      </c>
      <c r="E86" s="26" t="s">
        <v>13</v>
      </c>
      <c r="F86" s="26">
        <v>77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27</v>
      </c>
      <c r="E87" s="26" t="s">
        <v>13</v>
      </c>
      <c r="F87" s="26">
        <v>30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9</v>
      </c>
      <c r="E88" s="26" t="s">
        <v>13</v>
      </c>
      <c r="F88" s="26">
        <v>42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29</v>
      </c>
      <c r="E89" s="26" t="s">
        <v>13</v>
      </c>
      <c r="F89" s="26">
        <v>27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15</v>
      </c>
      <c r="E90" s="26" t="s">
        <v>13</v>
      </c>
      <c r="F90" s="26">
        <v>18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34</v>
      </c>
      <c r="E91" s="26" t="s">
        <v>13</v>
      </c>
      <c r="F91" s="26">
        <v>34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20</v>
      </c>
      <c r="E92" s="26" t="s">
        <v>13</v>
      </c>
      <c r="F92" s="26">
        <v>31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53</v>
      </c>
      <c r="E93" s="26" t="s">
        <v>13</v>
      </c>
      <c r="F93" s="26">
        <v>50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41</v>
      </c>
      <c r="E94" s="26" t="s">
        <v>13</v>
      </c>
      <c r="F94" s="26">
        <v>42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26</v>
      </c>
      <c r="E95" s="26" t="s">
        <v>13</v>
      </c>
      <c r="F95" s="26">
        <v>70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13</v>
      </c>
      <c r="E96" s="26" t="s">
        <v>13</v>
      </c>
      <c r="F96" s="26">
        <v>53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44</v>
      </c>
      <c r="E97" s="26" t="s">
        <v>13</v>
      </c>
      <c r="F97" s="26">
        <v>33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22</v>
      </c>
      <c r="E98" s="26" t="s">
        <v>13</v>
      </c>
      <c r="F98" s="26">
        <v>56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22</v>
      </c>
      <c r="E99" s="26" t="s">
        <v>13</v>
      </c>
      <c r="F99" s="26">
        <v>44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28</v>
      </c>
      <c r="E100" s="26" t="s">
        <v>13</v>
      </c>
      <c r="F100" s="26">
        <v>28</v>
      </c>
      <c r="G100" s="26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F4F1-DE5D-426B-BE52-7553A516110F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13</v>
      </c>
      <c r="D1" s="26">
        <v>34</v>
      </c>
      <c r="E1" s="26" t="s">
        <v>14</v>
      </c>
      <c r="F1" s="26">
        <v>33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13</v>
      </c>
      <c r="D2" s="26">
        <v>20</v>
      </c>
      <c r="E2" s="26" t="s">
        <v>14</v>
      </c>
      <c r="F2" s="26">
        <v>13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13</v>
      </c>
      <c r="D3" s="26">
        <v>26</v>
      </c>
      <c r="E3" s="26" t="s">
        <v>14</v>
      </c>
      <c r="F3" s="26">
        <v>31</v>
      </c>
      <c r="G3" s="26">
        <v>1</v>
      </c>
      <c r="I3" s="4" t="s">
        <v>4</v>
      </c>
      <c r="J3" s="4"/>
      <c r="K3" s="8">
        <f>COUNTIF($G$1:$G$100, 0)</f>
        <v>30</v>
      </c>
      <c r="L3" s="8"/>
      <c r="M3" s="8">
        <f>COUNTIFS($G$1:$G$100, 0, $B$1:$B$100, 0)</f>
        <v>17</v>
      </c>
      <c r="N3" s="8"/>
      <c r="O3" s="9">
        <f>COUNTIFS($G$1:$G$100, 0, $B$1:$B$100, 1)</f>
        <v>13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13</v>
      </c>
      <c r="D4" s="26">
        <v>14</v>
      </c>
      <c r="E4" s="26" t="s">
        <v>14</v>
      </c>
      <c r="F4" s="26">
        <v>42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13</v>
      </c>
      <c r="D5" s="26">
        <v>8</v>
      </c>
      <c r="E5" s="26" t="s">
        <v>14</v>
      </c>
      <c r="F5" s="26">
        <v>56</v>
      </c>
      <c r="G5" s="26">
        <v>1</v>
      </c>
      <c r="I5" s="4" t="s">
        <v>5</v>
      </c>
      <c r="J5" s="4"/>
      <c r="K5" s="13">
        <f>COUNTIF($G$1:$G$100, 1)</f>
        <v>70</v>
      </c>
      <c r="L5" s="8"/>
      <c r="M5" s="8">
        <f>COUNTIFS($G$1:$G$100, 1, $B$1:$B$100, 0)</f>
        <v>33</v>
      </c>
      <c r="N5" s="8"/>
      <c r="O5" s="8">
        <f>COUNTIFS($G$1:$G$100, 1, $B$1:$B$100, 1)</f>
        <v>37</v>
      </c>
      <c r="P5" s="12"/>
      <c r="Q5"/>
    </row>
    <row r="6" spans="1:17" x14ac:dyDescent="0.3">
      <c r="A6" s="26">
        <v>2</v>
      </c>
      <c r="B6" s="26">
        <v>0</v>
      </c>
      <c r="C6" s="26" t="s">
        <v>13</v>
      </c>
      <c r="D6" s="26">
        <v>44</v>
      </c>
      <c r="E6" s="26" t="s">
        <v>14</v>
      </c>
      <c r="F6" s="26">
        <v>29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13</v>
      </c>
      <c r="D7" s="26">
        <v>37</v>
      </c>
      <c r="E7" s="26" t="s">
        <v>14</v>
      </c>
      <c r="F7" s="26">
        <v>17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13</v>
      </c>
      <c r="D8" s="26">
        <v>42</v>
      </c>
      <c r="E8" s="26" t="s">
        <v>14</v>
      </c>
      <c r="F8" s="26">
        <v>38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13</v>
      </c>
      <c r="D9" s="26">
        <v>30</v>
      </c>
      <c r="E9" s="26" t="s">
        <v>14</v>
      </c>
      <c r="F9" s="26">
        <v>37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13</v>
      </c>
      <c r="D10" s="26">
        <v>49</v>
      </c>
      <c r="E10" s="26" t="s">
        <v>14</v>
      </c>
      <c r="F10" s="26">
        <v>51</v>
      </c>
      <c r="G10" s="26">
        <v>1</v>
      </c>
      <c r="I10" s="4" t="s">
        <v>8</v>
      </c>
      <c r="J10" s="4"/>
      <c r="K10" s="8">
        <f>AVERAGE($D$1:$D$100,)</f>
        <v>26.554455445544555</v>
      </c>
      <c r="L10" s="8"/>
      <c r="M10" s="8" cm="1">
        <f t="array" ref="M10">AVERAGE(_xlfn._xlws.FILTER($D$1:$D$100,$G$1:$G$100 = 0))</f>
        <v>33.466666666666669</v>
      </c>
      <c r="N10" s="8"/>
      <c r="O10" s="9" cm="1">
        <f t="array" ref="O10">AVERAGE(_xlfn._xlws.FILTER($D$1:$D$100,$G$1:$G$100 = 1))</f>
        <v>23.971428571428572</v>
      </c>
      <c r="P10" s="10"/>
      <c r="Q10"/>
    </row>
    <row r="11" spans="1:17" x14ac:dyDescent="0.3">
      <c r="A11" s="26">
        <v>2</v>
      </c>
      <c r="B11" s="26">
        <v>0</v>
      </c>
      <c r="C11" s="26" t="s">
        <v>13</v>
      </c>
      <c r="D11" s="26">
        <v>28</v>
      </c>
      <c r="E11" s="26" t="s">
        <v>14</v>
      </c>
      <c r="F11" s="26">
        <v>17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13</v>
      </c>
      <c r="D12" s="26">
        <v>24</v>
      </c>
      <c r="E12" s="26" t="s">
        <v>14</v>
      </c>
      <c r="F12" s="26">
        <v>27</v>
      </c>
      <c r="G12" s="26">
        <v>1</v>
      </c>
      <c r="I12" s="4" t="s">
        <v>9</v>
      </c>
      <c r="J12" s="4"/>
      <c r="K12" s="8">
        <f>AVERAGE($F$1:$F$100,)</f>
        <v>37.376237623762378</v>
      </c>
      <c r="L12" s="8"/>
      <c r="M12" s="8" cm="1">
        <f t="array" ref="M12">AVERAGE(_xlfn._xlws.FILTER($F$1:$F$100,$G$1:$G$100 = 0))</f>
        <v>24.066666666666666</v>
      </c>
      <c r="N12" s="8"/>
      <c r="O12" s="8" cm="1">
        <f t="array" ref="O12">AVERAGE(_xlfn._xlws.FILTER($F$1:$F$100,$G$1:$G$100 = 1))</f>
        <v>43.614285714285714</v>
      </c>
      <c r="P12" s="12"/>
      <c r="Q12"/>
    </row>
    <row r="13" spans="1:17" x14ac:dyDescent="0.3">
      <c r="A13" s="26">
        <v>2</v>
      </c>
      <c r="B13" s="26">
        <v>0</v>
      </c>
      <c r="C13" s="26" t="s">
        <v>13</v>
      </c>
      <c r="D13" s="26">
        <v>38</v>
      </c>
      <c r="E13" s="26" t="s">
        <v>14</v>
      </c>
      <c r="F13" s="26">
        <v>13</v>
      </c>
      <c r="G13" s="26">
        <v>0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13</v>
      </c>
      <c r="D14" s="26">
        <v>37</v>
      </c>
      <c r="E14" s="26" t="s">
        <v>14</v>
      </c>
      <c r="F14" s="26">
        <v>56</v>
      </c>
      <c r="G14" s="26">
        <v>1</v>
      </c>
      <c r="I14" s="21" t="s">
        <v>10</v>
      </c>
      <c r="J14" s="10"/>
      <c r="K14" s="22" cm="1">
        <f t="array" ref="K14">AVERAGE($D$1:$D$100 - $F$1:$F$100)</f>
        <v>-10.93</v>
      </c>
      <c r="L14" s="22"/>
      <c r="M14" s="22" cm="1">
        <f t="array" ref="M14">AVERAGE(_xlfn._xlws.FILTER($D$1:$D$100 - $F$1:$F$100, G$1:G$100 = 0))</f>
        <v>9.4</v>
      </c>
      <c r="N14" s="22"/>
      <c r="O14" s="22" cm="1">
        <f t="array" ref="O14">AVERAGE(_xlfn._xlws.FILTER($D$1:$D$100 - $F$1:$F$100, G$1:G$100 = 1))</f>
        <v>-19.642857142857142</v>
      </c>
      <c r="P14" s="23"/>
      <c r="Q14"/>
    </row>
    <row r="15" spans="1:17" x14ac:dyDescent="0.3">
      <c r="A15" s="26">
        <v>2</v>
      </c>
      <c r="B15" s="26">
        <v>0</v>
      </c>
      <c r="C15" s="26" t="s">
        <v>13</v>
      </c>
      <c r="D15" s="26">
        <v>25</v>
      </c>
      <c r="E15" s="26" t="s">
        <v>14</v>
      </c>
      <c r="F15" s="26">
        <v>43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13</v>
      </c>
      <c r="D16" s="26">
        <v>27</v>
      </c>
      <c r="E16" s="26" t="s">
        <v>14</v>
      </c>
      <c r="F16" s="26">
        <v>15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13</v>
      </c>
      <c r="D17" s="26">
        <v>45</v>
      </c>
      <c r="E17" s="26" t="s">
        <v>14</v>
      </c>
      <c r="F17" s="26">
        <v>34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13</v>
      </c>
      <c r="D18" s="26">
        <v>12</v>
      </c>
      <c r="E18" s="26" t="s">
        <v>14</v>
      </c>
      <c r="F18" s="26">
        <v>29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13</v>
      </c>
      <c r="D19" s="26">
        <v>21</v>
      </c>
      <c r="E19" s="26" t="s">
        <v>14</v>
      </c>
      <c r="F19" s="26">
        <v>34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13</v>
      </c>
      <c r="D20" s="26">
        <v>39</v>
      </c>
      <c r="E20" s="26" t="s">
        <v>14</v>
      </c>
      <c r="F20" s="26">
        <v>45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13</v>
      </c>
      <c r="D21" s="26">
        <v>17</v>
      </c>
      <c r="E21" s="26" t="s">
        <v>14</v>
      </c>
      <c r="F21" s="26">
        <v>26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13</v>
      </c>
      <c r="D22" s="26">
        <v>24</v>
      </c>
      <c r="E22" s="26" t="s">
        <v>14</v>
      </c>
      <c r="F22" s="26">
        <v>51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13</v>
      </c>
      <c r="D23" s="26">
        <v>31</v>
      </c>
      <c r="E23" s="26" t="s">
        <v>14</v>
      </c>
      <c r="F23" s="26">
        <v>36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13</v>
      </c>
      <c r="D24" s="26">
        <v>10</v>
      </c>
      <c r="E24" s="26" t="s">
        <v>14</v>
      </c>
      <c r="F24" s="26">
        <v>9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13</v>
      </c>
      <c r="D25" s="26">
        <v>18</v>
      </c>
      <c r="E25" s="26" t="s">
        <v>14</v>
      </c>
      <c r="F25" s="26">
        <v>21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13</v>
      </c>
      <c r="D26" s="26">
        <v>57</v>
      </c>
      <c r="E26" s="26" t="s">
        <v>14</v>
      </c>
      <c r="F26" s="26">
        <v>38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13</v>
      </c>
      <c r="D27" s="26">
        <v>16</v>
      </c>
      <c r="E27" s="26" t="s">
        <v>14</v>
      </c>
      <c r="F27" s="26">
        <v>55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13</v>
      </c>
      <c r="D28" s="26">
        <v>39</v>
      </c>
      <c r="E28" s="26" t="s">
        <v>14</v>
      </c>
      <c r="F28" s="26">
        <v>37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13</v>
      </c>
      <c r="D29" s="26">
        <v>16</v>
      </c>
      <c r="E29" s="26" t="s">
        <v>14</v>
      </c>
      <c r="F29" s="26">
        <v>15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13</v>
      </c>
      <c r="D30" s="26">
        <v>10</v>
      </c>
      <c r="E30" s="26" t="s">
        <v>14</v>
      </c>
      <c r="F30" s="26">
        <v>58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13</v>
      </c>
      <c r="D31" s="26">
        <v>34</v>
      </c>
      <c r="E31" s="26" t="s">
        <v>14</v>
      </c>
      <c r="F31" s="26">
        <v>46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13</v>
      </c>
      <c r="D32" s="26">
        <v>10</v>
      </c>
      <c r="E32" s="26" t="s">
        <v>14</v>
      </c>
      <c r="F32" s="26">
        <v>54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13</v>
      </c>
      <c r="D33" s="26">
        <v>25</v>
      </c>
      <c r="E33" s="26" t="s">
        <v>14</v>
      </c>
      <c r="F33" s="26">
        <v>46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13</v>
      </c>
      <c r="D34" s="26">
        <v>12</v>
      </c>
      <c r="E34" s="26" t="s">
        <v>14</v>
      </c>
      <c r="F34" s="26">
        <v>23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13</v>
      </c>
      <c r="D35" s="26">
        <v>28</v>
      </c>
      <c r="E35" s="26" t="s">
        <v>14</v>
      </c>
      <c r="F35" s="26">
        <v>13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13</v>
      </c>
      <c r="D36" s="26">
        <v>31</v>
      </c>
      <c r="E36" s="26" t="s">
        <v>14</v>
      </c>
      <c r="F36" s="26">
        <v>45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13</v>
      </c>
      <c r="D37" s="26">
        <v>47</v>
      </c>
      <c r="E37" s="26" t="s">
        <v>14</v>
      </c>
      <c r="F37" s="26">
        <v>66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13</v>
      </c>
      <c r="D38" s="26">
        <v>7</v>
      </c>
      <c r="E38" s="26" t="s">
        <v>14</v>
      </c>
      <c r="F38" s="26">
        <v>53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13</v>
      </c>
      <c r="D39" s="26">
        <v>26</v>
      </c>
      <c r="E39" s="26" t="s">
        <v>14</v>
      </c>
      <c r="F39" s="26">
        <v>32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13</v>
      </c>
      <c r="D40" s="26">
        <v>17</v>
      </c>
      <c r="E40" s="26" t="s">
        <v>14</v>
      </c>
      <c r="F40" s="26">
        <v>61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13</v>
      </c>
      <c r="D41" s="26">
        <v>7</v>
      </c>
      <c r="E41" s="26" t="s">
        <v>14</v>
      </c>
      <c r="F41" s="26">
        <v>49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13</v>
      </c>
      <c r="D42" s="26">
        <v>23</v>
      </c>
      <c r="E42" s="26" t="s">
        <v>14</v>
      </c>
      <c r="F42" s="26">
        <v>48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13</v>
      </c>
      <c r="D43" s="26">
        <v>31</v>
      </c>
      <c r="E43" s="26" t="s">
        <v>14</v>
      </c>
      <c r="F43" s="26">
        <v>28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13</v>
      </c>
      <c r="D44" s="26">
        <v>35</v>
      </c>
      <c r="E44" s="26" t="s">
        <v>14</v>
      </c>
      <c r="F44" s="26">
        <v>23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13</v>
      </c>
      <c r="D45" s="26">
        <v>36</v>
      </c>
      <c r="E45" s="26" t="s">
        <v>14</v>
      </c>
      <c r="F45" s="26">
        <v>60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13</v>
      </c>
      <c r="D46" s="26">
        <v>29</v>
      </c>
      <c r="E46" s="26" t="s">
        <v>14</v>
      </c>
      <c r="F46" s="26">
        <v>44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13</v>
      </c>
      <c r="D47" s="26">
        <v>45</v>
      </c>
      <c r="E47" s="26" t="s">
        <v>14</v>
      </c>
      <c r="F47" s="26">
        <v>48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13</v>
      </c>
      <c r="D48" s="26">
        <v>46</v>
      </c>
      <c r="E48" s="26" t="s">
        <v>14</v>
      </c>
      <c r="F48" s="26">
        <v>31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13</v>
      </c>
      <c r="D49" s="26">
        <v>22</v>
      </c>
      <c r="E49" s="26" t="s">
        <v>14</v>
      </c>
      <c r="F49" s="26">
        <v>25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13</v>
      </c>
      <c r="D50" s="26">
        <v>14</v>
      </c>
      <c r="E50" s="26" t="s">
        <v>14</v>
      </c>
      <c r="F50" s="26">
        <v>23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13</v>
      </c>
      <c r="D51" s="26">
        <v>37</v>
      </c>
      <c r="E51" s="26" t="s">
        <v>14</v>
      </c>
      <c r="F51" s="26">
        <v>31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13</v>
      </c>
      <c r="D52" s="26">
        <v>31</v>
      </c>
      <c r="E52" s="26" t="s">
        <v>14</v>
      </c>
      <c r="F52" s="26">
        <v>40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13</v>
      </c>
      <c r="D53" s="26">
        <v>18</v>
      </c>
      <c r="E53" s="26" t="s">
        <v>14</v>
      </c>
      <c r="F53" s="26">
        <v>38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13</v>
      </c>
      <c r="D54" s="26">
        <v>24</v>
      </c>
      <c r="E54" s="26" t="s">
        <v>14</v>
      </c>
      <c r="F54" s="26">
        <v>30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13</v>
      </c>
      <c r="D55" s="26">
        <v>37</v>
      </c>
      <c r="E55" s="26" t="s">
        <v>14</v>
      </c>
      <c r="F55" s="26">
        <v>45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13</v>
      </c>
      <c r="D56" s="26">
        <v>27</v>
      </c>
      <c r="E56" s="26" t="s">
        <v>14</v>
      </c>
      <c r="F56" s="26">
        <v>39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13</v>
      </c>
      <c r="D57" s="26">
        <v>28</v>
      </c>
      <c r="E57" s="26" t="s">
        <v>14</v>
      </c>
      <c r="F57" s="26">
        <v>20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13</v>
      </c>
      <c r="D58" s="26">
        <v>41</v>
      </c>
      <c r="E58" s="26" t="s">
        <v>14</v>
      </c>
      <c r="F58" s="26">
        <v>42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13</v>
      </c>
      <c r="D59" s="26">
        <v>28</v>
      </c>
      <c r="E59" s="26" t="s">
        <v>14</v>
      </c>
      <c r="F59" s="26">
        <v>20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13</v>
      </c>
      <c r="D60" s="26">
        <v>15</v>
      </c>
      <c r="E60" s="26" t="s">
        <v>14</v>
      </c>
      <c r="F60" s="26">
        <v>54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13</v>
      </c>
      <c r="D61" s="26">
        <v>28</v>
      </c>
      <c r="E61" s="26" t="s">
        <v>14</v>
      </c>
      <c r="F61" s="26">
        <v>20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13</v>
      </c>
      <c r="D62" s="26">
        <v>29</v>
      </c>
      <c r="E62" s="26" t="s">
        <v>14</v>
      </c>
      <c r="F62" s="26">
        <v>34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13</v>
      </c>
      <c r="D63" s="26">
        <v>19</v>
      </c>
      <c r="E63" s="26" t="s">
        <v>14</v>
      </c>
      <c r="F63" s="26">
        <v>44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13</v>
      </c>
      <c r="D64" s="26">
        <v>17</v>
      </c>
      <c r="E64" s="26" t="s">
        <v>14</v>
      </c>
      <c r="F64" s="26">
        <v>55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13</v>
      </c>
      <c r="D65" s="26">
        <v>15</v>
      </c>
      <c r="E65" s="26" t="s">
        <v>14</v>
      </c>
      <c r="F65" s="26">
        <v>31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13</v>
      </c>
      <c r="D66" s="26">
        <v>31</v>
      </c>
      <c r="E66" s="26" t="s">
        <v>14</v>
      </c>
      <c r="F66" s="26">
        <v>18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13</v>
      </c>
      <c r="D67" s="26">
        <v>40</v>
      </c>
      <c r="E67" s="26" t="s">
        <v>14</v>
      </c>
      <c r="F67" s="26">
        <v>83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13</v>
      </c>
      <c r="D68" s="26">
        <v>27</v>
      </c>
      <c r="E68" s="26" t="s">
        <v>14</v>
      </c>
      <c r="F68" s="26">
        <v>46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13</v>
      </c>
      <c r="D69" s="26">
        <v>33</v>
      </c>
      <c r="E69" s="26" t="s">
        <v>14</v>
      </c>
      <c r="F69" s="26">
        <v>52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13</v>
      </c>
      <c r="D70" s="26">
        <v>35</v>
      </c>
      <c r="E70" s="26" t="s">
        <v>14</v>
      </c>
      <c r="F70" s="26">
        <v>40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13</v>
      </c>
      <c r="D71" s="26">
        <v>4</v>
      </c>
      <c r="E71" s="26" t="s">
        <v>14</v>
      </c>
      <c r="F71" s="26">
        <v>73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13</v>
      </c>
      <c r="D72" s="26">
        <v>10</v>
      </c>
      <c r="E72" s="26" t="s">
        <v>14</v>
      </c>
      <c r="F72" s="26">
        <v>41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13</v>
      </c>
      <c r="D73" s="26">
        <v>24</v>
      </c>
      <c r="E73" s="26" t="s">
        <v>14</v>
      </c>
      <c r="F73" s="26">
        <v>40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13</v>
      </c>
      <c r="D74" s="26">
        <v>27</v>
      </c>
      <c r="E74" s="26" t="s">
        <v>14</v>
      </c>
      <c r="F74" s="26">
        <v>36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13</v>
      </c>
      <c r="D75" s="26">
        <v>20</v>
      </c>
      <c r="E75" s="26" t="s">
        <v>14</v>
      </c>
      <c r="F75" s="26">
        <v>4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13</v>
      </c>
      <c r="D76" s="26">
        <v>26</v>
      </c>
      <c r="E76" s="26" t="s">
        <v>14</v>
      </c>
      <c r="F76" s="26">
        <v>39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13</v>
      </c>
      <c r="D77" s="26">
        <v>19</v>
      </c>
      <c r="E77" s="26" t="s">
        <v>14</v>
      </c>
      <c r="F77" s="26">
        <v>20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13</v>
      </c>
      <c r="D78" s="26">
        <v>21</v>
      </c>
      <c r="E78" s="26" t="s">
        <v>14</v>
      </c>
      <c r="F78" s="26">
        <v>10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13</v>
      </c>
      <c r="D79" s="26">
        <v>33</v>
      </c>
      <c r="E79" s="26" t="s">
        <v>14</v>
      </c>
      <c r="F79" s="26">
        <v>46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13</v>
      </c>
      <c r="D80" s="26">
        <v>46</v>
      </c>
      <c r="E80" s="26" t="s">
        <v>14</v>
      </c>
      <c r="F80" s="26">
        <v>56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13</v>
      </c>
      <c r="D81" s="26">
        <v>48</v>
      </c>
      <c r="E81" s="26" t="s">
        <v>14</v>
      </c>
      <c r="F81" s="26">
        <v>25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13</v>
      </c>
      <c r="D82" s="26">
        <v>30</v>
      </c>
      <c r="E82" s="26" t="s">
        <v>14</v>
      </c>
      <c r="F82" s="26">
        <v>37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13</v>
      </c>
      <c r="D83" s="26">
        <v>15</v>
      </c>
      <c r="E83" s="26" t="s">
        <v>14</v>
      </c>
      <c r="F83" s="26">
        <v>27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13</v>
      </c>
      <c r="D84" s="26">
        <v>20</v>
      </c>
      <c r="E84" s="26" t="s">
        <v>14</v>
      </c>
      <c r="F84" s="26">
        <v>32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13</v>
      </c>
      <c r="D85" s="26">
        <v>52</v>
      </c>
      <c r="E85" s="26" t="s">
        <v>14</v>
      </c>
      <c r="F85" s="26">
        <v>45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13</v>
      </c>
      <c r="D86" s="26">
        <v>9</v>
      </c>
      <c r="E86" s="26" t="s">
        <v>14</v>
      </c>
      <c r="F86" s="26">
        <v>38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13</v>
      </c>
      <c r="D87" s="26">
        <v>31</v>
      </c>
      <c r="E87" s="26" t="s">
        <v>14</v>
      </c>
      <c r="F87" s="26">
        <v>32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13</v>
      </c>
      <c r="D88" s="26">
        <v>24</v>
      </c>
      <c r="E88" s="26" t="s">
        <v>14</v>
      </c>
      <c r="F88" s="26">
        <v>21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13</v>
      </c>
      <c r="D89" s="26">
        <v>47</v>
      </c>
      <c r="E89" s="26" t="s">
        <v>14</v>
      </c>
      <c r="F89" s="26">
        <v>49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13</v>
      </c>
      <c r="D90" s="26">
        <v>25</v>
      </c>
      <c r="E90" s="26" t="s">
        <v>14</v>
      </c>
      <c r="F90" s="26">
        <v>43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13</v>
      </c>
      <c r="D91" s="26">
        <v>38</v>
      </c>
      <c r="E91" s="26" t="s">
        <v>14</v>
      </c>
      <c r="F91" s="26">
        <v>38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13</v>
      </c>
      <c r="D92" s="26">
        <v>42</v>
      </c>
      <c r="E92" s="26" t="s">
        <v>14</v>
      </c>
      <c r="F92" s="26">
        <v>37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13</v>
      </c>
      <c r="D93" s="26">
        <v>6</v>
      </c>
      <c r="E93" s="26" t="s">
        <v>14</v>
      </c>
      <c r="F93" s="26">
        <v>74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13</v>
      </c>
      <c r="D94" s="26">
        <v>30</v>
      </c>
      <c r="E94" s="26" t="s">
        <v>14</v>
      </c>
      <c r="F94" s="26">
        <v>30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13</v>
      </c>
      <c r="D95" s="26">
        <v>16</v>
      </c>
      <c r="E95" s="26" t="s">
        <v>14</v>
      </c>
      <c r="F95" s="26">
        <v>61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13</v>
      </c>
      <c r="D96" s="26">
        <v>24</v>
      </c>
      <c r="E96" s="26" t="s">
        <v>14</v>
      </c>
      <c r="F96" s="26">
        <v>26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13</v>
      </c>
      <c r="D97" s="26">
        <v>29</v>
      </c>
      <c r="E97" s="26" t="s">
        <v>14</v>
      </c>
      <c r="F97" s="26">
        <v>58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13</v>
      </c>
      <c r="D98" s="26">
        <v>15</v>
      </c>
      <c r="E98" s="26" t="s">
        <v>14</v>
      </c>
      <c r="F98" s="26">
        <v>40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13</v>
      </c>
      <c r="D99" s="26">
        <v>23</v>
      </c>
      <c r="E99" s="26" t="s">
        <v>14</v>
      </c>
      <c r="F99" s="26">
        <v>25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13</v>
      </c>
      <c r="D100" s="26">
        <v>5</v>
      </c>
      <c r="E100" s="26" t="s">
        <v>14</v>
      </c>
      <c r="F100" s="26">
        <v>66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99D9-DD62-4BE3-B580-E5ABC9AB4564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13</v>
      </c>
      <c r="D1" s="26">
        <v>53</v>
      </c>
      <c r="E1" s="26" t="s">
        <v>15</v>
      </c>
      <c r="F1" s="26">
        <v>42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13</v>
      </c>
      <c r="D2" s="26">
        <v>27</v>
      </c>
      <c r="E2" s="26" t="s">
        <v>15</v>
      </c>
      <c r="F2" s="26">
        <v>10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13</v>
      </c>
      <c r="D3" s="26">
        <v>39</v>
      </c>
      <c r="E3" s="26" t="s">
        <v>15</v>
      </c>
      <c r="F3" s="26">
        <v>0</v>
      </c>
      <c r="G3" s="26">
        <v>0</v>
      </c>
      <c r="I3" s="4" t="s">
        <v>4</v>
      </c>
      <c r="J3" s="4"/>
      <c r="K3" s="8">
        <f>COUNTIF($G$1:$G$100, 0)</f>
        <v>95</v>
      </c>
      <c r="L3" s="8"/>
      <c r="M3" s="8">
        <f>COUNTIFS($G$1:$G$100, 0, $B$1:$B$100, 0)</f>
        <v>46</v>
      </c>
      <c r="N3" s="8"/>
      <c r="O3" s="9">
        <f>COUNTIFS($G$1:$G$100, 0, $B$1:$B$100, 1)</f>
        <v>49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13</v>
      </c>
      <c r="D4" s="26">
        <v>19</v>
      </c>
      <c r="E4" s="26" t="s">
        <v>15</v>
      </c>
      <c r="F4" s="26">
        <v>24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13</v>
      </c>
      <c r="D5" s="26">
        <v>45</v>
      </c>
      <c r="E5" s="26" t="s">
        <v>15</v>
      </c>
      <c r="F5" s="26">
        <v>29</v>
      </c>
      <c r="G5" s="26">
        <v>0</v>
      </c>
      <c r="I5" s="4" t="s">
        <v>5</v>
      </c>
      <c r="J5" s="4"/>
      <c r="K5" s="13">
        <f>COUNTIF($G$1:$G$100, 1)</f>
        <v>5</v>
      </c>
      <c r="L5" s="8"/>
      <c r="M5" s="8">
        <f>COUNTIFS($G$1:$G$100, 1, $B$1:$B$100, 0)</f>
        <v>4</v>
      </c>
      <c r="N5" s="8"/>
      <c r="O5" s="8">
        <f>COUNTIFS($G$1:$G$100, 1, $B$1:$B$100, 1)</f>
        <v>1</v>
      </c>
      <c r="P5" s="12"/>
      <c r="Q5"/>
    </row>
    <row r="6" spans="1:17" x14ac:dyDescent="0.3">
      <c r="A6" s="26">
        <v>2</v>
      </c>
      <c r="B6" s="26">
        <v>0</v>
      </c>
      <c r="C6" s="26" t="s">
        <v>13</v>
      </c>
      <c r="D6" s="26">
        <v>34</v>
      </c>
      <c r="E6" s="26" t="s">
        <v>15</v>
      </c>
      <c r="F6" s="26">
        <v>2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13</v>
      </c>
      <c r="D7" s="26">
        <v>32</v>
      </c>
      <c r="E7" s="26" t="s">
        <v>15</v>
      </c>
      <c r="F7" s="26">
        <v>40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13</v>
      </c>
      <c r="D8" s="26">
        <v>26</v>
      </c>
      <c r="E8" s="26" t="s">
        <v>15</v>
      </c>
      <c r="F8" s="26">
        <v>21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13</v>
      </c>
      <c r="D9" s="26">
        <v>38</v>
      </c>
      <c r="E9" s="26" t="s">
        <v>15</v>
      </c>
      <c r="F9" s="26">
        <v>1</v>
      </c>
      <c r="G9" s="26">
        <v>0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13</v>
      </c>
      <c r="D10" s="26">
        <v>43</v>
      </c>
      <c r="E10" s="26" t="s">
        <v>15</v>
      </c>
      <c r="F10" s="26">
        <v>0</v>
      </c>
      <c r="G10" s="26">
        <v>0</v>
      </c>
      <c r="I10" s="4" t="s">
        <v>8</v>
      </c>
      <c r="J10" s="4"/>
      <c r="K10" s="8">
        <f>AVERAGE($D$1:$D$100,)</f>
        <v>36.910891089108908</v>
      </c>
      <c r="L10" s="8"/>
      <c r="M10" s="8" cm="1">
        <f t="array" ref="M10">AVERAGE(_xlfn._xlws.FILTER($D$1:$D$100,$G$1:$G$100 = 0))</f>
        <v>38.231578947368419</v>
      </c>
      <c r="N10" s="8"/>
      <c r="O10" s="9" cm="1">
        <f t="array" ref="O10">AVERAGE(_xlfn._xlws.FILTER($D$1:$D$100,$G$1:$G$100 = 1))</f>
        <v>19.2</v>
      </c>
      <c r="P10" s="10"/>
      <c r="Q10"/>
    </row>
    <row r="11" spans="1:17" x14ac:dyDescent="0.3">
      <c r="A11" s="26">
        <v>2</v>
      </c>
      <c r="B11" s="26">
        <v>0</v>
      </c>
      <c r="C11" s="26" t="s">
        <v>13</v>
      </c>
      <c r="D11" s="26">
        <v>42</v>
      </c>
      <c r="E11" s="26" t="s">
        <v>15</v>
      </c>
      <c r="F11" s="26">
        <v>2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13</v>
      </c>
      <c r="D12" s="26">
        <v>31</v>
      </c>
      <c r="E12" s="26" t="s">
        <v>15</v>
      </c>
      <c r="F12" s="26">
        <v>3</v>
      </c>
      <c r="G12" s="26">
        <v>0</v>
      </c>
      <c r="I12" s="4" t="s">
        <v>9</v>
      </c>
      <c r="J12" s="4"/>
      <c r="K12" s="8">
        <f>AVERAGE($F$1:$F$100,)</f>
        <v>9.8019801980198018</v>
      </c>
      <c r="L12" s="8"/>
      <c r="M12" s="8" cm="1">
        <f t="array" ref="M12">AVERAGE(_xlfn._xlws.FILTER($F$1:$F$100,$G$1:$G$100 = 0))</f>
        <v>9.1157894736842113</v>
      </c>
      <c r="N12" s="8"/>
      <c r="O12" s="8" cm="1">
        <f t="array" ref="O12">AVERAGE(_xlfn._xlws.FILTER($F$1:$F$100,$G$1:$G$100 = 1))</f>
        <v>24.8</v>
      </c>
      <c r="P12" s="12"/>
      <c r="Q12"/>
    </row>
    <row r="13" spans="1:17" x14ac:dyDescent="0.3">
      <c r="A13" s="26">
        <v>2</v>
      </c>
      <c r="B13" s="26">
        <v>0</v>
      </c>
      <c r="C13" s="26" t="s">
        <v>13</v>
      </c>
      <c r="D13" s="26">
        <v>40</v>
      </c>
      <c r="E13" s="26" t="s">
        <v>15</v>
      </c>
      <c r="F13" s="26">
        <v>11</v>
      </c>
      <c r="G13" s="26">
        <v>0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13</v>
      </c>
      <c r="D14" s="26">
        <v>34</v>
      </c>
      <c r="E14" s="26" t="s">
        <v>15</v>
      </c>
      <c r="F14" s="26">
        <v>9</v>
      </c>
      <c r="G14" s="26">
        <v>0</v>
      </c>
      <c r="I14" s="21" t="s">
        <v>10</v>
      </c>
      <c r="J14" s="10"/>
      <c r="K14" s="22" cm="1">
        <f t="array" ref="K14">AVERAGE($D$1:$D$100 - $F$1:$F$100)</f>
        <v>27.38</v>
      </c>
      <c r="L14" s="22"/>
      <c r="M14" s="22" cm="1">
        <f t="array" ref="M14">AVERAGE(_xlfn._xlws.FILTER($D$1:$D$100 - $F$1:$F$100, G$1:G$100 = 0))</f>
        <v>29.11578947368421</v>
      </c>
      <c r="N14" s="22"/>
      <c r="O14" s="22" cm="1">
        <f t="array" ref="O14">AVERAGE(_xlfn._xlws.FILTER($D$1:$D$100 - $F$1:$F$100, G$1:G$100 = 1))</f>
        <v>-5.6</v>
      </c>
      <c r="P14" s="23"/>
      <c r="Q14"/>
    </row>
    <row r="15" spans="1:17" x14ac:dyDescent="0.3">
      <c r="A15" s="26">
        <v>2</v>
      </c>
      <c r="B15" s="26">
        <v>0</v>
      </c>
      <c r="C15" s="26" t="s">
        <v>13</v>
      </c>
      <c r="D15" s="26">
        <v>37</v>
      </c>
      <c r="E15" s="26" t="s">
        <v>15</v>
      </c>
      <c r="F15" s="26">
        <v>12</v>
      </c>
      <c r="G15" s="26">
        <v>0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13</v>
      </c>
      <c r="D16" s="26">
        <v>59</v>
      </c>
      <c r="E16" s="26" t="s">
        <v>15</v>
      </c>
      <c r="F16" s="26">
        <v>22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13</v>
      </c>
      <c r="D17" s="26">
        <v>35</v>
      </c>
      <c r="E17" s="26" t="s">
        <v>15</v>
      </c>
      <c r="F17" s="26">
        <v>3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13</v>
      </c>
      <c r="D18" s="26">
        <v>59</v>
      </c>
      <c r="E18" s="26" t="s">
        <v>15</v>
      </c>
      <c r="F18" s="26">
        <v>3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13</v>
      </c>
      <c r="D19" s="26">
        <v>26</v>
      </c>
      <c r="E19" s="26" t="s">
        <v>15</v>
      </c>
      <c r="F19" s="26">
        <v>10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13</v>
      </c>
      <c r="D20" s="26">
        <v>37</v>
      </c>
      <c r="E20" s="26" t="s">
        <v>15</v>
      </c>
      <c r="F20" s="26">
        <v>0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13</v>
      </c>
      <c r="D21" s="26">
        <v>29</v>
      </c>
      <c r="E21" s="26" t="s">
        <v>15</v>
      </c>
      <c r="F21" s="26">
        <v>0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13</v>
      </c>
      <c r="D22" s="26">
        <v>42</v>
      </c>
      <c r="E22" s="26" t="s">
        <v>15</v>
      </c>
      <c r="F22" s="26">
        <v>14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13</v>
      </c>
      <c r="D23" s="26">
        <v>34</v>
      </c>
      <c r="E23" s="26" t="s">
        <v>15</v>
      </c>
      <c r="F23" s="26">
        <v>2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13</v>
      </c>
      <c r="D24" s="26">
        <v>51</v>
      </c>
      <c r="E24" s="26" t="s">
        <v>15</v>
      </c>
      <c r="F24" s="26">
        <v>11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13</v>
      </c>
      <c r="D25" s="26">
        <v>34</v>
      </c>
      <c r="E25" s="26" t="s">
        <v>15</v>
      </c>
      <c r="F25" s="26">
        <v>0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13</v>
      </c>
      <c r="D26" s="26">
        <v>9</v>
      </c>
      <c r="E26" s="26" t="s">
        <v>15</v>
      </c>
      <c r="F26" s="26">
        <v>7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13</v>
      </c>
      <c r="D27" s="26">
        <v>15</v>
      </c>
      <c r="E27" s="26" t="s">
        <v>15</v>
      </c>
      <c r="F27" s="26">
        <v>0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13</v>
      </c>
      <c r="D28" s="26">
        <v>61</v>
      </c>
      <c r="E28" s="26" t="s">
        <v>15</v>
      </c>
      <c r="F28" s="26">
        <v>6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13</v>
      </c>
      <c r="D29" s="26">
        <v>33</v>
      </c>
      <c r="E29" s="26" t="s">
        <v>15</v>
      </c>
      <c r="F29" s="26">
        <v>8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13</v>
      </c>
      <c r="D30" s="26">
        <v>62</v>
      </c>
      <c r="E30" s="26" t="s">
        <v>15</v>
      </c>
      <c r="F30" s="26">
        <v>27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13</v>
      </c>
      <c r="D31" s="26">
        <v>32</v>
      </c>
      <c r="E31" s="26" t="s">
        <v>15</v>
      </c>
      <c r="F31" s="26">
        <v>0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13</v>
      </c>
      <c r="D32" s="26">
        <v>13</v>
      </c>
      <c r="E32" s="26" t="s">
        <v>15</v>
      </c>
      <c r="F32" s="26">
        <v>17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13</v>
      </c>
      <c r="D33" s="26">
        <v>24</v>
      </c>
      <c r="E33" s="26" t="s">
        <v>15</v>
      </c>
      <c r="F33" s="26">
        <v>10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13</v>
      </c>
      <c r="D34" s="26">
        <v>63</v>
      </c>
      <c r="E34" s="26" t="s">
        <v>15</v>
      </c>
      <c r="F34" s="26">
        <v>6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13</v>
      </c>
      <c r="D35" s="26">
        <v>19</v>
      </c>
      <c r="E35" s="26" t="s">
        <v>15</v>
      </c>
      <c r="F35" s="26">
        <v>0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13</v>
      </c>
      <c r="D36" s="26">
        <v>47</v>
      </c>
      <c r="E36" s="26" t="s">
        <v>15</v>
      </c>
      <c r="F36" s="26">
        <v>2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13</v>
      </c>
      <c r="D37" s="26">
        <v>43</v>
      </c>
      <c r="E37" s="26" t="s">
        <v>15</v>
      </c>
      <c r="F37" s="26">
        <v>3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13</v>
      </c>
      <c r="D38" s="26">
        <v>37</v>
      </c>
      <c r="E38" s="26" t="s">
        <v>15</v>
      </c>
      <c r="F38" s="26">
        <v>18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13</v>
      </c>
      <c r="D39" s="26">
        <v>35</v>
      </c>
      <c r="E39" s="26" t="s">
        <v>15</v>
      </c>
      <c r="F39" s="26">
        <v>19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13</v>
      </c>
      <c r="D40" s="26">
        <v>45</v>
      </c>
      <c r="E40" s="26" t="s">
        <v>15</v>
      </c>
      <c r="F40" s="26">
        <v>18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13</v>
      </c>
      <c r="D41" s="26">
        <v>52</v>
      </c>
      <c r="E41" s="26" t="s">
        <v>15</v>
      </c>
      <c r="F41" s="26">
        <v>0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13</v>
      </c>
      <c r="D42" s="26">
        <v>26</v>
      </c>
      <c r="E42" s="26" t="s">
        <v>15</v>
      </c>
      <c r="F42" s="26">
        <v>8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13</v>
      </c>
      <c r="D43" s="26">
        <v>36</v>
      </c>
      <c r="E43" s="26" t="s">
        <v>15</v>
      </c>
      <c r="F43" s="26">
        <v>12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13</v>
      </c>
      <c r="D44" s="26">
        <v>15</v>
      </c>
      <c r="E44" s="26" t="s">
        <v>15</v>
      </c>
      <c r="F44" s="26">
        <v>16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13</v>
      </c>
      <c r="D45" s="26">
        <v>44</v>
      </c>
      <c r="E45" s="26" t="s">
        <v>15</v>
      </c>
      <c r="F45" s="26">
        <v>11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13</v>
      </c>
      <c r="D46" s="26">
        <v>39</v>
      </c>
      <c r="E46" s="26" t="s">
        <v>15</v>
      </c>
      <c r="F46" s="26">
        <v>0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13</v>
      </c>
      <c r="D47" s="26">
        <v>59</v>
      </c>
      <c r="E47" s="26" t="s">
        <v>15</v>
      </c>
      <c r="F47" s="26">
        <v>0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13</v>
      </c>
      <c r="D48" s="26">
        <v>28</v>
      </c>
      <c r="E48" s="26" t="s">
        <v>15</v>
      </c>
      <c r="F48" s="26">
        <v>0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13</v>
      </c>
      <c r="D49" s="26">
        <v>31</v>
      </c>
      <c r="E49" s="26" t="s">
        <v>15</v>
      </c>
      <c r="F49" s="26">
        <v>10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13</v>
      </c>
      <c r="D50" s="26">
        <v>45</v>
      </c>
      <c r="E50" s="26" t="s">
        <v>15</v>
      </c>
      <c r="F50" s="26">
        <v>2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13</v>
      </c>
      <c r="D51" s="26">
        <v>34</v>
      </c>
      <c r="E51" s="26" t="s">
        <v>15</v>
      </c>
      <c r="F51" s="26">
        <v>14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13</v>
      </c>
      <c r="D52" s="26">
        <v>63</v>
      </c>
      <c r="E52" s="26" t="s">
        <v>15</v>
      </c>
      <c r="F52" s="26">
        <v>15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13</v>
      </c>
      <c r="D53" s="26">
        <v>40</v>
      </c>
      <c r="E53" s="26" t="s">
        <v>15</v>
      </c>
      <c r="F53" s="26">
        <v>0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13</v>
      </c>
      <c r="D54" s="26">
        <v>42</v>
      </c>
      <c r="E54" s="26" t="s">
        <v>15</v>
      </c>
      <c r="F54" s="26">
        <v>20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13</v>
      </c>
      <c r="D55" s="26">
        <v>17</v>
      </c>
      <c r="E55" s="26" t="s">
        <v>15</v>
      </c>
      <c r="F55" s="26">
        <v>27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13</v>
      </c>
      <c r="D56" s="26">
        <v>49</v>
      </c>
      <c r="E56" s="26" t="s">
        <v>15</v>
      </c>
      <c r="F56" s="26">
        <v>0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13</v>
      </c>
      <c r="D57" s="26">
        <v>42</v>
      </c>
      <c r="E57" s="26" t="s">
        <v>15</v>
      </c>
      <c r="F57" s="26">
        <v>10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13</v>
      </c>
      <c r="D58" s="26">
        <v>57</v>
      </c>
      <c r="E58" s="26" t="s">
        <v>15</v>
      </c>
      <c r="F58" s="26">
        <v>0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13</v>
      </c>
      <c r="D59" s="26">
        <v>36</v>
      </c>
      <c r="E59" s="26" t="s">
        <v>15</v>
      </c>
      <c r="F59" s="26">
        <v>0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13</v>
      </c>
      <c r="D60" s="26">
        <v>12</v>
      </c>
      <c r="E60" s="26" t="s">
        <v>15</v>
      </c>
      <c r="F60" s="26">
        <v>0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13</v>
      </c>
      <c r="D61" s="26">
        <v>36</v>
      </c>
      <c r="E61" s="26" t="s">
        <v>15</v>
      </c>
      <c r="F61" s="26">
        <v>6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13</v>
      </c>
      <c r="D62" s="26">
        <v>30</v>
      </c>
      <c r="E62" s="26" t="s">
        <v>15</v>
      </c>
      <c r="F62" s="26">
        <v>26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13</v>
      </c>
      <c r="D63" s="26">
        <v>55</v>
      </c>
      <c r="E63" s="26" t="s">
        <v>15</v>
      </c>
      <c r="F63" s="26">
        <v>13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13</v>
      </c>
      <c r="D64" s="26">
        <v>39</v>
      </c>
      <c r="E64" s="26" t="s">
        <v>15</v>
      </c>
      <c r="F64" s="26">
        <v>32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13</v>
      </c>
      <c r="D65" s="26">
        <v>51</v>
      </c>
      <c r="E65" s="26" t="s">
        <v>15</v>
      </c>
      <c r="F65" s="26">
        <v>15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13</v>
      </c>
      <c r="D66" s="26">
        <v>39</v>
      </c>
      <c r="E66" s="26" t="s">
        <v>15</v>
      </c>
      <c r="F66" s="26">
        <v>25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13</v>
      </c>
      <c r="D67" s="26">
        <v>61</v>
      </c>
      <c r="E67" s="26" t="s">
        <v>15</v>
      </c>
      <c r="F67" s="26">
        <v>2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13</v>
      </c>
      <c r="D68" s="26">
        <v>49</v>
      </c>
      <c r="E68" s="26" t="s">
        <v>15</v>
      </c>
      <c r="F68" s="26">
        <v>2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13</v>
      </c>
      <c r="D69" s="26">
        <v>41</v>
      </c>
      <c r="E69" s="26" t="s">
        <v>15</v>
      </c>
      <c r="F69" s="26">
        <v>0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13</v>
      </c>
      <c r="D70" s="26">
        <v>31</v>
      </c>
      <c r="E70" s="26" t="s">
        <v>15</v>
      </c>
      <c r="F70" s="26">
        <v>8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13</v>
      </c>
      <c r="D71" s="26">
        <v>35</v>
      </c>
      <c r="E71" s="26" t="s">
        <v>15</v>
      </c>
      <c r="F71" s="26">
        <v>20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13</v>
      </c>
      <c r="D72" s="26">
        <v>11</v>
      </c>
      <c r="E72" s="26" t="s">
        <v>15</v>
      </c>
      <c r="F72" s="26">
        <v>9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13</v>
      </c>
      <c r="D73" s="26">
        <v>35</v>
      </c>
      <c r="E73" s="26" t="s">
        <v>15</v>
      </c>
      <c r="F73" s="26">
        <v>13</v>
      </c>
      <c r="G73" s="26">
        <v>0</v>
      </c>
    </row>
    <row r="74" spans="1:7" x14ac:dyDescent="0.3">
      <c r="A74" s="26">
        <v>2</v>
      </c>
      <c r="B74" s="26">
        <v>1</v>
      </c>
      <c r="C74" s="26" t="s">
        <v>13</v>
      </c>
      <c r="D74" s="26">
        <v>4</v>
      </c>
      <c r="E74" s="26" t="s">
        <v>15</v>
      </c>
      <c r="F74" s="26">
        <v>0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13</v>
      </c>
      <c r="D75" s="26">
        <v>49</v>
      </c>
      <c r="E75" s="26" t="s">
        <v>15</v>
      </c>
      <c r="F75" s="26">
        <v>10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13</v>
      </c>
      <c r="D76" s="26">
        <v>17</v>
      </c>
      <c r="E76" s="26" t="s">
        <v>15</v>
      </c>
      <c r="F76" s="26">
        <v>9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13</v>
      </c>
      <c r="D77" s="26">
        <v>2</v>
      </c>
      <c r="E77" s="26" t="s">
        <v>15</v>
      </c>
      <c r="F77" s="26">
        <v>1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13</v>
      </c>
      <c r="D78" s="26">
        <v>22</v>
      </c>
      <c r="E78" s="26" t="s">
        <v>15</v>
      </c>
      <c r="F78" s="26">
        <v>0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13</v>
      </c>
      <c r="D79" s="26">
        <v>50</v>
      </c>
      <c r="E79" s="26" t="s">
        <v>15</v>
      </c>
      <c r="F79" s="26">
        <v>2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13</v>
      </c>
      <c r="D80" s="26">
        <v>18</v>
      </c>
      <c r="E80" s="26" t="s">
        <v>15</v>
      </c>
      <c r="F80" s="26">
        <v>11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13</v>
      </c>
      <c r="D81" s="26">
        <v>32</v>
      </c>
      <c r="E81" s="26" t="s">
        <v>15</v>
      </c>
      <c r="F81" s="26">
        <v>16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13</v>
      </c>
      <c r="D82" s="26">
        <v>34</v>
      </c>
      <c r="E82" s="26" t="s">
        <v>15</v>
      </c>
      <c r="F82" s="26">
        <v>0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13</v>
      </c>
      <c r="D83" s="26">
        <v>19</v>
      </c>
      <c r="E83" s="26" t="s">
        <v>15</v>
      </c>
      <c r="F83" s="26">
        <v>0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13</v>
      </c>
      <c r="D84" s="26">
        <v>64</v>
      </c>
      <c r="E84" s="26" t="s">
        <v>15</v>
      </c>
      <c r="F84" s="26">
        <v>10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13</v>
      </c>
      <c r="D85" s="26">
        <v>71</v>
      </c>
      <c r="E85" s="26" t="s">
        <v>15</v>
      </c>
      <c r="F85" s="26">
        <v>43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13</v>
      </c>
      <c r="D86" s="26">
        <v>28</v>
      </c>
      <c r="E86" s="26" t="s">
        <v>15</v>
      </c>
      <c r="F86" s="26">
        <v>2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13</v>
      </c>
      <c r="D87" s="26">
        <v>14</v>
      </c>
      <c r="E87" s="26" t="s">
        <v>15</v>
      </c>
      <c r="F87" s="26">
        <v>0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13</v>
      </c>
      <c r="D88" s="26">
        <v>61</v>
      </c>
      <c r="E88" s="26" t="s">
        <v>15</v>
      </c>
      <c r="F88" s="26">
        <v>19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13</v>
      </c>
      <c r="D89" s="26">
        <v>76</v>
      </c>
      <c r="E89" s="26" t="s">
        <v>15</v>
      </c>
      <c r="F89" s="26">
        <v>34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13</v>
      </c>
      <c r="D90" s="26">
        <v>42</v>
      </c>
      <c r="E90" s="26" t="s">
        <v>15</v>
      </c>
      <c r="F90" s="26">
        <v>11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13</v>
      </c>
      <c r="D91" s="26">
        <v>31</v>
      </c>
      <c r="E91" s="26" t="s">
        <v>15</v>
      </c>
      <c r="F91" s="26">
        <v>17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13</v>
      </c>
      <c r="D92" s="26">
        <v>59</v>
      </c>
      <c r="E92" s="26" t="s">
        <v>15</v>
      </c>
      <c r="F92" s="26">
        <v>27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13</v>
      </c>
      <c r="D93" s="26">
        <v>35</v>
      </c>
      <c r="E93" s="26" t="s">
        <v>15</v>
      </c>
      <c r="F93" s="26">
        <v>0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13</v>
      </c>
      <c r="D94" s="26">
        <v>25</v>
      </c>
      <c r="E94" s="26" t="s">
        <v>15</v>
      </c>
      <c r="F94" s="26">
        <v>5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13</v>
      </c>
      <c r="D95" s="26">
        <v>6</v>
      </c>
      <c r="E95" s="26" t="s">
        <v>15</v>
      </c>
      <c r="F95" s="26">
        <v>4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13</v>
      </c>
      <c r="D96" s="26">
        <v>44</v>
      </c>
      <c r="E96" s="26" t="s">
        <v>15</v>
      </c>
      <c r="F96" s="26">
        <v>2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13</v>
      </c>
      <c r="D97" s="26">
        <v>48</v>
      </c>
      <c r="E97" s="26" t="s">
        <v>15</v>
      </c>
      <c r="F97" s="26">
        <v>3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13</v>
      </c>
      <c r="D98" s="26">
        <v>42</v>
      </c>
      <c r="E98" s="26" t="s">
        <v>15</v>
      </c>
      <c r="F98" s="26">
        <v>29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13</v>
      </c>
      <c r="D99" s="26">
        <v>38</v>
      </c>
      <c r="E99" s="26" t="s">
        <v>15</v>
      </c>
      <c r="F99" s="26">
        <v>7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13</v>
      </c>
      <c r="D100" s="26">
        <v>33</v>
      </c>
      <c r="E100" s="26" t="s">
        <v>15</v>
      </c>
      <c r="F100" s="26">
        <v>0</v>
      </c>
      <c r="G100" s="26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AD40-43DB-4679-B6F4-47345630B218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13</v>
      </c>
      <c r="D1" s="26">
        <v>46</v>
      </c>
      <c r="E1" s="26" t="s">
        <v>16</v>
      </c>
      <c r="F1" s="26">
        <v>2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13</v>
      </c>
      <c r="D2" s="26">
        <v>26</v>
      </c>
      <c r="E2" s="26" t="s">
        <v>16</v>
      </c>
      <c r="F2" s="26">
        <v>28</v>
      </c>
      <c r="G2" s="26">
        <v>1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13</v>
      </c>
      <c r="D3" s="26">
        <v>37</v>
      </c>
      <c r="E3" s="26" t="s">
        <v>16</v>
      </c>
      <c r="F3" s="26">
        <v>45</v>
      </c>
      <c r="G3" s="26">
        <v>1</v>
      </c>
      <c r="I3" s="4" t="s">
        <v>4</v>
      </c>
      <c r="J3" s="4"/>
      <c r="K3" s="8">
        <f>COUNTIF($G$1:$G$100, 0)</f>
        <v>53</v>
      </c>
      <c r="L3" s="8"/>
      <c r="M3" s="8">
        <f>COUNTIFS($G$1:$G$100, 0, $B$1:$B$100, 0)</f>
        <v>28</v>
      </c>
      <c r="N3" s="8"/>
      <c r="O3" s="9">
        <f>COUNTIFS($G$1:$G$100, 0, $B$1:$B$100, 1)</f>
        <v>25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13</v>
      </c>
      <c r="D4" s="26">
        <v>20</v>
      </c>
      <c r="E4" s="26" t="s">
        <v>16</v>
      </c>
      <c r="F4" s="26">
        <v>2</v>
      </c>
      <c r="G4" s="26">
        <v>0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13</v>
      </c>
      <c r="D5" s="26">
        <v>31</v>
      </c>
      <c r="E5" s="26" t="s">
        <v>16</v>
      </c>
      <c r="F5" s="26">
        <v>21</v>
      </c>
      <c r="G5" s="26">
        <v>0</v>
      </c>
      <c r="I5" s="4" t="s">
        <v>5</v>
      </c>
      <c r="J5" s="4"/>
      <c r="K5" s="13">
        <f>COUNTIF($G$1:$G$100, 1)</f>
        <v>47</v>
      </c>
      <c r="L5" s="8"/>
      <c r="M5" s="8">
        <f>COUNTIFS($G$1:$G$100, 1, $B$1:$B$100, 0)</f>
        <v>22</v>
      </c>
      <c r="N5" s="8"/>
      <c r="O5" s="8">
        <f>COUNTIFS($G$1:$G$100, 1, $B$1:$B$100, 1)</f>
        <v>25</v>
      </c>
      <c r="P5" s="12"/>
      <c r="Q5"/>
    </row>
    <row r="6" spans="1:17" x14ac:dyDescent="0.3">
      <c r="A6" s="26">
        <v>2</v>
      </c>
      <c r="B6" s="26">
        <v>0</v>
      </c>
      <c r="C6" s="26" t="s">
        <v>13</v>
      </c>
      <c r="D6" s="26">
        <v>20</v>
      </c>
      <c r="E6" s="26" t="s">
        <v>16</v>
      </c>
      <c r="F6" s="26">
        <v>18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13</v>
      </c>
      <c r="D7" s="26">
        <v>47</v>
      </c>
      <c r="E7" s="26" t="s">
        <v>16</v>
      </c>
      <c r="F7" s="26">
        <v>2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13</v>
      </c>
      <c r="D8" s="26">
        <v>44</v>
      </c>
      <c r="E8" s="26" t="s">
        <v>16</v>
      </c>
      <c r="F8" s="26">
        <v>18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13</v>
      </c>
      <c r="D9" s="26">
        <v>21</v>
      </c>
      <c r="E9" s="26" t="s">
        <v>16</v>
      </c>
      <c r="F9" s="26">
        <v>32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13</v>
      </c>
      <c r="D10" s="26">
        <v>28</v>
      </c>
      <c r="E10" s="26" t="s">
        <v>16</v>
      </c>
      <c r="F10" s="26">
        <v>40</v>
      </c>
      <c r="G10" s="26">
        <v>1</v>
      </c>
      <c r="I10" s="4" t="s">
        <v>8</v>
      </c>
      <c r="J10" s="4"/>
      <c r="K10" s="8">
        <f>AVERAGE($D$1:$D$100,)</f>
        <v>29.732673267326732</v>
      </c>
      <c r="L10" s="8"/>
      <c r="M10" s="8" cm="1">
        <f t="array" ref="M10">AVERAGE(_xlfn._xlws.FILTER($D$1:$D$100,$G$1:$G$100 = 0))</f>
        <v>37.132075471698116</v>
      </c>
      <c r="N10" s="8"/>
      <c r="O10" s="9" cm="1">
        <f t="array" ref="O10">AVERAGE(_xlfn._xlws.FILTER($D$1:$D$100,$G$1:$G$100 = 1))</f>
        <v>22.021276595744681</v>
      </c>
      <c r="P10" s="10"/>
      <c r="Q10"/>
    </row>
    <row r="11" spans="1:17" x14ac:dyDescent="0.3">
      <c r="A11" s="26">
        <v>2</v>
      </c>
      <c r="B11" s="26">
        <v>0</v>
      </c>
      <c r="C11" s="26" t="s">
        <v>13</v>
      </c>
      <c r="D11" s="26">
        <v>28</v>
      </c>
      <c r="E11" s="26" t="s">
        <v>16</v>
      </c>
      <c r="F11" s="26">
        <v>19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13</v>
      </c>
      <c r="D12" s="26">
        <v>45</v>
      </c>
      <c r="E12" s="26" t="s">
        <v>16</v>
      </c>
      <c r="F12" s="26">
        <v>5</v>
      </c>
      <c r="G12" s="26">
        <v>0</v>
      </c>
      <c r="I12" s="4" t="s">
        <v>9</v>
      </c>
      <c r="J12" s="4"/>
      <c r="K12" s="8">
        <f>AVERAGE($F$1:$F$100,)</f>
        <v>27.85148514851485</v>
      </c>
      <c r="L12" s="8"/>
      <c r="M12" s="8" cm="1">
        <f t="array" ref="M12">AVERAGE(_xlfn._xlws.FILTER($F$1:$F$100,$G$1:$G$100 = 0))</f>
        <v>16.735849056603772</v>
      </c>
      <c r="N12" s="8"/>
      <c r="O12" s="8" cm="1">
        <f t="array" ref="O12">AVERAGE(_xlfn._xlws.FILTER($F$1:$F$100,$G$1:$G$100 = 1))</f>
        <v>40.978723404255319</v>
      </c>
      <c r="P12" s="12"/>
      <c r="Q12"/>
    </row>
    <row r="13" spans="1:17" x14ac:dyDescent="0.3">
      <c r="A13" s="26">
        <v>2</v>
      </c>
      <c r="B13" s="26">
        <v>0</v>
      </c>
      <c r="C13" s="26" t="s">
        <v>13</v>
      </c>
      <c r="D13" s="26">
        <v>26</v>
      </c>
      <c r="E13" s="26" t="s">
        <v>16</v>
      </c>
      <c r="F13" s="26">
        <v>18</v>
      </c>
      <c r="G13" s="26">
        <v>0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13</v>
      </c>
      <c r="D14" s="26">
        <v>46</v>
      </c>
      <c r="E14" s="26" t="s">
        <v>16</v>
      </c>
      <c r="F14" s="26">
        <v>39</v>
      </c>
      <c r="G14" s="26">
        <v>0</v>
      </c>
      <c r="I14" s="21" t="s">
        <v>10</v>
      </c>
      <c r="J14" s="10"/>
      <c r="K14" s="22" cm="1">
        <f t="array" ref="K14">AVERAGE($D$1:$D$100 - $F$1:$F$100)</f>
        <v>1.9</v>
      </c>
      <c r="L14" s="22"/>
      <c r="M14" s="22" cm="1">
        <f t="array" ref="M14">AVERAGE(_xlfn._xlws.FILTER($D$1:$D$100 - $F$1:$F$100, G$1:G$100 = 0))</f>
        <v>20.39622641509434</v>
      </c>
      <c r="N14" s="22"/>
      <c r="O14" s="22" cm="1">
        <f t="array" ref="O14">AVERAGE(_xlfn._xlws.FILTER($D$1:$D$100 - $F$1:$F$100, G$1:G$100 = 1))</f>
        <v>-18.957446808510639</v>
      </c>
      <c r="P14" s="23"/>
      <c r="Q14"/>
    </row>
    <row r="15" spans="1:17" x14ac:dyDescent="0.3">
      <c r="A15" s="26">
        <v>2</v>
      </c>
      <c r="B15" s="26">
        <v>0</v>
      </c>
      <c r="C15" s="26" t="s">
        <v>13</v>
      </c>
      <c r="D15" s="26">
        <v>25</v>
      </c>
      <c r="E15" s="26" t="s">
        <v>16</v>
      </c>
      <c r="F15" s="26">
        <v>44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13</v>
      </c>
      <c r="D16" s="26">
        <v>30</v>
      </c>
      <c r="E16" s="26" t="s">
        <v>16</v>
      </c>
      <c r="F16" s="26">
        <v>20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13</v>
      </c>
      <c r="D17" s="26">
        <v>46</v>
      </c>
      <c r="E17" s="26" t="s">
        <v>16</v>
      </c>
      <c r="F17" s="26">
        <v>0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13</v>
      </c>
      <c r="D18" s="26">
        <v>42</v>
      </c>
      <c r="E18" s="26" t="s">
        <v>16</v>
      </c>
      <c r="F18" s="26">
        <v>23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13</v>
      </c>
      <c r="D19" s="26">
        <v>28</v>
      </c>
      <c r="E19" s="26" t="s">
        <v>16</v>
      </c>
      <c r="F19" s="26">
        <v>22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13</v>
      </c>
      <c r="D20" s="26">
        <v>26</v>
      </c>
      <c r="E20" s="26" t="s">
        <v>16</v>
      </c>
      <c r="F20" s="26">
        <v>37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13</v>
      </c>
      <c r="D21" s="26">
        <v>23</v>
      </c>
      <c r="E21" s="26" t="s">
        <v>16</v>
      </c>
      <c r="F21" s="26">
        <v>61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13</v>
      </c>
      <c r="D22" s="26">
        <v>14</v>
      </c>
      <c r="E22" s="26" t="s">
        <v>16</v>
      </c>
      <c r="F22" s="26">
        <v>36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13</v>
      </c>
      <c r="D23" s="26">
        <v>16</v>
      </c>
      <c r="E23" s="26" t="s">
        <v>16</v>
      </c>
      <c r="F23" s="26">
        <v>38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13</v>
      </c>
      <c r="D24" s="26">
        <v>24</v>
      </c>
      <c r="E24" s="26" t="s">
        <v>16</v>
      </c>
      <c r="F24" s="26">
        <v>16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13</v>
      </c>
      <c r="D25" s="26">
        <v>2</v>
      </c>
      <c r="E25" s="26" t="s">
        <v>16</v>
      </c>
      <c r="F25" s="26">
        <v>4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13</v>
      </c>
      <c r="D26" s="26">
        <v>30</v>
      </c>
      <c r="E26" s="26" t="s">
        <v>16</v>
      </c>
      <c r="F26" s="26">
        <v>27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13</v>
      </c>
      <c r="D27" s="26">
        <v>23</v>
      </c>
      <c r="E27" s="26" t="s">
        <v>16</v>
      </c>
      <c r="F27" s="26">
        <v>21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13</v>
      </c>
      <c r="D28" s="26">
        <v>10</v>
      </c>
      <c r="E28" s="26" t="s">
        <v>16</v>
      </c>
      <c r="F28" s="26">
        <v>33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13</v>
      </c>
      <c r="D29" s="26">
        <v>23</v>
      </c>
      <c r="E29" s="26" t="s">
        <v>16</v>
      </c>
      <c r="F29" s="26">
        <v>39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13</v>
      </c>
      <c r="D30" s="26">
        <v>2</v>
      </c>
      <c r="E30" s="26" t="s">
        <v>16</v>
      </c>
      <c r="F30" s="26">
        <v>28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13</v>
      </c>
      <c r="D31" s="26">
        <v>32</v>
      </c>
      <c r="E31" s="26" t="s">
        <v>16</v>
      </c>
      <c r="F31" s="26">
        <v>27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13</v>
      </c>
      <c r="D32" s="26">
        <v>40</v>
      </c>
      <c r="E32" s="26" t="s">
        <v>16</v>
      </c>
      <c r="F32" s="26">
        <v>2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13</v>
      </c>
      <c r="D33" s="26">
        <v>35</v>
      </c>
      <c r="E33" s="26" t="s">
        <v>16</v>
      </c>
      <c r="F33" s="26">
        <v>2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13</v>
      </c>
      <c r="D34" s="26">
        <v>49</v>
      </c>
      <c r="E34" s="26" t="s">
        <v>16</v>
      </c>
      <c r="F34" s="26">
        <v>0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13</v>
      </c>
      <c r="D35" s="26">
        <v>16</v>
      </c>
      <c r="E35" s="26" t="s">
        <v>16</v>
      </c>
      <c r="F35" s="26">
        <v>46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13</v>
      </c>
      <c r="D36" s="26">
        <v>45</v>
      </c>
      <c r="E36" s="26" t="s">
        <v>16</v>
      </c>
      <c r="F36" s="26">
        <v>0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13</v>
      </c>
      <c r="D37" s="26">
        <v>22</v>
      </c>
      <c r="E37" s="26" t="s">
        <v>16</v>
      </c>
      <c r="F37" s="26">
        <v>43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13</v>
      </c>
      <c r="D38" s="26">
        <v>26</v>
      </c>
      <c r="E38" s="26" t="s">
        <v>16</v>
      </c>
      <c r="F38" s="26">
        <v>41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13</v>
      </c>
      <c r="D39" s="26">
        <v>34</v>
      </c>
      <c r="E39" s="26" t="s">
        <v>16</v>
      </c>
      <c r="F39" s="26">
        <v>61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13</v>
      </c>
      <c r="D40" s="26">
        <v>46</v>
      </c>
      <c r="E40" s="26" t="s">
        <v>16</v>
      </c>
      <c r="F40" s="26">
        <v>61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13</v>
      </c>
      <c r="D41" s="26">
        <v>24</v>
      </c>
      <c r="E41" s="26" t="s">
        <v>16</v>
      </c>
      <c r="F41" s="26">
        <v>2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13</v>
      </c>
      <c r="D42" s="26">
        <v>34</v>
      </c>
      <c r="E42" s="26" t="s">
        <v>16</v>
      </c>
      <c r="F42" s="26">
        <v>30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13</v>
      </c>
      <c r="D43" s="26">
        <v>8</v>
      </c>
      <c r="E43" s="26" t="s">
        <v>16</v>
      </c>
      <c r="F43" s="26">
        <v>13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13</v>
      </c>
      <c r="D44" s="26">
        <v>51</v>
      </c>
      <c r="E44" s="26" t="s">
        <v>16</v>
      </c>
      <c r="F44" s="26">
        <v>12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13</v>
      </c>
      <c r="D45" s="26">
        <v>19</v>
      </c>
      <c r="E45" s="26" t="s">
        <v>16</v>
      </c>
      <c r="F45" s="26">
        <v>8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13</v>
      </c>
      <c r="D46" s="26">
        <v>20</v>
      </c>
      <c r="E46" s="26" t="s">
        <v>16</v>
      </c>
      <c r="F46" s="26">
        <v>59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13</v>
      </c>
      <c r="D47" s="26">
        <v>34</v>
      </c>
      <c r="E47" s="26" t="s">
        <v>16</v>
      </c>
      <c r="F47" s="26">
        <v>39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13</v>
      </c>
      <c r="D48" s="26">
        <v>26</v>
      </c>
      <c r="E48" s="26" t="s">
        <v>16</v>
      </c>
      <c r="F48" s="26">
        <v>16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13</v>
      </c>
      <c r="D49" s="26">
        <v>38</v>
      </c>
      <c r="E49" s="26" t="s">
        <v>16</v>
      </c>
      <c r="F49" s="26">
        <v>16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13</v>
      </c>
      <c r="D50" s="26">
        <v>38</v>
      </c>
      <c r="E50" s="26" t="s">
        <v>16</v>
      </c>
      <c r="F50" s="26">
        <v>47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13</v>
      </c>
      <c r="D51" s="26">
        <v>41</v>
      </c>
      <c r="E51" s="26" t="s">
        <v>16</v>
      </c>
      <c r="F51" s="26">
        <v>33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13</v>
      </c>
      <c r="D52" s="26">
        <v>37</v>
      </c>
      <c r="E52" s="26" t="s">
        <v>16</v>
      </c>
      <c r="F52" s="26">
        <v>17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13</v>
      </c>
      <c r="D53" s="26">
        <v>28</v>
      </c>
      <c r="E53" s="26" t="s">
        <v>16</v>
      </c>
      <c r="F53" s="26">
        <v>49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13</v>
      </c>
      <c r="D54" s="26">
        <v>20</v>
      </c>
      <c r="E54" s="26" t="s">
        <v>16</v>
      </c>
      <c r="F54" s="26">
        <v>30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13</v>
      </c>
      <c r="D55" s="26">
        <v>13</v>
      </c>
      <c r="E55" s="26" t="s">
        <v>16</v>
      </c>
      <c r="F55" s="26">
        <v>60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13</v>
      </c>
      <c r="D56" s="26">
        <v>15</v>
      </c>
      <c r="E56" s="26" t="s">
        <v>16</v>
      </c>
      <c r="F56" s="26">
        <v>50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13</v>
      </c>
      <c r="D57" s="26">
        <v>35</v>
      </c>
      <c r="E57" s="26" t="s">
        <v>16</v>
      </c>
      <c r="F57" s="26">
        <v>23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13</v>
      </c>
      <c r="D58" s="26">
        <v>46</v>
      </c>
      <c r="E58" s="26" t="s">
        <v>16</v>
      </c>
      <c r="F58" s="26">
        <v>52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13</v>
      </c>
      <c r="D59" s="26">
        <v>35</v>
      </c>
      <c r="E59" s="26" t="s">
        <v>16</v>
      </c>
      <c r="F59" s="26">
        <v>68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13</v>
      </c>
      <c r="D60" s="26">
        <v>20</v>
      </c>
      <c r="E60" s="26" t="s">
        <v>16</v>
      </c>
      <c r="F60" s="26">
        <v>25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13</v>
      </c>
      <c r="D61" s="26">
        <v>20</v>
      </c>
      <c r="E61" s="26" t="s">
        <v>16</v>
      </c>
      <c r="F61" s="26">
        <v>65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13</v>
      </c>
      <c r="D62" s="26">
        <v>28</v>
      </c>
      <c r="E62" s="26" t="s">
        <v>16</v>
      </c>
      <c r="F62" s="26">
        <v>67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13</v>
      </c>
      <c r="D63" s="26">
        <v>2</v>
      </c>
      <c r="E63" s="26" t="s">
        <v>16</v>
      </c>
      <c r="F63" s="26">
        <v>33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13</v>
      </c>
      <c r="D64" s="26">
        <v>15</v>
      </c>
      <c r="E64" s="26" t="s">
        <v>16</v>
      </c>
      <c r="F64" s="26">
        <v>45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13</v>
      </c>
      <c r="D65" s="26">
        <v>8</v>
      </c>
      <c r="E65" s="26" t="s">
        <v>16</v>
      </c>
      <c r="F65" s="26">
        <v>14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13</v>
      </c>
      <c r="D66" s="26">
        <v>21</v>
      </c>
      <c r="E66" s="26" t="s">
        <v>16</v>
      </c>
      <c r="F66" s="26">
        <v>36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13</v>
      </c>
      <c r="D67" s="26">
        <v>40</v>
      </c>
      <c r="E67" s="26" t="s">
        <v>16</v>
      </c>
      <c r="F67" s="26">
        <v>6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13</v>
      </c>
      <c r="D68" s="26">
        <v>45</v>
      </c>
      <c r="E68" s="26" t="s">
        <v>16</v>
      </c>
      <c r="F68" s="26">
        <v>12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13</v>
      </c>
      <c r="D69" s="26">
        <v>22</v>
      </c>
      <c r="E69" s="26" t="s">
        <v>16</v>
      </c>
      <c r="F69" s="26">
        <v>19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13</v>
      </c>
      <c r="D70" s="26">
        <v>16</v>
      </c>
      <c r="E70" s="26" t="s">
        <v>16</v>
      </c>
      <c r="F70" s="26">
        <v>27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13</v>
      </c>
      <c r="D71" s="26">
        <v>48</v>
      </c>
      <c r="E71" s="26" t="s">
        <v>16</v>
      </c>
      <c r="F71" s="26">
        <v>23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13</v>
      </c>
      <c r="D72" s="26">
        <v>37</v>
      </c>
      <c r="E72" s="26" t="s">
        <v>16</v>
      </c>
      <c r="F72" s="26">
        <v>36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13</v>
      </c>
      <c r="D73" s="26">
        <v>44</v>
      </c>
      <c r="E73" s="26" t="s">
        <v>16</v>
      </c>
      <c r="F73" s="26">
        <v>32</v>
      </c>
      <c r="G73" s="26">
        <v>0</v>
      </c>
    </row>
    <row r="74" spans="1:7" x14ac:dyDescent="0.3">
      <c r="A74" s="26">
        <v>2</v>
      </c>
      <c r="B74" s="26">
        <v>1</v>
      </c>
      <c r="C74" s="26" t="s">
        <v>13</v>
      </c>
      <c r="D74" s="26">
        <v>57</v>
      </c>
      <c r="E74" s="26" t="s">
        <v>16</v>
      </c>
      <c r="F74" s="26">
        <v>55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13</v>
      </c>
      <c r="D75" s="26">
        <v>39</v>
      </c>
      <c r="E75" s="26" t="s">
        <v>16</v>
      </c>
      <c r="F75" s="26">
        <v>41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13</v>
      </c>
      <c r="D76" s="26">
        <v>30</v>
      </c>
      <c r="E76" s="26" t="s">
        <v>16</v>
      </c>
      <c r="F76" s="26">
        <v>45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13</v>
      </c>
      <c r="D77" s="26">
        <v>17</v>
      </c>
      <c r="E77" s="26" t="s">
        <v>16</v>
      </c>
      <c r="F77" s="26">
        <v>34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13</v>
      </c>
      <c r="D78" s="26">
        <v>36</v>
      </c>
      <c r="E78" s="26" t="s">
        <v>16</v>
      </c>
      <c r="F78" s="26">
        <v>4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13</v>
      </c>
      <c r="D79" s="26">
        <v>40</v>
      </c>
      <c r="E79" s="26" t="s">
        <v>16</v>
      </c>
      <c r="F79" s="26">
        <v>35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13</v>
      </c>
      <c r="D80" s="26">
        <v>29</v>
      </c>
      <c r="E80" s="26" t="s">
        <v>16</v>
      </c>
      <c r="F80" s="26">
        <v>10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13</v>
      </c>
      <c r="D81" s="26">
        <v>24</v>
      </c>
      <c r="E81" s="26" t="s">
        <v>16</v>
      </c>
      <c r="F81" s="26">
        <v>35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13</v>
      </c>
      <c r="D82" s="26">
        <v>44</v>
      </c>
      <c r="E82" s="26" t="s">
        <v>16</v>
      </c>
      <c r="F82" s="26">
        <v>34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13</v>
      </c>
      <c r="D83" s="26">
        <v>33</v>
      </c>
      <c r="E83" s="26" t="s">
        <v>16</v>
      </c>
      <c r="F83" s="26">
        <v>45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13</v>
      </c>
      <c r="D84" s="26">
        <v>29</v>
      </c>
      <c r="E84" s="26" t="s">
        <v>16</v>
      </c>
      <c r="F84" s="26">
        <v>21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13</v>
      </c>
      <c r="D85" s="26">
        <v>28</v>
      </c>
      <c r="E85" s="26" t="s">
        <v>16</v>
      </c>
      <c r="F85" s="26">
        <v>15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13</v>
      </c>
      <c r="D86" s="26">
        <v>5</v>
      </c>
      <c r="E86" s="26" t="s">
        <v>16</v>
      </c>
      <c r="F86" s="26">
        <v>31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13</v>
      </c>
      <c r="D87" s="26">
        <v>53</v>
      </c>
      <c r="E87" s="26" t="s">
        <v>16</v>
      </c>
      <c r="F87" s="26">
        <v>33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13</v>
      </c>
      <c r="D88" s="26">
        <v>48</v>
      </c>
      <c r="E88" s="26" t="s">
        <v>16</v>
      </c>
      <c r="F88" s="26">
        <v>2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13</v>
      </c>
      <c r="D89" s="26">
        <v>56</v>
      </c>
      <c r="E89" s="26" t="s">
        <v>16</v>
      </c>
      <c r="F89" s="26">
        <v>17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13</v>
      </c>
      <c r="D90" s="26">
        <v>37</v>
      </c>
      <c r="E90" s="26" t="s">
        <v>16</v>
      </c>
      <c r="F90" s="26">
        <v>9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13</v>
      </c>
      <c r="D91" s="26">
        <v>19</v>
      </c>
      <c r="E91" s="26" t="s">
        <v>16</v>
      </c>
      <c r="F91" s="26">
        <v>2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13</v>
      </c>
      <c r="D92" s="26">
        <v>45</v>
      </c>
      <c r="E92" s="26" t="s">
        <v>16</v>
      </c>
      <c r="F92" s="26">
        <v>41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13</v>
      </c>
      <c r="D93" s="26">
        <v>27</v>
      </c>
      <c r="E93" s="26" t="s">
        <v>16</v>
      </c>
      <c r="F93" s="26">
        <v>8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13</v>
      </c>
      <c r="D94" s="26">
        <v>36</v>
      </c>
      <c r="E94" s="26" t="s">
        <v>16</v>
      </c>
      <c r="F94" s="26">
        <v>51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13</v>
      </c>
      <c r="D95" s="26">
        <v>60</v>
      </c>
      <c r="E95" s="26" t="s">
        <v>16</v>
      </c>
      <c r="F95" s="26">
        <v>0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13</v>
      </c>
      <c r="D96" s="26">
        <v>8</v>
      </c>
      <c r="E96" s="26" t="s">
        <v>16</v>
      </c>
      <c r="F96" s="26">
        <v>57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13</v>
      </c>
      <c r="D97" s="26">
        <v>28</v>
      </c>
      <c r="E97" s="26" t="s">
        <v>16</v>
      </c>
      <c r="F97" s="26">
        <v>43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13</v>
      </c>
      <c r="D98" s="26">
        <v>42</v>
      </c>
      <c r="E98" s="26" t="s">
        <v>16</v>
      </c>
      <c r="F98" s="26">
        <v>12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13</v>
      </c>
      <c r="D99" s="26">
        <v>31</v>
      </c>
      <c r="E99" s="26" t="s">
        <v>16</v>
      </c>
      <c r="F99" s="26">
        <v>34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13</v>
      </c>
      <c r="D100" s="26">
        <v>0</v>
      </c>
      <c r="E100" s="26" t="s">
        <v>16</v>
      </c>
      <c r="F100" s="26">
        <v>14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D779-D870-4A98-BA95-0D1A998E5789}">
  <dimension ref="A1:Q100"/>
  <sheetViews>
    <sheetView workbookViewId="0">
      <selection activeCell="K15" sqref="K15:L17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16</v>
      </c>
      <c r="D1" s="26">
        <v>10</v>
      </c>
      <c r="E1" s="26" t="s">
        <v>14</v>
      </c>
      <c r="F1" s="26">
        <v>53</v>
      </c>
      <c r="G1" s="26">
        <v>1</v>
      </c>
    </row>
    <row r="2" spans="1:17" x14ac:dyDescent="0.3">
      <c r="A2" s="26">
        <v>2</v>
      </c>
      <c r="B2" s="26">
        <v>0</v>
      </c>
      <c r="C2" s="26" t="s">
        <v>16</v>
      </c>
      <c r="D2" s="26">
        <v>12</v>
      </c>
      <c r="E2" s="26" t="s">
        <v>14</v>
      </c>
      <c r="F2" s="26">
        <v>47</v>
      </c>
      <c r="G2" s="26">
        <v>1</v>
      </c>
      <c r="I2" s="1"/>
      <c r="J2" s="2"/>
      <c r="K2" s="3" t="s">
        <v>0</v>
      </c>
      <c r="L2" s="3"/>
      <c r="M2" s="4" t="s">
        <v>1</v>
      </c>
      <c r="N2" s="4"/>
      <c r="O2" s="4" t="s">
        <v>2</v>
      </c>
      <c r="P2" s="4"/>
      <c r="Q2"/>
    </row>
    <row r="3" spans="1:17" x14ac:dyDescent="0.3">
      <c r="A3" s="26">
        <v>2</v>
      </c>
      <c r="B3" s="26">
        <v>0</v>
      </c>
      <c r="C3" s="26" t="s">
        <v>16</v>
      </c>
      <c r="D3" s="26">
        <v>12</v>
      </c>
      <c r="E3" s="26" t="s">
        <v>14</v>
      </c>
      <c r="F3" s="26">
        <v>27</v>
      </c>
      <c r="G3" s="26">
        <v>1</v>
      </c>
      <c r="I3" s="5"/>
      <c r="J3" s="6"/>
      <c r="K3" s="3"/>
      <c r="L3" s="3"/>
      <c r="M3" s="4"/>
      <c r="N3" s="4"/>
      <c r="O3" s="4"/>
      <c r="P3" s="4"/>
      <c r="Q3" s="7" t="s">
        <v>3</v>
      </c>
    </row>
    <row r="4" spans="1:17" x14ac:dyDescent="0.3">
      <c r="A4" s="26">
        <v>2</v>
      </c>
      <c r="B4" s="26">
        <v>0</v>
      </c>
      <c r="C4" s="26" t="s">
        <v>16</v>
      </c>
      <c r="D4" s="26">
        <v>29</v>
      </c>
      <c r="E4" s="26" t="s">
        <v>14</v>
      </c>
      <c r="F4" s="26">
        <v>42</v>
      </c>
      <c r="G4" s="26">
        <v>1</v>
      </c>
      <c r="I4" s="4" t="s">
        <v>4</v>
      </c>
      <c r="J4" s="4"/>
      <c r="K4" s="8">
        <f>COUNTIF($G$1:$G$100, 0)</f>
        <v>25</v>
      </c>
      <c r="L4" s="8"/>
      <c r="M4" s="8">
        <f>COUNTIFS($G$1:$G$100, 0, $B$1:$B$100, 0)</f>
        <v>13</v>
      </c>
      <c r="N4" s="8"/>
      <c r="O4" s="9">
        <f>COUNTIFS($G$1:$G$100, 0, $B$1:$B$100, 1)</f>
        <v>12</v>
      </c>
      <c r="P4" s="10"/>
      <c r="Q4" s="11" cm="1">
        <f t="array" ref="Q4">SUMPRODUCT(--($D$1:$D$100=$G$1:$G$100))</f>
        <v>0</v>
      </c>
    </row>
    <row r="5" spans="1:17" x14ac:dyDescent="0.3">
      <c r="A5" s="26">
        <v>2</v>
      </c>
      <c r="B5" s="26">
        <v>0</v>
      </c>
      <c r="C5" s="26" t="s">
        <v>16</v>
      </c>
      <c r="D5" s="26">
        <v>29</v>
      </c>
      <c r="E5" s="26" t="s">
        <v>14</v>
      </c>
      <c r="F5" s="26">
        <v>24</v>
      </c>
      <c r="G5" s="26">
        <v>0</v>
      </c>
      <c r="I5" s="4"/>
      <c r="J5" s="4"/>
      <c r="K5" s="8"/>
      <c r="L5" s="8"/>
      <c r="M5" s="8"/>
      <c r="N5" s="8"/>
      <c r="O5" s="8"/>
      <c r="P5" s="12"/>
      <c r="Q5"/>
    </row>
    <row r="6" spans="1:17" x14ac:dyDescent="0.3">
      <c r="A6" s="26">
        <v>2</v>
      </c>
      <c r="B6" s="26">
        <v>0</v>
      </c>
      <c r="C6" s="26" t="s">
        <v>16</v>
      </c>
      <c r="D6" s="26">
        <v>37</v>
      </c>
      <c r="E6" s="26" t="s">
        <v>14</v>
      </c>
      <c r="F6" s="26">
        <v>47</v>
      </c>
      <c r="G6" s="26">
        <v>1</v>
      </c>
      <c r="I6" s="4" t="s">
        <v>5</v>
      </c>
      <c r="J6" s="4"/>
      <c r="K6" s="13">
        <f>COUNTIF($G$1:$G$100, 1)</f>
        <v>75</v>
      </c>
      <c r="L6" s="8"/>
      <c r="M6" s="8">
        <f>COUNTIFS($G$1:$G$100, 1, $B$1:$B$100, 0)</f>
        <v>37</v>
      </c>
      <c r="N6" s="8"/>
      <c r="O6" s="8">
        <f>COUNTIFS($G$1:$G$100, 1, $B$1:$B$100, 1)</f>
        <v>38</v>
      </c>
      <c r="P6" s="12"/>
      <c r="Q6"/>
    </row>
    <row r="7" spans="1:17" x14ac:dyDescent="0.3">
      <c r="A7" s="26">
        <v>2</v>
      </c>
      <c r="B7" s="26">
        <v>0</v>
      </c>
      <c r="C7" s="26" t="s">
        <v>16</v>
      </c>
      <c r="D7" s="26">
        <v>12</v>
      </c>
      <c r="E7" s="26" t="s">
        <v>14</v>
      </c>
      <c r="F7" s="26">
        <v>13</v>
      </c>
      <c r="G7" s="26">
        <v>1</v>
      </c>
      <c r="I7" s="4"/>
      <c r="J7" s="4"/>
      <c r="K7" s="14"/>
      <c r="L7" s="15"/>
      <c r="M7" s="15"/>
      <c r="N7" s="15"/>
      <c r="O7" s="15"/>
      <c r="P7" s="16"/>
      <c r="Q7"/>
    </row>
    <row r="8" spans="1:17" x14ac:dyDescent="0.3">
      <c r="A8" s="26">
        <v>2</v>
      </c>
      <c r="B8" s="26">
        <v>0</v>
      </c>
      <c r="C8" s="26" t="s">
        <v>16</v>
      </c>
      <c r="D8" s="26">
        <v>15</v>
      </c>
      <c r="E8" s="26" t="s">
        <v>14</v>
      </c>
      <c r="F8" s="26">
        <v>40</v>
      </c>
      <c r="G8" s="26">
        <v>1</v>
      </c>
      <c r="I8" s="17"/>
      <c r="J8" s="17"/>
      <c r="K8" s="17"/>
      <c r="L8" s="17"/>
      <c r="M8" s="17"/>
      <c r="N8" s="17"/>
      <c r="O8" s="17"/>
      <c r="P8" s="17"/>
      <c r="Q8"/>
    </row>
    <row r="9" spans="1:17" x14ac:dyDescent="0.3">
      <c r="A9" s="26">
        <v>2</v>
      </c>
      <c r="B9" s="26">
        <v>0</v>
      </c>
      <c r="C9" s="26" t="s">
        <v>16</v>
      </c>
      <c r="D9" s="26">
        <v>36</v>
      </c>
      <c r="E9" s="26" t="s">
        <v>14</v>
      </c>
      <c r="F9" s="26">
        <v>20</v>
      </c>
      <c r="G9" s="26">
        <v>0</v>
      </c>
      <c r="I9" s="18"/>
      <c r="J9" s="19"/>
      <c r="K9" s="20" t="s">
        <v>0</v>
      </c>
      <c r="L9" s="20"/>
      <c r="M9" s="20" t="s">
        <v>6</v>
      </c>
      <c r="N9" s="20"/>
      <c r="O9" s="20" t="s">
        <v>7</v>
      </c>
      <c r="P9" s="20"/>
      <c r="Q9"/>
    </row>
    <row r="10" spans="1:17" x14ac:dyDescent="0.3">
      <c r="A10" s="26">
        <v>2</v>
      </c>
      <c r="B10" s="26">
        <v>0</v>
      </c>
      <c r="C10" s="26" t="s">
        <v>16</v>
      </c>
      <c r="D10" s="26">
        <v>38</v>
      </c>
      <c r="E10" s="26" t="s">
        <v>14</v>
      </c>
      <c r="F10" s="26">
        <v>47</v>
      </c>
      <c r="G10" s="26">
        <v>1</v>
      </c>
      <c r="I10" s="5"/>
      <c r="J10" s="6"/>
      <c r="K10" s="20"/>
      <c r="L10" s="20"/>
      <c r="M10" s="20"/>
      <c r="N10" s="20"/>
      <c r="O10" s="20"/>
      <c r="P10" s="20"/>
      <c r="Q10"/>
    </row>
    <row r="11" spans="1:17" x14ac:dyDescent="0.3">
      <c r="A11" s="26">
        <v>2</v>
      </c>
      <c r="B11" s="26">
        <v>0</v>
      </c>
      <c r="C11" s="26" t="s">
        <v>16</v>
      </c>
      <c r="D11" s="26">
        <v>12</v>
      </c>
      <c r="E11" s="26" t="s">
        <v>14</v>
      </c>
      <c r="F11" s="26">
        <v>57</v>
      </c>
      <c r="G11" s="26">
        <v>1</v>
      </c>
      <c r="I11" s="4" t="s">
        <v>8</v>
      </c>
      <c r="J11" s="4"/>
      <c r="K11" s="8">
        <f>AVERAGE($D$1:$D$100,)</f>
        <v>23.019801980198018</v>
      </c>
      <c r="L11" s="8"/>
      <c r="M11" s="8" cm="1">
        <f t="array" ref="M11">AVERAGE(_xlfn._xlws.FILTER($D$1:$D$100,$G$1:$G$100 = 0))</f>
        <v>33.479999999999997</v>
      </c>
      <c r="N11" s="8"/>
      <c r="O11" s="9" cm="1">
        <f t="array" ref="O11">AVERAGE(_xlfn._xlws.FILTER($D$1:$D$100,$G$1:$G$100 = 1))</f>
        <v>19.84</v>
      </c>
      <c r="P11" s="10"/>
      <c r="Q11"/>
    </row>
    <row r="12" spans="1:17" x14ac:dyDescent="0.3">
      <c r="A12" s="26">
        <v>2</v>
      </c>
      <c r="B12" s="26">
        <v>0</v>
      </c>
      <c r="C12" s="26" t="s">
        <v>16</v>
      </c>
      <c r="D12" s="26">
        <v>36</v>
      </c>
      <c r="E12" s="26" t="s">
        <v>14</v>
      </c>
      <c r="F12" s="26">
        <v>38</v>
      </c>
      <c r="G12" s="26">
        <v>1</v>
      </c>
      <c r="I12" s="4"/>
      <c r="J12" s="4"/>
      <c r="K12" s="8"/>
      <c r="L12" s="8"/>
      <c r="M12" s="8"/>
      <c r="N12" s="8"/>
      <c r="O12" s="8"/>
      <c r="P12" s="12"/>
      <c r="Q12"/>
    </row>
    <row r="13" spans="1:17" x14ac:dyDescent="0.3">
      <c r="A13" s="26">
        <v>2</v>
      </c>
      <c r="B13" s="26">
        <v>0</v>
      </c>
      <c r="C13" s="26" t="s">
        <v>16</v>
      </c>
      <c r="D13" s="26">
        <v>29</v>
      </c>
      <c r="E13" s="26" t="s">
        <v>14</v>
      </c>
      <c r="F13" s="26">
        <v>65</v>
      </c>
      <c r="G13" s="26">
        <v>1</v>
      </c>
      <c r="I13" s="4" t="s">
        <v>9</v>
      </c>
      <c r="J13" s="4"/>
      <c r="K13" s="8">
        <f>AVERAGE($F$1:$F$100,)</f>
        <v>38.495049504950494</v>
      </c>
      <c r="L13" s="8"/>
      <c r="M13" s="8" cm="1">
        <f t="array" ref="M13">AVERAGE(_xlfn._xlws.FILTER($F$1:$F$100,$G$1:$G$100 = 0))</f>
        <v>24.6</v>
      </c>
      <c r="N13" s="8"/>
      <c r="O13" s="8" cm="1">
        <f t="array" ref="O13">AVERAGE(_xlfn._xlws.FILTER($F$1:$F$100,$G$1:$G$100 = 1))</f>
        <v>43.64</v>
      </c>
      <c r="P13" s="12"/>
      <c r="Q13"/>
    </row>
    <row r="14" spans="1:17" x14ac:dyDescent="0.3">
      <c r="A14" s="26">
        <v>2</v>
      </c>
      <c r="B14" s="26">
        <v>0</v>
      </c>
      <c r="C14" s="26" t="s">
        <v>16</v>
      </c>
      <c r="D14" s="26">
        <v>16</v>
      </c>
      <c r="E14" s="26" t="s">
        <v>14</v>
      </c>
      <c r="F14" s="26">
        <v>56</v>
      </c>
      <c r="G14" s="26">
        <v>1</v>
      </c>
      <c r="I14" s="4"/>
      <c r="J14" s="4"/>
      <c r="K14" s="8"/>
      <c r="L14" s="8"/>
      <c r="M14" s="8"/>
      <c r="N14" s="8"/>
      <c r="O14" s="8"/>
      <c r="P14" s="12"/>
      <c r="Q14"/>
    </row>
    <row r="15" spans="1:17" x14ac:dyDescent="0.3">
      <c r="A15" s="26">
        <v>2</v>
      </c>
      <c r="B15" s="26">
        <v>0</v>
      </c>
      <c r="C15" s="26" t="s">
        <v>16</v>
      </c>
      <c r="D15" s="26">
        <v>28</v>
      </c>
      <c r="E15" s="26" t="s">
        <v>14</v>
      </c>
      <c r="F15" s="26">
        <v>52</v>
      </c>
      <c r="G15" s="26">
        <v>1</v>
      </c>
      <c r="I15" s="21" t="s">
        <v>10</v>
      </c>
      <c r="J15" s="10"/>
      <c r="K15" s="22" cm="1">
        <f t="array" ref="K15">AVERAGE($D$1:$D$100 - $F$1:$F$100)</f>
        <v>-15.63</v>
      </c>
      <c r="L15" s="22"/>
      <c r="M15" s="22" cm="1">
        <f t="array" ref="M15">AVERAGE(_xlfn._xlws.FILTER($D$1:$D$100 - $F$1:$F$100, G$1:G$100 = 0))</f>
        <v>8.8800000000000008</v>
      </c>
      <c r="N15" s="22"/>
      <c r="O15" s="22" cm="1">
        <f t="array" ref="O15">AVERAGE(_xlfn._xlws.FILTER($D$1:$D$100 - $F$1:$F$100, G$1:G$100 = 1))</f>
        <v>-23.8</v>
      </c>
      <c r="P15" s="23"/>
      <c r="Q15"/>
    </row>
    <row r="16" spans="1:17" x14ac:dyDescent="0.3">
      <c r="A16" s="26">
        <v>2</v>
      </c>
      <c r="B16" s="26">
        <v>0</v>
      </c>
      <c r="C16" s="26" t="s">
        <v>16</v>
      </c>
      <c r="D16" s="26">
        <v>9</v>
      </c>
      <c r="E16" s="26" t="s">
        <v>14</v>
      </c>
      <c r="F16" s="26">
        <v>47</v>
      </c>
      <c r="G16" s="26">
        <v>1</v>
      </c>
      <c r="I16" s="13"/>
      <c r="J16" s="12"/>
      <c r="K16" s="22"/>
      <c r="L16" s="22"/>
      <c r="M16" s="22"/>
      <c r="N16" s="22"/>
      <c r="O16" s="22"/>
      <c r="P16" s="23"/>
      <c r="Q16"/>
    </row>
    <row r="17" spans="1:17" x14ac:dyDescent="0.3">
      <c r="A17" s="26">
        <v>2</v>
      </c>
      <c r="B17" s="26">
        <v>0</v>
      </c>
      <c r="C17" s="26" t="s">
        <v>16</v>
      </c>
      <c r="D17" s="26">
        <v>25</v>
      </c>
      <c r="E17" s="26" t="s">
        <v>14</v>
      </c>
      <c r="F17" s="26">
        <v>27</v>
      </c>
      <c r="G17" s="26">
        <v>1</v>
      </c>
      <c r="I17" s="14"/>
      <c r="J17" s="16"/>
      <c r="K17" s="24"/>
      <c r="L17" s="24"/>
      <c r="M17" s="24"/>
      <c r="N17" s="24"/>
      <c r="O17" s="24"/>
      <c r="P17" s="25"/>
      <c r="Q17"/>
    </row>
    <row r="18" spans="1:17" x14ac:dyDescent="0.3">
      <c r="A18" s="26">
        <v>2</v>
      </c>
      <c r="B18" s="26">
        <v>0</v>
      </c>
      <c r="C18" s="26" t="s">
        <v>16</v>
      </c>
      <c r="D18" s="26">
        <v>42</v>
      </c>
      <c r="E18" s="26" t="s">
        <v>14</v>
      </c>
      <c r="F18" s="26">
        <v>61</v>
      </c>
      <c r="G18" s="26">
        <v>1</v>
      </c>
    </row>
    <row r="19" spans="1:17" x14ac:dyDescent="0.3">
      <c r="A19" s="26">
        <v>2</v>
      </c>
      <c r="B19" s="26">
        <v>0</v>
      </c>
      <c r="C19" s="26" t="s">
        <v>16</v>
      </c>
      <c r="D19" s="26">
        <v>38</v>
      </c>
      <c r="E19" s="26" t="s">
        <v>14</v>
      </c>
      <c r="F19" s="26">
        <v>27</v>
      </c>
      <c r="G19" s="26">
        <v>0</v>
      </c>
    </row>
    <row r="20" spans="1:17" x14ac:dyDescent="0.3">
      <c r="A20" s="26">
        <v>2</v>
      </c>
      <c r="B20" s="26">
        <v>0</v>
      </c>
      <c r="C20" s="26" t="s">
        <v>16</v>
      </c>
      <c r="D20" s="26">
        <v>0</v>
      </c>
      <c r="E20" s="26" t="s">
        <v>14</v>
      </c>
      <c r="F20" s="26">
        <v>61</v>
      </c>
      <c r="G20" s="26">
        <v>1</v>
      </c>
    </row>
    <row r="21" spans="1:17" x14ac:dyDescent="0.3">
      <c r="A21" s="26">
        <v>2</v>
      </c>
      <c r="B21" s="26">
        <v>0</v>
      </c>
      <c r="C21" s="26" t="s">
        <v>16</v>
      </c>
      <c r="D21" s="26">
        <v>18</v>
      </c>
      <c r="E21" s="26" t="s">
        <v>14</v>
      </c>
      <c r="F21" s="26">
        <v>4</v>
      </c>
      <c r="G21" s="26">
        <v>0</v>
      </c>
    </row>
    <row r="22" spans="1:17" x14ac:dyDescent="0.3">
      <c r="A22" s="26">
        <v>2</v>
      </c>
      <c r="B22" s="26">
        <v>0</v>
      </c>
      <c r="C22" s="26" t="s">
        <v>16</v>
      </c>
      <c r="D22" s="26">
        <v>21</v>
      </c>
      <c r="E22" s="26" t="s">
        <v>14</v>
      </c>
      <c r="F22" s="26">
        <v>35</v>
      </c>
      <c r="G22" s="26">
        <v>1</v>
      </c>
    </row>
    <row r="23" spans="1:17" x14ac:dyDescent="0.3">
      <c r="A23" s="26">
        <v>2</v>
      </c>
      <c r="B23" s="26">
        <v>0</v>
      </c>
      <c r="C23" s="26" t="s">
        <v>16</v>
      </c>
      <c r="D23" s="26">
        <v>15</v>
      </c>
      <c r="E23" s="26" t="s">
        <v>14</v>
      </c>
      <c r="F23" s="26">
        <v>34</v>
      </c>
      <c r="G23" s="26">
        <v>1</v>
      </c>
    </row>
    <row r="24" spans="1:17" x14ac:dyDescent="0.3">
      <c r="A24" s="26">
        <v>2</v>
      </c>
      <c r="B24" s="26">
        <v>0</v>
      </c>
      <c r="C24" s="26" t="s">
        <v>16</v>
      </c>
      <c r="D24" s="26">
        <v>8</v>
      </c>
      <c r="E24" s="26" t="s">
        <v>14</v>
      </c>
      <c r="F24" s="26">
        <v>52</v>
      </c>
      <c r="G24" s="26">
        <v>1</v>
      </c>
    </row>
    <row r="25" spans="1:17" x14ac:dyDescent="0.3">
      <c r="A25" s="26">
        <v>2</v>
      </c>
      <c r="B25" s="26">
        <v>0</v>
      </c>
      <c r="C25" s="26" t="s">
        <v>16</v>
      </c>
      <c r="D25" s="26">
        <v>18</v>
      </c>
      <c r="E25" s="26" t="s">
        <v>14</v>
      </c>
      <c r="F25" s="26">
        <v>52</v>
      </c>
      <c r="G25" s="26">
        <v>1</v>
      </c>
    </row>
    <row r="26" spans="1:17" x14ac:dyDescent="0.3">
      <c r="A26" s="26">
        <v>2</v>
      </c>
      <c r="B26" s="26">
        <v>0</v>
      </c>
      <c r="C26" s="26" t="s">
        <v>16</v>
      </c>
      <c r="D26" s="26">
        <v>35</v>
      </c>
      <c r="E26" s="26" t="s">
        <v>14</v>
      </c>
      <c r="F26" s="26">
        <v>64</v>
      </c>
      <c r="G26" s="26">
        <v>1</v>
      </c>
    </row>
    <row r="27" spans="1:17" x14ac:dyDescent="0.3">
      <c r="A27" s="26">
        <v>2</v>
      </c>
      <c r="B27" s="26">
        <v>0</v>
      </c>
      <c r="C27" s="26" t="s">
        <v>16</v>
      </c>
      <c r="D27" s="26">
        <v>18</v>
      </c>
      <c r="E27" s="26" t="s">
        <v>14</v>
      </c>
      <c r="F27" s="26">
        <v>60</v>
      </c>
      <c r="G27" s="26">
        <v>1</v>
      </c>
    </row>
    <row r="28" spans="1:17" x14ac:dyDescent="0.3">
      <c r="A28" s="26">
        <v>2</v>
      </c>
      <c r="B28" s="26">
        <v>0</v>
      </c>
      <c r="C28" s="26" t="s">
        <v>16</v>
      </c>
      <c r="D28" s="26">
        <v>26</v>
      </c>
      <c r="E28" s="26" t="s">
        <v>14</v>
      </c>
      <c r="F28" s="26">
        <v>17</v>
      </c>
      <c r="G28" s="26">
        <v>0</v>
      </c>
    </row>
    <row r="29" spans="1:17" x14ac:dyDescent="0.3">
      <c r="A29" s="26">
        <v>2</v>
      </c>
      <c r="B29" s="26">
        <v>0</v>
      </c>
      <c r="C29" s="26" t="s">
        <v>16</v>
      </c>
      <c r="D29" s="26">
        <v>14</v>
      </c>
      <c r="E29" s="26" t="s">
        <v>14</v>
      </c>
      <c r="F29" s="26">
        <v>30</v>
      </c>
      <c r="G29" s="26">
        <v>1</v>
      </c>
    </row>
    <row r="30" spans="1:17" x14ac:dyDescent="0.3">
      <c r="A30" s="26">
        <v>2</v>
      </c>
      <c r="B30" s="26">
        <v>0</v>
      </c>
      <c r="C30" s="26" t="s">
        <v>16</v>
      </c>
      <c r="D30" s="26">
        <v>29</v>
      </c>
      <c r="E30" s="26" t="s">
        <v>14</v>
      </c>
      <c r="F30" s="26">
        <v>28</v>
      </c>
      <c r="G30" s="26">
        <v>0</v>
      </c>
    </row>
    <row r="31" spans="1:17" x14ac:dyDescent="0.3">
      <c r="A31" s="26">
        <v>2</v>
      </c>
      <c r="B31" s="26">
        <v>0</v>
      </c>
      <c r="C31" s="26" t="s">
        <v>16</v>
      </c>
      <c r="D31" s="26">
        <v>12</v>
      </c>
      <c r="E31" s="26" t="s">
        <v>14</v>
      </c>
      <c r="F31" s="26">
        <v>24</v>
      </c>
      <c r="G31" s="26">
        <v>1</v>
      </c>
    </row>
    <row r="32" spans="1:17" x14ac:dyDescent="0.3">
      <c r="A32" s="26">
        <v>2</v>
      </c>
      <c r="B32" s="26">
        <v>0</v>
      </c>
      <c r="C32" s="26" t="s">
        <v>16</v>
      </c>
      <c r="D32" s="26">
        <v>28</v>
      </c>
      <c r="E32" s="26" t="s">
        <v>14</v>
      </c>
      <c r="F32" s="26">
        <v>11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16</v>
      </c>
      <c r="D33" s="26">
        <v>24</v>
      </c>
      <c r="E33" s="26" t="s">
        <v>14</v>
      </c>
      <c r="F33" s="26">
        <v>34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16</v>
      </c>
      <c r="D34" s="26">
        <v>20</v>
      </c>
      <c r="E34" s="26" t="s">
        <v>14</v>
      </c>
      <c r="F34" s="26">
        <v>53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16</v>
      </c>
      <c r="D35" s="26">
        <v>16</v>
      </c>
      <c r="E35" s="26" t="s">
        <v>14</v>
      </c>
      <c r="F35" s="26">
        <v>16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16</v>
      </c>
      <c r="D36" s="26">
        <v>35</v>
      </c>
      <c r="E36" s="26" t="s">
        <v>14</v>
      </c>
      <c r="F36" s="26">
        <v>53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16</v>
      </c>
      <c r="D37" s="26">
        <v>48</v>
      </c>
      <c r="E37" s="26" t="s">
        <v>14</v>
      </c>
      <c r="F37" s="26">
        <v>40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16</v>
      </c>
      <c r="D38" s="26">
        <v>58</v>
      </c>
      <c r="E38" s="26" t="s">
        <v>14</v>
      </c>
      <c r="F38" s="26">
        <v>54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16</v>
      </c>
      <c r="D39" s="26">
        <v>25</v>
      </c>
      <c r="E39" s="26" t="s">
        <v>14</v>
      </c>
      <c r="F39" s="26">
        <v>3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16</v>
      </c>
      <c r="D40" s="26">
        <v>28</v>
      </c>
      <c r="E40" s="26" t="s">
        <v>14</v>
      </c>
      <c r="F40" s="26">
        <v>34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16</v>
      </c>
      <c r="D41" s="26">
        <v>16</v>
      </c>
      <c r="E41" s="26" t="s">
        <v>14</v>
      </c>
      <c r="F41" s="26">
        <v>46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16</v>
      </c>
      <c r="D42" s="26">
        <v>19</v>
      </c>
      <c r="E42" s="26" t="s">
        <v>14</v>
      </c>
      <c r="F42" s="26">
        <v>36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16</v>
      </c>
      <c r="D43" s="26">
        <v>41</v>
      </c>
      <c r="E43" s="26" t="s">
        <v>14</v>
      </c>
      <c r="F43" s="26">
        <v>27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16</v>
      </c>
      <c r="D44" s="26">
        <v>7</v>
      </c>
      <c r="E44" s="26" t="s">
        <v>14</v>
      </c>
      <c r="F44" s="26">
        <v>48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16</v>
      </c>
      <c r="D45" s="26">
        <v>11</v>
      </c>
      <c r="E45" s="26" t="s">
        <v>14</v>
      </c>
      <c r="F45" s="26">
        <v>61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16</v>
      </c>
      <c r="D46" s="26">
        <v>2</v>
      </c>
      <c r="E46" s="26" t="s">
        <v>14</v>
      </c>
      <c r="F46" s="26">
        <v>36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16</v>
      </c>
      <c r="D47" s="26">
        <v>9</v>
      </c>
      <c r="E47" s="26" t="s">
        <v>14</v>
      </c>
      <c r="F47" s="26">
        <v>28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16</v>
      </c>
      <c r="D48" s="26">
        <v>62</v>
      </c>
      <c r="E48" s="26" t="s">
        <v>14</v>
      </c>
      <c r="F48" s="26">
        <v>52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16</v>
      </c>
      <c r="D49" s="26">
        <v>14</v>
      </c>
      <c r="E49" s="26" t="s">
        <v>14</v>
      </c>
      <c r="F49" s="26">
        <v>23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16</v>
      </c>
      <c r="D50" s="26">
        <v>39</v>
      </c>
      <c r="E50" s="26" t="s">
        <v>14</v>
      </c>
      <c r="F50" s="26">
        <v>66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16</v>
      </c>
      <c r="D51" s="26">
        <v>33</v>
      </c>
      <c r="E51" s="26" t="s">
        <v>14</v>
      </c>
      <c r="F51" s="26">
        <v>12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16</v>
      </c>
      <c r="D52" s="26">
        <v>14</v>
      </c>
      <c r="E52" s="26" t="s">
        <v>14</v>
      </c>
      <c r="F52" s="26">
        <v>29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16</v>
      </c>
      <c r="D53" s="26">
        <v>21</v>
      </c>
      <c r="E53" s="26" t="s">
        <v>14</v>
      </c>
      <c r="F53" s="26">
        <v>33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16</v>
      </c>
      <c r="D54" s="26">
        <v>28</v>
      </c>
      <c r="E54" s="26" t="s">
        <v>14</v>
      </c>
      <c r="F54" s="26">
        <v>38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16</v>
      </c>
      <c r="D55" s="26">
        <v>17</v>
      </c>
      <c r="E55" s="26" t="s">
        <v>14</v>
      </c>
      <c r="F55" s="26">
        <v>43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16</v>
      </c>
      <c r="D56" s="26">
        <v>0</v>
      </c>
      <c r="E56" s="26" t="s">
        <v>14</v>
      </c>
      <c r="F56" s="26">
        <v>55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16</v>
      </c>
      <c r="D57" s="26">
        <v>22</v>
      </c>
      <c r="E57" s="26" t="s">
        <v>14</v>
      </c>
      <c r="F57" s="26">
        <v>43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16</v>
      </c>
      <c r="D58" s="26">
        <v>32</v>
      </c>
      <c r="E58" s="26" t="s">
        <v>14</v>
      </c>
      <c r="F58" s="26">
        <v>66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16</v>
      </c>
      <c r="D59" s="26">
        <v>31</v>
      </c>
      <c r="E59" s="26" t="s">
        <v>14</v>
      </c>
      <c r="F59" s="26">
        <v>62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16</v>
      </c>
      <c r="D60" s="26">
        <v>7</v>
      </c>
      <c r="E60" s="26" t="s">
        <v>14</v>
      </c>
      <c r="F60" s="26">
        <v>49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16</v>
      </c>
      <c r="D61" s="26">
        <v>32</v>
      </c>
      <c r="E61" s="26" t="s">
        <v>14</v>
      </c>
      <c r="F61" s="26">
        <v>56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16</v>
      </c>
      <c r="D62" s="26">
        <v>3</v>
      </c>
      <c r="E62" s="26" t="s">
        <v>14</v>
      </c>
      <c r="F62" s="26">
        <v>35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16</v>
      </c>
      <c r="D63" s="26">
        <v>9</v>
      </c>
      <c r="E63" s="26" t="s">
        <v>14</v>
      </c>
      <c r="F63" s="26">
        <v>41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16</v>
      </c>
      <c r="D64" s="26">
        <v>40</v>
      </c>
      <c r="E64" s="26" t="s">
        <v>14</v>
      </c>
      <c r="F64" s="26">
        <v>19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16</v>
      </c>
      <c r="D65" s="26">
        <v>46</v>
      </c>
      <c r="E65" s="26" t="s">
        <v>14</v>
      </c>
      <c r="F65" s="26">
        <v>69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16</v>
      </c>
      <c r="D66" s="26">
        <v>15</v>
      </c>
      <c r="E66" s="26" t="s">
        <v>14</v>
      </c>
      <c r="F66" s="26">
        <v>47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16</v>
      </c>
      <c r="D67" s="26">
        <v>12</v>
      </c>
      <c r="E67" s="26" t="s">
        <v>14</v>
      </c>
      <c r="F67" s="26">
        <v>9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16</v>
      </c>
      <c r="D68" s="26">
        <v>41</v>
      </c>
      <c r="E68" s="26" t="s">
        <v>14</v>
      </c>
      <c r="F68" s="26">
        <v>45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16</v>
      </c>
      <c r="D69" s="26">
        <v>39</v>
      </c>
      <c r="E69" s="26" t="s">
        <v>14</v>
      </c>
      <c r="F69" s="26">
        <v>41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16</v>
      </c>
      <c r="D70" s="26">
        <v>21</v>
      </c>
      <c r="E70" s="26" t="s">
        <v>14</v>
      </c>
      <c r="F70" s="26">
        <v>21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16</v>
      </c>
      <c r="D71" s="26">
        <v>25</v>
      </c>
      <c r="E71" s="26" t="s">
        <v>14</v>
      </c>
      <c r="F71" s="26">
        <v>40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16</v>
      </c>
      <c r="D72" s="26">
        <v>23</v>
      </c>
      <c r="E72" s="26" t="s">
        <v>14</v>
      </c>
      <c r="F72" s="26">
        <v>26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16</v>
      </c>
      <c r="D73" s="26">
        <v>8</v>
      </c>
      <c r="E73" s="26" t="s">
        <v>14</v>
      </c>
      <c r="F73" s="26">
        <v>20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16</v>
      </c>
      <c r="D74" s="26">
        <v>5</v>
      </c>
      <c r="E74" s="26" t="s">
        <v>14</v>
      </c>
      <c r="F74" s="26">
        <v>57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16</v>
      </c>
      <c r="D75" s="26">
        <v>22</v>
      </c>
      <c r="E75" s="26" t="s">
        <v>14</v>
      </c>
      <c r="F75" s="26">
        <v>30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16</v>
      </c>
      <c r="D76" s="26">
        <v>25</v>
      </c>
      <c r="E76" s="26" t="s">
        <v>14</v>
      </c>
      <c r="F76" s="26">
        <v>44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16</v>
      </c>
      <c r="D77" s="26">
        <v>23</v>
      </c>
      <c r="E77" s="26" t="s">
        <v>14</v>
      </c>
      <c r="F77" s="26">
        <v>43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16</v>
      </c>
      <c r="D78" s="26">
        <v>8</v>
      </c>
      <c r="E78" s="26" t="s">
        <v>14</v>
      </c>
      <c r="F78" s="26">
        <v>25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16</v>
      </c>
      <c r="D79" s="26">
        <v>41</v>
      </c>
      <c r="E79" s="26" t="s">
        <v>14</v>
      </c>
      <c r="F79" s="26">
        <v>34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16</v>
      </c>
      <c r="D80" s="26">
        <v>8</v>
      </c>
      <c r="E80" s="26" t="s">
        <v>14</v>
      </c>
      <c r="F80" s="26">
        <v>36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16</v>
      </c>
      <c r="D81" s="26">
        <v>25</v>
      </c>
      <c r="E81" s="26" t="s">
        <v>14</v>
      </c>
      <c r="F81" s="26">
        <v>27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16</v>
      </c>
      <c r="D82" s="26">
        <v>6</v>
      </c>
      <c r="E82" s="26" t="s">
        <v>14</v>
      </c>
      <c r="F82" s="26">
        <v>18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16</v>
      </c>
      <c r="D83" s="26">
        <v>40</v>
      </c>
      <c r="E83" s="26" t="s">
        <v>14</v>
      </c>
      <c r="F83" s="26">
        <v>38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16</v>
      </c>
      <c r="D84" s="26">
        <v>14</v>
      </c>
      <c r="E84" s="26" t="s">
        <v>14</v>
      </c>
      <c r="F84" s="26">
        <v>39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16</v>
      </c>
      <c r="D85" s="26">
        <v>40</v>
      </c>
      <c r="E85" s="26" t="s">
        <v>14</v>
      </c>
      <c r="F85" s="26">
        <v>39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16</v>
      </c>
      <c r="D86" s="26">
        <v>5</v>
      </c>
      <c r="E86" s="26" t="s">
        <v>14</v>
      </c>
      <c r="F86" s="26">
        <v>56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16</v>
      </c>
      <c r="D87" s="26">
        <v>0</v>
      </c>
      <c r="E87" s="26" t="s">
        <v>14</v>
      </c>
      <c r="F87" s="26">
        <v>59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16</v>
      </c>
      <c r="D88" s="26">
        <v>17</v>
      </c>
      <c r="E88" s="26" t="s">
        <v>14</v>
      </c>
      <c r="F88" s="26">
        <v>32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16</v>
      </c>
      <c r="D89" s="26">
        <v>19</v>
      </c>
      <c r="E89" s="26" t="s">
        <v>14</v>
      </c>
      <c r="F89" s="26">
        <v>16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16</v>
      </c>
      <c r="D90" s="26">
        <v>38</v>
      </c>
      <c r="E90" s="26" t="s">
        <v>14</v>
      </c>
      <c r="F90" s="26">
        <v>32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16</v>
      </c>
      <c r="D91" s="26">
        <v>9</v>
      </c>
      <c r="E91" s="26" t="s">
        <v>14</v>
      </c>
      <c r="F91" s="26">
        <v>9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16</v>
      </c>
      <c r="D92" s="26">
        <v>18</v>
      </c>
      <c r="E92" s="26" t="s">
        <v>14</v>
      </c>
      <c r="F92" s="26">
        <v>35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16</v>
      </c>
      <c r="D93" s="26">
        <v>22</v>
      </c>
      <c r="E93" s="26" t="s">
        <v>14</v>
      </c>
      <c r="F93" s="26">
        <v>45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16</v>
      </c>
      <c r="D94" s="26">
        <v>16</v>
      </c>
      <c r="E94" s="26" t="s">
        <v>14</v>
      </c>
      <c r="F94" s="26">
        <v>34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16</v>
      </c>
      <c r="D95" s="26">
        <v>54</v>
      </c>
      <c r="E95" s="26" t="s">
        <v>14</v>
      </c>
      <c r="F95" s="26">
        <v>28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16</v>
      </c>
      <c r="D96" s="26">
        <v>36</v>
      </c>
      <c r="E96" s="26" t="s">
        <v>14</v>
      </c>
      <c r="F96" s="26">
        <v>35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16</v>
      </c>
      <c r="D97" s="26">
        <v>32</v>
      </c>
      <c r="E97" s="26" t="s">
        <v>14</v>
      </c>
      <c r="F97" s="26">
        <v>41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16</v>
      </c>
      <c r="D98" s="26">
        <v>41</v>
      </c>
      <c r="E98" s="26" t="s">
        <v>14</v>
      </c>
      <c r="F98" s="26">
        <v>53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16</v>
      </c>
      <c r="D99" s="26">
        <v>30</v>
      </c>
      <c r="E99" s="26" t="s">
        <v>14</v>
      </c>
      <c r="F99" s="26">
        <v>68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16</v>
      </c>
      <c r="D100" s="26">
        <v>31</v>
      </c>
      <c r="E100" s="26" t="s">
        <v>14</v>
      </c>
      <c r="F100" s="26">
        <v>44</v>
      </c>
      <c r="G100" s="26">
        <v>1</v>
      </c>
    </row>
  </sheetData>
  <mergeCells count="26">
    <mergeCell ref="I15:J17"/>
    <mergeCell ref="K15:L17"/>
    <mergeCell ref="M15:N17"/>
    <mergeCell ref="O15:P17"/>
    <mergeCell ref="I11:J12"/>
    <mergeCell ref="K11:L12"/>
    <mergeCell ref="M11:N12"/>
    <mergeCell ref="O11:P12"/>
    <mergeCell ref="I13:J14"/>
    <mergeCell ref="K13:L14"/>
    <mergeCell ref="M13:N14"/>
    <mergeCell ref="O13:P14"/>
    <mergeCell ref="I6:J7"/>
    <mergeCell ref="K6:L7"/>
    <mergeCell ref="M6:N7"/>
    <mergeCell ref="O6:P7"/>
    <mergeCell ref="K9:L10"/>
    <mergeCell ref="M9:N10"/>
    <mergeCell ref="O9:P10"/>
    <mergeCell ref="K2:L3"/>
    <mergeCell ref="M2:N3"/>
    <mergeCell ref="O2:P3"/>
    <mergeCell ref="I4:J5"/>
    <mergeCell ref="K4:L5"/>
    <mergeCell ref="M4:N5"/>
    <mergeCell ref="O4:P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5B58-956E-40C6-893C-CF96BAFBEF3E}">
  <dimension ref="A1:Q100"/>
  <sheetViews>
    <sheetView workbookViewId="0">
      <selection activeCell="M21" sqref="M21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17</v>
      </c>
      <c r="D1" s="26">
        <v>21</v>
      </c>
      <c r="E1" s="26" t="s">
        <v>11</v>
      </c>
      <c r="F1" s="26">
        <v>10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17</v>
      </c>
      <c r="D2" s="26">
        <v>45</v>
      </c>
      <c r="E2" s="26" t="s">
        <v>11</v>
      </c>
      <c r="F2" s="26">
        <v>16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17</v>
      </c>
      <c r="D3" s="26">
        <v>14</v>
      </c>
      <c r="E3" s="26" t="s">
        <v>11</v>
      </c>
      <c r="F3" s="26">
        <v>22</v>
      </c>
      <c r="G3" s="26">
        <v>1</v>
      </c>
      <c r="I3" s="4" t="s">
        <v>4</v>
      </c>
      <c r="J3" s="4"/>
      <c r="K3" s="8">
        <f>COUNTIF($G$1:$G$100, 0)</f>
        <v>50</v>
      </c>
      <c r="L3" s="8"/>
      <c r="M3" s="8">
        <f>COUNTIFS($G$1:$G$100, 0, $B$1:$B$100, 0)</f>
        <v>30</v>
      </c>
      <c r="N3" s="8"/>
      <c r="O3" s="9">
        <f>COUNTIFS($G$1:$G$100, 0, $B$1:$B$100, 1)</f>
        <v>20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17</v>
      </c>
      <c r="D4" s="26">
        <v>38</v>
      </c>
      <c r="E4" s="26" t="s">
        <v>11</v>
      </c>
      <c r="F4" s="26">
        <v>10</v>
      </c>
      <c r="G4" s="26">
        <v>0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17</v>
      </c>
      <c r="D5" s="26">
        <v>16</v>
      </c>
      <c r="E5" s="26" t="s">
        <v>11</v>
      </c>
      <c r="F5" s="26">
        <v>19</v>
      </c>
      <c r="G5" s="26">
        <v>1</v>
      </c>
      <c r="I5" s="4" t="s">
        <v>5</v>
      </c>
      <c r="J5" s="4"/>
      <c r="K5" s="13">
        <f>COUNTIF($G$1:$G$100, 1)</f>
        <v>50</v>
      </c>
      <c r="L5" s="8"/>
      <c r="M5" s="8">
        <f>COUNTIFS($G$1:$G$100, 1, $B$1:$B$100, 0)</f>
        <v>20</v>
      </c>
      <c r="N5" s="8"/>
      <c r="O5" s="8">
        <f>COUNTIFS($G$1:$G$100, 1, $B$1:$B$100, 1)</f>
        <v>30</v>
      </c>
      <c r="P5" s="12"/>
      <c r="Q5"/>
    </row>
    <row r="6" spans="1:17" x14ac:dyDescent="0.3">
      <c r="A6" s="26">
        <v>2</v>
      </c>
      <c r="B6" s="26">
        <v>0</v>
      </c>
      <c r="C6" s="26" t="s">
        <v>17</v>
      </c>
      <c r="D6" s="26">
        <v>46</v>
      </c>
      <c r="E6" s="26" t="s">
        <v>11</v>
      </c>
      <c r="F6" s="26">
        <v>26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17</v>
      </c>
      <c r="D7" s="26">
        <v>22</v>
      </c>
      <c r="E7" s="26" t="s">
        <v>11</v>
      </c>
      <c r="F7" s="26">
        <v>17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17</v>
      </c>
      <c r="D8" s="26">
        <v>21</v>
      </c>
      <c r="E8" s="26" t="s">
        <v>11</v>
      </c>
      <c r="F8" s="26">
        <v>36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17</v>
      </c>
      <c r="D9" s="26">
        <v>29</v>
      </c>
      <c r="E9" s="26" t="s">
        <v>11</v>
      </c>
      <c r="F9" s="26">
        <v>23</v>
      </c>
      <c r="G9" s="26">
        <v>0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17</v>
      </c>
      <c r="D10" s="26">
        <v>5</v>
      </c>
      <c r="E10" s="26" t="s">
        <v>11</v>
      </c>
      <c r="F10" s="26">
        <v>43</v>
      </c>
      <c r="G10" s="26">
        <v>1</v>
      </c>
      <c r="I10" s="4" t="s">
        <v>8</v>
      </c>
      <c r="J10" s="4"/>
      <c r="K10" s="8">
        <f>AVERAGE($D$1:$D$100,)</f>
        <v>23.386138613861387</v>
      </c>
      <c r="L10" s="8"/>
      <c r="M10" s="8" cm="1">
        <f t="array" ref="M10">AVERAGE(_xlfn._xlws.FILTER($D$1:$D$100,$G$1:$G$100 = 0))</f>
        <v>30.32</v>
      </c>
      <c r="N10" s="8"/>
      <c r="O10" s="9" cm="1">
        <f t="array" ref="O10">AVERAGE(_xlfn._xlws.FILTER($D$1:$D$100,$G$1:$G$100 = 1))</f>
        <v>16.920000000000002</v>
      </c>
      <c r="P10" s="10"/>
      <c r="Q10"/>
    </row>
    <row r="11" spans="1:17" x14ac:dyDescent="0.3">
      <c r="A11" s="26">
        <v>2</v>
      </c>
      <c r="B11" s="26">
        <v>0</v>
      </c>
      <c r="C11" s="26" t="s">
        <v>17</v>
      </c>
      <c r="D11" s="26">
        <v>33</v>
      </c>
      <c r="E11" s="26" t="s">
        <v>11</v>
      </c>
      <c r="F11" s="26">
        <v>14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17</v>
      </c>
      <c r="D12" s="26">
        <v>41</v>
      </c>
      <c r="E12" s="26" t="s">
        <v>11</v>
      </c>
      <c r="F12" s="26">
        <v>21</v>
      </c>
      <c r="G12" s="26">
        <v>0</v>
      </c>
      <c r="I12" s="4" t="s">
        <v>9</v>
      </c>
      <c r="J12" s="4"/>
      <c r="K12" s="8">
        <f>AVERAGE($F$1:$F$100,)</f>
        <v>25.287128712871286</v>
      </c>
      <c r="L12" s="8"/>
      <c r="M12" s="8" cm="1">
        <f t="array" ref="M12">AVERAGE(_xlfn._xlws.FILTER($F$1:$F$100,$G$1:$G$100 = 0))</f>
        <v>17.7</v>
      </c>
      <c r="N12" s="8"/>
      <c r="O12" s="8" cm="1">
        <f t="array" ref="O12">AVERAGE(_xlfn._xlws.FILTER($F$1:$F$100,$G$1:$G$100 = 1))</f>
        <v>33.380000000000003</v>
      </c>
      <c r="P12" s="12"/>
      <c r="Q12"/>
    </row>
    <row r="13" spans="1:17" x14ac:dyDescent="0.3">
      <c r="A13" s="26">
        <v>2</v>
      </c>
      <c r="B13" s="26">
        <v>0</v>
      </c>
      <c r="C13" s="26" t="s">
        <v>17</v>
      </c>
      <c r="D13" s="26">
        <v>18</v>
      </c>
      <c r="E13" s="26" t="s">
        <v>11</v>
      </c>
      <c r="F13" s="26">
        <v>30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17</v>
      </c>
      <c r="D14" s="26">
        <v>26</v>
      </c>
      <c r="E14" s="26" t="s">
        <v>11</v>
      </c>
      <c r="F14" s="26">
        <v>34</v>
      </c>
      <c r="G14" s="26">
        <v>1</v>
      </c>
      <c r="I14" s="21" t="s">
        <v>10</v>
      </c>
      <c r="J14" s="10"/>
      <c r="K14" s="22" cm="1">
        <f t="array" ref="K14">AVERAGE($D$1:$D$100 - $F$1:$F$100)</f>
        <v>-1.92</v>
      </c>
      <c r="L14" s="22"/>
      <c r="M14" s="22" cm="1">
        <f t="array" ref="M14">AVERAGE(_xlfn._xlws.FILTER($D$1:$D$100 - $F$1:$F$100, G$1:G$100 = 0))</f>
        <v>12.62</v>
      </c>
      <c r="N14" s="22"/>
      <c r="O14" s="22" cm="1">
        <f t="array" ref="O14">AVERAGE(_xlfn._xlws.FILTER($D$1:$D$100 - $F$1:$F$100, G$1:G$100 = 1))</f>
        <v>-16.46</v>
      </c>
      <c r="P14" s="23"/>
      <c r="Q14"/>
    </row>
    <row r="15" spans="1:17" x14ac:dyDescent="0.3">
      <c r="A15" s="26">
        <v>2</v>
      </c>
      <c r="B15" s="26">
        <v>0</v>
      </c>
      <c r="C15" s="26" t="s">
        <v>17</v>
      </c>
      <c r="D15" s="26">
        <v>50</v>
      </c>
      <c r="E15" s="26" t="s">
        <v>11</v>
      </c>
      <c r="F15" s="26">
        <v>38</v>
      </c>
      <c r="G15" s="26">
        <v>0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17</v>
      </c>
      <c r="D16" s="26">
        <v>20</v>
      </c>
      <c r="E16" s="26" t="s">
        <v>11</v>
      </c>
      <c r="F16" s="26">
        <v>41</v>
      </c>
      <c r="G16" s="26">
        <v>1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17</v>
      </c>
      <c r="D17" s="26">
        <v>5</v>
      </c>
      <c r="E17" s="26" t="s">
        <v>11</v>
      </c>
      <c r="F17" s="26">
        <v>43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17</v>
      </c>
      <c r="D18" s="26">
        <v>32</v>
      </c>
      <c r="E18" s="26" t="s">
        <v>11</v>
      </c>
      <c r="F18" s="26">
        <v>30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17</v>
      </c>
      <c r="D19" s="26">
        <v>11</v>
      </c>
      <c r="E19" s="26" t="s">
        <v>11</v>
      </c>
      <c r="F19" s="26">
        <v>21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17</v>
      </c>
      <c r="D20" s="26">
        <v>42</v>
      </c>
      <c r="E20" s="26" t="s">
        <v>11</v>
      </c>
      <c r="F20" s="26">
        <v>20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17</v>
      </c>
      <c r="D21" s="26">
        <v>58</v>
      </c>
      <c r="E21" s="26" t="s">
        <v>11</v>
      </c>
      <c r="F21" s="26">
        <v>2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17</v>
      </c>
      <c r="D22" s="26">
        <v>27</v>
      </c>
      <c r="E22" s="26" t="s">
        <v>11</v>
      </c>
      <c r="F22" s="26">
        <v>12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17</v>
      </c>
      <c r="D23" s="26">
        <v>50</v>
      </c>
      <c r="E23" s="26" t="s">
        <v>11</v>
      </c>
      <c r="F23" s="26">
        <v>24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17</v>
      </c>
      <c r="D24" s="26">
        <v>38</v>
      </c>
      <c r="E24" s="26" t="s">
        <v>11</v>
      </c>
      <c r="F24" s="26">
        <v>33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17</v>
      </c>
      <c r="D25" s="26">
        <v>21</v>
      </c>
      <c r="E25" s="26" t="s">
        <v>11</v>
      </c>
      <c r="F25" s="26">
        <v>20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17</v>
      </c>
      <c r="D26" s="26">
        <v>31</v>
      </c>
      <c r="E26" s="26" t="s">
        <v>11</v>
      </c>
      <c r="F26" s="26">
        <v>13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17</v>
      </c>
      <c r="D27" s="26">
        <v>19</v>
      </c>
      <c r="E27" s="26" t="s">
        <v>11</v>
      </c>
      <c r="F27" s="26">
        <v>23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17</v>
      </c>
      <c r="D28" s="26">
        <v>15</v>
      </c>
      <c r="E28" s="26" t="s">
        <v>11</v>
      </c>
      <c r="F28" s="26">
        <v>42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17</v>
      </c>
      <c r="D29" s="26">
        <v>27</v>
      </c>
      <c r="E29" s="26" t="s">
        <v>11</v>
      </c>
      <c r="F29" s="26">
        <v>27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17</v>
      </c>
      <c r="D30" s="26">
        <v>27</v>
      </c>
      <c r="E30" s="26" t="s">
        <v>11</v>
      </c>
      <c r="F30" s="26">
        <v>38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17</v>
      </c>
      <c r="D31" s="26">
        <v>29</v>
      </c>
      <c r="E31" s="26" t="s">
        <v>11</v>
      </c>
      <c r="F31" s="26">
        <v>27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17</v>
      </c>
      <c r="D32" s="26">
        <v>6</v>
      </c>
      <c r="E32" s="26" t="s">
        <v>11</v>
      </c>
      <c r="F32" s="26">
        <v>19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17</v>
      </c>
      <c r="D33" s="26">
        <v>35</v>
      </c>
      <c r="E33" s="26" t="s">
        <v>11</v>
      </c>
      <c r="F33" s="26">
        <v>51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17</v>
      </c>
      <c r="D34" s="26">
        <v>37</v>
      </c>
      <c r="E34" s="26" t="s">
        <v>11</v>
      </c>
      <c r="F34" s="26">
        <v>20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17</v>
      </c>
      <c r="D35" s="26">
        <v>21</v>
      </c>
      <c r="E35" s="26" t="s">
        <v>11</v>
      </c>
      <c r="F35" s="26">
        <v>11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17</v>
      </c>
      <c r="D36" s="26">
        <v>21</v>
      </c>
      <c r="E36" s="26" t="s">
        <v>11</v>
      </c>
      <c r="F36" s="26">
        <v>17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17</v>
      </c>
      <c r="D37" s="26">
        <v>34</v>
      </c>
      <c r="E37" s="26" t="s">
        <v>11</v>
      </c>
      <c r="F37" s="26">
        <v>48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17</v>
      </c>
      <c r="D38" s="26">
        <v>39</v>
      </c>
      <c r="E38" s="26" t="s">
        <v>11</v>
      </c>
      <c r="F38" s="26">
        <v>29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17</v>
      </c>
      <c r="D39" s="26">
        <v>0</v>
      </c>
      <c r="E39" s="26" t="s">
        <v>11</v>
      </c>
      <c r="F39" s="26">
        <v>2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17</v>
      </c>
      <c r="D40" s="26">
        <v>24</v>
      </c>
      <c r="E40" s="26" t="s">
        <v>11</v>
      </c>
      <c r="F40" s="26">
        <v>11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17</v>
      </c>
      <c r="D41" s="26">
        <v>17</v>
      </c>
      <c r="E41" s="26" t="s">
        <v>11</v>
      </c>
      <c r="F41" s="26">
        <v>17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17</v>
      </c>
      <c r="D42" s="26">
        <v>33</v>
      </c>
      <c r="E42" s="26" t="s">
        <v>11</v>
      </c>
      <c r="F42" s="26">
        <v>49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17</v>
      </c>
      <c r="D43" s="26">
        <v>20</v>
      </c>
      <c r="E43" s="26" t="s">
        <v>11</v>
      </c>
      <c r="F43" s="26">
        <v>23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17</v>
      </c>
      <c r="D44" s="26">
        <v>26</v>
      </c>
      <c r="E44" s="26" t="s">
        <v>11</v>
      </c>
      <c r="F44" s="26">
        <v>17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17</v>
      </c>
      <c r="D45" s="26">
        <v>36</v>
      </c>
      <c r="E45" s="26" t="s">
        <v>11</v>
      </c>
      <c r="F45" s="26">
        <v>0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17</v>
      </c>
      <c r="D46" s="26">
        <v>11</v>
      </c>
      <c r="E46" s="26" t="s">
        <v>11</v>
      </c>
      <c r="F46" s="26">
        <v>43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17</v>
      </c>
      <c r="D47" s="26">
        <v>25</v>
      </c>
      <c r="E47" s="26" t="s">
        <v>11</v>
      </c>
      <c r="F47" s="26">
        <v>34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17</v>
      </c>
      <c r="D48" s="26">
        <v>17</v>
      </c>
      <c r="E48" s="26" t="s">
        <v>11</v>
      </c>
      <c r="F48" s="26">
        <v>5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17</v>
      </c>
      <c r="D49" s="26">
        <v>23</v>
      </c>
      <c r="E49" s="26" t="s">
        <v>11</v>
      </c>
      <c r="F49" s="26">
        <v>6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17</v>
      </c>
      <c r="D50" s="26">
        <v>21</v>
      </c>
      <c r="E50" s="26" t="s">
        <v>11</v>
      </c>
      <c r="F50" s="26">
        <v>10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17</v>
      </c>
      <c r="D51" s="26">
        <v>24</v>
      </c>
      <c r="E51" s="26" t="s">
        <v>11</v>
      </c>
      <c r="F51" s="26">
        <v>5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17</v>
      </c>
      <c r="D52" s="26">
        <v>13</v>
      </c>
      <c r="E52" s="26" t="s">
        <v>11</v>
      </c>
      <c r="F52" s="26">
        <v>31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17</v>
      </c>
      <c r="D53" s="26">
        <v>15</v>
      </c>
      <c r="E53" s="26" t="s">
        <v>11</v>
      </c>
      <c r="F53" s="26">
        <v>31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17</v>
      </c>
      <c r="D54" s="26">
        <v>45</v>
      </c>
      <c r="E54" s="26" t="s">
        <v>11</v>
      </c>
      <c r="F54" s="26">
        <v>54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17</v>
      </c>
      <c r="D55" s="26">
        <v>28</v>
      </c>
      <c r="E55" s="26" t="s">
        <v>11</v>
      </c>
      <c r="F55" s="26">
        <v>12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17</v>
      </c>
      <c r="D56" s="26">
        <v>27</v>
      </c>
      <c r="E56" s="26" t="s">
        <v>11</v>
      </c>
      <c r="F56" s="26">
        <v>33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17</v>
      </c>
      <c r="D57" s="26">
        <v>21</v>
      </c>
      <c r="E57" s="26" t="s">
        <v>11</v>
      </c>
      <c r="F57" s="26">
        <v>10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17</v>
      </c>
      <c r="D58" s="26">
        <v>41</v>
      </c>
      <c r="E58" s="26" t="s">
        <v>11</v>
      </c>
      <c r="F58" s="26">
        <v>21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17</v>
      </c>
      <c r="D59" s="26">
        <v>13</v>
      </c>
      <c r="E59" s="26" t="s">
        <v>11</v>
      </c>
      <c r="F59" s="26">
        <v>25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17</v>
      </c>
      <c r="D60" s="26">
        <v>0</v>
      </c>
      <c r="E60" s="26" t="s">
        <v>11</v>
      </c>
      <c r="F60" s="26">
        <v>27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17</v>
      </c>
      <c r="D61" s="26">
        <v>31</v>
      </c>
      <c r="E61" s="26" t="s">
        <v>11</v>
      </c>
      <c r="F61" s="26">
        <v>21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17</v>
      </c>
      <c r="D62" s="26">
        <v>48</v>
      </c>
      <c r="E62" s="26" t="s">
        <v>11</v>
      </c>
      <c r="F62" s="26">
        <v>43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17</v>
      </c>
      <c r="D63" s="26">
        <v>31</v>
      </c>
      <c r="E63" s="26" t="s">
        <v>11</v>
      </c>
      <c r="F63" s="26">
        <v>29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17</v>
      </c>
      <c r="D64" s="26">
        <v>27</v>
      </c>
      <c r="E64" s="26" t="s">
        <v>11</v>
      </c>
      <c r="F64" s="26">
        <v>17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17</v>
      </c>
      <c r="D65" s="26">
        <v>0</v>
      </c>
      <c r="E65" s="26" t="s">
        <v>11</v>
      </c>
      <c r="F65" s="26">
        <v>8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17</v>
      </c>
      <c r="D66" s="26">
        <v>21</v>
      </c>
      <c r="E66" s="26" t="s">
        <v>11</v>
      </c>
      <c r="F66" s="26">
        <v>31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17</v>
      </c>
      <c r="D67" s="26">
        <v>16</v>
      </c>
      <c r="E67" s="26" t="s">
        <v>11</v>
      </c>
      <c r="F67" s="26">
        <v>41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17</v>
      </c>
      <c r="D68" s="26">
        <v>16</v>
      </c>
      <c r="E68" s="26" t="s">
        <v>11</v>
      </c>
      <c r="F68" s="26">
        <v>23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17</v>
      </c>
      <c r="D69" s="26">
        <v>8</v>
      </c>
      <c r="E69" s="26" t="s">
        <v>11</v>
      </c>
      <c r="F69" s="26">
        <v>39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17</v>
      </c>
      <c r="D70" s="26">
        <v>49</v>
      </c>
      <c r="E70" s="26" t="s">
        <v>11</v>
      </c>
      <c r="F70" s="26">
        <v>24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17</v>
      </c>
      <c r="D71" s="26">
        <v>11</v>
      </c>
      <c r="E71" s="26" t="s">
        <v>11</v>
      </c>
      <c r="F71" s="26">
        <v>9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17</v>
      </c>
      <c r="D72" s="26">
        <v>26</v>
      </c>
      <c r="E72" s="26" t="s">
        <v>11</v>
      </c>
      <c r="F72" s="26">
        <v>44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17</v>
      </c>
      <c r="D73" s="26">
        <v>30</v>
      </c>
      <c r="E73" s="26" t="s">
        <v>11</v>
      </c>
      <c r="F73" s="26">
        <v>45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17</v>
      </c>
      <c r="D74" s="26">
        <v>18</v>
      </c>
      <c r="E74" s="26" t="s">
        <v>11</v>
      </c>
      <c r="F74" s="26">
        <v>18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17</v>
      </c>
      <c r="D75" s="26">
        <v>41</v>
      </c>
      <c r="E75" s="26" t="s">
        <v>11</v>
      </c>
      <c r="F75" s="26">
        <v>20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17</v>
      </c>
      <c r="D76" s="26">
        <v>22</v>
      </c>
      <c r="E76" s="26" t="s">
        <v>11</v>
      </c>
      <c r="F76" s="26">
        <v>20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17</v>
      </c>
      <c r="D77" s="26">
        <v>19</v>
      </c>
      <c r="E77" s="26" t="s">
        <v>11</v>
      </c>
      <c r="F77" s="26">
        <v>19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17</v>
      </c>
      <c r="D78" s="26">
        <v>18</v>
      </c>
      <c r="E78" s="26" t="s">
        <v>11</v>
      </c>
      <c r="F78" s="26">
        <v>10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17</v>
      </c>
      <c r="D79" s="26">
        <v>26</v>
      </c>
      <c r="E79" s="26" t="s">
        <v>11</v>
      </c>
      <c r="F79" s="26">
        <v>34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17</v>
      </c>
      <c r="D80" s="26">
        <v>24</v>
      </c>
      <c r="E80" s="26" t="s">
        <v>11</v>
      </c>
      <c r="F80" s="26">
        <v>39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17</v>
      </c>
      <c r="D81" s="26">
        <v>23</v>
      </c>
      <c r="E81" s="26" t="s">
        <v>11</v>
      </c>
      <c r="F81" s="26">
        <v>13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17</v>
      </c>
      <c r="D82" s="26">
        <v>0</v>
      </c>
      <c r="E82" s="26" t="s">
        <v>11</v>
      </c>
      <c r="F82" s="26">
        <v>22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17</v>
      </c>
      <c r="D83" s="26">
        <v>23</v>
      </c>
      <c r="E83" s="26" t="s">
        <v>11</v>
      </c>
      <c r="F83" s="26">
        <v>15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17</v>
      </c>
      <c r="D84" s="26">
        <v>0</v>
      </c>
      <c r="E84" s="26" t="s">
        <v>11</v>
      </c>
      <c r="F84" s="26">
        <v>42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17</v>
      </c>
      <c r="D85" s="26">
        <v>25</v>
      </c>
      <c r="E85" s="26" t="s">
        <v>11</v>
      </c>
      <c r="F85" s="26">
        <v>12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17</v>
      </c>
      <c r="D86" s="26">
        <v>14</v>
      </c>
      <c r="E86" s="26" t="s">
        <v>11</v>
      </c>
      <c r="F86" s="26">
        <v>34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17</v>
      </c>
      <c r="D87" s="26">
        <v>21</v>
      </c>
      <c r="E87" s="26" t="s">
        <v>11</v>
      </c>
      <c r="F87" s="26">
        <v>29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17</v>
      </c>
      <c r="D88" s="26">
        <v>30</v>
      </c>
      <c r="E88" s="26" t="s">
        <v>11</v>
      </c>
      <c r="F88" s="26">
        <v>36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17</v>
      </c>
      <c r="D89" s="26">
        <v>31</v>
      </c>
      <c r="E89" s="26" t="s">
        <v>11</v>
      </c>
      <c r="F89" s="26">
        <v>44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17</v>
      </c>
      <c r="D90" s="26">
        <v>27</v>
      </c>
      <c r="E90" s="26" t="s">
        <v>11</v>
      </c>
      <c r="F90" s="26">
        <v>21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17</v>
      </c>
      <c r="D91" s="26">
        <v>37</v>
      </c>
      <c r="E91" s="26" t="s">
        <v>11</v>
      </c>
      <c r="F91" s="26">
        <v>42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17</v>
      </c>
      <c r="D92" s="26">
        <v>15</v>
      </c>
      <c r="E92" s="26" t="s">
        <v>11</v>
      </c>
      <c r="F92" s="26">
        <v>31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17</v>
      </c>
      <c r="D93" s="26">
        <v>6</v>
      </c>
      <c r="E93" s="26" t="s">
        <v>11</v>
      </c>
      <c r="F93" s="26">
        <v>18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17</v>
      </c>
      <c r="D94" s="26">
        <v>2</v>
      </c>
      <c r="E94" s="26" t="s">
        <v>11</v>
      </c>
      <c r="F94" s="26">
        <v>39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17</v>
      </c>
      <c r="D95" s="26">
        <v>11</v>
      </c>
      <c r="E95" s="26" t="s">
        <v>11</v>
      </c>
      <c r="F95" s="26">
        <v>31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17</v>
      </c>
      <c r="D96" s="26">
        <v>27</v>
      </c>
      <c r="E96" s="26" t="s">
        <v>11</v>
      </c>
      <c r="F96" s="26">
        <v>20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17</v>
      </c>
      <c r="D97" s="26">
        <v>12</v>
      </c>
      <c r="E97" s="26" t="s">
        <v>11</v>
      </c>
      <c r="F97" s="26">
        <v>51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17</v>
      </c>
      <c r="D98" s="26">
        <v>0</v>
      </c>
      <c r="E98" s="26" t="s">
        <v>11</v>
      </c>
      <c r="F98" s="26">
        <v>20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17</v>
      </c>
      <c r="D99" s="26">
        <v>2</v>
      </c>
      <c r="E99" s="26" t="s">
        <v>11</v>
      </c>
      <c r="F99" s="26">
        <v>24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17</v>
      </c>
      <c r="D100" s="26">
        <v>24</v>
      </c>
      <c r="E100" s="26" t="s">
        <v>11</v>
      </c>
      <c r="F100" s="26">
        <v>40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7A4-C3D4-4032-833F-8CF813A0EBC8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17</v>
      </c>
      <c r="D1" s="26">
        <v>42</v>
      </c>
      <c r="E1" s="26" t="s">
        <v>14</v>
      </c>
      <c r="F1" s="26">
        <v>37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17</v>
      </c>
      <c r="D2" s="26">
        <v>0</v>
      </c>
      <c r="E2" s="26" t="s">
        <v>14</v>
      </c>
      <c r="F2" s="26">
        <v>37</v>
      </c>
      <c r="G2" s="26">
        <v>1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17</v>
      </c>
      <c r="D3" s="26">
        <v>4</v>
      </c>
      <c r="E3" s="26" t="s">
        <v>14</v>
      </c>
      <c r="F3" s="26">
        <v>23</v>
      </c>
      <c r="G3" s="26">
        <v>1</v>
      </c>
      <c r="I3" s="4" t="s">
        <v>4</v>
      </c>
      <c r="J3" s="4"/>
      <c r="K3" s="8">
        <f>COUNTIF($G$1:$G$100, 0)</f>
        <v>6</v>
      </c>
      <c r="L3" s="8"/>
      <c r="M3" s="8">
        <f>COUNTIFS($G$1:$G$100, 0, $B$1:$B$100, 0)</f>
        <v>3</v>
      </c>
      <c r="N3" s="8"/>
      <c r="O3" s="9">
        <f>COUNTIFS($G$1:$G$100, 0, $B$1:$B$100, 1)</f>
        <v>3</v>
      </c>
      <c r="P3" s="10"/>
      <c r="Q3" s="11" cm="1">
        <f t="array" ref="Q3">SUMPRODUCT(--($D$1:$D$100=$G$1:$G$100))</f>
        <v>1</v>
      </c>
    </row>
    <row r="4" spans="1:17" x14ac:dyDescent="0.3">
      <c r="A4" s="26">
        <v>2</v>
      </c>
      <c r="B4" s="26">
        <v>0</v>
      </c>
      <c r="C4" s="26" t="s">
        <v>17</v>
      </c>
      <c r="D4" s="26">
        <v>13</v>
      </c>
      <c r="E4" s="26" t="s">
        <v>14</v>
      </c>
      <c r="F4" s="26">
        <v>66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17</v>
      </c>
      <c r="D5" s="26">
        <v>10</v>
      </c>
      <c r="E5" s="26" t="s">
        <v>14</v>
      </c>
      <c r="F5" s="26">
        <v>63</v>
      </c>
      <c r="G5" s="26">
        <v>1</v>
      </c>
      <c r="I5" s="4" t="s">
        <v>5</v>
      </c>
      <c r="J5" s="4"/>
      <c r="K5" s="13">
        <f>COUNTIF($G$1:$G$100, 1)</f>
        <v>94</v>
      </c>
      <c r="L5" s="8"/>
      <c r="M5" s="8">
        <f>COUNTIFS($G$1:$G$100, 1, $B$1:$B$100, 0)</f>
        <v>47</v>
      </c>
      <c r="N5" s="8"/>
      <c r="O5" s="8">
        <f>COUNTIFS($G$1:$G$100, 1, $B$1:$B$100, 1)</f>
        <v>47</v>
      </c>
      <c r="P5" s="12"/>
      <c r="Q5"/>
    </row>
    <row r="6" spans="1:17" x14ac:dyDescent="0.3">
      <c r="A6" s="26">
        <v>2</v>
      </c>
      <c r="B6" s="26">
        <v>0</v>
      </c>
      <c r="C6" s="26" t="s">
        <v>17</v>
      </c>
      <c r="D6" s="26">
        <v>28</v>
      </c>
      <c r="E6" s="26" t="s">
        <v>14</v>
      </c>
      <c r="F6" s="26">
        <v>35</v>
      </c>
      <c r="G6" s="26">
        <v>1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17</v>
      </c>
      <c r="D7" s="26">
        <v>0</v>
      </c>
      <c r="E7" s="26" t="s">
        <v>14</v>
      </c>
      <c r="F7" s="26">
        <v>58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17</v>
      </c>
      <c r="D8" s="26">
        <v>21</v>
      </c>
      <c r="E8" s="26" t="s">
        <v>14</v>
      </c>
      <c r="F8" s="26">
        <v>28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17</v>
      </c>
      <c r="D9" s="26">
        <v>25</v>
      </c>
      <c r="E9" s="26" t="s">
        <v>14</v>
      </c>
      <c r="F9" s="26">
        <v>41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17</v>
      </c>
      <c r="D10" s="26">
        <v>34</v>
      </c>
      <c r="E10" s="26" t="s">
        <v>14</v>
      </c>
      <c r="F10" s="26">
        <v>50</v>
      </c>
      <c r="G10" s="26">
        <v>1</v>
      </c>
      <c r="I10" s="4" t="s">
        <v>8</v>
      </c>
      <c r="J10" s="4"/>
      <c r="K10" s="8">
        <f>AVERAGE($D$1:$D$100,)</f>
        <v>13.099009900990099</v>
      </c>
      <c r="L10" s="8"/>
      <c r="M10" s="8" cm="1">
        <f t="array" ref="M10">AVERAGE(_xlfn._xlws.FILTER($D$1:$D$100,$G$1:$G$100 = 0))</f>
        <v>32.833333333333336</v>
      </c>
      <c r="N10" s="8"/>
      <c r="O10" s="9" cm="1">
        <f t="array" ref="O10">AVERAGE(_xlfn._xlws.FILTER($D$1:$D$100,$G$1:$G$100 = 1))</f>
        <v>11.978723404255319</v>
      </c>
      <c r="P10" s="10"/>
      <c r="Q10"/>
    </row>
    <row r="11" spans="1:17" x14ac:dyDescent="0.3">
      <c r="A11" s="26">
        <v>2</v>
      </c>
      <c r="B11" s="26">
        <v>0</v>
      </c>
      <c r="C11" s="26" t="s">
        <v>17</v>
      </c>
      <c r="D11" s="26">
        <v>3</v>
      </c>
      <c r="E11" s="26" t="s">
        <v>14</v>
      </c>
      <c r="F11" s="26">
        <v>49</v>
      </c>
      <c r="G11" s="26">
        <v>1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17</v>
      </c>
      <c r="D12" s="26">
        <v>20</v>
      </c>
      <c r="E12" s="26" t="s">
        <v>14</v>
      </c>
      <c r="F12" s="26">
        <v>54</v>
      </c>
      <c r="G12" s="26">
        <v>1</v>
      </c>
      <c r="I12" s="4" t="s">
        <v>9</v>
      </c>
      <c r="J12" s="4"/>
      <c r="K12" s="8">
        <f>AVERAGE($F$1:$F$100,)</f>
        <v>43.643564356435647</v>
      </c>
      <c r="L12" s="8"/>
      <c r="M12" s="8" cm="1">
        <f t="array" ref="M12">AVERAGE(_xlfn._xlws.FILTER($F$1:$F$100,$G$1:$G$100 = 0))</f>
        <v>21.666666666666668</v>
      </c>
      <c r="N12" s="8"/>
      <c r="O12" s="8" cm="1">
        <f t="array" ref="O12">AVERAGE(_xlfn._xlws.FILTER($F$1:$F$100,$G$1:$G$100 = 1))</f>
        <v>45.51063829787234</v>
      </c>
      <c r="P12" s="12"/>
      <c r="Q12"/>
    </row>
    <row r="13" spans="1:17" x14ac:dyDescent="0.3">
      <c r="A13" s="26">
        <v>2</v>
      </c>
      <c r="B13" s="26">
        <v>0</v>
      </c>
      <c r="C13" s="26" t="s">
        <v>17</v>
      </c>
      <c r="D13" s="26">
        <v>3</v>
      </c>
      <c r="E13" s="26" t="s">
        <v>14</v>
      </c>
      <c r="F13" s="26">
        <v>40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17</v>
      </c>
      <c r="D14" s="26">
        <v>0</v>
      </c>
      <c r="E14" s="26" t="s">
        <v>14</v>
      </c>
      <c r="F14" s="26">
        <v>38</v>
      </c>
      <c r="G14" s="26">
        <v>1</v>
      </c>
      <c r="I14" s="21" t="s">
        <v>10</v>
      </c>
      <c r="J14" s="10"/>
      <c r="K14" s="22" cm="1">
        <f t="array" ref="K14">AVERAGE($D$1:$D$100 - $F$1:$F$100)</f>
        <v>-30.85</v>
      </c>
      <c r="L14" s="22"/>
      <c r="M14" s="22" cm="1">
        <f t="array" ref="M14">AVERAGE(_xlfn._xlws.FILTER($D$1:$D$100 - $F$1:$F$100, G$1:G$100 = 0))</f>
        <v>11.166666666666666</v>
      </c>
      <c r="N14" s="22"/>
      <c r="O14" s="22" cm="1">
        <f t="array" ref="O14">AVERAGE(_xlfn._xlws.FILTER($D$1:$D$100 - $F$1:$F$100, G$1:G$100 = 1))</f>
        <v>-33.531914893617021</v>
      </c>
      <c r="P14" s="23"/>
      <c r="Q14"/>
    </row>
    <row r="15" spans="1:17" x14ac:dyDescent="0.3">
      <c r="A15" s="26">
        <v>2</v>
      </c>
      <c r="B15" s="26">
        <v>0</v>
      </c>
      <c r="C15" s="26" t="s">
        <v>17</v>
      </c>
      <c r="D15" s="26">
        <v>4</v>
      </c>
      <c r="E15" s="26" t="s">
        <v>14</v>
      </c>
      <c r="F15" s="26">
        <v>30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17</v>
      </c>
      <c r="D16" s="26">
        <v>5</v>
      </c>
      <c r="E16" s="26" t="s">
        <v>14</v>
      </c>
      <c r="F16" s="26">
        <v>62</v>
      </c>
      <c r="G16" s="26">
        <v>1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17</v>
      </c>
      <c r="D17" s="26">
        <v>0</v>
      </c>
      <c r="E17" s="26" t="s">
        <v>14</v>
      </c>
      <c r="F17" s="26">
        <v>42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17</v>
      </c>
      <c r="D18" s="26">
        <v>0</v>
      </c>
      <c r="E18" s="26" t="s">
        <v>14</v>
      </c>
      <c r="F18" s="26">
        <v>44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17</v>
      </c>
      <c r="D19" s="26">
        <v>5</v>
      </c>
      <c r="E19" s="26" t="s">
        <v>14</v>
      </c>
      <c r="F19" s="26">
        <v>43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17</v>
      </c>
      <c r="D20" s="26">
        <v>4</v>
      </c>
      <c r="E20" s="26" t="s">
        <v>14</v>
      </c>
      <c r="F20" s="26">
        <v>18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17</v>
      </c>
      <c r="D21" s="26">
        <v>7</v>
      </c>
      <c r="E21" s="26" t="s">
        <v>14</v>
      </c>
      <c r="F21" s="26">
        <v>29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17</v>
      </c>
      <c r="D22" s="26">
        <v>19</v>
      </c>
      <c r="E22" s="26" t="s">
        <v>14</v>
      </c>
      <c r="F22" s="26">
        <v>37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17</v>
      </c>
      <c r="D23" s="26">
        <v>10</v>
      </c>
      <c r="E23" s="26" t="s">
        <v>14</v>
      </c>
      <c r="F23" s="26">
        <v>46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17</v>
      </c>
      <c r="D24" s="26">
        <v>0</v>
      </c>
      <c r="E24" s="26" t="s">
        <v>14</v>
      </c>
      <c r="F24" s="26">
        <v>43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17</v>
      </c>
      <c r="D25" s="26">
        <v>14</v>
      </c>
      <c r="E25" s="26" t="s">
        <v>14</v>
      </c>
      <c r="F25" s="26">
        <v>56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17</v>
      </c>
      <c r="D26" s="26">
        <v>12</v>
      </c>
      <c r="E26" s="26" t="s">
        <v>14</v>
      </c>
      <c r="F26" s="26">
        <v>23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17</v>
      </c>
      <c r="D27" s="26">
        <v>2</v>
      </c>
      <c r="E27" s="26" t="s">
        <v>14</v>
      </c>
      <c r="F27" s="26">
        <v>31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17</v>
      </c>
      <c r="D28" s="26">
        <v>0</v>
      </c>
      <c r="E28" s="26" t="s">
        <v>14</v>
      </c>
      <c r="F28" s="26">
        <v>36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17</v>
      </c>
      <c r="D29" s="26">
        <v>0</v>
      </c>
      <c r="E29" s="26" t="s">
        <v>14</v>
      </c>
      <c r="F29" s="26">
        <v>41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17</v>
      </c>
      <c r="D30" s="26">
        <v>11</v>
      </c>
      <c r="E30" s="26" t="s">
        <v>14</v>
      </c>
      <c r="F30" s="26">
        <v>39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17</v>
      </c>
      <c r="D31" s="26">
        <v>4</v>
      </c>
      <c r="E31" s="26" t="s">
        <v>14</v>
      </c>
      <c r="F31" s="26">
        <v>45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17</v>
      </c>
      <c r="D32" s="26">
        <v>32</v>
      </c>
      <c r="E32" s="26" t="s">
        <v>14</v>
      </c>
      <c r="F32" s="26">
        <v>19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17</v>
      </c>
      <c r="D33" s="26">
        <v>4</v>
      </c>
      <c r="E33" s="26" t="s">
        <v>14</v>
      </c>
      <c r="F33" s="26">
        <v>21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17</v>
      </c>
      <c r="D34" s="26">
        <v>16</v>
      </c>
      <c r="E34" s="26" t="s">
        <v>14</v>
      </c>
      <c r="F34" s="26">
        <v>37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17</v>
      </c>
      <c r="D35" s="26">
        <v>16</v>
      </c>
      <c r="E35" s="26" t="s">
        <v>14</v>
      </c>
      <c r="F35" s="26">
        <v>41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17</v>
      </c>
      <c r="D36" s="26">
        <v>2</v>
      </c>
      <c r="E36" s="26" t="s">
        <v>14</v>
      </c>
      <c r="F36" s="26">
        <v>57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17</v>
      </c>
      <c r="D37" s="26">
        <v>27</v>
      </c>
      <c r="E37" s="26" t="s">
        <v>14</v>
      </c>
      <c r="F37" s="26">
        <v>57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17</v>
      </c>
      <c r="D38" s="26">
        <v>6</v>
      </c>
      <c r="E38" s="26" t="s">
        <v>14</v>
      </c>
      <c r="F38" s="26">
        <v>23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17</v>
      </c>
      <c r="D39" s="26">
        <v>3</v>
      </c>
      <c r="E39" s="26" t="s">
        <v>14</v>
      </c>
      <c r="F39" s="26">
        <v>33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17</v>
      </c>
      <c r="D40" s="26">
        <v>46</v>
      </c>
      <c r="E40" s="26" t="s">
        <v>14</v>
      </c>
      <c r="F40" s="26">
        <v>30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17</v>
      </c>
      <c r="D41" s="26">
        <v>3</v>
      </c>
      <c r="E41" s="26" t="s">
        <v>14</v>
      </c>
      <c r="F41" s="26">
        <v>53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17</v>
      </c>
      <c r="D42" s="26">
        <v>9</v>
      </c>
      <c r="E42" s="26" t="s">
        <v>14</v>
      </c>
      <c r="F42" s="26">
        <v>66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17</v>
      </c>
      <c r="D43" s="26">
        <v>0</v>
      </c>
      <c r="E43" s="26" t="s">
        <v>14</v>
      </c>
      <c r="F43" s="26">
        <v>30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17</v>
      </c>
      <c r="D44" s="26">
        <v>17</v>
      </c>
      <c r="E44" s="26" t="s">
        <v>14</v>
      </c>
      <c r="F44" s="26">
        <v>34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17</v>
      </c>
      <c r="D45" s="26">
        <v>0</v>
      </c>
      <c r="E45" s="26" t="s">
        <v>14</v>
      </c>
      <c r="F45" s="26">
        <v>65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17</v>
      </c>
      <c r="D46" s="26">
        <v>17</v>
      </c>
      <c r="E46" s="26" t="s">
        <v>14</v>
      </c>
      <c r="F46" s="26">
        <v>68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17</v>
      </c>
      <c r="D47" s="26">
        <v>11</v>
      </c>
      <c r="E47" s="26" t="s">
        <v>14</v>
      </c>
      <c r="F47" s="26">
        <v>72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17</v>
      </c>
      <c r="D48" s="26">
        <v>22</v>
      </c>
      <c r="E48" s="26" t="s">
        <v>14</v>
      </c>
      <c r="F48" s="26">
        <v>40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17</v>
      </c>
      <c r="D49" s="26">
        <v>23</v>
      </c>
      <c r="E49" s="26" t="s">
        <v>14</v>
      </c>
      <c r="F49" s="26">
        <v>54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17</v>
      </c>
      <c r="D50" s="26">
        <v>5</v>
      </c>
      <c r="E50" s="26" t="s">
        <v>14</v>
      </c>
      <c r="F50" s="26">
        <v>42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17</v>
      </c>
      <c r="D51" s="26">
        <v>6</v>
      </c>
      <c r="E51" s="26" t="s">
        <v>14</v>
      </c>
      <c r="F51" s="26">
        <v>42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17</v>
      </c>
      <c r="D52" s="26">
        <v>8</v>
      </c>
      <c r="E52" s="26" t="s">
        <v>14</v>
      </c>
      <c r="F52" s="26">
        <v>22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17</v>
      </c>
      <c r="D53" s="26">
        <v>20</v>
      </c>
      <c r="E53" s="26" t="s">
        <v>14</v>
      </c>
      <c r="F53" s="26">
        <v>66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17</v>
      </c>
      <c r="D54" s="26">
        <v>33</v>
      </c>
      <c r="E54" s="26" t="s">
        <v>14</v>
      </c>
      <c r="F54" s="26">
        <v>37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17</v>
      </c>
      <c r="D55" s="26">
        <v>18</v>
      </c>
      <c r="E55" s="26" t="s">
        <v>14</v>
      </c>
      <c r="F55" s="26">
        <v>47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17</v>
      </c>
      <c r="D56" s="26">
        <v>7</v>
      </c>
      <c r="E56" s="26" t="s">
        <v>14</v>
      </c>
      <c r="F56" s="26">
        <v>43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17</v>
      </c>
      <c r="D57" s="26">
        <v>31</v>
      </c>
      <c r="E57" s="26" t="s">
        <v>14</v>
      </c>
      <c r="F57" s="26">
        <v>26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17</v>
      </c>
      <c r="D58" s="26">
        <v>6</v>
      </c>
      <c r="E58" s="26" t="s">
        <v>14</v>
      </c>
      <c r="F58" s="26">
        <v>56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17</v>
      </c>
      <c r="D59" s="26">
        <v>25</v>
      </c>
      <c r="E59" s="26" t="s">
        <v>14</v>
      </c>
      <c r="F59" s="26">
        <v>28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17</v>
      </c>
      <c r="D60" s="26">
        <v>28</v>
      </c>
      <c r="E60" s="26" t="s">
        <v>14</v>
      </c>
      <c r="F60" s="26">
        <v>43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17</v>
      </c>
      <c r="D61" s="26">
        <v>4</v>
      </c>
      <c r="E61" s="26" t="s">
        <v>14</v>
      </c>
      <c r="F61" s="26">
        <v>50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17</v>
      </c>
      <c r="D62" s="26">
        <v>10</v>
      </c>
      <c r="E62" s="26" t="s">
        <v>14</v>
      </c>
      <c r="F62" s="26">
        <v>62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17</v>
      </c>
      <c r="D63" s="26">
        <v>3</v>
      </c>
      <c r="E63" s="26" t="s">
        <v>14</v>
      </c>
      <c r="F63" s="26">
        <v>49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17</v>
      </c>
      <c r="D64" s="26">
        <v>5</v>
      </c>
      <c r="E64" s="26" t="s">
        <v>14</v>
      </c>
      <c r="F64" s="26">
        <v>38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17</v>
      </c>
      <c r="D65" s="26">
        <v>15</v>
      </c>
      <c r="E65" s="26" t="s">
        <v>14</v>
      </c>
      <c r="F65" s="26">
        <v>51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17</v>
      </c>
      <c r="D66" s="26">
        <v>15</v>
      </c>
      <c r="E66" s="26" t="s">
        <v>14</v>
      </c>
      <c r="F66" s="26">
        <v>8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17</v>
      </c>
      <c r="D67" s="26">
        <v>39</v>
      </c>
      <c r="E67" s="26" t="s">
        <v>14</v>
      </c>
      <c r="F67" s="26">
        <v>48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17</v>
      </c>
      <c r="D68" s="26">
        <v>13</v>
      </c>
      <c r="E68" s="26" t="s">
        <v>14</v>
      </c>
      <c r="F68" s="26">
        <v>58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17</v>
      </c>
      <c r="D69" s="26">
        <v>3</v>
      </c>
      <c r="E69" s="26" t="s">
        <v>14</v>
      </c>
      <c r="F69" s="26">
        <v>71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17</v>
      </c>
      <c r="D70" s="26">
        <v>6</v>
      </c>
      <c r="E70" s="26" t="s">
        <v>14</v>
      </c>
      <c r="F70" s="26">
        <v>50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17</v>
      </c>
      <c r="D71" s="26">
        <v>16</v>
      </c>
      <c r="E71" s="26" t="s">
        <v>14</v>
      </c>
      <c r="F71" s="26">
        <v>40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17</v>
      </c>
      <c r="D72" s="26">
        <v>31</v>
      </c>
      <c r="E72" s="26" t="s">
        <v>14</v>
      </c>
      <c r="F72" s="26">
        <v>10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17</v>
      </c>
      <c r="D73" s="26">
        <v>30</v>
      </c>
      <c r="E73" s="26" t="s">
        <v>14</v>
      </c>
      <c r="F73" s="26">
        <v>36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17</v>
      </c>
      <c r="D74" s="26">
        <v>23</v>
      </c>
      <c r="E74" s="26" t="s">
        <v>14</v>
      </c>
      <c r="F74" s="26">
        <v>62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17</v>
      </c>
      <c r="D75" s="26">
        <v>17</v>
      </c>
      <c r="E75" s="26" t="s">
        <v>14</v>
      </c>
      <c r="F75" s="26">
        <v>66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17</v>
      </c>
      <c r="D76" s="26">
        <v>17</v>
      </c>
      <c r="E76" s="26" t="s">
        <v>14</v>
      </c>
      <c r="F76" s="26">
        <v>74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17</v>
      </c>
      <c r="D77" s="26">
        <v>11</v>
      </c>
      <c r="E77" s="26" t="s">
        <v>14</v>
      </c>
      <c r="F77" s="26">
        <v>49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17</v>
      </c>
      <c r="D78" s="26">
        <v>24</v>
      </c>
      <c r="E78" s="26" t="s">
        <v>14</v>
      </c>
      <c r="F78" s="26">
        <v>38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17</v>
      </c>
      <c r="D79" s="26">
        <v>5</v>
      </c>
      <c r="E79" s="26" t="s">
        <v>14</v>
      </c>
      <c r="F79" s="26">
        <v>29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17</v>
      </c>
      <c r="D80" s="26">
        <v>19</v>
      </c>
      <c r="E80" s="26" t="s">
        <v>14</v>
      </c>
      <c r="F80" s="26">
        <v>51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17</v>
      </c>
      <c r="D81" s="26">
        <v>23</v>
      </c>
      <c r="E81" s="26" t="s">
        <v>14</v>
      </c>
      <c r="F81" s="26">
        <v>30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17</v>
      </c>
      <c r="D82" s="26">
        <v>18</v>
      </c>
      <c r="E82" s="26" t="s">
        <v>14</v>
      </c>
      <c r="F82" s="26">
        <v>39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17</v>
      </c>
      <c r="D83" s="26">
        <v>6</v>
      </c>
      <c r="E83" s="26" t="s">
        <v>14</v>
      </c>
      <c r="F83" s="26">
        <v>50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17</v>
      </c>
      <c r="D84" s="26">
        <v>4</v>
      </c>
      <c r="E84" s="26" t="s">
        <v>14</v>
      </c>
      <c r="F84" s="26">
        <v>58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17</v>
      </c>
      <c r="D85" s="26">
        <v>11</v>
      </c>
      <c r="E85" s="26" t="s">
        <v>14</v>
      </c>
      <c r="F85" s="26">
        <v>51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17</v>
      </c>
      <c r="D86" s="26">
        <v>15</v>
      </c>
      <c r="E86" s="26" t="s">
        <v>14</v>
      </c>
      <c r="F86" s="26">
        <v>40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17</v>
      </c>
      <c r="D87" s="26">
        <v>3</v>
      </c>
      <c r="E87" s="26" t="s">
        <v>14</v>
      </c>
      <c r="F87" s="26">
        <v>47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17</v>
      </c>
      <c r="D88" s="26">
        <v>24</v>
      </c>
      <c r="E88" s="26" t="s">
        <v>14</v>
      </c>
      <c r="F88" s="26">
        <v>33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17</v>
      </c>
      <c r="D89" s="26">
        <v>0</v>
      </c>
      <c r="E89" s="26" t="s">
        <v>14</v>
      </c>
      <c r="F89" s="26">
        <v>53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17</v>
      </c>
      <c r="D90" s="26">
        <v>2</v>
      </c>
      <c r="E90" s="26" t="s">
        <v>14</v>
      </c>
      <c r="F90" s="26">
        <v>33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17</v>
      </c>
      <c r="D91" s="26">
        <v>15</v>
      </c>
      <c r="E91" s="26" t="s">
        <v>14</v>
      </c>
      <c r="F91" s="26">
        <v>86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17</v>
      </c>
      <c r="D92" s="26">
        <v>15</v>
      </c>
      <c r="E92" s="26" t="s">
        <v>14</v>
      </c>
      <c r="F92" s="26">
        <v>48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17</v>
      </c>
      <c r="D93" s="26">
        <v>1</v>
      </c>
      <c r="E93" s="26" t="s">
        <v>14</v>
      </c>
      <c r="F93" s="26">
        <v>28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17</v>
      </c>
      <c r="D94" s="26">
        <v>13</v>
      </c>
      <c r="E94" s="26" t="s">
        <v>14</v>
      </c>
      <c r="F94" s="26">
        <v>34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17</v>
      </c>
      <c r="D95" s="26">
        <v>25</v>
      </c>
      <c r="E95" s="26" t="s">
        <v>14</v>
      </c>
      <c r="F95" s="26">
        <v>60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17</v>
      </c>
      <c r="D96" s="26">
        <v>13</v>
      </c>
      <c r="E96" s="26" t="s">
        <v>14</v>
      </c>
      <c r="F96" s="26">
        <v>48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17</v>
      </c>
      <c r="D97" s="26">
        <v>11</v>
      </c>
      <c r="E97" s="26" t="s">
        <v>14</v>
      </c>
      <c r="F97" s="26">
        <v>47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17</v>
      </c>
      <c r="D98" s="26">
        <v>33</v>
      </c>
      <c r="E98" s="26" t="s">
        <v>14</v>
      </c>
      <c r="F98" s="26">
        <v>58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17</v>
      </c>
      <c r="D99" s="26">
        <v>20</v>
      </c>
      <c r="E99" s="26" t="s">
        <v>14</v>
      </c>
      <c r="F99" s="26">
        <v>36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17</v>
      </c>
      <c r="D100" s="26">
        <v>24</v>
      </c>
      <c r="E100" s="26" t="s">
        <v>14</v>
      </c>
      <c r="F100" s="26">
        <v>53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C290-427F-4CA1-B39A-B3C13F3B44B0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17</v>
      </c>
      <c r="D1" s="26">
        <v>9</v>
      </c>
      <c r="E1" s="26" t="s">
        <v>12</v>
      </c>
      <c r="F1" s="26">
        <v>14</v>
      </c>
      <c r="G1" s="26">
        <v>1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17</v>
      </c>
      <c r="D2" s="26">
        <v>29</v>
      </c>
      <c r="E2" s="26" t="s">
        <v>12</v>
      </c>
      <c r="F2" s="26">
        <v>20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17</v>
      </c>
      <c r="D3" s="26">
        <v>50</v>
      </c>
      <c r="E3" s="26" t="s">
        <v>12</v>
      </c>
      <c r="F3" s="26">
        <v>30</v>
      </c>
      <c r="G3" s="26">
        <v>0</v>
      </c>
      <c r="I3" s="4" t="s">
        <v>4</v>
      </c>
      <c r="J3" s="4"/>
      <c r="K3" s="8">
        <f>COUNTIF($G$1:$G$100, 0)</f>
        <v>14</v>
      </c>
      <c r="L3" s="8"/>
      <c r="M3" s="8">
        <f>COUNTIFS($G$1:$G$100, 0, $B$1:$B$100, 0)</f>
        <v>10</v>
      </c>
      <c r="N3" s="8"/>
      <c r="O3" s="9">
        <f>COUNTIFS($G$1:$G$100, 0, $B$1:$B$100, 1)</f>
        <v>4</v>
      </c>
      <c r="P3" s="10"/>
      <c r="Q3" s="11" cm="1">
        <f t="array" ref="Q3">SUMPRODUCT(--($D$1:$D$100=$G$1:$G$100))</f>
        <v>3</v>
      </c>
    </row>
    <row r="4" spans="1:17" x14ac:dyDescent="0.3">
      <c r="A4" s="26">
        <v>2</v>
      </c>
      <c r="B4" s="26">
        <v>0</v>
      </c>
      <c r="C4" s="26" t="s">
        <v>17</v>
      </c>
      <c r="D4" s="26">
        <v>16</v>
      </c>
      <c r="E4" s="26" t="s">
        <v>12</v>
      </c>
      <c r="F4" s="26">
        <v>14</v>
      </c>
      <c r="G4" s="26">
        <v>0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17</v>
      </c>
      <c r="D5" s="26">
        <v>7</v>
      </c>
      <c r="E5" s="26" t="s">
        <v>12</v>
      </c>
      <c r="F5" s="26">
        <v>30</v>
      </c>
      <c r="G5" s="26">
        <v>1</v>
      </c>
      <c r="I5" s="4" t="s">
        <v>5</v>
      </c>
      <c r="J5" s="4"/>
      <c r="K5" s="13">
        <f>COUNTIF($G$1:$G$100, 1)</f>
        <v>86</v>
      </c>
      <c r="L5" s="8"/>
      <c r="M5" s="8">
        <f>COUNTIFS($G$1:$G$100, 1, $B$1:$B$100, 0)</f>
        <v>40</v>
      </c>
      <c r="N5" s="8"/>
      <c r="O5" s="8">
        <f>COUNTIFS($G$1:$G$100, 1, $B$1:$B$100, 1)</f>
        <v>46</v>
      </c>
      <c r="P5" s="12"/>
      <c r="Q5"/>
    </row>
    <row r="6" spans="1:17" x14ac:dyDescent="0.3">
      <c r="A6" s="26">
        <v>2</v>
      </c>
      <c r="B6" s="26">
        <v>0</v>
      </c>
      <c r="C6" s="26" t="s">
        <v>17</v>
      </c>
      <c r="D6" s="26">
        <v>24</v>
      </c>
      <c r="E6" s="26" t="s">
        <v>12</v>
      </c>
      <c r="F6" s="26">
        <v>56</v>
      </c>
      <c r="G6" s="26">
        <v>1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17</v>
      </c>
      <c r="D7" s="26">
        <v>11</v>
      </c>
      <c r="E7" s="26" t="s">
        <v>12</v>
      </c>
      <c r="F7" s="26">
        <v>32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17</v>
      </c>
      <c r="D8" s="26">
        <v>23</v>
      </c>
      <c r="E8" s="26" t="s">
        <v>12</v>
      </c>
      <c r="F8" s="26">
        <v>32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17</v>
      </c>
      <c r="D9" s="26">
        <v>23</v>
      </c>
      <c r="E9" s="26" t="s">
        <v>12</v>
      </c>
      <c r="F9" s="26">
        <v>44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17</v>
      </c>
      <c r="D10" s="26">
        <v>12</v>
      </c>
      <c r="E10" s="26" t="s">
        <v>12</v>
      </c>
      <c r="F10" s="26">
        <v>13</v>
      </c>
      <c r="G10" s="26">
        <v>1</v>
      </c>
      <c r="I10" s="4" t="s">
        <v>8</v>
      </c>
      <c r="J10" s="4"/>
      <c r="K10" s="8">
        <f>AVERAGE($D$1:$D$100,)</f>
        <v>12.920792079207921</v>
      </c>
      <c r="L10" s="8"/>
      <c r="M10" s="8" cm="1">
        <f t="array" ref="M10">AVERAGE(_xlfn._xlws.FILTER($D$1:$D$100,$G$1:$G$100 = 0))</f>
        <v>29.571428571428573</v>
      </c>
      <c r="N10" s="8"/>
      <c r="O10" s="9" cm="1">
        <f t="array" ref="O10">AVERAGE(_xlfn._xlws.FILTER($D$1:$D$100,$G$1:$G$100 = 1))</f>
        <v>10.36046511627907</v>
      </c>
      <c r="P10" s="10"/>
      <c r="Q10"/>
    </row>
    <row r="11" spans="1:17" x14ac:dyDescent="0.3">
      <c r="A11" s="26">
        <v>2</v>
      </c>
      <c r="B11" s="26">
        <v>0</v>
      </c>
      <c r="C11" s="26" t="s">
        <v>17</v>
      </c>
      <c r="D11" s="26">
        <v>8</v>
      </c>
      <c r="E11" s="26" t="s">
        <v>12</v>
      </c>
      <c r="F11" s="26">
        <v>29</v>
      </c>
      <c r="G11" s="26">
        <v>1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17</v>
      </c>
      <c r="D12" s="26">
        <v>4</v>
      </c>
      <c r="E12" s="26" t="s">
        <v>12</v>
      </c>
      <c r="F12" s="26">
        <v>42</v>
      </c>
      <c r="G12" s="26">
        <v>1</v>
      </c>
      <c r="I12" s="4" t="s">
        <v>9</v>
      </c>
      <c r="J12" s="4"/>
      <c r="K12" s="8">
        <f>AVERAGE($F$1:$F$100,)</f>
        <v>30.85148514851485</v>
      </c>
      <c r="L12" s="8"/>
      <c r="M12" s="8" cm="1">
        <f t="array" ref="M12">AVERAGE(_xlfn._xlws.FILTER($F$1:$F$100,$G$1:$G$100 = 0))</f>
        <v>24.357142857142858</v>
      </c>
      <c r="N12" s="8"/>
      <c r="O12" s="8" cm="1">
        <f t="array" ref="O12">AVERAGE(_xlfn._xlws.FILTER($F$1:$F$100,$G$1:$G$100 = 1))</f>
        <v>32.267441860465119</v>
      </c>
      <c r="P12" s="12"/>
      <c r="Q12"/>
    </row>
    <row r="13" spans="1:17" x14ac:dyDescent="0.3">
      <c r="A13" s="26">
        <v>2</v>
      </c>
      <c r="B13" s="26">
        <v>0</v>
      </c>
      <c r="C13" s="26" t="s">
        <v>17</v>
      </c>
      <c r="D13" s="26">
        <v>44</v>
      </c>
      <c r="E13" s="26" t="s">
        <v>12</v>
      </c>
      <c r="F13" s="26">
        <v>44</v>
      </c>
      <c r="G13" s="26">
        <v>0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17</v>
      </c>
      <c r="D14" s="26">
        <v>19</v>
      </c>
      <c r="E14" s="26" t="s">
        <v>12</v>
      </c>
      <c r="F14" s="26">
        <v>25</v>
      </c>
      <c r="G14" s="26">
        <v>1</v>
      </c>
      <c r="I14" s="21" t="s">
        <v>10</v>
      </c>
      <c r="J14" s="10"/>
      <c r="K14" s="22" cm="1">
        <f t="array" ref="K14">AVERAGE($D$1:$D$100 - $F$1:$F$100)</f>
        <v>-18.11</v>
      </c>
      <c r="L14" s="22"/>
      <c r="M14" s="22" cm="1">
        <f t="array" ref="M14">AVERAGE(_xlfn._xlws.FILTER($D$1:$D$100 - $F$1:$F$100, G$1:G$100 = 0))</f>
        <v>5.2142857142857144</v>
      </c>
      <c r="N14" s="22"/>
      <c r="O14" s="22" cm="1">
        <f t="array" ref="O14">AVERAGE(_xlfn._xlws.FILTER($D$1:$D$100 - $F$1:$F$100, G$1:G$100 = 1))</f>
        <v>-21.906976744186046</v>
      </c>
      <c r="P14" s="23"/>
      <c r="Q14"/>
    </row>
    <row r="15" spans="1:17" x14ac:dyDescent="0.3">
      <c r="A15" s="26">
        <v>2</v>
      </c>
      <c r="B15" s="26">
        <v>0</v>
      </c>
      <c r="C15" s="26" t="s">
        <v>17</v>
      </c>
      <c r="D15" s="26">
        <v>45</v>
      </c>
      <c r="E15" s="26" t="s">
        <v>12</v>
      </c>
      <c r="F15" s="26">
        <v>38</v>
      </c>
      <c r="G15" s="26">
        <v>0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17</v>
      </c>
      <c r="D16" s="26">
        <v>0</v>
      </c>
      <c r="E16" s="26" t="s">
        <v>12</v>
      </c>
      <c r="F16" s="26">
        <v>19</v>
      </c>
      <c r="G16" s="26">
        <v>1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17</v>
      </c>
      <c r="D17" s="26">
        <v>3</v>
      </c>
      <c r="E17" s="26" t="s">
        <v>12</v>
      </c>
      <c r="F17" s="26">
        <v>34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17</v>
      </c>
      <c r="D18" s="26">
        <v>10</v>
      </c>
      <c r="E18" s="26" t="s">
        <v>12</v>
      </c>
      <c r="F18" s="26">
        <v>44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17</v>
      </c>
      <c r="D19" s="26">
        <v>8</v>
      </c>
      <c r="E19" s="26" t="s">
        <v>12</v>
      </c>
      <c r="F19" s="26">
        <v>13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17</v>
      </c>
      <c r="D20" s="26">
        <v>14</v>
      </c>
      <c r="E20" s="26" t="s">
        <v>12</v>
      </c>
      <c r="F20" s="26">
        <v>33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17</v>
      </c>
      <c r="D21" s="26">
        <v>21</v>
      </c>
      <c r="E21" s="26" t="s">
        <v>12</v>
      </c>
      <c r="F21" s="26">
        <v>27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17</v>
      </c>
      <c r="D22" s="26">
        <v>18</v>
      </c>
      <c r="E22" s="26" t="s">
        <v>12</v>
      </c>
      <c r="F22" s="26">
        <v>23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17</v>
      </c>
      <c r="D23" s="26">
        <v>4</v>
      </c>
      <c r="E23" s="26" t="s">
        <v>12</v>
      </c>
      <c r="F23" s="26">
        <v>38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17</v>
      </c>
      <c r="D24" s="26">
        <v>10</v>
      </c>
      <c r="E24" s="26" t="s">
        <v>12</v>
      </c>
      <c r="F24" s="26">
        <v>35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17</v>
      </c>
      <c r="D25" s="26">
        <v>10</v>
      </c>
      <c r="E25" s="26" t="s">
        <v>12</v>
      </c>
      <c r="F25" s="26">
        <v>37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17</v>
      </c>
      <c r="D26" s="26">
        <v>16</v>
      </c>
      <c r="E26" s="26" t="s">
        <v>12</v>
      </c>
      <c r="F26" s="26">
        <v>23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17</v>
      </c>
      <c r="D27" s="26">
        <v>14</v>
      </c>
      <c r="E27" s="26" t="s">
        <v>12</v>
      </c>
      <c r="F27" s="26">
        <v>27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17</v>
      </c>
      <c r="D28" s="26">
        <v>3</v>
      </c>
      <c r="E28" s="26" t="s">
        <v>12</v>
      </c>
      <c r="F28" s="26">
        <v>15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17</v>
      </c>
      <c r="D29" s="26">
        <v>28</v>
      </c>
      <c r="E29" s="26" t="s">
        <v>12</v>
      </c>
      <c r="F29" s="26">
        <v>16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17</v>
      </c>
      <c r="D30" s="26">
        <v>16</v>
      </c>
      <c r="E30" s="26" t="s">
        <v>12</v>
      </c>
      <c r="F30" s="26">
        <v>4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17</v>
      </c>
      <c r="D31" s="26">
        <v>20</v>
      </c>
      <c r="E31" s="26" t="s">
        <v>12</v>
      </c>
      <c r="F31" s="26">
        <v>29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17</v>
      </c>
      <c r="D32" s="26">
        <v>0</v>
      </c>
      <c r="E32" s="26" t="s">
        <v>12</v>
      </c>
      <c r="F32" s="26">
        <v>22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17</v>
      </c>
      <c r="D33" s="26">
        <v>15</v>
      </c>
      <c r="E33" s="26" t="s">
        <v>12</v>
      </c>
      <c r="F33" s="26">
        <v>12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17</v>
      </c>
      <c r="D34" s="26">
        <v>4</v>
      </c>
      <c r="E34" s="26" t="s">
        <v>12</v>
      </c>
      <c r="F34" s="26">
        <v>46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17</v>
      </c>
      <c r="D35" s="26">
        <v>6</v>
      </c>
      <c r="E35" s="26" t="s">
        <v>12</v>
      </c>
      <c r="F35" s="26">
        <v>49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17</v>
      </c>
      <c r="D36" s="26">
        <v>2</v>
      </c>
      <c r="E36" s="26" t="s">
        <v>12</v>
      </c>
      <c r="F36" s="26">
        <v>31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17</v>
      </c>
      <c r="D37" s="26">
        <v>0</v>
      </c>
      <c r="E37" s="26" t="s">
        <v>12</v>
      </c>
      <c r="F37" s="26">
        <v>17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17</v>
      </c>
      <c r="D38" s="26">
        <v>14</v>
      </c>
      <c r="E38" s="26" t="s">
        <v>12</v>
      </c>
      <c r="F38" s="26">
        <v>53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17</v>
      </c>
      <c r="D39" s="26">
        <v>9</v>
      </c>
      <c r="E39" s="26" t="s">
        <v>12</v>
      </c>
      <c r="F39" s="26">
        <v>25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17</v>
      </c>
      <c r="D40" s="26">
        <v>2</v>
      </c>
      <c r="E40" s="26" t="s">
        <v>12</v>
      </c>
      <c r="F40" s="26">
        <v>47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17</v>
      </c>
      <c r="D41" s="26">
        <v>0</v>
      </c>
      <c r="E41" s="26" t="s">
        <v>12</v>
      </c>
      <c r="F41" s="26">
        <v>29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17</v>
      </c>
      <c r="D42" s="26">
        <v>8</v>
      </c>
      <c r="E42" s="26" t="s">
        <v>12</v>
      </c>
      <c r="F42" s="26">
        <v>48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17</v>
      </c>
      <c r="D43" s="26">
        <v>3</v>
      </c>
      <c r="E43" s="26" t="s">
        <v>12</v>
      </c>
      <c r="F43" s="26">
        <v>3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17</v>
      </c>
      <c r="D44" s="26">
        <v>0</v>
      </c>
      <c r="E44" s="26" t="s">
        <v>12</v>
      </c>
      <c r="F44" s="26">
        <v>29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17</v>
      </c>
      <c r="D45" s="26">
        <v>1</v>
      </c>
      <c r="E45" s="26" t="s">
        <v>12</v>
      </c>
      <c r="F45" s="26">
        <v>33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17</v>
      </c>
      <c r="D46" s="26">
        <v>0</v>
      </c>
      <c r="E46" s="26" t="s">
        <v>12</v>
      </c>
      <c r="F46" s="26">
        <v>16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17</v>
      </c>
      <c r="D47" s="26">
        <v>6</v>
      </c>
      <c r="E47" s="26" t="s">
        <v>12</v>
      </c>
      <c r="F47" s="26">
        <v>19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17</v>
      </c>
      <c r="D48" s="26">
        <v>0</v>
      </c>
      <c r="E48" s="26" t="s">
        <v>12</v>
      </c>
      <c r="F48" s="26">
        <v>40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17</v>
      </c>
      <c r="D49" s="26">
        <v>30</v>
      </c>
      <c r="E49" s="26" t="s">
        <v>12</v>
      </c>
      <c r="F49" s="26">
        <v>32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17</v>
      </c>
      <c r="D50" s="26">
        <v>33</v>
      </c>
      <c r="E50" s="26" t="s">
        <v>12</v>
      </c>
      <c r="F50" s="26">
        <v>30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17</v>
      </c>
      <c r="D51" s="26">
        <v>7</v>
      </c>
      <c r="E51" s="26" t="s">
        <v>12</v>
      </c>
      <c r="F51" s="26">
        <v>20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17</v>
      </c>
      <c r="D52" s="26">
        <v>46</v>
      </c>
      <c r="E52" s="26" t="s">
        <v>12</v>
      </c>
      <c r="F52" s="26">
        <v>46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17</v>
      </c>
      <c r="D53" s="26">
        <v>7</v>
      </c>
      <c r="E53" s="26" t="s">
        <v>12</v>
      </c>
      <c r="F53" s="26">
        <v>36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17</v>
      </c>
      <c r="D54" s="26">
        <v>2</v>
      </c>
      <c r="E54" s="26" t="s">
        <v>12</v>
      </c>
      <c r="F54" s="26">
        <v>35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17</v>
      </c>
      <c r="D55" s="26">
        <v>0</v>
      </c>
      <c r="E55" s="26" t="s">
        <v>12</v>
      </c>
      <c r="F55" s="26">
        <v>21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17</v>
      </c>
      <c r="D56" s="26">
        <v>25</v>
      </c>
      <c r="E56" s="26" t="s">
        <v>12</v>
      </c>
      <c r="F56" s="26">
        <v>41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17</v>
      </c>
      <c r="D57" s="26">
        <v>3</v>
      </c>
      <c r="E57" s="26" t="s">
        <v>12</v>
      </c>
      <c r="F57" s="26">
        <v>28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17</v>
      </c>
      <c r="D58" s="26">
        <v>21</v>
      </c>
      <c r="E58" s="26" t="s">
        <v>12</v>
      </c>
      <c r="F58" s="26">
        <v>39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17</v>
      </c>
      <c r="D59" s="26">
        <v>32</v>
      </c>
      <c r="E59" s="26" t="s">
        <v>12</v>
      </c>
      <c r="F59" s="26">
        <v>40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17</v>
      </c>
      <c r="D60" s="26">
        <v>10</v>
      </c>
      <c r="E60" s="26" t="s">
        <v>12</v>
      </c>
      <c r="F60" s="26">
        <v>38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17</v>
      </c>
      <c r="D61" s="26">
        <v>2</v>
      </c>
      <c r="E61" s="26" t="s">
        <v>12</v>
      </c>
      <c r="F61" s="26">
        <v>21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17</v>
      </c>
      <c r="D62" s="26">
        <v>1</v>
      </c>
      <c r="E62" s="26" t="s">
        <v>12</v>
      </c>
      <c r="F62" s="26">
        <v>36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17</v>
      </c>
      <c r="D63" s="26">
        <v>0</v>
      </c>
      <c r="E63" s="26" t="s">
        <v>12</v>
      </c>
      <c r="F63" s="26">
        <v>29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17</v>
      </c>
      <c r="D64" s="26">
        <v>30</v>
      </c>
      <c r="E64" s="26" t="s">
        <v>12</v>
      </c>
      <c r="F64" s="26">
        <v>45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17</v>
      </c>
      <c r="D65" s="26">
        <v>0</v>
      </c>
      <c r="E65" s="26" t="s">
        <v>12</v>
      </c>
      <c r="F65" s="26">
        <v>31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17</v>
      </c>
      <c r="D66" s="26">
        <v>2</v>
      </c>
      <c r="E66" s="26" t="s">
        <v>12</v>
      </c>
      <c r="F66" s="26">
        <v>24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17</v>
      </c>
      <c r="D67" s="26">
        <v>24</v>
      </c>
      <c r="E67" s="26" t="s">
        <v>12</v>
      </c>
      <c r="F67" s="26">
        <v>40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17</v>
      </c>
      <c r="D68" s="26">
        <v>10</v>
      </c>
      <c r="E68" s="26" t="s">
        <v>12</v>
      </c>
      <c r="F68" s="26">
        <v>46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17</v>
      </c>
      <c r="D69" s="26">
        <v>17</v>
      </c>
      <c r="E69" s="26" t="s">
        <v>12</v>
      </c>
      <c r="F69" s="26">
        <v>56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17</v>
      </c>
      <c r="D70" s="26">
        <v>13</v>
      </c>
      <c r="E70" s="26" t="s">
        <v>12</v>
      </c>
      <c r="F70" s="26">
        <v>39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17</v>
      </c>
      <c r="D71" s="26">
        <v>0</v>
      </c>
      <c r="E71" s="26" t="s">
        <v>12</v>
      </c>
      <c r="F71" s="26">
        <v>21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17</v>
      </c>
      <c r="D72" s="26">
        <v>9</v>
      </c>
      <c r="E72" s="26" t="s">
        <v>12</v>
      </c>
      <c r="F72" s="26">
        <v>25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17</v>
      </c>
      <c r="D73" s="26">
        <v>25</v>
      </c>
      <c r="E73" s="26" t="s">
        <v>12</v>
      </c>
      <c r="F73" s="26">
        <v>32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17</v>
      </c>
      <c r="D74" s="26">
        <v>6</v>
      </c>
      <c r="E74" s="26" t="s">
        <v>12</v>
      </c>
      <c r="F74" s="26">
        <v>42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17</v>
      </c>
      <c r="D75" s="26">
        <v>17</v>
      </c>
      <c r="E75" s="26" t="s">
        <v>12</v>
      </c>
      <c r="F75" s="26">
        <v>15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17</v>
      </c>
      <c r="D76" s="26">
        <v>0</v>
      </c>
      <c r="E76" s="26" t="s">
        <v>12</v>
      </c>
      <c r="F76" s="26">
        <v>28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17</v>
      </c>
      <c r="D77" s="26">
        <v>6</v>
      </c>
      <c r="E77" s="26" t="s">
        <v>12</v>
      </c>
      <c r="F77" s="26">
        <v>18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17</v>
      </c>
      <c r="D78" s="26">
        <v>50</v>
      </c>
      <c r="E78" s="26" t="s">
        <v>12</v>
      </c>
      <c r="F78" s="26">
        <v>49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17</v>
      </c>
      <c r="D79" s="26">
        <v>9</v>
      </c>
      <c r="E79" s="26" t="s">
        <v>12</v>
      </c>
      <c r="F79" s="26">
        <v>15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17</v>
      </c>
      <c r="D80" s="26">
        <v>9</v>
      </c>
      <c r="E80" s="26" t="s">
        <v>12</v>
      </c>
      <c r="F80" s="26">
        <v>38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17</v>
      </c>
      <c r="D81" s="26">
        <v>0</v>
      </c>
      <c r="E81" s="26" t="s">
        <v>12</v>
      </c>
      <c r="F81" s="26">
        <v>34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17</v>
      </c>
      <c r="D82" s="26">
        <v>27</v>
      </c>
      <c r="E82" s="26" t="s">
        <v>12</v>
      </c>
      <c r="F82" s="26">
        <v>37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17</v>
      </c>
      <c r="D83" s="26">
        <v>10</v>
      </c>
      <c r="E83" s="26" t="s">
        <v>12</v>
      </c>
      <c r="F83" s="26">
        <v>12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17</v>
      </c>
      <c r="D84" s="26">
        <v>2</v>
      </c>
      <c r="E84" s="26" t="s">
        <v>12</v>
      </c>
      <c r="F84" s="26">
        <v>31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17</v>
      </c>
      <c r="D85" s="26">
        <v>4</v>
      </c>
      <c r="E85" s="26" t="s">
        <v>12</v>
      </c>
      <c r="F85" s="26">
        <v>6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17</v>
      </c>
      <c r="D86" s="26">
        <v>3</v>
      </c>
      <c r="E86" s="26" t="s">
        <v>12</v>
      </c>
      <c r="F86" s="26">
        <v>28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17</v>
      </c>
      <c r="D87" s="26">
        <v>25</v>
      </c>
      <c r="E87" s="26" t="s">
        <v>12</v>
      </c>
      <c r="F87" s="26">
        <v>45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17</v>
      </c>
      <c r="D88" s="26">
        <v>9</v>
      </c>
      <c r="E88" s="26" t="s">
        <v>12</v>
      </c>
      <c r="F88" s="26">
        <v>55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17</v>
      </c>
      <c r="D89" s="26">
        <v>17</v>
      </c>
      <c r="E89" s="26" t="s">
        <v>12</v>
      </c>
      <c r="F89" s="26">
        <v>25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17</v>
      </c>
      <c r="D90" s="26">
        <v>4</v>
      </c>
      <c r="E90" s="26" t="s">
        <v>12</v>
      </c>
      <c r="F90" s="26">
        <v>25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17</v>
      </c>
      <c r="D91" s="26">
        <v>21</v>
      </c>
      <c r="E91" s="26" t="s">
        <v>12</v>
      </c>
      <c r="F91" s="26">
        <v>23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17</v>
      </c>
      <c r="D92" s="26">
        <v>20</v>
      </c>
      <c r="E92" s="26" t="s">
        <v>12</v>
      </c>
      <c r="F92" s="26">
        <v>32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17</v>
      </c>
      <c r="D93" s="26">
        <v>10</v>
      </c>
      <c r="E93" s="26" t="s">
        <v>12</v>
      </c>
      <c r="F93" s="26">
        <v>49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17</v>
      </c>
      <c r="D94" s="26">
        <v>9</v>
      </c>
      <c r="E94" s="26" t="s">
        <v>12</v>
      </c>
      <c r="F94" s="26">
        <v>36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17</v>
      </c>
      <c r="D95" s="26">
        <v>22</v>
      </c>
      <c r="E95" s="26" t="s">
        <v>12</v>
      </c>
      <c r="F95" s="26">
        <v>20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17</v>
      </c>
      <c r="D96" s="26">
        <v>27</v>
      </c>
      <c r="E96" s="26" t="s">
        <v>12</v>
      </c>
      <c r="F96" s="26">
        <v>53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17</v>
      </c>
      <c r="D97" s="26">
        <v>11</v>
      </c>
      <c r="E97" s="26" t="s">
        <v>12</v>
      </c>
      <c r="F97" s="26">
        <v>39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17</v>
      </c>
      <c r="D98" s="26">
        <v>1</v>
      </c>
      <c r="E98" s="26" t="s">
        <v>12</v>
      </c>
      <c r="F98" s="26">
        <v>11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17</v>
      </c>
      <c r="D99" s="26">
        <v>32</v>
      </c>
      <c r="E99" s="26" t="s">
        <v>12</v>
      </c>
      <c r="F99" s="26">
        <v>39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17</v>
      </c>
      <c r="D100" s="26">
        <v>16</v>
      </c>
      <c r="E100" s="26" t="s">
        <v>12</v>
      </c>
      <c r="F100" s="26">
        <v>61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AA15-AF1F-4CB7-AEEB-09146C2150E7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17</v>
      </c>
      <c r="D1" s="26">
        <v>13</v>
      </c>
      <c r="E1" s="26" t="s">
        <v>15</v>
      </c>
      <c r="F1" s="26">
        <v>22</v>
      </c>
      <c r="G1" s="26">
        <v>1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17</v>
      </c>
      <c r="D2" s="26">
        <v>32</v>
      </c>
      <c r="E2" s="26" t="s">
        <v>15</v>
      </c>
      <c r="F2" s="26">
        <v>5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17</v>
      </c>
      <c r="D3" s="26">
        <v>15</v>
      </c>
      <c r="E3" s="26" t="s">
        <v>15</v>
      </c>
      <c r="F3" s="26">
        <v>14</v>
      </c>
      <c r="G3" s="26">
        <v>0</v>
      </c>
      <c r="I3" s="4" t="s">
        <v>4</v>
      </c>
      <c r="J3" s="4"/>
      <c r="K3" s="8">
        <f>COUNTIF($G$1:$G$100, 0)</f>
        <v>61</v>
      </c>
      <c r="L3" s="8"/>
      <c r="M3" s="8">
        <f>COUNTIFS($G$1:$G$100, 0, $B$1:$B$100, 0)</f>
        <v>32</v>
      </c>
      <c r="N3" s="8"/>
      <c r="O3" s="9">
        <f>COUNTIFS($G$1:$G$100, 0, $B$1:$B$100, 1)</f>
        <v>29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17</v>
      </c>
      <c r="D4" s="26">
        <v>13</v>
      </c>
      <c r="E4" s="26" t="s">
        <v>15</v>
      </c>
      <c r="F4" s="26">
        <v>14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17</v>
      </c>
      <c r="D5" s="26">
        <v>14</v>
      </c>
      <c r="E5" s="26" t="s">
        <v>15</v>
      </c>
      <c r="F5" s="26">
        <v>13</v>
      </c>
      <c r="G5" s="26">
        <v>0</v>
      </c>
      <c r="I5" s="4" t="s">
        <v>5</v>
      </c>
      <c r="J5" s="4"/>
      <c r="K5" s="13">
        <f>COUNTIF($G$1:$G$100, 1)</f>
        <v>39</v>
      </c>
      <c r="L5" s="8"/>
      <c r="M5" s="8">
        <f>COUNTIFS($G$1:$G$100, 1, $B$1:$B$100, 0)</f>
        <v>18</v>
      </c>
      <c r="N5" s="8"/>
      <c r="O5" s="8">
        <f>COUNTIFS($G$1:$G$100, 1, $B$1:$B$100, 1)</f>
        <v>21</v>
      </c>
      <c r="P5" s="12"/>
      <c r="Q5"/>
    </row>
    <row r="6" spans="1:17" x14ac:dyDescent="0.3">
      <c r="A6" s="26">
        <v>2</v>
      </c>
      <c r="B6" s="26">
        <v>0</v>
      </c>
      <c r="C6" s="26" t="s">
        <v>17</v>
      </c>
      <c r="D6" s="26">
        <v>46</v>
      </c>
      <c r="E6" s="26" t="s">
        <v>15</v>
      </c>
      <c r="F6" s="26">
        <v>42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17</v>
      </c>
      <c r="D7" s="26">
        <v>9</v>
      </c>
      <c r="E7" s="26" t="s">
        <v>15</v>
      </c>
      <c r="F7" s="26">
        <v>22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17</v>
      </c>
      <c r="D8" s="26">
        <v>24</v>
      </c>
      <c r="E8" s="26" t="s">
        <v>15</v>
      </c>
      <c r="F8" s="26">
        <v>22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17</v>
      </c>
      <c r="D9" s="26">
        <v>21</v>
      </c>
      <c r="E9" s="26" t="s">
        <v>15</v>
      </c>
      <c r="F9" s="26">
        <v>25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17</v>
      </c>
      <c r="D10" s="26">
        <v>19</v>
      </c>
      <c r="E10" s="26" t="s">
        <v>15</v>
      </c>
      <c r="F10" s="26">
        <v>25</v>
      </c>
      <c r="G10" s="26">
        <v>1</v>
      </c>
      <c r="I10" s="4" t="s">
        <v>8</v>
      </c>
      <c r="J10" s="4"/>
      <c r="K10" s="8">
        <f>AVERAGE($D$1:$D$100,)</f>
        <v>22.544554455445546</v>
      </c>
      <c r="L10" s="8"/>
      <c r="M10" s="8" cm="1">
        <f t="array" ref="M10">AVERAGE(_xlfn._xlws.FILTER($D$1:$D$100,$G$1:$G$100 = 0))</f>
        <v>29.672131147540984</v>
      </c>
      <c r="N10" s="8"/>
      <c r="O10" s="9" cm="1">
        <f t="array" ref="O10">AVERAGE(_xlfn._xlws.FILTER($D$1:$D$100,$G$1:$G$100 = 1))</f>
        <v>11.974358974358974</v>
      </c>
      <c r="P10" s="10"/>
      <c r="Q10"/>
    </row>
    <row r="11" spans="1:17" x14ac:dyDescent="0.3">
      <c r="A11" s="26">
        <v>2</v>
      </c>
      <c r="B11" s="26">
        <v>0</v>
      </c>
      <c r="C11" s="26" t="s">
        <v>17</v>
      </c>
      <c r="D11" s="26">
        <v>38</v>
      </c>
      <c r="E11" s="26" t="s">
        <v>15</v>
      </c>
      <c r="F11" s="26">
        <v>14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17</v>
      </c>
      <c r="D12" s="26">
        <v>10</v>
      </c>
      <c r="E12" s="26" t="s">
        <v>15</v>
      </c>
      <c r="F12" s="26">
        <v>11</v>
      </c>
      <c r="G12" s="26">
        <v>1</v>
      </c>
      <c r="I12" s="4" t="s">
        <v>9</v>
      </c>
      <c r="J12" s="4"/>
      <c r="K12" s="8">
        <f>AVERAGE($F$1:$F$100,)</f>
        <v>16.188118811881189</v>
      </c>
      <c r="L12" s="8"/>
      <c r="M12" s="8" cm="1">
        <f t="array" ref="M12">AVERAGE(_xlfn._xlws.FILTER($F$1:$F$100,$G$1:$G$100 = 0))</f>
        <v>13.327868852459016</v>
      </c>
      <c r="N12" s="8"/>
      <c r="O12" s="8" cm="1">
        <f t="array" ref="O12">AVERAGE(_xlfn._xlws.FILTER($F$1:$F$100,$G$1:$G$100 = 1))</f>
        <v>21.076923076923077</v>
      </c>
      <c r="P12" s="12"/>
      <c r="Q12"/>
    </row>
    <row r="13" spans="1:17" x14ac:dyDescent="0.3">
      <c r="A13" s="26">
        <v>2</v>
      </c>
      <c r="B13" s="26">
        <v>0</v>
      </c>
      <c r="C13" s="26" t="s">
        <v>17</v>
      </c>
      <c r="D13" s="26">
        <v>16</v>
      </c>
      <c r="E13" s="26" t="s">
        <v>15</v>
      </c>
      <c r="F13" s="26">
        <v>5</v>
      </c>
      <c r="G13" s="26">
        <v>0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17</v>
      </c>
      <c r="D14" s="26">
        <v>12</v>
      </c>
      <c r="E14" s="26" t="s">
        <v>15</v>
      </c>
      <c r="F14" s="26">
        <v>10</v>
      </c>
      <c r="G14" s="26">
        <v>0</v>
      </c>
      <c r="I14" s="21" t="s">
        <v>10</v>
      </c>
      <c r="J14" s="10"/>
      <c r="K14" s="22" cm="1">
        <f t="array" ref="K14">AVERAGE($D$1:$D$100 - $F$1:$F$100)</f>
        <v>6.42</v>
      </c>
      <c r="L14" s="22"/>
      <c r="M14" s="22" cm="1">
        <f t="array" ref="M14">AVERAGE(_xlfn._xlws.FILTER($D$1:$D$100 - $F$1:$F$100, G$1:G$100 = 0))</f>
        <v>16.344262295081968</v>
      </c>
      <c r="N14" s="22"/>
      <c r="O14" s="22" cm="1">
        <f t="array" ref="O14">AVERAGE(_xlfn._xlws.FILTER($D$1:$D$100 - $F$1:$F$100, G$1:G$100 = 1))</f>
        <v>-9.1025641025641022</v>
      </c>
      <c r="P14" s="23"/>
      <c r="Q14"/>
    </row>
    <row r="15" spans="1:17" x14ac:dyDescent="0.3">
      <c r="A15" s="26">
        <v>2</v>
      </c>
      <c r="B15" s="26">
        <v>0</v>
      </c>
      <c r="C15" s="26" t="s">
        <v>17</v>
      </c>
      <c r="D15" s="26">
        <v>12</v>
      </c>
      <c r="E15" s="26" t="s">
        <v>15</v>
      </c>
      <c r="F15" s="26">
        <v>18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17</v>
      </c>
      <c r="D16" s="26">
        <v>11</v>
      </c>
      <c r="E16" s="26" t="s">
        <v>15</v>
      </c>
      <c r="F16" s="26">
        <v>2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17</v>
      </c>
      <c r="D17" s="26">
        <v>0</v>
      </c>
      <c r="E17" s="26" t="s">
        <v>15</v>
      </c>
      <c r="F17" s="26">
        <v>8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17</v>
      </c>
      <c r="D18" s="26">
        <v>25</v>
      </c>
      <c r="E18" s="26" t="s">
        <v>15</v>
      </c>
      <c r="F18" s="26">
        <v>10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17</v>
      </c>
      <c r="D19" s="26">
        <v>21</v>
      </c>
      <c r="E19" s="26" t="s">
        <v>15</v>
      </c>
      <c r="F19" s="26">
        <v>12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17</v>
      </c>
      <c r="D20" s="26">
        <v>61</v>
      </c>
      <c r="E20" s="26" t="s">
        <v>15</v>
      </c>
      <c r="F20" s="26">
        <v>35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17</v>
      </c>
      <c r="D21" s="26">
        <v>30</v>
      </c>
      <c r="E21" s="26" t="s">
        <v>15</v>
      </c>
      <c r="F21" s="26">
        <v>8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17</v>
      </c>
      <c r="D22" s="26">
        <v>44</v>
      </c>
      <c r="E22" s="26" t="s">
        <v>15</v>
      </c>
      <c r="F22" s="26">
        <v>2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17</v>
      </c>
      <c r="D23" s="26">
        <v>9</v>
      </c>
      <c r="E23" s="26" t="s">
        <v>15</v>
      </c>
      <c r="F23" s="26">
        <v>18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17</v>
      </c>
      <c r="D24" s="26">
        <v>18</v>
      </c>
      <c r="E24" s="26" t="s">
        <v>15</v>
      </c>
      <c r="F24" s="26">
        <v>2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17</v>
      </c>
      <c r="D25" s="26">
        <v>32</v>
      </c>
      <c r="E25" s="26" t="s">
        <v>15</v>
      </c>
      <c r="F25" s="26">
        <v>9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17</v>
      </c>
      <c r="D26" s="26">
        <v>23</v>
      </c>
      <c r="E26" s="26" t="s">
        <v>15</v>
      </c>
      <c r="F26" s="26">
        <v>27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17</v>
      </c>
      <c r="D27" s="26">
        <v>2</v>
      </c>
      <c r="E27" s="26" t="s">
        <v>15</v>
      </c>
      <c r="F27" s="26">
        <v>1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17</v>
      </c>
      <c r="D28" s="26">
        <v>16</v>
      </c>
      <c r="E28" s="26" t="s">
        <v>15</v>
      </c>
      <c r="F28" s="26">
        <v>24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17</v>
      </c>
      <c r="D29" s="26">
        <v>24</v>
      </c>
      <c r="E29" s="26" t="s">
        <v>15</v>
      </c>
      <c r="F29" s="26">
        <v>22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17</v>
      </c>
      <c r="D30" s="26">
        <v>15</v>
      </c>
      <c r="E30" s="26" t="s">
        <v>15</v>
      </c>
      <c r="F30" s="26">
        <v>9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17</v>
      </c>
      <c r="D31" s="26">
        <v>35</v>
      </c>
      <c r="E31" s="26" t="s">
        <v>15</v>
      </c>
      <c r="F31" s="26">
        <v>26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17</v>
      </c>
      <c r="D32" s="26">
        <v>10</v>
      </c>
      <c r="E32" s="26" t="s">
        <v>15</v>
      </c>
      <c r="F32" s="26">
        <v>5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17</v>
      </c>
      <c r="D33" s="26">
        <v>18</v>
      </c>
      <c r="E33" s="26" t="s">
        <v>15</v>
      </c>
      <c r="F33" s="26">
        <v>21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17</v>
      </c>
      <c r="D34" s="26">
        <v>26</v>
      </c>
      <c r="E34" s="26" t="s">
        <v>15</v>
      </c>
      <c r="F34" s="26">
        <v>11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17</v>
      </c>
      <c r="D35" s="26">
        <v>8</v>
      </c>
      <c r="E35" s="26" t="s">
        <v>15</v>
      </c>
      <c r="F35" s="26">
        <v>27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17</v>
      </c>
      <c r="D36" s="26">
        <v>17</v>
      </c>
      <c r="E36" s="26" t="s">
        <v>15</v>
      </c>
      <c r="F36" s="26">
        <v>13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17</v>
      </c>
      <c r="D37" s="26">
        <v>30</v>
      </c>
      <c r="E37" s="26" t="s">
        <v>15</v>
      </c>
      <c r="F37" s="26">
        <v>20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17</v>
      </c>
      <c r="D38" s="26">
        <v>16</v>
      </c>
      <c r="E38" s="26" t="s">
        <v>15</v>
      </c>
      <c r="F38" s="26">
        <v>9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17</v>
      </c>
      <c r="D39" s="26">
        <v>32</v>
      </c>
      <c r="E39" s="26" t="s">
        <v>15</v>
      </c>
      <c r="F39" s="26">
        <v>14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17</v>
      </c>
      <c r="D40" s="26">
        <v>21</v>
      </c>
      <c r="E40" s="26" t="s">
        <v>15</v>
      </c>
      <c r="F40" s="26">
        <v>22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17</v>
      </c>
      <c r="D41" s="26">
        <v>72</v>
      </c>
      <c r="E41" s="26" t="s">
        <v>15</v>
      </c>
      <c r="F41" s="26">
        <v>11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17</v>
      </c>
      <c r="D42" s="26">
        <v>33</v>
      </c>
      <c r="E42" s="26" t="s">
        <v>15</v>
      </c>
      <c r="F42" s="26">
        <v>13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17</v>
      </c>
      <c r="D43" s="26">
        <v>0</v>
      </c>
      <c r="E43" s="26" t="s">
        <v>15</v>
      </c>
      <c r="F43" s="26">
        <v>14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17</v>
      </c>
      <c r="D44" s="26">
        <v>39</v>
      </c>
      <c r="E44" s="26" t="s">
        <v>15</v>
      </c>
      <c r="F44" s="26">
        <v>13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17</v>
      </c>
      <c r="D45" s="26">
        <v>5</v>
      </c>
      <c r="E45" s="26" t="s">
        <v>15</v>
      </c>
      <c r="F45" s="26">
        <v>26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17</v>
      </c>
      <c r="D46" s="26">
        <v>37</v>
      </c>
      <c r="E46" s="26" t="s">
        <v>15</v>
      </c>
      <c r="F46" s="26">
        <v>6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17</v>
      </c>
      <c r="D47" s="26">
        <v>0</v>
      </c>
      <c r="E47" s="26" t="s">
        <v>15</v>
      </c>
      <c r="F47" s="26">
        <v>23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17</v>
      </c>
      <c r="D48" s="26">
        <v>48</v>
      </c>
      <c r="E48" s="26" t="s">
        <v>15</v>
      </c>
      <c r="F48" s="26">
        <v>29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17</v>
      </c>
      <c r="D49" s="26">
        <v>29</v>
      </c>
      <c r="E49" s="26" t="s">
        <v>15</v>
      </c>
      <c r="F49" s="26">
        <v>30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17</v>
      </c>
      <c r="D50" s="26">
        <v>18</v>
      </c>
      <c r="E50" s="26" t="s">
        <v>15</v>
      </c>
      <c r="F50" s="26">
        <v>17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17</v>
      </c>
      <c r="D51" s="26">
        <v>15</v>
      </c>
      <c r="E51" s="26" t="s">
        <v>15</v>
      </c>
      <c r="F51" s="26">
        <v>37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17</v>
      </c>
      <c r="D52" s="26">
        <v>19</v>
      </c>
      <c r="E52" s="26" t="s">
        <v>15</v>
      </c>
      <c r="F52" s="26">
        <v>19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17</v>
      </c>
      <c r="D53" s="26">
        <v>12</v>
      </c>
      <c r="E53" s="26" t="s">
        <v>15</v>
      </c>
      <c r="F53" s="26">
        <v>15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17</v>
      </c>
      <c r="D54" s="26">
        <v>6</v>
      </c>
      <c r="E54" s="26" t="s">
        <v>15</v>
      </c>
      <c r="F54" s="26">
        <v>6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17</v>
      </c>
      <c r="D55" s="26">
        <v>36</v>
      </c>
      <c r="E55" s="26" t="s">
        <v>15</v>
      </c>
      <c r="F55" s="26">
        <v>0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17</v>
      </c>
      <c r="D56" s="26">
        <v>29</v>
      </c>
      <c r="E56" s="26" t="s">
        <v>15</v>
      </c>
      <c r="F56" s="26">
        <v>24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17</v>
      </c>
      <c r="D57" s="26">
        <v>38</v>
      </c>
      <c r="E57" s="26" t="s">
        <v>15</v>
      </c>
      <c r="F57" s="26">
        <v>3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17</v>
      </c>
      <c r="D58" s="26">
        <v>0</v>
      </c>
      <c r="E58" s="26" t="s">
        <v>15</v>
      </c>
      <c r="F58" s="26">
        <v>26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17</v>
      </c>
      <c r="D59" s="26">
        <v>10</v>
      </c>
      <c r="E59" s="26" t="s">
        <v>15</v>
      </c>
      <c r="F59" s="26">
        <v>25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17</v>
      </c>
      <c r="D60" s="26">
        <v>18</v>
      </c>
      <c r="E60" s="26" t="s">
        <v>15</v>
      </c>
      <c r="F60" s="26">
        <v>13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17</v>
      </c>
      <c r="D61" s="26">
        <v>30</v>
      </c>
      <c r="E61" s="26" t="s">
        <v>15</v>
      </c>
      <c r="F61" s="26">
        <v>14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17</v>
      </c>
      <c r="D62" s="26">
        <v>18</v>
      </c>
      <c r="E62" s="26" t="s">
        <v>15</v>
      </c>
      <c r="F62" s="26">
        <v>21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17</v>
      </c>
      <c r="D63" s="26">
        <v>3</v>
      </c>
      <c r="E63" s="26" t="s">
        <v>15</v>
      </c>
      <c r="F63" s="26">
        <v>17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17</v>
      </c>
      <c r="D64" s="26">
        <v>45</v>
      </c>
      <c r="E64" s="26" t="s">
        <v>15</v>
      </c>
      <c r="F64" s="26">
        <v>34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17</v>
      </c>
      <c r="D65" s="26">
        <v>16</v>
      </c>
      <c r="E65" s="26" t="s">
        <v>15</v>
      </c>
      <c r="F65" s="26">
        <v>23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17</v>
      </c>
      <c r="D66" s="26">
        <v>19</v>
      </c>
      <c r="E66" s="26" t="s">
        <v>15</v>
      </c>
      <c r="F66" s="26">
        <v>19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17</v>
      </c>
      <c r="D67" s="26">
        <v>30</v>
      </c>
      <c r="E67" s="26" t="s">
        <v>15</v>
      </c>
      <c r="F67" s="26">
        <v>12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17</v>
      </c>
      <c r="D68" s="26">
        <v>2</v>
      </c>
      <c r="E68" s="26" t="s">
        <v>15</v>
      </c>
      <c r="F68" s="26">
        <v>12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17</v>
      </c>
      <c r="D69" s="26">
        <v>41</v>
      </c>
      <c r="E69" s="26" t="s">
        <v>15</v>
      </c>
      <c r="F69" s="26">
        <v>26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17</v>
      </c>
      <c r="D70" s="26">
        <v>20</v>
      </c>
      <c r="E70" s="26" t="s">
        <v>15</v>
      </c>
      <c r="F70" s="26">
        <v>14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17</v>
      </c>
      <c r="D71" s="26">
        <v>24</v>
      </c>
      <c r="E71" s="26" t="s">
        <v>15</v>
      </c>
      <c r="F71" s="26">
        <v>26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17</v>
      </c>
      <c r="D72" s="26">
        <v>32</v>
      </c>
      <c r="E72" s="26" t="s">
        <v>15</v>
      </c>
      <c r="F72" s="26">
        <v>16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17</v>
      </c>
      <c r="D73" s="26">
        <v>2</v>
      </c>
      <c r="E73" s="26" t="s">
        <v>15</v>
      </c>
      <c r="F73" s="26">
        <v>8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17</v>
      </c>
      <c r="D74" s="26">
        <v>9</v>
      </c>
      <c r="E74" s="26" t="s">
        <v>15</v>
      </c>
      <c r="F74" s="26">
        <v>10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17</v>
      </c>
      <c r="D75" s="26">
        <v>30</v>
      </c>
      <c r="E75" s="26" t="s">
        <v>15</v>
      </c>
      <c r="F75" s="26">
        <v>2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17</v>
      </c>
      <c r="D76" s="26">
        <v>32</v>
      </c>
      <c r="E76" s="26" t="s">
        <v>15</v>
      </c>
      <c r="F76" s="26">
        <v>21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17</v>
      </c>
      <c r="D77" s="26">
        <v>3</v>
      </c>
      <c r="E77" s="26" t="s">
        <v>15</v>
      </c>
      <c r="F77" s="26">
        <v>32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17</v>
      </c>
      <c r="D78" s="26">
        <v>34</v>
      </c>
      <c r="E78" s="26" t="s">
        <v>15</v>
      </c>
      <c r="F78" s="26">
        <v>18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17</v>
      </c>
      <c r="D79" s="26">
        <v>35</v>
      </c>
      <c r="E79" s="26" t="s">
        <v>15</v>
      </c>
      <c r="F79" s="26">
        <v>2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17</v>
      </c>
      <c r="D80" s="26">
        <v>51</v>
      </c>
      <c r="E80" s="26" t="s">
        <v>15</v>
      </c>
      <c r="F80" s="26">
        <v>14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17</v>
      </c>
      <c r="D81" s="26">
        <v>7</v>
      </c>
      <c r="E81" s="26" t="s">
        <v>15</v>
      </c>
      <c r="F81" s="26">
        <v>12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17</v>
      </c>
      <c r="D82" s="26">
        <v>23</v>
      </c>
      <c r="E82" s="26" t="s">
        <v>15</v>
      </c>
      <c r="F82" s="26">
        <v>28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17</v>
      </c>
      <c r="D83" s="26">
        <v>47</v>
      </c>
      <c r="E83" s="26" t="s">
        <v>15</v>
      </c>
      <c r="F83" s="26">
        <v>11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17</v>
      </c>
      <c r="D84" s="26">
        <v>43</v>
      </c>
      <c r="E84" s="26" t="s">
        <v>15</v>
      </c>
      <c r="F84" s="26">
        <v>11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17</v>
      </c>
      <c r="D85" s="26">
        <v>25</v>
      </c>
      <c r="E85" s="26" t="s">
        <v>15</v>
      </c>
      <c r="F85" s="26">
        <v>0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17</v>
      </c>
      <c r="D86" s="26">
        <v>25</v>
      </c>
      <c r="E86" s="26" t="s">
        <v>15</v>
      </c>
      <c r="F86" s="26">
        <v>35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17</v>
      </c>
      <c r="D87" s="26">
        <v>8</v>
      </c>
      <c r="E87" s="26" t="s">
        <v>15</v>
      </c>
      <c r="F87" s="26">
        <v>2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17</v>
      </c>
      <c r="D88" s="26">
        <v>27</v>
      </c>
      <c r="E88" s="26" t="s">
        <v>15</v>
      </c>
      <c r="F88" s="26">
        <v>16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17</v>
      </c>
      <c r="D89" s="26">
        <v>32</v>
      </c>
      <c r="E89" s="26" t="s">
        <v>15</v>
      </c>
      <c r="F89" s="26">
        <v>4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17</v>
      </c>
      <c r="D90" s="26">
        <v>3</v>
      </c>
      <c r="E90" s="26" t="s">
        <v>15</v>
      </c>
      <c r="F90" s="26">
        <v>16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17</v>
      </c>
      <c r="D91" s="26">
        <v>10</v>
      </c>
      <c r="E91" s="26" t="s">
        <v>15</v>
      </c>
      <c r="F91" s="26">
        <v>11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17</v>
      </c>
      <c r="D92" s="26">
        <v>0</v>
      </c>
      <c r="E92" s="26" t="s">
        <v>15</v>
      </c>
      <c r="F92" s="26">
        <v>11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17</v>
      </c>
      <c r="D93" s="26">
        <v>27</v>
      </c>
      <c r="E93" s="26" t="s">
        <v>15</v>
      </c>
      <c r="F93" s="26">
        <v>40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17</v>
      </c>
      <c r="D94" s="26">
        <v>18</v>
      </c>
      <c r="E94" s="26" t="s">
        <v>15</v>
      </c>
      <c r="F94" s="26">
        <v>21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17</v>
      </c>
      <c r="D95" s="26">
        <v>33</v>
      </c>
      <c r="E95" s="26" t="s">
        <v>15</v>
      </c>
      <c r="F95" s="26">
        <v>26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17</v>
      </c>
      <c r="D96" s="26">
        <v>14</v>
      </c>
      <c r="E96" s="26" t="s">
        <v>15</v>
      </c>
      <c r="F96" s="26">
        <v>19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17</v>
      </c>
      <c r="D97" s="26">
        <v>42</v>
      </c>
      <c r="E97" s="26" t="s">
        <v>15</v>
      </c>
      <c r="F97" s="26">
        <v>32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17</v>
      </c>
      <c r="D98" s="26">
        <v>29</v>
      </c>
      <c r="E98" s="26" t="s">
        <v>15</v>
      </c>
      <c r="F98" s="26">
        <v>5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17</v>
      </c>
      <c r="D99" s="26">
        <v>37</v>
      </c>
      <c r="E99" s="26" t="s">
        <v>15</v>
      </c>
      <c r="F99" s="26">
        <v>12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17</v>
      </c>
      <c r="D100" s="26">
        <v>49</v>
      </c>
      <c r="E100" s="26" t="s">
        <v>15</v>
      </c>
      <c r="F100" s="26">
        <v>13</v>
      </c>
      <c r="G100" s="26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536F-27D6-496B-8985-95ED8E3F4C22}">
  <dimension ref="A1:Q100"/>
  <sheetViews>
    <sheetView topLeftCell="A7" workbookViewId="0">
      <selection activeCell="J19" sqref="J19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17</v>
      </c>
      <c r="D1" s="26">
        <v>2</v>
      </c>
      <c r="E1" s="26" t="s">
        <v>13</v>
      </c>
      <c r="F1" s="26">
        <v>54</v>
      </c>
      <c r="G1" s="26">
        <v>1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17</v>
      </c>
      <c r="D2" s="26">
        <v>13</v>
      </c>
      <c r="E2" s="26" t="s">
        <v>13</v>
      </c>
      <c r="F2" s="26">
        <v>24</v>
      </c>
      <c r="G2" s="26">
        <v>1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17</v>
      </c>
      <c r="D3" s="26">
        <v>6</v>
      </c>
      <c r="E3" s="26" t="s">
        <v>13</v>
      </c>
      <c r="F3" s="26">
        <v>28</v>
      </c>
      <c r="G3" s="26">
        <v>1</v>
      </c>
      <c r="I3" s="4" t="s">
        <v>4</v>
      </c>
      <c r="J3" s="4"/>
      <c r="K3" s="8">
        <f>COUNTIF($G$1:$G$100, 0)</f>
        <v>7</v>
      </c>
      <c r="L3" s="8"/>
      <c r="M3" s="8">
        <f>COUNTIFS($G$1:$G$100, 0, $B$1:$B$100, 0)</f>
        <v>4</v>
      </c>
      <c r="N3" s="8"/>
      <c r="O3" s="9">
        <f>COUNTIFS($G$1:$G$100, 0, $B$1:$B$100, 1)</f>
        <v>3</v>
      </c>
      <c r="P3" s="10"/>
      <c r="Q3" s="11" cm="1">
        <f t="array" ref="Q3">SUMPRODUCT(--($D$1:$D$100=$G$1:$G$100))</f>
        <v>3</v>
      </c>
    </row>
    <row r="4" spans="1:17" x14ac:dyDescent="0.3">
      <c r="A4" s="26">
        <v>2</v>
      </c>
      <c r="B4" s="26">
        <v>0</v>
      </c>
      <c r="C4" s="26" t="s">
        <v>17</v>
      </c>
      <c r="D4" s="26">
        <v>2</v>
      </c>
      <c r="E4" s="26" t="s">
        <v>13</v>
      </c>
      <c r="F4" s="26">
        <v>13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17</v>
      </c>
      <c r="D5" s="26">
        <v>20</v>
      </c>
      <c r="E5" s="26" t="s">
        <v>13</v>
      </c>
      <c r="F5" s="26">
        <v>62</v>
      </c>
      <c r="G5" s="26">
        <v>1</v>
      </c>
      <c r="I5" s="4" t="s">
        <v>5</v>
      </c>
      <c r="J5" s="4"/>
      <c r="K5" s="13">
        <f>COUNTIF($G$1:$G$100, 1)</f>
        <v>93</v>
      </c>
      <c r="L5" s="8"/>
      <c r="M5" s="8">
        <f>COUNTIFS($G$1:$G$100, 1, $B$1:$B$100, 0)</f>
        <v>46</v>
      </c>
      <c r="N5" s="8"/>
      <c r="O5" s="8">
        <f>COUNTIFS($G$1:$G$100, 1, $B$1:$B$100, 1)</f>
        <v>47</v>
      </c>
      <c r="P5" s="12"/>
      <c r="Q5"/>
    </row>
    <row r="6" spans="1:17" x14ac:dyDescent="0.3">
      <c r="A6" s="26">
        <v>2</v>
      </c>
      <c r="B6" s="26">
        <v>0</v>
      </c>
      <c r="C6" s="26" t="s">
        <v>17</v>
      </c>
      <c r="D6" s="26">
        <v>1</v>
      </c>
      <c r="E6" s="26" t="s">
        <v>13</v>
      </c>
      <c r="F6" s="26">
        <v>14</v>
      </c>
      <c r="G6" s="26">
        <v>1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17</v>
      </c>
      <c r="D7" s="26">
        <v>0</v>
      </c>
      <c r="E7" s="26" t="s">
        <v>13</v>
      </c>
      <c r="F7" s="26">
        <v>20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17</v>
      </c>
      <c r="D8" s="26">
        <v>4</v>
      </c>
      <c r="E8" s="26" t="s">
        <v>13</v>
      </c>
      <c r="F8" s="26">
        <v>9</v>
      </c>
      <c r="G8" s="26">
        <v>1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17</v>
      </c>
      <c r="D9" s="26">
        <v>1</v>
      </c>
      <c r="E9" s="26" t="s">
        <v>13</v>
      </c>
      <c r="F9" s="26">
        <v>26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17</v>
      </c>
      <c r="D10" s="26">
        <v>5</v>
      </c>
      <c r="E10" s="26" t="s">
        <v>13</v>
      </c>
      <c r="F10" s="26">
        <v>50</v>
      </c>
      <c r="G10" s="26">
        <v>1</v>
      </c>
      <c r="I10" s="4" t="s">
        <v>8</v>
      </c>
      <c r="J10" s="4"/>
      <c r="K10" s="8">
        <f>AVERAGE($D$1:$D$100,)</f>
        <v>10.138613861386139</v>
      </c>
      <c r="L10" s="8"/>
      <c r="M10" s="8" cm="1">
        <f t="array" ref="M10">AVERAGE(_xlfn._xlws.FILTER($D$1:$D$100,$G$1:$G$100 = 0))</f>
        <v>30.285714285714285</v>
      </c>
      <c r="N10" s="8"/>
      <c r="O10" s="9" cm="1">
        <f t="array" ref="O10">AVERAGE(_xlfn._xlws.FILTER($D$1:$D$100,$G$1:$G$100 = 1))</f>
        <v>8.7311827956989241</v>
      </c>
      <c r="P10" s="10"/>
      <c r="Q10"/>
    </row>
    <row r="11" spans="1:17" x14ac:dyDescent="0.3">
      <c r="A11" s="26">
        <v>2</v>
      </c>
      <c r="B11" s="26">
        <v>0</v>
      </c>
      <c r="C11" s="26" t="s">
        <v>17</v>
      </c>
      <c r="D11" s="26">
        <v>0</v>
      </c>
      <c r="E11" s="26" t="s">
        <v>13</v>
      </c>
      <c r="F11" s="26">
        <v>24</v>
      </c>
      <c r="G11" s="26">
        <v>1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17</v>
      </c>
      <c r="D12" s="26">
        <v>2</v>
      </c>
      <c r="E12" s="26" t="s">
        <v>13</v>
      </c>
      <c r="F12" s="26">
        <v>32</v>
      </c>
      <c r="G12" s="26">
        <v>1</v>
      </c>
      <c r="I12" s="4" t="s">
        <v>9</v>
      </c>
      <c r="J12" s="4"/>
      <c r="K12" s="8">
        <f>AVERAGE($F$1:$F$100,)</f>
        <v>32.980198019801982</v>
      </c>
      <c r="L12" s="8"/>
      <c r="M12" s="8" cm="1">
        <f t="array" ref="M12">AVERAGE(_xlfn._xlws.FILTER($F$1:$F$100,$G$1:$G$100 = 0))</f>
        <v>22.285714285714285</v>
      </c>
      <c r="N12" s="8"/>
      <c r="O12" s="8" cm="1">
        <f t="array" ref="O12">AVERAGE(_xlfn._xlws.FILTER($F$1:$F$100,$G$1:$G$100 = 1))</f>
        <v>34.13978494623656</v>
      </c>
      <c r="P12" s="12"/>
      <c r="Q12"/>
    </row>
    <row r="13" spans="1:17" x14ac:dyDescent="0.3">
      <c r="A13" s="26">
        <v>2</v>
      </c>
      <c r="B13" s="26">
        <v>0</v>
      </c>
      <c r="C13" s="26" t="s">
        <v>17</v>
      </c>
      <c r="D13" s="26">
        <v>18</v>
      </c>
      <c r="E13" s="26" t="s">
        <v>13</v>
      </c>
      <c r="F13" s="26">
        <v>30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17</v>
      </c>
      <c r="D14" s="26">
        <v>0</v>
      </c>
      <c r="E14" s="26" t="s">
        <v>13</v>
      </c>
      <c r="F14" s="26">
        <v>39</v>
      </c>
      <c r="G14" s="26">
        <v>1</v>
      </c>
      <c r="I14" s="21" t="s">
        <v>10</v>
      </c>
      <c r="J14" s="10"/>
      <c r="K14" s="22" cm="1">
        <f t="array" ref="K14">AVERAGE($D$1:$D$100 - $F$1:$F$100)</f>
        <v>-23.07</v>
      </c>
      <c r="L14" s="22"/>
      <c r="M14" s="22" cm="1">
        <f t="array" ref="M14">AVERAGE(_xlfn._xlws.FILTER($D$1:$D$100 - $F$1:$F$100, G$1:G$100 = 0))</f>
        <v>8</v>
      </c>
      <c r="N14" s="22"/>
      <c r="O14" s="22" cm="1">
        <f t="array" ref="O14">AVERAGE(_xlfn._xlws.FILTER($D$1:$D$100 - $F$1:$F$100, G$1:G$100 = 1))</f>
        <v>-25.408602150537636</v>
      </c>
      <c r="P14" s="23"/>
      <c r="Q14"/>
    </row>
    <row r="15" spans="1:17" x14ac:dyDescent="0.3">
      <c r="A15" s="26">
        <v>2</v>
      </c>
      <c r="B15" s="26">
        <v>0</v>
      </c>
      <c r="C15" s="26" t="s">
        <v>17</v>
      </c>
      <c r="D15" s="26">
        <v>8</v>
      </c>
      <c r="E15" s="26" t="s">
        <v>13</v>
      </c>
      <c r="F15" s="26">
        <v>46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17</v>
      </c>
      <c r="D16" s="26">
        <v>2</v>
      </c>
      <c r="E16" s="26" t="s">
        <v>13</v>
      </c>
      <c r="F16" s="26">
        <v>41</v>
      </c>
      <c r="G16" s="26">
        <v>1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17</v>
      </c>
      <c r="D17" s="26">
        <v>5</v>
      </c>
      <c r="E17" s="26" t="s">
        <v>13</v>
      </c>
      <c r="F17" s="26">
        <v>53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17</v>
      </c>
      <c r="D18" s="26">
        <v>37</v>
      </c>
      <c r="E18" s="26" t="s">
        <v>13</v>
      </c>
      <c r="F18" s="26">
        <v>31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17</v>
      </c>
      <c r="D19" s="26">
        <v>15</v>
      </c>
      <c r="E19" s="26" t="s">
        <v>13</v>
      </c>
      <c r="F19" s="26">
        <v>45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17</v>
      </c>
      <c r="D20" s="26">
        <v>3</v>
      </c>
      <c r="E20" s="26" t="s">
        <v>13</v>
      </c>
      <c r="F20" s="26">
        <v>53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17</v>
      </c>
      <c r="D21" s="26">
        <v>9</v>
      </c>
      <c r="E21" s="26" t="s">
        <v>13</v>
      </c>
      <c r="F21" s="26">
        <v>35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17</v>
      </c>
      <c r="D22" s="26">
        <v>9</v>
      </c>
      <c r="E22" s="26" t="s">
        <v>13</v>
      </c>
      <c r="F22" s="26">
        <v>18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17</v>
      </c>
      <c r="D23" s="26">
        <v>6</v>
      </c>
      <c r="E23" s="26" t="s">
        <v>13</v>
      </c>
      <c r="F23" s="26">
        <v>57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17</v>
      </c>
      <c r="D24" s="26">
        <v>2</v>
      </c>
      <c r="E24" s="26" t="s">
        <v>13</v>
      </c>
      <c r="F24" s="26">
        <v>23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17</v>
      </c>
      <c r="D25" s="26">
        <v>0</v>
      </c>
      <c r="E25" s="26" t="s">
        <v>13</v>
      </c>
      <c r="F25" s="26">
        <v>18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17</v>
      </c>
      <c r="D26" s="26">
        <v>31</v>
      </c>
      <c r="E26" s="26" t="s">
        <v>13</v>
      </c>
      <c r="F26" s="26">
        <v>46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17</v>
      </c>
      <c r="D27" s="26">
        <v>0</v>
      </c>
      <c r="E27" s="26" t="s">
        <v>13</v>
      </c>
      <c r="F27" s="26">
        <v>27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17</v>
      </c>
      <c r="D28" s="26">
        <v>13</v>
      </c>
      <c r="E28" s="26" t="s">
        <v>13</v>
      </c>
      <c r="F28" s="26">
        <v>37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17</v>
      </c>
      <c r="D29" s="26">
        <v>7</v>
      </c>
      <c r="E29" s="26" t="s">
        <v>13</v>
      </c>
      <c r="F29" s="26">
        <v>15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17</v>
      </c>
      <c r="D30" s="26">
        <v>14</v>
      </c>
      <c r="E30" s="26" t="s">
        <v>13</v>
      </c>
      <c r="F30" s="26">
        <v>26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17</v>
      </c>
      <c r="D31" s="26">
        <v>44</v>
      </c>
      <c r="E31" s="26" t="s">
        <v>13</v>
      </c>
      <c r="F31" s="26">
        <v>16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17</v>
      </c>
      <c r="D32" s="26">
        <v>21</v>
      </c>
      <c r="E32" s="26" t="s">
        <v>13</v>
      </c>
      <c r="F32" s="26">
        <v>39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17</v>
      </c>
      <c r="D33" s="26">
        <v>24</v>
      </c>
      <c r="E33" s="26" t="s">
        <v>13</v>
      </c>
      <c r="F33" s="26">
        <v>15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17</v>
      </c>
      <c r="D34" s="26">
        <v>0</v>
      </c>
      <c r="E34" s="26" t="s">
        <v>13</v>
      </c>
      <c r="F34" s="26">
        <v>38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17</v>
      </c>
      <c r="D35" s="26">
        <v>0</v>
      </c>
      <c r="E35" s="26" t="s">
        <v>13</v>
      </c>
      <c r="F35" s="26">
        <v>4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17</v>
      </c>
      <c r="D36" s="26">
        <v>10</v>
      </c>
      <c r="E36" s="26" t="s">
        <v>13</v>
      </c>
      <c r="F36" s="26">
        <v>28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17</v>
      </c>
      <c r="D37" s="26">
        <v>18</v>
      </c>
      <c r="E37" s="26" t="s">
        <v>13</v>
      </c>
      <c r="F37" s="26">
        <v>57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17</v>
      </c>
      <c r="D38" s="26">
        <v>24</v>
      </c>
      <c r="E38" s="26" t="s">
        <v>13</v>
      </c>
      <c r="F38" s="26">
        <v>45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17</v>
      </c>
      <c r="D39" s="26">
        <v>20</v>
      </c>
      <c r="E39" s="26" t="s">
        <v>13</v>
      </c>
      <c r="F39" s="26">
        <v>60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17</v>
      </c>
      <c r="D40" s="26">
        <v>5</v>
      </c>
      <c r="E40" s="26" t="s">
        <v>13</v>
      </c>
      <c r="F40" s="26">
        <v>35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17</v>
      </c>
      <c r="D41" s="26">
        <v>5</v>
      </c>
      <c r="E41" s="26" t="s">
        <v>13</v>
      </c>
      <c r="F41" s="26">
        <v>13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17</v>
      </c>
      <c r="D42" s="26">
        <v>19</v>
      </c>
      <c r="E42" s="26" t="s">
        <v>13</v>
      </c>
      <c r="F42" s="26">
        <v>15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17</v>
      </c>
      <c r="D43" s="26">
        <v>0</v>
      </c>
      <c r="E43" s="26" t="s">
        <v>13</v>
      </c>
      <c r="F43" s="26">
        <v>22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17</v>
      </c>
      <c r="D44" s="26">
        <v>0</v>
      </c>
      <c r="E44" s="26" t="s">
        <v>13</v>
      </c>
      <c r="F44" s="26">
        <v>33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17</v>
      </c>
      <c r="D45" s="26">
        <v>3</v>
      </c>
      <c r="E45" s="26" t="s">
        <v>13</v>
      </c>
      <c r="F45" s="26">
        <v>17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17</v>
      </c>
      <c r="D46" s="26">
        <v>12</v>
      </c>
      <c r="E46" s="26" t="s">
        <v>13</v>
      </c>
      <c r="F46" s="26">
        <v>34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17</v>
      </c>
      <c r="D47" s="26">
        <v>0</v>
      </c>
      <c r="E47" s="26" t="s">
        <v>13</v>
      </c>
      <c r="F47" s="26">
        <v>25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17</v>
      </c>
      <c r="D48" s="26">
        <v>0</v>
      </c>
      <c r="E48" s="26" t="s">
        <v>13</v>
      </c>
      <c r="F48" s="26">
        <v>24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17</v>
      </c>
      <c r="D49" s="26">
        <v>12</v>
      </c>
      <c r="E49" s="26" t="s">
        <v>13</v>
      </c>
      <c r="F49" s="26">
        <v>32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17</v>
      </c>
      <c r="D50" s="26">
        <v>18</v>
      </c>
      <c r="E50" s="26" t="s">
        <v>13</v>
      </c>
      <c r="F50" s="26">
        <v>33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17</v>
      </c>
      <c r="D51" s="26">
        <v>13</v>
      </c>
      <c r="E51" s="26" t="s">
        <v>13</v>
      </c>
      <c r="F51" s="26">
        <v>36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17</v>
      </c>
      <c r="D52" s="26">
        <v>5</v>
      </c>
      <c r="E52" s="26" t="s">
        <v>13</v>
      </c>
      <c r="F52" s="26">
        <v>51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17</v>
      </c>
      <c r="D53" s="26">
        <v>25</v>
      </c>
      <c r="E53" s="26" t="s">
        <v>13</v>
      </c>
      <c r="F53" s="26">
        <v>37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17</v>
      </c>
      <c r="D54" s="26">
        <v>22</v>
      </c>
      <c r="E54" s="26" t="s">
        <v>13</v>
      </c>
      <c r="F54" s="26">
        <v>39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17</v>
      </c>
      <c r="D55" s="26">
        <v>4</v>
      </c>
      <c r="E55" s="26" t="s">
        <v>13</v>
      </c>
      <c r="F55" s="26">
        <v>29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17</v>
      </c>
      <c r="D56" s="26">
        <v>18</v>
      </c>
      <c r="E56" s="26" t="s">
        <v>13</v>
      </c>
      <c r="F56" s="26">
        <v>30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17</v>
      </c>
      <c r="D57" s="26">
        <v>16</v>
      </c>
      <c r="E57" s="26" t="s">
        <v>13</v>
      </c>
      <c r="F57" s="26">
        <v>58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17</v>
      </c>
      <c r="D58" s="26">
        <v>36</v>
      </c>
      <c r="E58" s="26" t="s">
        <v>13</v>
      </c>
      <c r="F58" s="26">
        <v>36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17</v>
      </c>
      <c r="D59" s="26">
        <v>10</v>
      </c>
      <c r="E59" s="26" t="s">
        <v>13</v>
      </c>
      <c r="F59" s="26">
        <v>36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17</v>
      </c>
      <c r="D60" s="26">
        <v>12</v>
      </c>
      <c r="E60" s="26" t="s">
        <v>13</v>
      </c>
      <c r="F60" s="26">
        <v>33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17</v>
      </c>
      <c r="D61" s="26">
        <v>14</v>
      </c>
      <c r="E61" s="26" t="s">
        <v>13</v>
      </c>
      <c r="F61" s="26">
        <v>25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17</v>
      </c>
      <c r="D62" s="26">
        <v>8</v>
      </c>
      <c r="E62" s="26" t="s">
        <v>13</v>
      </c>
      <c r="F62" s="26">
        <v>51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17</v>
      </c>
      <c r="D63" s="26">
        <v>5</v>
      </c>
      <c r="E63" s="26" t="s">
        <v>13</v>
      </c>
      <c r="F63" s="26">
        <v>44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17</v>
      </c>
      <c r="D64" s="26">
        <v>23</v>
      </c>
      <c r="E64" s="26" t="s">
        <v>13</v>
      </c>
      <c r="F64" s="26">
        <v>43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17</v>
      </c>
      <c r="D65" s="26">
        <v>8</v>
      </c>
      <c r="E65" s="26" t="s">
        <v>13</v>
      </c>
      <c r="F65" s="26">
        <v>36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17</v>
      </c>
      <c r="D66" s="26">
        <v>13</v>
      </c>
      <c r="E66" s="26" t="s">
        <v>13</v>
      </c>
      <c r="F66" s="26">
        <v>43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17</v>
      </c>
      <c r="D67" s="26">
        <v>0</v>
      </c>
      <c r="E67" s="26" t="s">
        <v>13</v>
      </c>
      <c r="F67" s="26">
        <v>27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17</v>
      </c>
      <c r="D68" s="26">
        <v>9</v>
      </c>
      <c r="E68" s="26" t="s">
        <v>13</v>
      </c>
      <c r="F68" s="26">
        <v>36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17</v>
      </c>
      <c r="D69" s="26">
        <v>24</v>
      </c>
      <c r="E69" s="26" t="s">
        <v>13</v>
      </c>
      <c r="F69" s="26">
        <v>34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17</v>
      </c>
      <c r="D70" s="26">
        <v>3</v>
      </c>
      <c r="E70" s="26" t="s">
        <v>13</v>
      </c>
      <c r="F70" s="26">
        <v>49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17</v>
      </c>
      <c r="D71" s="26">
        <v>25</v>
      </c>
      <c r="E71" s="26" t="s">
        <v>13</v>
      </c>
      <c r="F71" s="26">
        <v>62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17</v>
      </c>
      <c r="D72" s="26">
        <v>8</v>
      </c>
      <c r="E72" s="26" t="s">
        <v>13</v>
      </c>
      <c r="F72" s="26">
        <v>19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17</v>
      </c>
      <c r="D73" s="26">
        <v>8</v>
      </c>
      <c r="E73" s="26" t="s">
        <v>13</v>
      </c>
      <c r="F73" s="26">
        <v>56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17</v>
      </c>
      <c r="D74" s="26">
        <v>0</v>
      </c>
      <c r="E74" s="26" t="s">
        <v>13</v>
      </c>
      <c r="F74" s="26">
        <v>40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17</v>
      </c>
      <c r="D75" s="26">
        <v>25</v>
      </c>
      <c r="E75" s="26" t="s">
        <v>13</v>
      </c>
      <c r="F75" s="26">
        <v>23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17</v>
      </c>
      <c r="D76" s="26">
        <v>5</v>
      </c>
      <c r="E76" s="26" t="s">
        <v>13</v>
      </c>
      <c r="F76" s="26">
        <v>29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17</v>
      </c>
      <c r="D77" s="26">
        <v>8</v>
      </c>
      <c r="E77" s="26" t="s">
        <v>13</v>
      </c>
      <c r="F77" s="26">
        <v>22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17</v>
      </c>
      <c r="D78" s="26">
        <v>15</v>
      </c>
      <c r="E78" s="26" t="s">
        <v>13</v>
      </c>
      <c r="F78" s="26">
        <v>25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17</v>
      </c>
      <c r="D79" s="26">
        <v>27</v>
      </c>
      <c r="E79" s="26" t="s">
        <v>13</v>
      </c>
      <c r="F79" s="26">
        <v>20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17</v>
      </c>
      <c r="D80" s="26">
        <v>21</v>
      </c>
      <c r="E80" s="26" t="s">
        <v>13</v>
      </c>
      <c r="F80" s="26">
        <v>48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17</v>
      </c>
      <c r="D81" s="26">
        <v>0</v>
      </c>
      <c r="E81" s="26" t="s">
        <v>13</v>
      </c>
      <c r="F81" s="26">
        <v>22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17</v>
      </c>
      <c r="D82" s="26">
        <v>0</v>
      </c>
      <c r="E82" s="26" t="s">
        <v>13</v>
      </c>
      <c r="F82" s="26">
        <v>21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17</v>
      </c>
      <c r="D83" s="26">
        <v>25</v>
      </c>
      <c r="E83" s="26" t="s">
        <v>13</v>
      </c>
      <c r="F83" s="26">
        <v>48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17</v>
      </c>
      <c r="D84" s="26">
        <v>13</v>
      </c>
      <c r="E84" s="26" t="s">
        <v>13</v>
      </c>
      <c r="F84" s="26">
        <v>19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17</v>
      </c>
      <c r="D85" s="26">
        <v>2</v>
      </c>
      <c r="E85" s="26" t="s">
        <v>13</v>
      </c>
      <c r="F85" s="26">
        <v>50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17</v>
      </c>
      <c r="D86" s="26">
        <v>1</v>
      </c>
      <c r="E86" s="26" t="s">
        <v>13</v>
      </c>
      <c r="F86" s="26">
        <v>27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17</v>
      </c>
      <c r="D87" s="26">
        <v>0</v>
      </c>
      <c r="E87" s="26" t="s">
        <v>13</v>
      </c>
      <c r="F87" s="26">
        <v>9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17</v>
      </c>
      <c r="D88" s="26">
        <v>0</v>
      </c>
      <c r="E88" s="26" t="s">
        <v>13</v>
      </c>
      <c r="F88" s="26">
        <v>38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17</v>
      </c>
      <c r="D89" s="26">
        <v>0</v>
      </c>
      <c r="E89" s="26" t="s">
        <v>13</v>
      </c>
      <c r="F89" s="26">
        <v>26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17</v>
      </c>
      <c r="D90" s="26">
        <v>17</v>
      </c>
      <c r="E90" s="26" t="s">
        <v>13</v>
      </c>
      <c r="F90" s="26">
        <v>35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17</v>
      </c>
      <c r="D91" s="26">
        <v>0</v>
      </c>
      <c r="E91" s="26" t="s">
        <v>13</v>
      </c>
      <c r="F91" s="26">
        <v>39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17</v>
      </c>
      <c r="D92" s="26">
        <v>7</v>
      </c>
      <c r="E92" s="26" t="s">
        <v>13</v>
      </c>
      <c r="F92" s="26">
        <v>24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17</v>
      </c>
      <c r="D93" s="26">
        <v>13</v>
      </c>
      <c r="E93" s="26" t="s">
        <v>13</v>
      </c>
      <c r="F93" s="26">
        <v>33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17</v>
      </c>
      <c r="D94" s="26">
        <v>6</v>
      </c>
      <c r="E94" s="26" t="s">
        <v>13</v>
      </c>
      <c r="F94" s="26">
        <v>40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17</v>
      </c>
      <c r="D95" s="26">
        <v>9</v>
      </c>
      <c r="E95" s="26" t="s">
        <v>13</v>
      </c>
      <c r="F95" s="26">
        <v>32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17</v>
      </c>
      <c r="D96" s="26">
        <v>26</v>
      </c>
      <c r="E96" s="26" t="s">
        <v>13</v>
      </c>
      <c r="F96" s="26">
        <v>40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17</v>
      </c>
      <c r="D97" s="26">
        <v>7</v>
      </c>
      <c r="E97" s="26" t="s">
        <v>13</v>
      </c>
      <c r="F97" s="26">
        <v>33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17</v>
      </c>
      <c r="D98" s="26">
        <v>13</v>
      </c>
      <c r="E98" s="26" t="s">
        <v>13</v>
      </c>
      <c r="F98" s="26">
        <v>45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17</v>
      </c>
      <c r="D99" s="26">
        <v>2</v>
      </c>
      <c r="E99" s="26" t="s">
        <v>13</v>
      </c>
      <c r="F99" s="26">
        <v>21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17</v>
      </c>
      <c r="D100" s="26">
        <v>3</v>
      </c>
      <c r="E100" s="26" t="s">
        <v>13</v>
      </c>
      <c r="F100" s="26">
        <v>31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DDF4-684E-4479-A179-B87A4A7C503A}">
  <dimension ref="A1:Q100"/>
  <sheetViews>
    <sheetView workbookViewId="0">
      <selection activeCell="L21" sqref="L21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2</v>
      </c>
      <c r="E1" s="26" t="s">
        <v>11</v>
      </c>
      <c r="F1" s="26">
        <v>25</v>
      </c>
      <c r="G1" s="26">
        <v>1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11</v>
      </c>
      <c r="D2" s="26">
        <v>20</v>
      </c>
      <c r="E2" s="26" t="s">
        <v>11</v>
      </c>
      <c r="F2" s="26">
        <v>17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27</v>
      </c>
      <c r="E3" s="26" t="s">
        <v>11</v>
      </c>
      <c r="F3" s="26">
        <v>16</v>
      </c>
      <c r="G3" s="26">
        <v>0</v>
      </c>
      <c r="I3" s="4" t="s">
        <v>4</v>
      </c>
      <c r="J3" s="4"/>
      <c r="K3" s="8">
        <f>COUNTIF($G$1:$G$100, 0)</f>
        <v>47</v>
      </c>
      <c r="L3" s="8"/>
      <c r="M3" s="8">
        <f>COUNTIFS($G$1:$G$100, 0, $B$1:$B$100, 0)</f>
        <v>25</v>
      </c>
      <c r="N3" s="8"/>
      <c r="O3" s="9">
        <f>COUNTIFS($G$1:$G$100, 0, $B$1:$B$100, 1)</f>
        <v>22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11</v>
      </c>
      <c r="D4" s="26">
        <v>29</v>
      </c>
      <c r="E4" s="26" t="s">
        <v>11</v>
      </c>
      <c r="F4" s="26">
        <v>51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11</v>
      </c>
      <c r="D5" s="26">
        <v>21</v>
      </c>
      <c r="E5" s="26" t="s">
        <v>11</v>
      </c>
      <c r="F5" s="26">
        <v>39</v>
      </c>
      <c r="G5" s="26">
        <v>1</v>
      </c>
      <c r="I5" s="4" t="s">
        <v>5</v>
      </c>
      <c r="J5" s="4"/>
      <c r="K5" s="13">
        <f>COUNTIF($G$1:$G$100, 1)</f>
        <v>53</v>
      </c>
      <c r="L5" s="8"/>
      <c r="M5" s="8">
        <f>COUNTIFS($G$1:$G$100, 1, $B$1:$B$100, 0)</f>
        <v>25</v>
      </c>
      <c r="N5" s="8"/>
      <c r="O5" s="8">
        <f>COUNTIFS($G$1:$G$100, 1, $B$1:$B$100, 1)</f>
        <v>28</v>
      </c>
      <c r="P5" s="12"/>
      <c r="Q5"/>
    </row>
    <row r="6" spans="1:17" x14ac:dyDescent="0.3">
      <c r="A6" s="26">
        <v>2</v>
      </c>
      <c r="B6" s="26">
        <v>0</v>
      </c>
      <c r="C6" s="26" t="s">
        <v>11</v>
      </c>
      <c r="D6" s="26">
        <v>15</v>
      </c>
      <c r="E6" s="26" t="s">
        <v>11</v>
      </c>
      <c r="F6" s="26">
        <v>0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11</v>
      </c>
      <c r="D7" s="26">
        <v>8</v>
      </c>
      <c r="E7" s="26" t="s">
        <v>11</v>
      </c>
      <c r="F7" s="26">
        <v>18</v>
      </c>
      <c r="G7" s="26">
        <v>1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11</v>
      </c>
      <c r="D8" s="26">
        <v>38</v>
      </c>
      <c r="E8" s="26" t="s">
        <v>11</v>
      </c>
      <c r="F8" s="26">
        <v>30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11</v>
      </c>
      <c r="D9" s="26">
        <v>14</v>
      </c>
      <c r="E9" s="26" t="s">
        <v>11</v>
      </c>
      <c r="F9" s="26">
        <v>22</v>
      </c>
      <c r="G9" s="26">
        <v>1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11</v>
      </c>
      <c r="D10" s="26">
        <v>11</v>
      </c>
      <c r="E10" s="26" t="s">
        <v>11</v>
      </c>
      <c r="F10" s="26">
        <v>4</v>
      </c>
      <c r="G10" s="26">
        <v>0</v>
      </c>
      <c r="I10" s="4" t="s">
        <v>8</v>
      </c>
      <c r="J10" s="4"/>
      <c r="K10" s="8">
        <f>AVERAGE($D$1:$D$100,)</f>
        <v>21.722772277227723</v>
      </c>
      <c r="L10" s="8"/>
      <c r="M10" s="8" cm="1">
        <f t="array" ref="M10">AVERAGE(_xlfn._xlws.FILTER($D$1:$D$100,$G$1:$G$100 = 0))</f>
        <v>30.702127659574469</v>
      </c>
      <c r="N10" s="8"/>
      <c r="O10" s="9" cm="1">
        <f t="array" ref="O10">AVERAGE(_xlfn._xlws.FILTER($D$1:$D$100,$G$1:$G$100 = 1))</f>
        <v>14.169811320754716</v>
      </c>
      <c r="P10" s="10"/>
      <c r="Q10"/>
    </row>
    <row r="11" spans="1:17" x14ac:dyDescent="0.3">
      <c r="A11" s="26">
        <v>2</v>
      </c>
      <c r="B11" s="26">
        <v>0</v>
      </c>
      <c r="C11" s="26" t="s">
        <v>11</v>
      </c>
      <c r="D11" s="26">
        <v>43</v>
      </c>
      <c r="E11" s="26" t="s">
        <v>11</v>
      </c>
      <c r="F11" s="26">
        <v>51</v>
      </c>
      <c r="G11" s="26">
        <v>1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11</v>
      </c>
      <c r="D12" s="26">
        <v>13</v>
      </c>
      <c r="E12" s="26" t="s">
        <v>11</v>
      </c>
      <c r="F12" s="26">
        <v>25</v>
      </c>
      <c r="G12" s="26">
        <v>1</v>
      </c>
      <c r="I12" s="4" t="s">
        <v>9</v>
      </c>
      <c r="J12" s="4"/>
      <c r="K12" s="8">
        <f>AVERAGE($F$1:$F$100,)</f>
        <v>23.485148514851485</v>
      </c>
      <c r="L12" s="8"/>
      <c r="M12" s="8" cm="1">
        <f t="array" ref="M12">AVERAGE(_xlfn._xlws.FILTER($F$1:$F$100,$G$1:$G$100 = 0))</f>
        <v>14.74468085106383</v>
      </c>
      <c r="N12" s="8"/>
      <c r="O12" s="8" cm="1">
        <f t="array" ref="O12">AVERAGE(_xlfn._xlws.FILTER($F$1:$F$100,$G$1:$G$100 = 1))</f>
        <v>31.679245283018869</v>
      </c>
      <c r="P12" s="12"/>
      <c r="Q12"/>
    </row>
    <row r="13" spans="1:17" x14ac:dyDescent="0.3">
      <c r="A13" s="26">
        <v>2</v>
      </c>
      <c r="B13" s="26">
        <v>0</v>
      </c>
      <c r="C13" s="26" t="s">
        <v>11</v>
      </c>
      <c r="D13" s="26">
        <v>8</v>
      </c>
      <c r="E13" s="26" t="s">
        <v>11</v>
      </c>
      <c r="F13" s="26">
        <v>28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11</v>
      </c>
      <c r="D14" s="26">
        <v>26</v>
      </c>
      <c r="E14" s="26" t="s">
        <v>11</v>
      </c>
      <c r="F14" s="26">
        <v>34</v>
      </c>
      <c r="G14" s="26">
        <v>1</v>
      </c>
      <c r="I14" s="21" t="s">
        <v>10</v>
      </c>
      <c r="J14" s="10"/>
      <c r="K14" s="22" cm="1">
        <f t="array" ref="K14">AVERAGE($D$1:$D$100 - $F$1:$F$100)</f>
        <v>-1.78</v>
      </c>
      <c r="L14" s="22"/>
      <c r="M14" s="22" cm="1">
        <f t="array" ref="M14">AVERAGE(_xlfn._xlws.FILTER($D$1:$D$100 - $F$1:$F$100, G$1:G$100 = 0))</f>
        <v>15.957446808510639</v>
      </c>
      <c r="N14" s="22"/>
      <c r="O14" s="22" cm="1">
        <f t="array" ref="O14">AVERAGE(_xlfn._xlws.FILTER($D$1:$D$100 - $F$1:$F$100, G$1:G$100 = 1))</f>
        <v>-17.509433962264151</v>
      </c>
      <c r="P14" s="23"/>
      <c r="Q14"/>
    </row>
    <row r="15" spans="1:17" x14ac:dyDescent="0.3">
      <c r="A15" s="26">
        <v>2</v>
      </c>
      <c r="B15" s="26">
        <v>0</v>
      </c>
      <c r="C15" s="26" t="s">
        <v>11</v>
      </c>
      <c r="D15" s="26">
        <v>24</v>
      </c>
      <c r="E15" s="26" t="s">
        <v>11</v>
      </c>
      <c r="F15" s="26">
        <v>25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11</v>
      </c>
      <c r="D16" s="26">
        <v>2</v>
      </c>
      <c r="E16" s="26" t="s">
        <v>11</v>
      </c>
      <c r="F16" s="26">
        <v>8</v>
      </c>
      <c r="G16" s="26">
        <v>1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11</v>
      </c>
      <c r="D17" s="26">
        <v>22</v>
      </c>
      <c r="E17" s="26" t="s">
        <v>11</v>
      </c>
      <c r="F17" s="26">
        <v>13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9</v>
      </c>
      <c r="E18" s="26" t="s">
        <v>11</v>
      </c>
      <c r="F18" s="26">
        <v>27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3</v>
      </c>
      <c r="E19" s="26" t="s">
        <v>11</v>
      </c>
      <c r="F19" s="26">
        <v>5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52</v>
      </c>
      <c r="E20" s="26" t="s">
        <v>11</v>
      </c>
      <c r="F20" s="26">
        <v>2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47</v>
      </c>
      <c r="E21" s="26" t="s">
        <v>11</v>
      </c>
      <c r="F21" s="26">
        <v>40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38</v>
      </c>
      <c r="E22" s="26" t="s">
        <v>11</v>
      </c>
      <c r="F22" s="26">
        <v>20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53</v>
      </c>
      <c r="E23" s="26" t="s">
        <v>11</v>
      </c>
      <c r="F23" s="26">
        <v>33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21</v>
      </c>
      <c r="E24" s="26" t="s">
        <v>11</v>
      </c>
      <c r="F24" s="26">
        <v>11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21</v>
      </c>
      <c r="E25" s="26" t="s">
        <v>11</v>
      </c>
      <c r="F25" s="26">
        <v>38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61</v>
      </c>
      <c r="E26" s="26" t="s">
        <v>11</v>
      </c>
      <c r="F26" s="26">
        <v>6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15</v>
      </c>
      <c r="E27" s="26" t="s">
        <v>11</v>
      </c>
      <c r="F27" s="26">
        <v>36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11</v>
      </c>
      <c r="E28" s="26" t="s">
        <v>11</v>
      </c>
      <c r="F28" s="26">
        <v>6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16</v>
      </c>
      <c r="E29" s="26" t="s">
        <v>11</v>
      </c>
      <c r="F29" s="26">
        <v>5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4</v>
      </c>
      <c r="E30" s="26" t="s">
        <v>11</v>
      </c>
      <c r="F30" s="26">
        <v>27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2</v>
      </c>
      <c r="E31" s="26" t="s">
        <v>11</v>
      </c>
      <c r="F31" s="26">
        <v>13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12</v>
      </c>
      <c r="E32" s="26" t="s">
        <v>11</v>
      </c>
      <c r="F32" s="26">
        <v>30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17</v>
      </c>
      <c r="E33" s="26" t="s">
        <v>11</v>
      </c>
      <c r="F33" s="26">
        <v>11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20</v>
      </c>
      <c r="E34" s="26" t="s">
        <v>11</v>
      </c>
      <c r="F34" s="26">
        <v>16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33</v>
      </c>
      <c r="E35" s="26" t="s">
        <v>11</v>
      </c>
      <c r="F35" s="26">
        <v>14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39</v>
      </c>
      <c r="E36" s="26" t="s">
        <v>11</v>
      </c>
      <c r="F36" s="26">
        <v>61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25</v>
      </c>
      <c r="E37" s="26" t="s">
        <v>11</v>
      </c>
      <c r="F37" s="26">
        <v>49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35</v>
      </c>
      <c r="E38" s="26" t="s">
        <v>11</v>
      </c>
      <c r="F38" s="26">
        <v>30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2</v>
      </c>
      <c r="E39" s="26" t="s">
        <v>11</v>
      </c>
      <c r="F39" s="26">
        <v>36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57</v>
      </c>
      <c r="E40" s="26" t="s">
        <v>11</v>
      </c>
      <c r="F40" s="26">
        <v>36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6</v>
      </c>
      <c r="E41" s="26" t="s">
        <v>11</v>
      </c>
      <c r="F41" s="26">
        <v>38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11</v>
      </c>
      <c r="E42" s="26" t="s">
        <v>11</v>
      </c>
      <c r="F42" s="26">
        <v>11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19</v>
      </c>
      <c r="E43" s="26" t="s">
        <v>11</v>
      </c>
      <c r="F43" s="26">
        <v>6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51</v>
      </c>
      <c r="E44" s="26" t="s">
        <v>11</v>
      </c>
      <c r="F44" s="26">
        <v>32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21</v>
      </c>
      <c r="E45" s="26" t="s">
        <v>11</v>
      </c>
      <c r="F45" s="26">
        <v>37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22</v>
      </c>
      <c r="E46" s="26" t="s">
        <v>11</v>
      </c>
      <c r="F46" s="26">
        <v>45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11</v>
      </c>
      <c r="E47" s="26" t="s">
        <v>11</v>
      </c>
      <c r="F47" s="26">
        <v>3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40</v>
      </c>
      <c r="E48" s="26" t="s">
        <v>11</v>
      </c>
      <c r="F48" s="26">
        <v>48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26</v>
      </c>
      <c r="E49" s="26" t="s">
        <v>11</v>
      </c>
      <c r="F49" s="26">
        <v>10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21</v>
      </c>
      <c r="E50" s="26" t="s">
        <v>11</v>
      </c>
      <c r="F50" s="26">
        <v>21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30</v>
      </c>
      <c r="E51" s="26" t="s">
        <v>11</v>
      </c>
      <c r="F51" s="26">
        <v>18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15</v>
      </c>
      <c r="E52" s="26" t="s">
        <v>11</v>
      </c>
      <c r="F52" s="26">
        <v>21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9</v>
      </c>
      <c r="E53" s="26" t="s">
        <v>11</v>
      </c>
      <c r="F53" s="26">
        <v>25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44</v>
      </c>
      <c r="E54" s="26" t="s">
        <v>11</v>
      </c>
      <c r="F54" s="26">
        <v>13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6</v>
      </c>
      <c r="E55" s="26" t="s">
        <v>11</v>
      </c>
      <c r="F55" s="26">
        <v>63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20</v>
      </c>
      <c r="E56" s="26" t="s">
        <v>11</v>
      </c>
      <c r="F56" s="26">
        <v>22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10</v>
      </c>
      <c r="E57" s="26" t="s">
        <v>11</v>
      </c>
      <c r="F57" s="26">
        <v>39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11</v>
      </c>
      <c r="E58" s="26" t="s">
        <v>11</v>
      </c>
      <c r="F58" s="26">
        <v>34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53</v>
      </c>
      <c r="E59" s="26" t="s">
        <v>11</v>
      </c>
      <c r="F59" s="26">
        <v>2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43</v>
      </c>
      <c r="E60" s="26" t="s">
        <v>11</v>
      </c>
      <c r="F60" s="26">
        <v>19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5</v>
      </c>
      <c r="E61" s="26" t="s">
        <v>11</v>
      </c>
      <c r="F61" s="26">
        <v>15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40</v>
      </c>
      <c r="E62" s="26" t="s">
        <v>11</v>
      </c>
      <c r="F62" s="26">
        <v>12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24</v>
      </c>
      <c r="E63" s="26" t="s">
        <v>11</v>
      </c>
      <c r="F63" s="26">
        <v>2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14</v>
      </c>
      <c r="E64" s="26" t="s">
        <v>11</v>
      </c>
      <c r="F64" s="26">
        <v>30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16</v>
      </c>
      <c r="E65" s="26" t="s">
        <v>11</v>
      </c>
      <c r="F65" s="26">
        <v>33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19</v>
      </c>
      <c r="E66" s="26" t="s">
        <v>11</v>
      </c>
      <c r="F66" s="26">
        <v>17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2</v>
      </c>
      <c r="E67" s="26" t="s">
        <v>11</v>
      </c>
      <c r="F67" s="26">
        <v>43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39</v>
      </c>
      <c r="E68" s="26" t="s">
        <v>11</v>
      </c>
      <c r="F68" s="26">
        <v>17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0</v>
      </c>
      <c r="E69" s="26" t="s">
        <v>11</v>
      </c>
      <c r="F69" s="26">
        <v>2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23</v>
      </c>
      <c r="E70" s="26" t="s">
        <v>11</v>
      </c>
      <c r="F70" s="26">
        <v>41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33</v>
      </c>
      <c r="E71" s="26" t="s">
        <v>11</v>
      </c>
      <c r="F71" s="26">
        <v>19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12</v>
      </c>
      <c r="E72" s="26" t="s">
        <v>11</v>
      </c>
      <c r="F72" s="26">
        <v>5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9</v>
      </c>
      <c r="E73" s="26" t="s">
        <v>11</v>
      </c>
      <c r="F73" s="26">
        <v>44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21</v>
      </c>
      <c r="E74" s="26" t="s">
        <v>11</v>
      </c>
      <c r="F74" s="26">
        <v>22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43</v>
      </c>
      <c r="E75" s="26" t="s">
        <v>11</v>
      </c>
      <c r="F75" s="26">
        <v>22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17</v>
      </c>
      <c r="E76" s="26" t="s">
        <v>11</v>
      </c>
      <c r="F76" s="26">
        <v>16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37</v>
      </c>
      <c r="E77" s="26" t="s">
        <v>11</v>
      </c>
      <c r="F77" s="26">
        <v>25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11</v>
      </c>
      <c r="E78" s="26" t="s">
        <v>11</v>
      </c>
      <c r="F78" s="26">
        <v>39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20</v>
      </c>
      <c r="E79" s="26" t="s">
        <v>11</v>
      </c>
      <c r="F79" s="26">
        <v>15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31</v>
      </c>
      <c r="E80" s="26" t="s">
        <v>11</v>
      </c>
      <c r="F80" s="26">
        <v>39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6</v>
      </c>
      <c r="E81" s="26" t="s">
        <v>11</v>
      </c>
      <c r="F81" s="26">
        <v>13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50</v>
      </c>
      <c r="E82" s="26" t="s">
        <v>11</v>
      </c>
      <c r="F82" s="26">
        <v>34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19</v>
      </c>
      <c r="E83" s="26" t="s">
        <v>11</v>
      </c>
      <c r="F83" s="26">
        <v>38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10</v>
      </c>
      <c r="E84" s="26" t="s">
        <v>11</v>
      </c>
      <c r="F84" s="26">
        <v>28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14</v>
      </c>
      <c r="E85" s="26" t="s">
        <v>11</v>
      </c>
      <c r="F85" s="26">
        <v>21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28</v>
      </c>
      <c r="E86" s="26" t="s">
        <v>11</v>
      </c>
      <c r="F86" s="26">
        <v>50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27</v>
      </c>
      <c r="E87" s="26" t="s">
        <v>11</v>
      </c>
      <c r="F87" s="26">
        <v>30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37</v>
      </c>
      <c r="E88" s="26" t="s">
        <v>11</v>
      </c>
      <c r="F88" s="26">
        <v>27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2</v>
      </c>
      <c r="E89" s="26" t="s">
        <v>11</v>
      </c>
      <c r="F89" s="26">
        <v>21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21</v>
      </c>
      <c r="E90" s="26" t="s">
        <v>11</v>
      </c>
      <c r="F90" s="26">
        <v>2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15</v>
      </c>
      <c r="E91" s="26" t="s">
        <v>11</v>
      </c>
      <c r="F91" s="26">
        <v>28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0</v>
      </c>
      <c r="E92" s="26" t="s">
        <v>11</v>
      </c>
      <c r="F92" s="26">
        <v>31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4</v>
      </c>
      <c r="E93" s="26" t="s">
        <v>11</v>
      </c>
      <c r="F93" s="26">
        <v>18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2</v>
      </c>
      <c r="E94" s="26" t="s">
        <v>11</v>
      </c>
      <c r="F94" s="26">
        <v>50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30</v>
      </c>
      <c r="E95" s="26" t="s">
        <v>11</v>
      </c>
      <c r="F95" s="26">
        <v>2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21</v>
      </c>
      <c r="E96" s="26" t="s">
        <v>11</v>
      </c>
      <c r="F96" s="26">
        <v>11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25</v>
      </c>
      <c r="E97" s="26" t="s">
        <v>11</v>
      </c>
      <c r="F97" s="26">
        <v>18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45</v>
      </c>
      <c r="E98" s="26" t="s">
        <v>11</v>
      </c>
      <c r="F98" s="26">
        <v>2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10</v>
      </c>
      <c r="E99" s="26" t="s">
        <v>11</v>
      </c>
      <c r="F99" s="26">
        <v>23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27</v>
      </c>
      <c r="E100" s="26" t="s">
        <v>11</v>
      </c>
      <c r="F100" s="26">
        <v>2</v>
      </c>
      <c r="G100" s="26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8F1-52F4-4043-A4EB-85FD527E1AA3}">
  <dimension ref="A1:Q100"/>
  <sheetViews>
    <sheetView workbookViewId="0">
      <selection activeCell="T20" sqref="T20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37</v>
      </c>
      <c r="E1" s="26" t="s">
        <v>12</v>
      </c>
      <c r="F1" s="26">
        <v>23</v>
      </c>
      <c r="G1" s="26">
        <v>0</v>
      </c>
      <c r="I1" s="1"/>
      <c r="J1" s="2"/>
      <c r="K1" s="3" t="s">
        <v>0</v>
      </c>
      <c r="L1" s="3"/>
      <c r="M1" s="4" t="s">
        <v>1</v>
      </c>
      <c r="N1" s="4"/>
      <c r="O1" s="4" t="s">
        <v>2</v>
      </c>
      <c r="P1" s="4"/>
      <c r="Q1"/>
    </row>
    <row r="2" spans="1:17" x14ac:dyDescent="0.3">
      <c r="A2" s="26">
        <v>2</v>
      </c>
      <c r="B2" s="26">
        <v>0</v>
      </c>
      <c r="C2" s="26" t="s">
        <v>12</v>
      </c>
      <c r="D2" s="26">
        <v>29</v>
      </c>
      <c r="E2" s="26" t="s">
        <v>12</v>
      </c>
      <c r="F2" s="26">
        <v>21</v>
      </c>
      <c r="G2" s="26">
        <v>0</v>
      </c>
      <c r="I2" s="5"/>
      <c r="J2" s="6"/>
      <c r="K2" s="3"/>
      <c r="L2" s="3"/>
      <c r="M2" s="4"/>
      <c r="N2" s="4"/>
      <c r="O2" s="4"/>
      <c r="P2" s="4"/>
      <c r="Q2" s="7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18</v>
      </c>
      <c r="E3" s="26" t="s">
        <v>12</v>
      </c>
      <c r="F3" s="26">
        <v>24</v>
      </c>
      <c r="G3" s="26">
        <v>1</v>
      </c>
      <c r="I3" s="4" t="s">
        <v>4</v>
      </c>
      <c r="J3" s="4"/>
      <c r="K3" s="8">
        <f>COUNTIF($G$1:$G$100, 0)</f>
        <v>55</v>
      </c>
      <c r="L3" s="8"/>
      <c r="M3" s="8">
        <f>COUNTIFS($G$1:$G$100, 0, $B$1:$B$100, 0)</f>
        <v>31</v>
      </c>
      <c r="N3" s="8"/>
      <c r="O3" s="9">
        <f>COUNTIFS($G$1:$G$100, 0, $B$1:$B$100, 1)</f>
        <v>24</v>
      </c>
      <c r="P3" s="10"/>
      <c r="Q3" s="11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12</v>
      </c>
      <c r="D4" s="26">
        <v>31</v>
      </c>
      <c r="E4" s="26" t="s">
        <v>12</v>
      </c>
      <c r="F4" s="26">
        <v>41</v>
      </c>
      <c r="G4" s="26">
        <v>1</v>
      </c>
      <c r="I4" s="4"/>
      <c r="J4" s="4"/>
      <c r="K4" s="8"/>
      <c r="L4" s="8"/>
      <c r="M4" s="8"/>
      <c r="N4" s="8"/>
      <c r="O4" s="8"/>
      <c r="P4" s="12"/>
      <c r="Q4"/>
    </row>
    <row r="5" spans="1:17" x14ac:dyDescent="0.3">
      <c r="A5" s="26">
        <v>2</v>
      </c>
      <c r="B5" s="26">
        <v>0</v>
      </c>
      <c r="C5" s="26" t="s">
        <v>12</v>
      </c>
      <c r="D5" s="26">
        <v>42</v>
      </c>
      <c r="E5" s="26" t="s">
        <v>12</v>
      </c>
      <c r="F5" s="26">
        <v>17</v>
      </c>
      <c r="G5" s="26">
        <v>0</v>
      </c>
      <c r="I5" s="4" t="s">
        <v>5</v>
      </c>
      <c r="J5" s="4"/>
      <c r="K5" s="13">
        <f>COUNTIF($G$1:$G$100, 1)</f>
        <v>45</v>
      </c>
      <c r="L5" s="8"/>
      <c r="M5" s="8">
        <f>COUNTIFS($G$1:$G$100, 1, $B$1:$B$100, 0)</f>
        <v>19</v>
      </c>
      <c r="N5" s="8"/>
      <c r="O5" s="8">
        <f>COUNTIFS($G$1:$G$100, 1, $B$1:$B$100, 1)</f>
        <v>26</v>
      </c>
      <c r="P5" s="12"/>
      <c r="Q5"/>
    </row>
    <row r="6" spans="1:17" x14ac:dyDescent="0.3">
      <c r="A6" s="26">
        <v>2</v>
      </c>
      <c r="B6" s="26">
        <v>0</v>
      </c>
      <c r="C6" s="26" t="s">
        <v>12</v>
      </c>
      <c r="D6" s="26">
        <v>17</v>
      </c>
      <c r="E6" s="26" t="s">
        <v>12</v>
      </c>
      <c r="F6" s="26">
        <v>12</v>
      </c>
      <c r="G6" s="26">
        <v>0</v>
      </c>
      <c r="I6" s="4"/>
      <c r="J6" s="4"/>
      <c r="K6" s="14"/>
      <c r="L6" s="15"/>
      <c r="M6" s="15"/>
      <c r="N6" s="15"/>
      <c r="O6" s="15"/>
      <c r="P6" s="16"/>
      <c r="Q6"/>
    </row>
    <row r="7" spans="1:17" x14ac:dyDescent="0.3">
      <c r="A7" s="26">
        <v>2</v>
      </c>
      <c r="B7" s="26">
        <v>0</v>
      </c>
      <c r="C7" s="26" t="s">
        <v>12</v>
      </c>
      <c r="D7" s="26">
        <v>29</v>
      </c>
      <c r="E7" s="26" t="s">
        <v>12</v>
      </c>
      <c r="F7" s="26">
        <v>24</v>
      </c>
      <c r="G7" s="26">
        <v>0</v>
      </c>
      <c r="I7" s="17"/>
      <c r="J7" s="17"/>
      <c r="K7" s="17"/>
      <c r="L7" s="17"/>
      <c r="M7" s="17"/>
      <c r="N7" s="17"/>
      <c r="O7" s="17"/>
      <c r="P7" s="17"/>
      <c r="Q7"/>
    </row>
    <row r="8" spans="1:17" x14ac:dyDescent="0.3">
      <c r="A8" s="26">
        <v>2</v>
      </c>
      <c r="B8" s="26">
        <v>0</v>
      </c>
      <c r="C8" s="26" t="s">
        <v>12</v>
      </c>
      <c r="D8" s="26">
        <v>12</v>
      </c>
      <c r="E8" s="26" t="s">
        <v>12</v>
      </c>
      <c r="F8" s="26">
        <v>10</v>
      </c>
      <c r="G8" s="26">
        <v>0</v>
      </c>
      <c r="I8" s="18"/>
      <c r="J8" s="19"/>
      <c r="K8" s="20" t="s">
        <v>0</v>
      </c>
      <c r="L8" s="20"/>
      <c r="M8" s="20" t="s">
        <v>6</v>
      </c>
      <c r="N8" s="20"/>
      <c r="O8" s="20" t="s">
        <v>7</v>
      </c>
      <c r="P8" s="20"/>
      <c r="Q8"/>
    </row>
    <row r="9" spans="1:17" x14ac:dyDescent="0.3">
      <c r="A9" s="26">
        <v>2</v>
      </c>
      <c r="B9" s="26">
        <v>0</v>
      </c>
      <c r="C9" s="26" t="s">
        <v>12</v>
      </c>
      <c r="D9" s="26">
        <v>21</v>
      </c>
      <c r="E9" s="26" t="s">
        <v>12</v>
      </c>
      <c r="F9" s="26">
        <v>12</v>
      </c>
      <c r="G9" s="26">
        <v>0</v>
      </c>
      <c r="I9" s="5"/>
      <c r="J9" s="6"/>
      <c r="K9" s="20"/>
      <c r="L9" s="20"/>
      <c r="M9" s="20"/>
      <c r="N9" s="20"/>
      <c r="O9" s="20"/>
      <c r="P9" s="20"/>
      <c r="Q9"/>
    </row>
    <row r="10" spans="1:17" x14ac:dyDescent="0.3">
      <c r="A10" s="26">
        <v>2</v>
      </c>
      <c r="B10" s="26">
        <v>0</v>
      </c>
      <c r="C10" s="26" t="s">
        <v>12</v>
      </c>
      <c r="D10" s="26">
        <v>20</v>
      </c>
      <c r="E10" s="26" t="s">
        <v>12</v>
      </c>
      <c r="F10" s="26">
        <v>42</v>
      </c>
      <c r="G10" s="26">
        <v>1</v>
      </c>
      <c r="I10" s="4" t="s">
        <v>8</v>
      </c>
      <c r="J10" s="4"/>
      <c r="K10" s="8">
        <f>AVERAGE($D$1:$D$100,)</f>
        <v>28.138613861386137</v>
      </c>
      <c r="L10" s="8"/>
      <c r="M10" s="8" cm="1">
        <f t="array" ref="M10">AVERAGE(_xlfn._xlws.FILTER($D$1:$D$100,$G$1:$G$100 = 0))</f>
        <v>35.381818181818183</v>
      </c>
      <c r="N10" s="8"/>
      <c r="O10" s="9" cm="1">
        <f t="array" ref="O10">AVERAGE(_xlfn._xlws.FILTER($D$1:$D$100,$G$1:$G$100 = 1))</f>
        <v>19.911111111111111</v>
      </c>
      <c r="P10" s="10"/>
      <c r="Q10"/>
    </row>
    <row r="11" spans="1:17" x14ac:dyDescent="0.3">
      <c r="A11" s="26">
        <v>2</v>
      </c>
      <c r="B11" s="26">
        <v>0</v>
      </c>
      <c r="C11" s="26" t="s">
        <v>12</v>
      </c>
      <c r="D11" s="26">
        <v>54</v>
      </c>
      <c r="E11" s="26" t="s">
        <v>12</v>
      </c>
      <c r="F11" s="26">
        <v>12</v>
      </c>
      <c r="G11" s="26">
        <v>0</v>
      </c>
      <c r="I11" s="4"/>
      <c r="J11" s="4"/>
      <c r="K11" s="8"/>
      <c r="L11" s="8"/>
      <c r="M11" s="8"/>
      <c r="N11" s="8"/>
      <c r="O11" s="8"/>
      <c r="P11" s="12"/>
      <c r="Q11"/>
    </row>
    <row r="12" spans="1:17" x14ac:dyDescent="0.3">
      <c r="A12" s="26">
        <v>2</v>
      </c>
      <c r="B12" s="26">
        <v>0</v>
      </c>
      <c r="C12" s="26" t="s">
        <v>12</v>
      </c>
      <c r="D12" s="26">
        <v>23</v>
      </c>
      <c r="E12" s="26" t="s">
        <v>12</v>
      </c>
      <c r="F12" s="26">
        <v>24</v>
      </c>
      <c r="G12" s="26">
        <v>1</v>
      </c>
      <c r="I12" s="4" t="s">
        <v>9</v>
      </c>
      <c r="J12" s="4"/>
      <c r="K12" s="8">
        <f>AVERAGE($F$1:$F$100,)</f>
        <v>24.297029702970296</v>
      </c>
      <c r="L12" s="8"/>
      <c r="M12" s="8" cm="1">
        <f t="array" ref="M12">AVERAGE(_xlfn._xlws.FILTER($F$1:$F$100,$G$1:$G$100 = 0))</f>
        <v>18.345454545454544</v>
      </c>
      <c r="N12" s="8"/>
      <c r="O12" s="8" cm="1">
        <f t="array" ref="O12">AVERAGE(_xlfn._xlws.FILTER($F$1:$F$100,$G$1:$G$100 = 1))</f>
        <v>32.111111111111114</v>
      </c>
      <c r="P12" s="12"/>
      <c r="Q12"/>
    </row>
    <row r="13" spans="1:17" x14ac:dyDescent="0.3">
      <c r="A13" s="26">
        <v>2</v>
      </c>
      <c r="B13" s="26">
        <v>0</v>
      </c>
      <c r="C13" s="26" t="s">
        <v>12</v>
      </c>
      <c r="D13" s="26">
        <v>27</v>
      </c>
      <c r="E13" s="26" t="s">
        <v>12</v>
      </c>
      <c r="F13" s="26">
        <v>34</v>
      </c>
      <c r="G13" s="26">
        <v>1</v>
      </c>
      <c r="I13" s="4"/>
      <c r="J13" s="4"/>
      <c r="K13" s="8"/>
      <c r="L13" s="8"/>
      <c r="M13" s="8"/>
      <c r="N13" s="8"/>
      <c r="O13" s="8"/>
      <c r="P13" s="12"/>
      <c r="Q13"/>
    </row>
    <row r="14" spans="1:17" x14ac:dyDescent="0.3">
      <c r="A14" s="26">
        <v>2</v>
      </c>
      <c r="B14" s="26">
        <v>0</v>
      </c>
      <c r="C14" s="26" t="s">
        <v>12</v>
      </c>
      <c r="D14" s="26">
        <v>66</v>
      </c>
      <c r="E14" s="26" t="s">
        <v>12</v>
      </c>
      <c r="F14" s="26">
        <v>25</v>
      </c>
      <c r="G14" s="26">
        <v>0</v>
      </c>
      <c r="I14" s="21" t="s">
        <v>10</v>
      </c>
      <c r="J14" s="10"/>
      <c r="K14" s="22" cm="1">
        <f t="array" ref="K14">AVERAGE($D$1:$D$100 - $F$1:$F$100)</f>
        <v>3.88</v>
      </c>
      <c r="L14" s="22"/>
      <c r="M14" s="22" cm="1">
        <f t="array" ref="M14">AVERAGE(_xlfn._xlws.FILTER($D$1:$D$100 - $F$1:$F$100, G$1:G$100 = 0))</f>
        <v>17.036363636363635</v>
      </c>
      <c r="N14" s="22"/>
      <c r="O14" s="22" cm="1">
        <f t="array" ref="O14">AVERAGE(_xlfn._xlws.FILTER($D$1:$D$100 - $F$1:$F$100, G$1:G$100 = 1))</f>
        <v>-12.2</v>
      </c>
      <c r="P14" s="23"/>
      <c r="Q14"/>
    </row>
    <row r="15" spans="1:17" x14ac:dyDescent="0.3">
      <c r="A15" s="26">
        <v>2</v>
      </c>
      <c r="B15" s="26">
        <v>0</v>
      </c>
      <c r="C15" s="26" t="s">
        <v>12</v>
      </c>
      <c r="D15" s="26">
        <v>4</v>
      </c>
      <c r="E15" s="26" t="s">
        <v>12</v>
      </c>
      <c r="F15" s="26">
        <v>11</v>
      </c>
      <c r="G15" s="26">
        <v>1</v>
      </c>
      <c r="I15" s="13"/>
      <c r="J15" s="12"/>
      <c r="K15" s="22"/>
      <c r="L15" s="22"/>
      <c r="M15" s="22"/>
      <c r="N15" s="22"/>
      <c r="O15" s="22"/>
      <c r="P15" s="23"/>
      <c r="Q15"/>
    </row>
    <row r="16" spans="1:17" x14ac:dyDescent="0.3">
      <c r="A16" s="26">
        <v>2</v>
      </c>
      <c r="B16" s="26">
        <v>0</v>
      </c>
      <c r="C16" s="26" t="s">
        <v>12</v>
      </c>
      <c r="D16" s="26">
        <v>67</v>
      </c>
      <c r="E16" s="26" t="s">
        <v>12</v>
      </c>
      <c r="F16" s="26">
        <v>52</v>
      </c>
      <c r="G16" s="26">
        <v>0</v>
      </c>
      <c r="I16" s="14"/>
      <c r="J16" s="16"/>
      <c r="K16" s="24"/>
      <c r="L16" s="24"/>
      <c r="M16" s="24"/>
      <c r="N16" s="24"/>
      <c r="O16" s="24"/>
      <c r="P16" s="25"/>
      <c r="Q16"/>
    </row>
    <row r="17" spans="1:7" x14ac:dyDescent="0.3">
      <c r="A17" s="26">
        <v>2</v>
      </c>
      <c r="B17" s="26">
        <v>0</v>
      </c>
      <c r="C17" s="26" t="s">
        <v>12</v>
      </c>
      <c r="D17" s="26">
        <v>33</v>
      </c>
      <c r="E17" s="26" t="s">
        <v>12</v>
      </c>
      <c r="F17" s="26">
        <v>23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36</v>
      </c>
      <c r="E18" s="26" t="s">
        <v>12</v>
      </c>
      <c r="F18" s="26">
        <v>0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16</v>
      </c>
      <c r="E19" s="26" t="s">
        <v>12</v>
      </c>
      <c r="F19" s="26">
        <v>38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40</v>
      </c>
      <c r="E20" s="26" t="s">
        <v>12</v>
      </c>
      <c r="F20" s="26">
        <v>49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31</v>
      </c>
      <c r="E21" s="26" t="s">
        <v>12</v>
      </c>
      <c r="F21" s="26">
        <v>12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52</v>
      </c>
      <c r="E22" s="26" t="s">
        <v>12</v>
      </c>
      <c r="F22" s="26">
        <v>22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24</v>
      </c>
      <c r="E23" s="26" t="s">
        <v>12</v>
      </c>
      <c r="F23" s="26">
        <v>51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45</v>
      </c>
      <c r="E24" s="26" t="s">
        <v>12</v>
      </c>
      <c r="F24" s="26">
        <v>40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41</v>
      </c>
      <c r="E25" s="26" t="s">
        <v>12</v>
      </c>
      <c r="F25" s="26">
        <v>58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29</v>
      </c>
      <c r="E26" s="26" t="s">
        <v>12</v>
      </c>
      <c r="F26" s="26">
        <v>13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23</v>
      </c>
      <c r="E27" s="26" t="s">
        <v>12</v>
      </c>
      <c r="F27" s="26">
        <v>31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22</v>
      </c>
      <c r="E28" s="26" t="s">
        <v>12</v>
      </c>
      <c r="F28" s="26">
        <v>37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42</v>
      </c>
      <c r="E29" s="26" t="s">
        <v>12</v>
      </c>
      <c r="F29" s="26">
        <v>2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13</v>
      </c>
      <c r="E30" s="26" t="s">
        <v>12</v>
      </c>
      <c r="F30" s="26">
        <v>18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30</v>
      </c>
      <c r="E31" s="26" t="s">
        <v>12</v>
      </c>
      <c r="F31" s="26">
        <v>21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23</v>
      </c>
      <c r="E32" s="26" t="s">
        <v>12</v>
      </c>
      <c r="F32" s="26">
        <v>40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38</v>
      </c>
      <c r="E33" s="26" t="s">
        <v>12</v>
      </c>
      <c r="F33" s="26">
        <v>24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31</v>
      </c>
      <c r="E34" s="26" t="s">
        <v>12</v>
      </c>
      <c r="F34" s="26">
        <v>21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57</v>
      </c>
      <c r="E35" s="26" t="s">
        <v>12</v>
      </c>
      <c r="F35" s="26">
        <v>26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17</v>
      </c>
      <c r="E36" s="26" t="s">
        <v>12</v>
      </c>
      <c r="F36" s="26">
        <v>28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43</v>
      </c>
      <c r="E37" s="26" t="s">
        <v>12</v>
      </c>
      <c r="F37" s="26">
        <v>15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37</v>
      </c>
      <c r="E38" s="26" t="s">
        <v>12</v>
      </c>
      <c r="F38" s="26">
        <v>16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16</v>
      </c>
      <c r="E39" s="26" t="s">
        <v>12</v>
      </c>
      <c r="F39" s="26">
        <v>24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44</v>
      </c>
      <c r="E40" s="26" t="s">
        <v>12</v>
      </c>
      <c r="F40" s="26">
        <v>13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16</v>
      </c>
      <c r="E41" s="26" t="s">
        <v>12</v>
      </c>
      <c r="F41" s="26">
        <v>11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26</v>
      </c>
      <c r="E42" s="26" t="s">
        <v>12</v>
      </c>
      <c r="F42" s="26">
        <v>6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36</v>
      </c>
      <c r="E43" s="26" t="s">
        <v>12</v>
      </c>
      <c r="F43" s="26">
        <v>22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11</v>
      </c>
      <c r="E44" s="26" t="s">
        <v>12</v>
      </c>
      <c r="F44" s="26">
        <v>36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31</v>
      </c>
      <c r="E45" s="26" t="s">
        <v>12</v>
      </c>
      <c r="F45" s="26">
        <v>14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18</v>
      </c>
      <c r="E46" s="26" t="s">
        <v>12</v>
      </c>
      <c r="F46" s="26">
        <v>29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27</v>
      </c>
      <c r="E47" s="26" t="s">
        <v>12</v>
      </c>
      <c r="F47" s="26">
        <v>45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47</v>
      </c>
      <c r="E48" s="26" t="s">
        <v>12</v>
      </c>
      <c r="F48" s="26">
        <v>17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32</v>
      </c>
      <c r="E49" s="26" t="s">
        <v>12</v>
      </c>
      <c r="F49" s="26">
        <v>16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28</v>
      </c>
      <c r="E50" s="26" t="s">
        <v>12</v>
      </c>
      <c r="F50" s="26">
        <v>23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14</v>
      </c>
      <c r="E51" s="26" t="s">
        <v>12</v>
      </c>
      <c r="F51" s="26">
        <v>26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24</v>
      </c>
      <c r="E52" s="26" t="s">
        <v>12</v>
      </c>
      <c r="F52" s="26">
        <v>36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39</v>
      </c>
      <c r="E53" s="26" t="s">
        <v>12</v>
      </c>
      <c r="F53" s="26">
        <v>21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21</v>
      </c>
      <c r="E54" s="26" t="s">
        <v>12</v>
      </c>
      <c r="F54" s="26">
        <v>22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24</v>
      </c>
      <c r="E55" s="26" t="s">
        <v>12</v>
      </c>
      <c r="F55" s="26">
        <v>9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33</v>
      </c>
      <c r="E56" s="26" t="s">
        <v>12</v>
      </c>
      <c r="F56" s="26">
        <v>27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46</v>
      </c>
      <c r="E57" s="26" t="s">
        <v>12</v>
      </c>
      <c r="F57" s="26">
        <v>13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31</v>
      </c>
      <c r="E58" s="26" t="s">
        <v>12</v>
      </c>
      <c r="F58" s="26">
        <v>32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25</v>
      </c>
      <c r="E59" s="26" t="s">
        <v>12</v>
      </c>
      <c r="F59" s="26">
        <v>28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37</v>
      </c>
      <c r="E60" s="26" t="s">
        <v>12</v>
      </c>
      <c r="F60" s="26">
        <v>4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5</v>
      </c>
      <c r="E61" s="26" t="s">
        <v>12</v>
      </c>
      <c r="F61" s="26">
        <v>37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42</v>
      </c>
      <c r="E62" s="26" t="s">
        <v>12</v>
      </c>
      <c r="F62" s="26">
        <v>26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26</v>
      </c>
      <c r="E63" s="26" t="s">
        <v>12</v>
      </c>
      <c r="F63" s="26">
        <v>18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28</v>
      </c>
      <c r="E64" s="26" t="s">
        <v>12</v>
      </c>
      <c r="F64" s="26">
        <v>45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17</v>
      </c>
      <c r="E65" s="26" t="s">
        <v>12</v>
      </c>
      <c r="F65" s="26">
        <v>21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41</v>
      </c>
      <c r="E66" s="26" t="s">
        <v>12</v>
      </c>
      <c r="F66" s="26">
        <v>17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26</v>
      </c>
      <c r="E67" s="26" t="s">
        <v>12</v>
      </c>
      <c r="F67" s="26">
        <v>9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29</v>
      </c>
      <c r="E68" s="26" t="s">
        <v>12</v>
      </c>
      <c r="F68" s="26">
        <v>34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36</v>
      </c>
      <c r="E69" s="26" t="s">
        <v>12</v>
      </c>
      <c r="F69" s="26">
        <v>24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30</v>
      </c>
      <c r="E70" s="26" t="s">
        <v>12</v>
      </c>
      <c r="F70" s="26">
        <v>26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22</v>
      </c>
      <c r="E71" s="26" t="s">
        <v>12</v>
      </c>
      <c r="F71" s="26">
        <v>32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23</v>
      </c>
      <c r="E72" s="26" t="s">
        <v>12</v>
      </c>
      <c r="F72" s="26">
        <v>38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2</v>
      </c>
      <c r="E73" s="26" t="s">
        <v>12</v>
      </c>
      <c r="F73" s="26">
        <v>5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37</v>
      </c>
      <c r="E74" s="26" t="s">
        <v>12</v>
      </c>
      <c r="F74" s="26">
        <v>21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37</v>
      </c>
      <c r="E75" s="26" t="s">
        <v>12</v>
      </c>
      <c r="F75" s="26">
        <v>19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44</v>
      </c>
      <c r="E76" s="26" t="s">
        <v>12</v>
      </c>
      <c r="F76" s="26">
        <v>36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59</v>
      </c>
      <c r="E77" s="26" t="s">
        <v>12</v>
      </c>
      <c r="F77" s="26">
        <v>19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15</v>
      </c>
      <c r="E78" s="26" t="s">
        <v>12</v>
      </c>
      <c r="F78" s="26">
        <v>45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13</v>
      </c>
      <c r="E79" s="26" t="s">
        <v>12</v>
      </c>
      <c r="F79" s="26">
        <v>34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15</v>
      </c>
      <c r="E80" s="26" t="s">
        <v>12</v>
      </c>
      <c r="F80" s="26">
        <v>19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38</v>
      </c>
      <c r="E81" s="26" t="s">
        <v>12</v>
      </c>
      <c r="F81" s="26">
        <v>45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36</v>
      </c>
      <c r="E82" s="26" t="s">
        <v>12</v>
      </c>
      <c r="F82" s="26">
        <v>28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27</v>
      </c>
      <c r="E83" s="26" t="s">
        <v>12</v>
      </c>
      <c r="F83" s="26">
        <v>32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20</v>
      </c>
      <c r="E84" s="26" t="s">
        <v>12</v>
      </c>
      <c r="F84" s="26">
        <v>15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33</v>
      </c>
      <c r="E85" s="26" t="s">
        <v>12</v>
      </c>
      <c r="F85" s="26">
        <v>29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6</v>
      </c>
      <c r="E86" s="26" t="s">
        <v>12</v>
      </c>
      <c r="F86" s="26">
        <v>38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14</v>
      </c>
      <c r="E87" s="26" t="s">
        <v>12</v>
      </c>
      <c r="F87" s="26">
        <v>20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14</v>
      </c>
      <c r="E88" s="26" t="s">
        <v>12</v>
      </c>
      <c r="F88" s="26">
        <v>16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2</v>
      </c>
      <c r="E89" s="26" t="s">
        <v>12</v>
      </c>
      <c r="F89" s="26">
        <v>3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38</v>
      </c>
      <c r="E90" s="26" t="s">
        <v>12</v>
      </c>
      <c r="F90" s="26">
        <v>14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14</v>
      </c>
      <c r="E91" s="26" t="s">
        <v>12</v>
      </c>
      <c r="F91" s="26">
        <v>31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30</v>
      </c>
      <c r="E92" s="26" t="s">
        <v>12</v>
      </c>
      <c r="F92" s="26">
        <v>35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22</v>
      </c>
      <c r="E93" s="26" t="s">
        <v>12</v>
      </c>
      <c r="F93" s="26">
        <v>45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23</v>
      </c>
      <c r="E94" s="26" t="s">
        <v>12</v>
      </c>
      <c r="F94" s="26">
        <v>23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17</v>
      </c>
      <c r="E95" s="26" t="s">
        <v>12</v>
      </c>
      <c r="F95" s="26">
        <v>10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11</v>
      </c>
      <c r="E96" s="26" t="s">
        <v>12</v>
      </c>
      <c r="F96" s="26">
        <v>35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19</v>
      </c>
      <c r="E97" s="26" t="s">
        <v>12</v>
      </c>
      <c r="F97" s="26">
        <v>12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41</v>
      </c>
      <c r="E98" s="26" t="s">
        <v>12</v>
      </c>
      <c r="F98" s="26">
        <v>9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20</v>
      </c>
      <c r="E99" s="26" t="s">
        <v>12</v>
      </c>
      <c r="F99" s="26">
        <v>31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24</v>
      </c>
      <c r="E100" s="26" t="s">
        <v>12</v>
      </c>
      <c r="F100" s="26">
        <v>15</v>
      </c>
      <c r="G100" s="26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C43F-7D4B-4B22-A59A-F73D2D08FF97}">
  <dimension ref="A1:Q100"/>
  <sheetViews>
    <sheetView topLeftCell="C1" workbookViewId="0">
      <selection activeCell="M19" sqref="M19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33</v>
      </c>
      <c r="E1" s="26" t="s">
        <v>11</v>
      </c>
      <c r="F1" s="26">
        <v>76</v>
      </c>
      <c r="G1" s="26">
        <v>1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11</v>
      </c>
      <c r="D2" s="26">
        <v>12</v>
      </c>
      <c r="E2" s="26" t="s">
        <v>11</v>
      </c>
      <c r="F2" s="26">
        <v>15</v>
      </c>
      <c r="G2" s="26">
        <v>1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12</v>
      </c>
      <c r="E3" s="26" t="s">
        <v>11</v>
      </c>
      <c r="F3" s="26">
        <v>16</v>
      </c>
      <c r="G3" s="26">
        <v>1</v>
      </c>
      <c r="I3" s="38" t="s">
        <v>4</v>
      </c>
      <c r="J3" s="38"/>
      <c r="K3" s="37">
        <f>COUNTIF($G$1:$G$100, 0)</f>
        <v>43</v>
      </c>
      <c r="L3" s="37"/>
      <c r="M3" s="37">
        <f>COUNTIFS($G$1:$G$100, 0, $B$1:$B$100, 0)</f>
        <v>22</v>
      </c>
      <c r="N3" s="37"/>
      <c r="O3" s="39">
        <f>COUNTIFS($G$1:$G$100, 0, $B$1:$B$100, 1)</f>
        <v>21</v>
      </c>
      <c r="P3" s="35"/>
      <c r="Q3" s="47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11</v>
      </c>
      <c r="D4" s="26">
        <v>20</v>
      </c>
      <c r="E4" s="26" t="s">
        <v>11</v>
      </c>
      <c r="F4" s="26">
        <v>14</v>
      </c>
      <c r="G4" s="26">
        <v>0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11</v>
      </c>
      <c r="D5" s="26">
        <v>11</v>
      </c>
      <c r="E5" s="26" t="s">
        <v>11</v>
      </c>
      <c r="F5" s="26">
        <v>2</v>
      </c>
      <c r="G5" s="26">
        <v>0</v>
      </c>
      <c r="I5" s="38" t="s">
        <v>5</v>
      </c>
      <c r="J5" s="38"/>
      <c r="K5" s="34">
        <f>COUNTIF($G$1:$G$100, 1)</f>
        <v>57</v>
      </c>
      <c r="L5" s="37"/>
      <c r="M5" s="37">
        <f>COUNTIFS($G$1:$G$100, 1, $B$1:$B$100, 0)</f>
        <v>28</v>
      </c>
      <c r="N5" s="37"/>
      <c r="O5" s="37">
        <f>COUNTIFS($G$1:$G$100, 1, $B$1:$B$100, 1)</f>
        <v>29</v>
      </c>
      <c r="P5" s="33"/>
    </row>
    <row r="6" spans="1:17" x14ac:dyDescent="0.3">
      <c r="A6" s="26">
        <v>2</v>
      </c>
      <c r="B6" s="26">
        <v>0</v>
      </c>
      <c r="C6" s="26" t="s">
        <v>11</v>
      </c>
      <c r="D6" s="26">
        <v>16</v>
      </c>
      <c r="E6" s="26" t="s">
        <v>11</v>
      </c>
      <c r="F6" s="26">
        <v>8</v>
      </c>
      <c r="G6" s="26">
        <v>0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11</v>
      </c>
      <c r="D7" s="26">
        <v>25</v>
      </c>
      <c r="E7" s="26" t="s">
        <v>11</v>
      </c>
      <c r="F7" s="26">
        <v>47</v>
      </c>
      <c r="G7" s="26">
        <v>1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11</v>
      </c>
      <c r="D8" s="26">
        <v>0</v>
      </c>
      <c r="E8" s="26" t="s">
        <v>11</v>
      </c>
      <c r="F8" s="26">
        <v>26</v>
      </c>
      <c r="G8" s="26">
        <v>1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11</v>
      </c>
      <c r="D9" s="26">
        <v>11</v>
      </c>
      <c r="E9" s="26" t="s">
        <v>11</v>
      </c>
      <c r="F9" s="26">
        <v>14</v>
      </c>
      <c r="G9" s="26">
        <v>1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11</v>
      </c>
      <c r="D10" s="26">
        <v>17</v>
      </c>
      <c r="E10" s="26" t="s">
        <v>11</v>
      </c>
      <c r="F10" s="26">
        <v>43</v>
      </c>
      <c r="G10" s="26">
        <v>1</v>
      </c>
      <c r="I10" s="38" t="s">
        <v>8</v>
      </c>
      <c r="J10" s="38"/>
      <c r="K10" s="37">
        <f>AVERAGE($D$1:$D$100,)</f>
        <v>21.693069306930692</v>
      </c>
      <c r="L10" s="37"/>
      <c r="M10" s="37" cm="1">
        <f t="array" ref="M10">AVERAGE(_xlfn._xlws.FILTER($D$1:$D$100,$G$1:$G$100 = 0))</f>
        <v>30.581395348837209</v>
      </c>
      <c r="N10" s="37"/>
      <c r="O10" s="39" cm="1">
        <f t="array" ref="O10">AVERAGE(_xlfn._xlws.FILTER($D$1:$D$100,$G$1:$G$100 = 1))</f>
        <v>15.368421052631579</v>
      </c>
      <c r="P10" s="35"/>
    </row>
    <row r="11" spans="1:17" x14ac:dyDescent="0.3">
      <c r="A11" s="26">
        <v>2</v>
      </c>
      <c r="B11" s="26">
        <v>0</v>
      </c>
      <c r="C11" s="26" t="s">
        <v>11</v>
      </c>
      <c r="D11" s="26">
        <v>33</v>
      </c>
      <c r="E11" s="26" t="s">
        <v>11</v>
      </c>
      <c r="F11" s="26">
        <v>38</v>
      </c>
      <c r="G11" s="26">
        <v>1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11</v>
      </c>
      <c r="D12" s="26">
        <v>60</v>
      </c>
      <c r="E12" s="26" t="s">
        <v>11</v>
      </c>
      <c r="F12" s="26">
        <v>34</v>
      </c>
      <c r="G12" s="26">
        <v>0</v>
      </c>
      <c r="I12" s="38" t="s">
        <v>9</v>
      </c>
      <c r="J12" s="38"/>
      <c r="K12" s="37">
        <f>AVERAGE($F$1:$F$100,)</f>
        <v>28.613861386138613</v>
      </c>
      <c r="L12" s="37"/>
      <c r="M12" s="37" cm="1">
        <f t="array" ref="M12">AVERAGE(_xlfn._xlws.FILTER($F$1:$F$100,$G$1:$G$100 = 0))</f>
        <v>16.581395348837209</v>
      </c>
      <c r="N12" s="37"/>
      <c r="O12" s="37" cm="1">
        <f t="array" ref="O12">AVERAGE(_xlfn._xlws.FILTER($F$1:$F$100,$G$1:$G$100 = 1))</f>
        <v>38.192982456140349</v>
      </c>
      <c r="P12" s="33"/>
    </row>
    <row r="13" spans="1:17" x14ac:dyDescent="0.3">
      <c r="A13" s="26">
        <v>2</v>
      </c>
      <c r="B13" s="26">
        <v>0</v>
      </c>
      <c r="C13" s="26" t="s">
        <v>11</v>
      </c>
      <c r="D13" s="26">
        <v>33</v>
      </c>
      <c r="E13" s="26" t="s">
        <v>11</v>
      </c>
      <c r="F13" s="26">
        <v>2</v>
      </c>
      <c r="G13" s="26">
        <v>0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11</v>
      </c>
      <c r="D14" s="26">
        <v>21</v>
      </c>
      <c r="E14" s="26" t="s">
        <v>11</v>
      </c>
      <c r="F14" s="26">
        <v>24</v>
      </c>
      <c r="G14" s="26">
        <v>1</v>
      </c>
      <c r="I14" s="36" t="s">
        <v>10</v>
      </c>
      <c r="J14" s="35"/>
      <c r="K14" s="32" cm="1">
        <f t="array" ref="K14">AVERAGE($D$1:$D$100 - $F$1:$F$100)</f>
        <v>-6.99</v>
      </c>
      <c r="L14" s="32"/>
      <c r="M14" s="32" cm="1">
        <f t="array" ref="M14">AVERAGE(_xlfn._xlws.FILTER($D$1:$D$100 - $F$1:$F$100, G$1:G$100 = 0))</f>
        <v>14</v>
      </c>
      <c r="N14" s="32"/>
      <c r="O14" s="32" cm="1">
        <f t="array" ref="O14">AVERAGE(_xlfn._xlws.FILTER($D$1:$D$100 - $F$1:$F$100, G$1:G$100 = 1))</f>
        <v>-22.82456140350877</v>
      </c>
      <c r="P14" s="31"/>
    </row>
    <row r="15" spans="1:17" x14ac:dyDescent="0.3">
      <c r="A15" s="26">
        <v>2</v>
      </c>
      <c r="B15" s="26">
        <v>0</v>
      </c>
      <c r="C15" s="26" t="s">
        <v>11</v>
      </c>
      <c r="D15" s="26">
        <v>28</v>
      </c>
      <c r="E15" s="26" t="s">
        <v>11</v>
      </c>
      <c r="F15" s="26">
        <v>41</v>
      </c>
      <c r="G15" s="26">
        <v>1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11</v>
      </c>
      <c r="D16" s="26">
        <v>38</v>
      </c>
      <c r="E16" s="26" t="s">
        <v>11</v>
      </c>
      <c r="F16" s="26">
        <v>26</v>
      </c>
      <c r="G16" s="26">
        <v>0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11</v>
      </c>
      <c r="D17" s="26">
        <v>34</v>
      </c>
      <c r="E17" s="26" t="s">
        <v>11</v>
      </c>
      <c r="F17" s="26">
        <v>23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17</v>
      </c>
      <c r="E18" s="26" t="s">
        <v>11</v>
      </c>
      <c r="F18" s="26">
        <v>42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48</v>
      </c>
      <c r="E19" s="26" t="s">
        <v>11</v>
      </c>
      <c r="F19" s="26">
        <v>16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45</v>
      </c>
      <c r="E20" s="26" t="s">
        <v>11</v>
      </c>
      <c r="F20" s="26">
        <v>15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9</v>
      </c>
      <c r="E21" s="26" t="s">
        <v>11</v>
      </c>
      <c r="F21" s="26">
        <v>35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23</v>
      </c>
      <c r="E22" s="26" t="s">
        <v>11</v>
      </c>
      <c r="F22" s="26">
        <v>20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25</v>
      </c>
      <c r="E23" s="26" t="s">
        <v>11</v>
      </c>
      <c r="F23" s="26">
        <v>33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3</v>
      </c>
      <c r="E24" s="26" t="s">
        <v>11</v>
      </c>
      <c r="F24" s="26">
        <v>31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2</v>
      </c>
      <c r="E25" s="26" t="s">
        <v>11</v>
      </c>
      <c r="F25" s="26">
        <v>27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39</v>
      </c>
      <c r="E26" s="26" t="s">
        <v>11</v>
      </c>
      <c r="F26" s="26">
        <v>33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37</v>
      </c>
      <c r="E27" s="26" t="s">
        <v>11</v>
      </c>
      <c r="F27" s="26">
        <v>29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20</v>
      </c>
      <c r="E28" s="26" t="s">
        <v>11</v>
      </c>
      <c r="F28" s="26">
        <v>22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42</v>
      </c>
      <c r="E29" s="26" t="s">
        <v>11</v>
      </c>
      <c r="F29" s="26">
        <v>26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15</v>
      </c>
      <c r="E30" s="26" t="s">
        <v>11</v>
      </c>
      <c r="F30" s="26">
        <v>12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15</v>
      </c>
      <c r="E31" s="26" t="s">
        <v>11</v>
      </c>
      <c r="F31" s="26">
        <v>14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18</v>
      </c>
      <c r="E32" s="26" t="s">
        <v>11</v>
      </c>
      <c r="F32" s="26">
        <v>31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30</v>
      </c>
      <c r="E33" s="26" t="s">
        <v>11</v>
      </c>
      <c r="F33" s="26">
        <v>50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30</v>
      </c>
      <c r="E34" s="26" t="s">
        <v>11</v>
      </c>
      <c r="F34" s="26">
        <v>18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24</v>
      </c>
      <c r="E35" s="26" t="s">
        <v>11</v>
      </c>
      <c r="F35" s="26">
        <v>16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54</v>
      </c>
      <c r="E36" s="26" t="s">
        <v>11</v>
      </c>
      <c r="F36" s="26">
        <v>18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12</v>
      </c>
      <c r="E37" s="26" t="s">
        <v>11</v>
      </c>
      <c r="F37" s="26">
        <v>9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12</v>
      </c>
      <c r="E38" s="26" t="s">
        <v>11</v>
      </c>
      <c r="F38" s="26">
        <v>37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24</v>
      </c>
      <c r="E39" s="26" t="s">
        <v>11</v>
      </c>
      <c r="F39" s="26">
        <v>64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24</v>
      </c>
      <c r="E40" s="26" t="s">
        <v>11</v>
      </c>
      <c r="F40" s="26">
        <v>41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2</v>
      </c>
      <c r="E41" s="26" t="s">
        <v>11</v>
      </c>
      <c r="F41" s="26">
        <v>35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25</v>
      </c>
      <c r="E42" s="26" t="s">
        <v>11</v>
      </c>
      <c r="F42" s="26">
        <v>18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2</v>
      </c>
      <c r="E43" s="26" t="s">
        <v>11</v>
      </c>
      <c r="F43" s="26">
        <v>49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26</v>
      </c>
      <c r="E44" s="26" t="s">
        <v>11</v>
      </c>
      <c r="F44" s="26">
        <v>44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35</v>
      </c>
      <c r="E45" s="26" t="s">
        <v>11</v>
      </c>
      <c r="F45" s="26">
        <v>15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36</v>
      </c>
      <c r="E46" s="26" t="s">
        <v>11</v>
      </c>
      <c r="F46" s="26">
        <v>23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18</v>
      </c>
      <c r="E47" s="26" t="s">
        <v>11</v>
      </c>
      <c r="F47" s="26">
        <v>46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8</v>
      </c>
      <c r="E48" s="26" t="s">
        <v>11</v>
      </c>
      <c r="F48" s="26">
        <v>33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11</v>
      </c>
      <c r="E49" s="26" t="s">
        <v>11</v>
      </c>
      <c r="F49" s="26">
        <v>22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37</v>
      </c>
      <c r="E50" s="26" t="s">
        <v>11</v>
      </c>
      <c r="F50" s="26">
        <v>78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21</v>
      </c>
      <c r="E51" s="26" t="s">
        <v>11</v>
      </c>
      <c r="F51" s="26">
        <v>8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36</v>
      </c>
      <c r="E52" s="26" t="s">
        <v>11</v>
      </c>
      <c r="F52" s="26">
        <v>23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27</v>
      </c>
      <c r="E53" s="26" t="s">
        <v>11</v>
      </c>
      <c r="F53" s="26">
        <v>20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37</v>
      </c>
      <c r="E54" s="26" t="s">
        <v>11</v>
      </c>
      <c r="F54" s="26">
        <v>29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18</v>
      </c>
      <c r="E55" s="26" t="s">
        <v>11</v>
      </c>
      <c r="F55" s="26">
        <v>37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17</v>
      </c>
      <c r="E56" s="26" t="s">
        <v>11</v>
      </c>
      <c r="F56" s="26">
        <v>42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13</v>
      </c>
      <c r="E57" s="26" t="s">
        <v>11</v>
      </c>
      <c r="F57" s="26">
        <v>22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9</v>
      </c>
      <c r="E58" s="26" t="s">
        <v>11</v>
      </c>
      <c r="F58" s="26">
        <v>59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33</v>
      </c>
      <c r="E59" s="26" t="s">
        <v>11</v>
      </c>
      <c r="F59" s="26">
        <v>28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20</v>
      </c>
      <c r="E60" s="26" t="s">
        <v>11</v>
      </c>
      <c r="F60" s="26">
        <v>10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31</v>
      </c>
      <c r="E61" s="26" t="s">
        <v>11</v>
      </c>
      <c r="F61" s="26">
        <v>32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28</v>
      </c>
      <c r="E62" s="26" t="s">
        <v>11</v>
      </c>
      <c r="F62" s="26">
        <v>31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32</v>
      </c>
      <c r="E63" s="26" t="s">
        <v>11</v>
      </c>
      <c r="F63" s="26">
        <v>26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23</v>
      </c>
      <c r="E64" s="26" t="s">
        <v>11</v>
      </c>
      <c r="F64" s="26">
        <v>41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35</v>
      </c>
      <c r="E65" s="26" t="s">
        <v>11</v>
      </c>
      <c r="F65" s="26">
        <v>8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14</v>
      </c>
      <c r="E66" s="26" t="s">
        <v>11</v>
      </c>
      <c r="F66" s="26">
        <v>40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7</v>
      </c>
      <c r="E67" s="26" t="s">
        <v>11</v>
      </c>
      <c r="F67" s="26">
        <v>32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24</v>
      </c>
      <c r="E68" s="26" t="s">
        <v>11</v>
      </c>
      <c r="F68" s="26">
        <v>24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2</v>
      </c>
      <c r="E69" s="26" t="s">
        <v>11</v>
      </c>
      <c r="F69" s="26">
        <v>64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43</v>
      </c>
      <c r="E70" s="26" t="s">
        <v>11</v>
      </c>
      <c r="F70" s="26">
        <v>42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10</v>
      </c>
      <c r="E71" s="26" t="s">
        <v>11</v>
      </c>
      <c r="F71" s="26">
        <v>13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8</v>
      </c>
      <c r="E72" s="26" t="s">
        <v>11</v>
      </c>
      <c r="F72" s="26">
        <v>31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30</v>
      </c>
      <c r="E73" s="26" t="s">
        <v>11</v>
      </c>
      <c r="F73" s="26">
        <v>46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7</v>
      </c>
      <c r="E74" s="26" t="s">
        <v>11</v>
      </c>
      <c r="F74" s="26">
        <v>52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0</v>
      </c>
      <c r="E75" s="26" t="s">
        <v>11</v>
      </c>
      <c r="F75" s="26">
        <v>56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12</v>
      </c>
      <c r="E76" s="26" t="s">
        <v>11</v>
      </c>
      <c r="F76" s="26">
        <v>2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3</v>
      </c>
      <c r="E77" s="26" t="s">
        <v>11</v>
      </c>
      <c r="F77" s="26">
        <v>55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28</v>
      </c>
      <c r="E78" s="26" t="s">
        <v>11</v>
      </c>
      <c r="F78" s="26">
        <v>41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52</v>
      </c>
      <c r="E79" s="26" t="s">
        <v>11</v>
      </c>
      <c r="F79" s="26">
        <v>8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24</v>
      </c>
      <c r="E80" s="26" t="s">
        <v>11</v>
      </c>
      <c r="F80" s="26">
        <v>15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0</v>
      </c>
      <c r="E81" s="26" t="s">
        <v>11</v>
      </c>
      <c r="F81" s="26">
        <v>40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31</v>
      </c>
      <c r="E82" s="26" t="s">
        <v>11</v>
      </c>
      <c r="F82" s="26">
        <v>38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2</v>
      </c>
      <c r="E83" s="26" t="s">
        <v>11</v>
      </c>
      <c r="F83" s="26">
        <v>47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31</v>
      </c>
      <c r="E84" s="26" t="s">
        <v>11</v>
      </c>
      <c r="F84" s="26">
        <v>43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21</v>
      </c>
      <c r="E85" s="26" t="s">
        <v>11</v>
      </c>
      <c r="F85" s="26">
        <v>0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11</v>
      </c>
      <c r="E86" s="26" t="s">
        <v>11</v>
      </c>
      <c r="F86" s="26">
        <v>15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2</v>
      </c>
      <c r="E87" s="26" t="s">
        <v>11</v>
      </c>
      <c r="F87" s="26">
        <v>22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29</v>
      </c>
      <c r="E88" s="26" t="s">
        <v>11</v>
      </c>
      <c r="F88" s="26">
        <v>23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48</v>
      </c>
      <c r="E89" s="26" t="s">
        <v>11</v>
      </c>
      <c r="F89" s="26">
        <v>1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5</v>
      </c>
      <c r="E90" s="26" t="s">
        <v>11</v>
      </c>
      <c r="F90" s="26">
        <v>12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35</v>
      </c>
      <c r="E91" s="26" t="s">
        <v>11</v>
      </c>
      <c r="F91" s="26">
        <v>0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31</v>
      </c>
      <c r="E92" s="26" t="s">
        <v>11</v>
      </c>
      <c r="F92" s="26">
        <v>14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25</v>
      </c>
      <c r="E93" s="26" t="s">
        <v>11</v>
      </c>
      <c r="F93" s="26">
        <v>32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0</v>
      </c>
      <c r="E94" s="26" t="s">
        <v>11</v>
      </c>
      <c r="F94" s="26">
        <v>45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31</v>
      </c>
      <c r="E95" s="26" t="s">
        <v>11</v>
      </c>
      <c r="F95" s="26">
        <v>23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22</v>
      </c>
      <c r="E96" s="26" t="s">
        <v>11</v>
      </c>
      <c r="F96" s="26">
        <v>18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16</v>
      </c>
      <c r="E97" s="26" t="s">
        <v>11</v>
      </c>
      <c r="F97" s="26">
        <v>36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2</v>
      </c>
      <c r="E98" s="26" t="s">
        <v>11</v>
      </c>
      <c r="F98" s="26">
        <v>60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10</v>
      </c>
      <c r="E99" s="26" t="s">
        <v>11</v>
      </c>
      <c r="F99" s="26">
        <v>0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23</v>
      </c>
      <c r="E100" s="26" t="s">
        <v>11</v>
      </c>
      <c r="F100" s="26">
        <v>33</v>
      </c>
      <c r="G100" s="26">
        <v>1</v>
      </c>
    </row>
  </sheetData>
  <mergeCells count="26">
    <mergeCell ref="K1:L2"/>
    <mergeCell ref="M1:N2"/>
    <mergeCell ref="O1:P2"/>
    <mergeCell ref="I3:J4"/>
    <mergeCell ref="K3:L4"/>
    <mergeCell ref="M3:N4"/>
    <mergeCell ref="O3:P4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D817-4A21-4235-BA25-3F65FF8BC266}">
  <dimension ref="A1:Q100"/>
  <sheetViews>
    <sheetView workbookViewId="0">
      <selection activeCell="R12" sqref="R12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30</v>
      </c>
      <c r="E1" s="26" t="s">
        <v>11</v>
      </c>
      <c r="F1" s="26">
        <v>24</v>
      </c>
      <c r="G1" s="26">
        <v>0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11</v>
      </c>
      <c r="D2" s="26">
        <v>6</v>
      </c>
      <c r="E2" s="26" t="s">
        <v>11</v>
      </c>
      <c r="F2" s="26">
        <v>12</v>
      </c>
      <c r="G2" s="26">
        <v>1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0</v>
      </c>
      <c r="E3" s="26" t="s">
        <v>11</v>
      </c>
      <c r="F3" s="26">
        <v>23</v>
      </c>
      <c r="G3" s="26">
        <v>1</v>
      </c>
      <c r="I3" s="38" t="s">
        <v>4</v>
      </c>
      <c r="J3" s="38"/>
      <c r="K3" s="37">
        <f>COUNTIF($G$1:$G$100, 0)</f>
        <v>41</v>
      </c>
      <c r="L3" s="37"/>
      <c r="M3" s="37">
        <f>COUNTIFS($G$1:$G$100, 0, $B$1:$B$100, 0)</f>
        <v>21</v>
      </c>
      <c r="N3" s="37"/>
      <c r="O3" s="39">
        <f>COUNTIFS($G$1:$G$100, 0, $B$1:$B$100, 1)</f>
        <v>20</v>
      </c>
      <c r="P3" s="35"/>
      <c r="Q3" s="47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11</v>
      </c>
      <c r="D4" s="26">
        <v>21</v>
      </c>
      <c r="E4" s="26" t="s">
        <v>11</v>
      </c>
      <c r="F4" s="26">
        <v>17</v>
      </c>
      <c r="G4" s="26">
        <v>0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11</v>
      </c>
      <c r="D5" s="26">
        <v>28</v>
      </c>
      <c r="E5" s="26" t="s">
        <v>11</v>
      </c>
      <c r="F5" s="26">
        <v>24</v>
      </c>
      <c r="G5" s="26">
        <v>0</v>
      </c>
      <c r="I5" s="38" t="s">
        <v>5</v>
      </c>
      <c r="J5" s="38"/>
      <c r="K5" s="34">
        <f>COUNTIF($G$1:$G$100, 1)</f>
        <v>59</v>
      </c>
      <c r="L5" s="37"/>
      <c r="M5" s="37">
        <f>COUNTIFS($G$1:$G$100, 1, $B$1:$B$100, 0)</f>
        <v>29</v>
      </c>
      <c r="N5" s="37"/>
      <c r="O5" s="37">
        <f>COUNTIFS($G$1:$G$100, 1, $B$1:$B$100, 1)</f>
        <v>30</v>
      </c>
      <c r="P5" s="33"/>
    </row>
    <row r="6" spans="1:17" x14ac:dyDescent="0.3">
      <c r="A6" s="26">
        <v>2</v>
      </c>
      <c r="B6" s="26">
        <v>0</v>
      </c>
      <c r="C6" s="26" t="s">
        <v>11</v>
      </c>
      <c r="D6" s="26">
        <v>19</v>
      </c>
      <c r="E6" s="26" t="s">
        <v>11</v>
      </c>
      <c r="F6" s="26">
        <v>38</v>
      </c>
      <c r="G6" s="26">
        <v>1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11</v>
      </c>
      <c r="D7" s="26">
        <v>4</v>
      </c>
      <c r="E7" s="26" t="s">
        <v>11</v>
      </c>
      <c r="F7" s="26">
        <v>22</v>
      </c>
      <c r="G7" s="26">
        <v>1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11</v>
      </c>
      <c r="D8" s="26">
        <v>45</v>
      </c>
      <c r="E8" s="26" t="s">
        <v>11</v>
      </c>
      <c r="F8" s="26">
        <v>27</v>
      </c>
      <c r="G8" s="26">
        <v>0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11</v>
      </c>
      <c r="D9" s="26">
        <v>17</v>
      </c>
      <c r="E9" s="26" t="s">
        <v>11</v>
      </c>
      <c r="F9" s="26">
        <v>48</v>
      </c>
      <c r="G9" s="26">
        <v>1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11</v>
      </c>
      <c r="D10" s="26">
        <v>36</v>
      </c>
      <c r="E10" s="26" t="s">
        <v>11</v>
      </c>
      <c r="F10" s="26">
        <v>33</v>
      </c>
      <c r="G10" s="26">
        <v>0</v>
      </c>
      <c r="I10" s="38" t="s">
        <v>8</v>
      </c>
      <c r="J10" s="38"/>
      <c r="K10" s="37">
        <f>AVERAGE($D$1:$D$100,)</f>
        <v>20.455445544554454</v>
      </c>
      <c r="L10" s="37"/>
      <c r="M10" s="37" cm="1">
        <f t="array" ref="M10">AVERAGE(_xlfn._xlws.FILTER($D$1:$D$100,$G$1:$G$100 = 0))</f>
        <v>33</v>
      </c>
      <c r="N10" s="37"/>
      <c r="O10" s="39" cm="1">
        <f t="array" ref="O10">AVERAGE(_xlfn._xlws.FILTER($D$1:$D$100,$G$1:$G$100 = 1))</f>
        <v>12.084745762711865</v>
      </c>
      <c r="P10" s="35"/>
    </row>
    <row r="11" spans="1:17" x14ac:dyDescent="0.3">
      <c r="A11" s="26">
        <v>2</v>
      </c>
      <c r="B11" s="26">
        <v>0</v>
      </c>
      <c r="C11" s="26" t="s">
        <v>11</v>
      </c>
      <c r="D11" s="26">
        <v>27</v>
      </c>
      <c r="E11" s="26" t="s">
        <v>11</v>
      </c>
      <c r="F11" s="26">
        <v>18</v>
      </c>
      <c r="G11" s="26">
        <v>0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11</v>
      </c>
      <c r="D12" s="26">
        <v>10</v>
      </c>
      <c r="E12" s="26" t="s">
        <v>11</v>
      </c>
      <c r="F12" s="26">
        <v>25</v>
      </c>
      <c r="G12" s="26">
        <v>1</v>
      </c>
      <c r="I12" s="38" t="s">
        <v>9</v>
      </c>
      <c r="J12" s="38"/>
      <c r="K12" s="37">
        <f>AVERAGE($F$1:$F$100,)</f>
        <v>25.455445544554454</v>
      </c>
      <c r="L12" s="37"/>
      <c r="M12" s="37" cm="1">
        <f t="array" ref="M12">AVERAGE(_xlfn._xlws.FILTER($F$1:$F$100,$G$1:$G$100 = 0))</f>
        <v>18.414634146341463</v>
      </c>
      <c r="N12" s="37"/>
      <c r="O12" s="37" cm="1">
        <f t="array" ref="O12">AVERAGE(_xlfn._xlws.FILTER($F$1:$F$100,$G$1:$G$100 = 1))</f>
        <v>30.779661016949152</v>
      </c>
      <c r="P12" s="33"/>
    </row>
    <row r="13" spans="1:17" x14ac:dyDescent="0.3">
      <c r="A13" s="26">
        <v>2</v>
      </c>
      <c r="B13" s="26">
        <v>0</v>
      </c>
      <c r="C13" s="26" t="s">
        <v>11</v>
      </c>
      <c r="D13" s="26">
        <v>5</v>
      </c>
      <c r="E13" s="26" t="s">
        <v>11</v>
      </c>
      <c r="F13" s="26">
        <v>37</v>
      </c>
      <c r="G13" s="26">
        <v>1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11</v>
      </c>
      <c r="D14" s="26">
        <v>27</v>
      </c>
      <c r="E14" s="26" t="s">
        <v>11</v>
      </c>
      <c r="F14" s="26">
        <v>43</v>
      </c>
      <c r="G14" s="26">
        <v>1</v>
      </c>
      <c r="I14" s="36" t="s">
        <v>10</v>
      </c>
      <c r="J14" s="35"/>
      <c r="K14" s="32" cm="1">
        <f t="array" ref="K14">AVERAGE($D$1:$D$100 - $F$1:$F$100)</f>
        <v>-5.05</v>
      </c>
      <c r="L14" s="32"/>
      <c r="M14" s="32" cm="1">
        <f t="array" ref="M14">AVERAGE(_xlfn._xlws.FILTER($D$1:$D$100 - $F$1:$F$100, G$1:G$100 = 0))</f>
        <v>14.585365853658537</v>
      </c>
      <c r="N14" s="32"/>
      <c r="O14" s="32" cm="1">
        <f t="array" ref="O14">AVERAGE(_xlfn._xlws.FILTER($D$1:$D$100 - $F$1:$F$100, G$1:G$100 = 1))</f>
        <v>-18.694915254237287</v>
      </c>
      <c r="P14" s="31"/>
    </row>
    <row r="15" spans="1:17" x14ac:dyDescent="0.3">
      <c r="A15" s="26">
        <v>2</v>
      </c>
      <c r="B15" s="26">
        <v>0</v>
      </c>
      <c r="C15" s="26" t="s">
        <v>11</v>
      </c>
      <c r="D15" s="26">
        <v>20</v>
      </c>
      <c r="E15" s="26" t="s">
        <v>11</v>
      </c>
      <c r="F15" s="26">
        <v>49</v>
      </c>
      <c r="G15" s="26">
        <v>1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11</v>
      </c>
      <c r="D16" s="26">
        <v>39</v>
      </c>
      <c r="E16" s="26" t="s">
        <v>11</v>
      </c>
      <c r="F16" s="26">
        <v>35</v>
      </c>
      <c r="G16" s="26">
        <v>0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11</v>
      </c>
      <c r="D17" s="26">
        <v>18</v>
      </c>
      <c r="E17" s="26" t="s">
        <v>11</v>
      </c>
      <c r="F17" s="26">
        <v>33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12</v>
      </c>
      <c r="E18" s="26" t="s">
        <v>11</v>
      </c>
      <c r="F18" s="26">
        <v>12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10</v>
      </c>
      <c r="E19" s="26" t="s">
        <v>11</v>
      </c>
      <c r="F19" s="26">
        <v>25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7</v>
      </c>
      <c r="E20" s="26" t="s">
        <v>11</v>
      </c>
      <c r="F20" s="26">
        <v>12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0</v>
      </c>
      <c r="E21" s="26" t="s">
        <v>11</v>
      </c>
      <c r="F21" s="26">
        <v>38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24</v>
      </c>
      <c r="E22" s="26" t="s">
        <v>11</v>
      </c>
      <c r="F22" s="26">
        <v>10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2</v>
      </c>
      <c r="E23" s="26" t="s">
        <v>11</v>
      </c>
      <c r="F23" s="26">
        <v>20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11</v>
      </c>
      <c r="E24" s="26" t="s">
        <v>11</v>
      </c>
      <c r="F24" s="26">
        <v>26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16</v>
      </c>
      <c r="E25" s="26" t="s">
        <v>11</v>
      </c>
      <c r="F25" s="26">
        <v>17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39</v>
      </c>
      <c r="E26" s="26" t="s">
        <v>11</v>
      </c>
      <c r="F26" s="26">
        <v>30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0</v>
      </c>
      <c r="E27" s="26" t="s">
        <v>11</v>
      </c>
      <c r="F27" s="26">
        <v>32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11</v>
      </c>
      <c r="E28" s="26" t="s">
        <v>11</v>
      </c>
      <c r="F28" s="26">
        <v>31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22</v>
      </c>
      <c r="E29" s="26" t="s">
        <v>11</v>
      </c>
      <c r="F29" s="26">
        <v>13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22</v>
      </c>
      <c r="E30" s="26" t="s">
        <v>11</v>
      </c>
      <c r="F30" s="26">
        <v>13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0</v>
      </c>
      <c r="E31" s="26" t="s">
        <v>11</v>
      </c>
      <c r="F31" s="26">
        <v>25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16</v>
      </c>
      <c r="E32" s="26" t="s">
        <v>11</v>
      </c>
      <c r="F32" s="26">
        <v>20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14</v>
      </c>
      <c r="E33" s="26" t="s">
        <v>11</v>
      </c>
      <c r="F33" s="26">
        <v>61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9</v>
      </c>
      <c r="E34" s="26" t="s">
        <v>11</v>
      </c>
      <c r="F34" s="26">
        <v>35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21</v>
      </c>
      <c r="E35" s="26" t="s">
        <v>11</v>
      </c>
      <c r="F35" s="26">
        <v>18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39</v>
      </c>
      <c r="E36" s="26" t="s">
        <v>11</v>
      </c>
      <c r="F36" s="26">
        <v>0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36</v>
      </c>
      <c r="E37" s="26" t="s">
        <v>11</v>
      </c>
      <c r="F37" s="26">
        <v>20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14</v>
      </c>
      <c r="E38" s="26" t="s">
        <v>11</v>
      </c>
      <c r="F38" s="26">
        <v>10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57</v>
      </c>
      <c r="E39" s="26" t="s">
        <v>11</v>
      </c>
      <c r="F39" s="26">
        <v>9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0</v>
      </c>
      <c r="E40" s="26" t="s">
        <v>11</v>
      </c>
      <c r="F40" s="26">
        <v>18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36</v>
      </c>
      <c r="E41" s="26" t="s">
        <v>11</v>
      </c>
      <c r="F41" s="26">
        <v>37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17</v>
      </c>
      <c r="E42" s="26" t="s">
        <v>11</v>
      </c>
      <c r="F42" s="26">
        <v>19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28</v>
      </c>
      <c r="E43" s="26" t="s">
        <v>11</v>
      </c>
      <c r="F43" s="26">
        <v>12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23</v>
      </c>
      <c r="E44" s="26" t="s">
        <v>11</v>
      </c>
      <c r="F44" s="26">
        <v>2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64</v>
      </c>
      <c r="E45" s="26" t="s">
        <v>11</v>
      </c>
      <c r="F45" s="26">
        <v>22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2</v>
      </c>
      <c r="E46" s="26" t="s">
        <v>11</v>
      </c>
      <c r="F46" s="26">
        <v>9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26</v>
      </c>
      <c r="E47" s="26" t="s">
        <v>11</v>
      </c>
      <c r="F47" s="26">
        <v>40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13</v>
      </c>
      <c r="E48" s="26" t="s">
        <v>11</v>
      </c>
      <c r="F48" s="26">
        <v>17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16</v>
      </c>
      <c r="E49" s="26" t="s">
        <v>11</v>
      </c>
      <c r="F49" s="26">
        <v>17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30</v>
      </c>
      <c r="E50" s="26" t="s">
        <v>11</v>
      </c>
      <c r="F50" s="26">
        <v>30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0</v>
      </c>
      <c r="E51" s="26" t="s">
        <v>11</v>
      </c>
      <c r="F51" s="26">
        <v>21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11</v>
      </c>
      <c r="E52" s="26" t="s">
        <v>11</v>
      </c>
      <c r="F52" s="26">
        <v>32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2</v>
      </c>
      <c r="E53" s="26" t="s">
        <v>11</v>
      </c>
      <c r="F53" s="26">
        <v>49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44</v>
      </c>
      <c r="E54" s="26" t="s">
        <v>11</v>
      </c>
      <c r="F54" s="26">
        <v>2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4</v>
      </c>
      <c r="E55" s="26" t="s">
        <v>11</v>
      </c>
      <c r="F55" s="26">
        <v>30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14</v>
      </c>
      <c r="E56" s="26" t="s">
        <v>11</v>
      </c>
      <c r="F56" s="26">
        <v>18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8</v>
      </c>
      <c r="E57" s="26" t="s">
        <v>11</v>
      </c>
      <c r="F57" s="26">
        <v>55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31</v>
      </c>
      <c r="E58" s="26" t="s">
        <v>11</v>
      </c>
      <c r="F58" s="26">
        <v>9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29</v>
      </c>
      <c r="E59" s="26" t="s">
        <v>11</v>
      </c>
      <c r="F59" s="26">
        <v>32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0</v>
      </c>
      <c r="E60" s="26" t="s">
        <v>11</v>
      </c>
      <c r="F60" s="26">
        <v>30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29</v>
      </c>
      <c r="E61" s="26" t="s">
        <v>11</v>
      </c>
      <c r="F61" s="26">
        <v>16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2</v>
      </c>
      <c r="E62" s="26" t="s">
        <v>11</v>
      </c>
      <c r="F62" s="26">
        <v>33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18</v>
      </c>
      <c r="E63" s="26" t="s">
        <v>11</v>
      </c>
      <c r="F63" s="26">
        <v>19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23</v>
      </c>
      <c r="E64" s="26" t="s">
        <v>11</v>
      </c>
      <c r="F64" s="26">
        <v>22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11</v>
      </c>
      <c r="E65" s="26" t="s">
        <v>11</v>
      </c>
      <c r="F65" s="26">
        <v>27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0</v>
      </c>
      <c r="E66" s="26" t="s">
        <v>11</v>
      </c>
      <c r="F66" s="26">
        <v>79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44</v>
      </c>
      <c r="E67" s="26" t="s">
        <v>11</v>
      </c>
      <c r="F67" s="26">
        <v>13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23</v>
      </c>
      <c r="E68" s="26" t="s">
        <v>11</v>
      </c>
      <c r="F68" s="26">
        <v>46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32</v>
      </c>
      <c r="E69" s="26" t="s">
        <v>11</v>
      </c>
      <c r="F69" s="26">
        <v>14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22</v>
      </c>
      <c r="E70" s="26" t="s">
        <v>11</v>
      </c>
      <c r="F70" s="26">
        <v>29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16</v>
      </c>
      <c r="E71" s="26" t="s">
        <v>11</v>
      </c>
      <c r="F71" s="26">
        <v>27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4</v>
      </c>
      <c r="E72" s="26" t="s">
        <v>11</v>
      </c>
      <c r="F72" s="26">
        <v>14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30</v>
      </c>
      <c r="E73" s="26" t="s">
        <v>11</v>
      </c>
      <c r="F73" s="26">
        <v>24</v>
      </c>
      <c r="G73" s="26">
        <v>0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27</v>
      </c>
      <c r="E74" s="26" t="s">
        <v>11</v>
      </c>
      <c r="F74" s="26">
        <v>57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8</v>
      </c>
      <c r="E75" s="26" t="s">
        <v>11</v>
      </c>
      <c r="F75" s="26">
        <v>20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11</v>
      </c>
      <c r="E76" s="26" t="s">
        <v>11</v>
      </c>
      <c r="F76" s="26">
        <v>41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9</v>
      </c>
      <c r="E77" s="26" t="s">
        <v>11</v>
      </c>
      <c r="F77" s="26">
        <v>22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96</v>
      </c>
      <c r="E78" s="26" t="s">
        <v>11</v>
      </c>
      <c r="F78" s="26">
        <v>37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35</v>
      </c>
      <c r="E79" s="26" t="s">
        <v>11</v>
      </c>
      <c r="F79" s="26">
        <v>28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21</v>
      </c>
      <c r="E80" s="26" t="s">
        <v>11</v>
      </c>
      <c r="F80" s="26">
        <v>10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12</v>
      </c>
      <c r="E81" s="26" t="s">
        <v>11</v>
      </c>
      <c r="F81" s="26">
        <v>26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13</v>
      </c>
      <c r="E82" s="26" t="s">
        <v>11</v>
      </c>
      <c r="F82" s="26">
        <v>37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39</v>
      </c>
      <c r="E83" s="26" t="s">
        <v>11</v>
      </c>
      <c r="F83" s="26">
        <v>26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14</v>
      </c>
      <c r="E84" s="26" t="s">
        <v>11</v>
      </c>
      <c r="F84" s="26">
        <v>15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36</v>
      </c>
      <c r="E85" s="26" t="s">
        <v>11</v>
      </c>
      <c r="F85" s="26">
        <v>11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15</v>
      </c>
      <c r="E86" s="26" t="s">
        <v>11</v>
      </c>
      <c r="F86" s="26">
        <v>13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33</v>
      </c>
      <c r="E87" s="26" t="s">
        <v>11</v>
      </c>
      <c r="F87" s="26">
        <v>29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21</v>
      </c>
      <c r="E88" s="26" t="s">
        <v>11</v>
      </c>
      <c r="F88" s="26">
        <v>18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30</v>
      </c>
      <c r="E89" s="26" t="s">
        <v>11</v>
      </c>
      <c r="F89" s="26">
        <v>31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24</v>
      </c>
      <c r="E90" s="26" t="s">
        <v>11</v>
      </c>
      <c r="F90" s="26">
        <v>53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12</v>
      </c>
      <c r="E91" s="26" t="s">
        <v>11</v>
      </c>
      <c r="F91" s="26">
        <v>29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44</v>
      </c>
      <c r="E92" s="26" t="s">
        <v>11</v>
      </c>
      <c r="F92" s="26">
        <v>17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15</v>
      </c>
      <c r="E93" s="26" t="s">
        <v>11</v>
      </c>
      <c r="F93" s="26">
        <v>24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27</v>
      </c>
      <c r="E94" s="26" t="s">
        <v>11</v>
      </c>
      <c r="F94" s="26">
        <v>16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36</v>
      </c>
      <c r="E95" s="26" t="s">
        <v>11</v>
      </c>
      <c r="F95" s="26">
        <v>24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13</v>
      </c>
      <c r="E96" s="26" t="s">
        <v>11</v>
      </c>
      <c r="F96" s="26">
        <v>18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41</v>
      </c>
      <c r="E97" s="26" t="s">
        <v>11</v>
      </c>
      <c r="F97" s="26">
        <v>28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7</v>
      </c>
      <c r="E98" s="26" t="s">
        <v>11</v>
      </c>
      <c r="F98" s="26">
        <v>40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22</v>
      </c>
      <c r="E99" s="26" t="s">
        <v>11</v>
      </c>
      <c r="F99" s="26">
        <v>33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19</v>
      </c>
      <c r="E100" s="26" t="s">
        <v>11</v>
      </c>
      <c r="F100" s="26">
        <v>19</v>
      </c>
      <c r="G100" s="26">
        <v>0</v>
      </c>
    </row>
  </sheetData>
  <mergeCells count="26">
    <mergeCell ref="K1:L2"/>
    <mergeCell ref="M1:N2"/>
    <mergeCell ref="O1:P2"/>
    <mergeCell ref="I3:J4"/>
    <mergeCell ref="K3:L4"/>
    <mergeCell ref="M3:N4"/>
    <mergeCell ref="O3:P4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7D59-3F57-49A0-9BD2-BD58823DF46D}">
  <dimension ref="A1:Q100"/>
  <sheetViews>
    <sheetView topLeftCell="D1" workbookViewId="0">
      <selection activeCell="L18" sqref="L18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15</v>
      </c>
      <c r="E1" s="26" t="s">
        <v>12</v>
      </c>
      <c r="F1" s="26">
        <v>27</v>
      </c>
      <c r="G1" s="26">
        <v>1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12</v>
      </c>
      <c r="D2" s="26">
        <v>29</v>
      </c>
      <c r="E2" s="26" t="s">
        <v>12</v>
      </c>
      <c r="F2" s="26">
        <v>24</v>
      </c>
      <c r="G2" s="26">
        <v>0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6</v>
      </c>
      <c r="E3" s="26" t="s">
        <v>12</v>
      </c>
      <c r="F3" s="26">
        <v>6</v>
      </c>
      <c r="G3" s="26">
        <v>0</v>
      </c>
      <c r="I3" s="38" t="s">
        <v>4</v>
      </c>
      <c r="J3" s="38"/>
      <c r="K3" s="37">
        <f>COUNTIF($G$1:$G$100, 0)</f>
        <v>59</v>
      </c>
      <c r="L3" s="37"/>
      <c r="M3" s="37">
        <f>COUNTIFS($G$1:$G$100, 0, $B$1:$B$100, 0)</f>
        <v>32</v>
      </c>
      <c r="N3" s="37"/>
      <c r="O3" s="39">
        <f>COUNTIFS($G$1:$G$100, 0, $B$1:$B$100, 1)</f>
        <v>27</v>
      </c>
      <c r="P3" s="35"/>
      <c r="Q3" s="47" cm="1">
        <f t="array" ref="Q3">SUMPRODUCT(--($D$1:$D$100=$G$1:$G$100))</f>
        <v>1</v>
      </c>
    </row>
    <row r="4" spans="1:17" x14ac:dyDescent="0.3">
      <c r="A4" s="26">
        <v>2</v>
      </c>
      <c r="B4" s="26">
        <v>0</v>
      </c>
      <c r="C4" s="26" t="s">
        <v>12</v>
      </c>
      <c r="D4" s="26">
        <v>17</v>
      </c>
      <c r="E4" s="26" t="s">
        <v>12</v>
      </c>
      <c r="F4" s="26">
        <v>16</v>
      </c>
      <c r="G4" s="26">
        <v>0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12</v>
      </c>
      <c r="D5" s="26">
        <v>37</v>
      </c>
      <c r="E5" s="26" t="s">
        <v>12</v>
      </c>
      <c r="F5" s="26">
        <v>30</v>
      </c>
      <c r="G5" s="26">
        <v>0</v>
      </c>
      <c r="I5" s="38" t="s">
        <v>5</v>
      </c>
      <c r="J5" s="38"/>
      <c r="K5" s="34">
        <f>COUNTIF($G$1:$G$100, 1)</f>
        <v>41</v>
      </c>
      <c r="L5" s="37"/>
      <c r="M5" s="37">
        <f>COUNTIFS($G$1:$G$100, 1, $B$1:$B$100, 0)</f>
        <v>18</v>
      </c>
      <c r="N5" s="37"/>
      <c r="O5" s="37">
        <f>COUNTIFS($G$1:$G$100, 1, $B$1:$B$100, 1)</f>
        <v>23</v>
      </c>
      <c r="P5" s="33"/>
    </row>
    <row r="6" spans="1:17" x14ac:dyDescent="0.3">
      <c r="A6" s="26">
        <v>2</v>
      </c>
      <c r="B6" s="26">
        <v>0</v>
      </c>
      <c r="C6" s="26" t="s">
        <v>12</v>
      </c>
      <c r="D6" s="26">
        <v>39</v>
      </c>
      <c r="E6" s="26" t="s">
        <v>12</v>
      </c>
      <c r="F6" s="26">
        <v>33</v>
      </c>
      <c r="G6" s="26">
        <v>0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12</v>
      </c>
      <c r="D7" s="26">
        <v>27</v>
      </c>
      <c r="E7" s="26" t="s">
        <v>12</v>
      </c>
      <c r="F7" s="26">
        <v>42</v>
      </c>
      <c r="G7" s="26">
        <v>1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12</v>
      </c>
      <c r="D8" s="26">
        <v>49</v>
      </c>
      <c r="E8" s="26" t="s">
        <v>12</v>
      </c>
      <c r="F8" s="26">
        <v>7</v>
      </c>
      <c r="G8" s="26">
        <v>0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12</v>
      </c>
      <c r="D9" s="26">
        <v>38</v>
      </c>
      <c r="E9" s="26" t="s">
        <v>12</v>
      </c>
      <c r="F9" s="26">
        <v>24</v>
      </c>
      <c r="G9" s="26">
        <v>0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12</v>
      </c>
      <c r="D10" s="26">
        <v>39</v>
      </c>
      <c r="E10" s="26" t="s">
        <v>12</v>
      </c>
      <c r="F10" s="26">
        <v>26</v>
      </c>
      <c r="G10" s="26">
        <v>0</v>
      </c>
      <c r="I10" s="38" t="s">
        <v>8</v>
      </c>
      <c r="J10" s="38"/>
      <c r="K10" s="37">
        <f>AVERAGE($D$1:$D$100,)</f>
        <v>27.485148514851485</v>
      </c>
      <c r="L10" s="37"/>
      <c r="M10" s="37" cm="1">
        <f t="array" ref="M10">AVERAGE(_xlfn._xlws.FILTER($D$1:$D$100,$G$1:$G$100 = 0))</f>
        <v>33.440677966101696</v>
      </c>
      <c r="N10" s="37"/>
      <c r="O10" s="39" cm="1">
        <f t="array" ref="O10">AVERAGE(_xlfn._xlws.FILTER($D$1:$D$100,$G$1:$G$100 = 1))</f>
        <v>19.585365853658537</v>
      </c>
      <c r="P10" s="35"/>
    </row>
    <row r="11" spans="1:17" x14ac:dyDescent="0.3">
      <c r="A11" s="26">
        <v>2</v>
      </c>
      <c r="B11" s="26">
        <v>0</v>
      </c>
      <c r="C11" s="26" t="s">
        <v>12</v>
      </c>
      <c r="D11" s="26">
        <v>16</v>
      </c>
      <c r="E11" s="26" t="s">
        <v>12</v>
      </c>
      <c r="F11" s="26">
        <v>9</v>
      </c>
      <c r="G11" s="26">
        <v>0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12</v>
      </c>
      <c r="D12" s="26">
        <v>0</v>
      </c>
      <c r="E12" s="26" t="s">
        <v>12</v>
      </c>
      <c r="F12" s="26">
        <v>30</v>
      </c>
      <c r="G12" s="26">
        <v>1</v>
      </c>
      <c r="I12" s="38" t="s">
        <v>9</v>
      </c>
      <c r="J12" s="38"/>
      <c r="K12" s="37">
        <f>AVERAGE($F$1:$F$100,)</f>
        <v>25.455445544554454</v>
      </c>
      <c r="L12" s="37"/>
      <c r="M12" s="37" cm="1">
        <f t="array" ref="M12">AVERAGE(_xlfn._xlws.FILTER($F$1:$F$100,$G$1:$G$100 = 0))</f>
        <v>18.203389830508474</v>
      </c>
      <c r="N12" s="37"/>
      <c r="O12" s="37" cm="1">
        <f t="array" ref="O12">AVERAGE(_xlfn._xlws.FILTER($F$1:$F$100,$G$1:$G$100 = 1))</f>
        <v>36.512195121951223</v>
      </c>
      <c r="P12" s="33"/>
    </row>
    <row r="13" spans="1:17" x14ac:dyDescent="0.3">
      <c r="A13" s="26">
        <v>2</v>
      </c>
      <c r="B13" s="26">
        <v>0</v>
      </c>
      <c r="C13" s="26" t="s">
        <v>12</v>
      </c>
      <c r="D13" s="26">
        <v>21</v>
      </c>
      <c r="E13" s="26" t="s">
        <v>12</v>
      </c>
      <c r="F13" s="26">
        <v>16</v>
      </c>
      <c r="G13" s="26">
        <v>0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12</v>
      </c>
      <c r="D14" s="26">
        <v>13</v>
      </c>
      <c r="E14" s="26" t="s">
        <v>12</v>
      </c>
      <c r="F14" s="26">
        <v>42</v>
      </c>
      <c r="G14" s="26">
        <v>1</v>
      </c>
      <c r="I14" s="36" t="s">
        <v>10</v>
      </c>
      <c r="J14" s="35"/>
      <c r="K14" s="32" cm="1">
        <f t="array" ref="K14">AVERAGE($D$1:$D$100 - $F$1:$F$100)</f>
        <v>2.0499999999999998</v>
      </c>
      <c r="L14" s="32"/>
      <c r="M14" s="32" cm="1">
        <f t="array" ref="M14">AVERAGE(_xlfn._xlws.FILTER($D$1:$D$100 - $F$1:$F$100, G$1:G$100 = 0))</f>
        <v>15.23728813559322</v>
      </c>
      <c r="N14" s="32"/>
      <c r="O14" s="32" cm="1">
        <f t="array" ref="O14">AVERAGE(_xlfn._xlws.FILTER($D$1:$D$100 - $F$1:$F$100, G$1:G$100 = 1))</f>
        <v>-16.926829268292682</v>
      </c>
      <c r="P14" s="31"/>
    </row>
    <row r="15" spans="1:17" x14ac:dyDescent="0.3">
      <c r="A15" s="26">
        <v>2</v>
      </c>
      <c r="B15" s="26">
        <v>0</v>
      </c>
      <c r="C15" s="26" t="s">
        <v>12</v>
      </c>
      <c r="D15" s="26">
        <v>46</v>
      </c>
      <c r="E15" s="26" t="s">
        <v>12</v>
      </c>
      <c r="F15" s="26">
        <v>18</v>
      </c>
      <c r="G15" s="26">
        <v>0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12</v>
      </c>
      <c r="D16" s="26">
        <v>43</v>
      </c>
      <c r="E16" s="26" t="s">
        <v>12</v>
      </c>
      <c r="F16" s="26">
        <v>16</v>
      </c>
      <c r="G16" s="26">
        <v>0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12</v>
      </c>
      <c r="D17" s="26">
        <v>28</v>
      </c>
      <c r="E17" s="26" t="s">
        <v>12</v>
      </c>
      <c r="F17" s="26">
        <v>25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22</v>
      </c>
      <c r="E18" s="26" t="s">
        <v>12</v>
      </c>
      <c r="F18" s="26">
        <v>18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41</v>
      </c>
      <c r="E19" s="26" t="s">
        <v>12</v>
      </c>
      <c r="F19" s="26">
        <v>21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17</v>
      </c>
      <c r="E20" s="26" t="s">
        <v>12</v>
      </c>
      <c r="F20" s="26">
        <v>36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3</v>
      </c>
      <c r="E21" s="26" t="s">
        <v>12</v>
      </c>
      <c r="F21" s="26">
        <v>37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37</v>
      </c>
      <c r="E22" s="26" t="s">
        <v>12</v>
      </c>
      <c r="F22" s="26">
        <v>50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23</v>
      </c>
      <c r="E23" s="26" t="s">
        <v>12</v>
      </c>
      <c r="F23" s="26">
        <v>42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33</v>
      </c>
      <c r="E24" s="26" t="s">
        <v>12</v>
      </c>
      <c r="F24" s="26">
        <v>23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24</v>
      </c>
      <c r="E25" s="26" t="s">
        <v>12</v>
      </c>
      <c r="F25" s="26">
        <v>19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42</v>
      </c>
      <c r="E26" s="26" t="s">
        <v>12</v>
      </c>
      <c r="F26" s="26">
        <v>25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65</v>
      </c>
      <c r="E27" s="26" t="s">
        <v>12</v>
      </c>
      <c r="F27" s="26">
        <v>44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41</v>
      </c>
      <c r="E28" s="26" t="s">
        <v>12</v>
      </c>
      <c r="F28" s="26">
        <v>37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3</v>
      </c>
      <c r="E29" s="26" t="s">
        <v>12</v>
      </c>
      <c r="F29" s="26">
        <v>29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8</v>
      </c>
      <c r="E30" s="26" t="s">
        <v>12</v>
      </c>
      <c r="F30" s="26">
        <v>19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32</v>
      </c>
      <c r="E31" s="26" t="s">
        <v>12</v>
      </c>
      <c r="F31" s="26">
        <v>40</v>
      </c>
      <c r="G31" s="26">
        <v>1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32</v>
      </c>
      <c r="E32" s="26" t="s">
        <v>12</v>
      </c>
      <c r="F32" s="26">
        <v>15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41</v>
      </c>
      <c r="E33" s="26" t="s">
        <v>12</v>
      </c>
      <c r="F33" s="26">
        <v>27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36</v>
      </c>
      <c r="E34" s="26" t="s">
        <v>12</v>
      </c>
      <c r="F34" s="26">
        <v>28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21</v>
      </c>
      <c r="E35" s="26" t="s">
        <v>12</v>
      </c>
      <c r="F35" s="26">
        <v>31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40</v>
      </c>
      <c r="E36" s="26" t="s">
        <v>12</v>
      </c>
      <c r="F36" s="26">
        <v>35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13</v>
      </c>
      <c r="E37" s="26" t="s">
        <v>12</v>
      </c>
      <c r="F37" s="26">
        <v>16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29</v>
      </c>
      <c r="E38" s="26" t="s">
        <v>12</v>
      </c>
      <c r="F38" s="26">
        <v>36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4</v>
      </c>
      <c r="E39" s="26" t="s">
        <v>12</v>
      </c>
      <c r="F39" s="26">
        <v>53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21</v>
      </c>
      <c r="E40" s="26" t="s">
        <v>12</v>
      </c>
      <c r="F40" s="26">
        <v>22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39</v>
      </c>
      <c r="E41" s="26" t="s">
        <v>12</v>
      </c>
      <c r="F41" s="26">
        <v>45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15</v>
      </c>
      <c r="E42" s="26" t="s">
        <v>12</v>
      </c>
      <c r="F42" s="26">
        <v>6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36</v>
      </c>
      <c r="E43" s="26" t="s">
        <v>12</v>
      </c>
      <c r="F43" s="26">
        <v>30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16</v>
      </c>
      <c r="E44" s="26" t="s">
        <v>12</v>
      </c>
      <c r="F44" s="26">
        <v>36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13</v>
      </c>
      <c r="E45" s="26" t="s">
        <v>12</v>
      </c>
      <c r="F45" s="26">
        <v>4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30</v>
      </c>
      <c r="E46" s="26" t="s">
        <v>12</v>
      </c>
      <c r="F46" s="26">
        <v>22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31</v>
      </c>
      <c r="E47" s="26" t="s">
        <v>12</v>
      </c>
      <c r="F47" s="26">
        <v>5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33</v>
      </c>
      <c r="E48" s="26" t="s">
        <v>12</v>
      </c>
      <c r="F48" s="26">
        <v>21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14</v>
      </c>
      <c r="E49" s="26" t="s">
        <v>12</v>
      </c>
      <c r="F49" s="26">
        <v>13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33</v>
      </c>
      <c r="E50" s="26" t="s">
        <v>12</v>
      </c>
      <c r="F50" s="26">
        <v>29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24</v>
      </c>
      <c r="E51" s="26" t="s">
        <v>12</v>
      </c>
      <c r="F51" s="26">
        <v>12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20</v>
      </c>
      <c r="E52" s="26" t="s">
        <v>12</v>
      </c>
      <c r="F52" s="26">
        <v>60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22</v>
      </c>
      <c r="E53" s="26" t="s">
        <v>12</v>
      </c>
      <c r="F53" s="26">
        <v>0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47</v>
      </c>
      <c r="E54" s="26" t="s">
        <v>12</v>
      </c>
      <c r="F54" s="26">
        <v>2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18</v>
      </c>
      <c r="E55" s="26" t="s">
        <v>12</v>
      </c>
      <c r="F55" s="26">
        <v>22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0</v>
      </c>
      <c r="E56" s="26" t="s">
        <v>12</v>
      </c>
      <c r="F56" s="26">
        <v>10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52</v>
      </c>
      <c r="E57" s="26" t="s">
        <v>12</v>
      </c>
      <c r="F57" s="26">
        <v>33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23</v>
      </c>
      <c r="E58" s="26" t="s">
        <v>12</v>
      </c>
      <c r="F58" s="26">
        <v>18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38</v>
      </c>
      <c r="E59" s="26" t="s">
        <v>12</v>
      </c>
      <c r="F59" s="26">
        <v>51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17</v>
      </c>
      <c r="E60" s="26" t="s">
        <v>12</v>
      </c>
      <c r="F60" s="26">
        <v>18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24</v>
      </c>
      <c r="E61" s="26" t="s">
        <v>12</v>
      </c>
      <c r="F61" s="26">
        <v>14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52</v>
      </c>
      <c r="E62" s="26" t="s">
        <v>12</v>
      </c>
      <c r="F62" s="26">
        <v>0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27</v>
      </c>
      <c r="E63" s="26" t="s">
        <v>12</v>
      </c>
      <c r="F63" s="26">
        <v>34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46</v>
      </c>
      <c r="E64" s="26" t="s">
        <v>12</v>
      </c>
      <c r="F64" s="26">
        <v>0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65</v>
      </c>
      <c r="E65" s="26" t="s">
        <v>12</v>
      </c>
      <c r="F65" s="26">
        <v>11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30</v>
      </c>
      <c r="E66" s="26" t="s">
        <v>12</v>
      </c>
      <c r="F66" s="26">
        <v>12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33</v>
      </c>
      <c r="E67" s="26" t="s">
        <v>12</v>
      </c>
      <c r="F67" s="26">
        <v>8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32</v>
      </c>
      <c r="E68" s="26" t="s">
        <v>12</v>
      </c>
      <c r="F68" s="26">
        <v>32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32</v>
      </c>
      <c r="E69" s="26" t="s">
        <v>12</v>
      </c>
      <c r="F69" s="26">
        <v>41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46</v>
      </c>
      <c r="E70" s="26" t="s">
        <v>12</v>
      </c>
      <c r="F70" s="26">
        <v>23</v>
      </c>
      <c r="G70" s="26">
        <v>0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16</v>
      </c>
      <c r="E71" s="26" t="s">
        <v>12</v>
      </c>
      <c r="F71" s="26">
        <v>35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17</v>
      </c>
      <c r="E72" s="26" t="s">
        <v>12</v>
      </c>
      <c r="F72" s="26">
        <v>14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9</v>
      </c>
      <c r="E73" s="26" t="s">
        <v>12</v>
      </c>
      <c r="F73" s="26">
        <v>18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15</v>
      </c>
      <c r="E74" s="26" t="s">
        <v>12</v>
      </c>
      <c r="F74" s="26">
        <v>15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23</v>
      </c>
      <c r="E75" s="26" t="s">
        <v>12</v>
      </c>
      <c r="F75" s="26">
        <v>46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35</v>
      </c>
      <c r="E76" s="26" t="s">
        <v>12</v>
      </c>
      <c r="F76" s="26">
        <v>17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1</v>
      </c>
      <c r="E77" s="26" t="s">
        <v>12</v>
      </c>
      <c r="F77" s="26">
        <v>29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34</v>
      </c>
      <c r="E78" s="26" t="s">
        <v>12</v>
      </c>
      <c r="F78" s="26">
        <v>5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30</v>
      </c>
      <c r="E79" s="26" t="s">
        <v>12</v>
      </c>
      <c r="F79" s="26">
        <v>41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19</v>
      </c>
      <c r="E80" s="26" t="s">
        <v>12</v>
      </c>
      <c r="F80" s="26">
        <v>57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34</v>
      </c>
      <c r="E81" s="26" t="s">
        <v>12</v>
      </c>
      <c r="F81" s="26">
        <v>57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17</v>
      </c>
      <c r="E82" s="26" t="s">
        <v>12</v>
      </c>
      <c r="F82" s="26">
        <v>29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17</v>
      </c>
      <c r="E83" s="26" t="s">
        <v>12</v>
      </c>
      <c r="F83" s="26">
        <v>59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24</v>
      </c>
      <c r="E84" s="26" t="s">
        <v>12</v>
      </c>
      <c r="F84" s="26">
        <v>39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34</v>
      </c>
      <c r="E85" s="26" t="s">
        <v>12</v>
      </c>
      <c r="F85" s="26">
        <v>2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42</v>
      </c>
      <c r="E86" s="26" t="s">
        <v>12</v>
      </c>
      <c r="F86" s="26">
        <v>22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38</v>
      </c>
      <c r="E87" s="26" t="s">
        <v>12</v>
      </c>
      <c r="F87" s="26">
        <v>27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16</v>
      </c>
      <c r="E88" s="26" t="s">
        <v>12</v>
      </c>
      <c r="F88" s="26">
        <v>31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50</v>
      </c>
      <c r="E89" s="26" t="s">
        <v>12</v>
      </c>
      <c r="F89" s="26">
        <v>16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27</v>
      </c>
      <c r="E90" s="26" t="s">
        <v>12</v>
      </c>
      <c r="F90" s="26">
        <v>6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19</v>
      </c>
      <c r="E91" s="26" t="s">
        <v>12</v>
      </c>
      <c r="F91" s="26">
        <v>35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50</v>
      </c>
      <c r="E92" s="26" t="s">
        <v>12</v>
      </c>
      <c r="F92" s="26">
        <v>28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29</v>
      </c>
      <c r="E93" s="26" t="s">
        <v>12</v>
      </c>
      <c r="F93" s="26">
        <v>30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31</v>
      </c>
      <c r="E94" s="26" t="s">
        <v>12</v>
      </c>
      <c r="F94" s="26">
        <v>38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18</v>
      </c>
      <c r="E95" s="26" t="s">
        <v>12</v>
      </c>
      <c r="F95" s="26">
        <v>9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31</v>
      </c>
      <c r="E96" s="26" t="s">
        <v>12</v>
      </c>
      <c r="F96" s="26">
        <v>24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37</v>
      </c>
      <c r="E97" s="26" t="s">
        <v>12</v>
      </c>
      <c r="F97" s="26">
        <v>41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15</v>
      </c>
      <c r="E98" s="26" t="s">
        <v>12</v>
      </c>
      <c r="F98" s="26">
        <v>15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8</v>
      </c>
      <c r="E99" s="26" t="s">
        <v>12</v>
      </c>
      <c r="F99" s="26">
        <v>43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41</v>
      </c>
      <c r="E100" s="26" t="s">
        <v>12</v>
      </c>
      <c r="F100" s="26">
        <v>37</v>
      </c>
      <c r="G100" s="26">
        <v>0</v>
      </c>
    </row>
  </sheetData>
  <mergeCells count="26">
    <mergeCell ref="K1:L2"/>
    <mergeCell ref="M1:N2"/>
    <mergeCell ref="O1:P2"/>
    <mergeCell ref="I3:J4"/>
    <mergeCell ref="K3:L4"/>
    <mergeCell ref="M3:N4"/>
    <mergeCell ref="O3:P4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4D49-EC1D-492B-9AFD-2D658CC743D8}">
  <dimension ref="A1:Q100"/>
  <sheetViews>
    <sheetView workbookViewId="0">
      <selection activeCell="T8" sqref="T8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34</v>
      </c>
      <c r="E1" s="26" t="s">
        <v>12</v>
      </c>
      <c r="F1" s="26">
        <v>23</v>
      </c>
      <c r="G1" s="26">
        <v>0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12</v>
      </c>
      <c r="D2" s="26">
        <v>61</v>
      </c>
      <c r="E2" s="26" t="s">
        <v>12</v>
      </c>
      <c r="F2" s="26">
        <v>67</v>
      </c>
      <c r="G2" s="26">
        <v>1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43</v>
      </c>
      <c r="E3" s="26" t="s">
        <v>12</v>
      </c>
      <c r="F3" s="26">
        <v>32</v>
      </c>
      <c r="G3" s="26">
        <v>0</v>
      </c>
      <c r="I3" s="38" t="s">
        <v>4</v>
      </c>
      <c r="J3" s="38"/>
      <c r="K3" s="37">
        <f>COUNTIF($G$1:$G$100, 0)</f>
        <v>57</v>
      </c>
      <c r="L3" s="37"/>
      <c r="M3" s="37">
        <f>COUNTIFS($G$1:$G$100, 0, $B$1:$B$100, 0)</f>
        <v>25</v>
      </c>
      <c r="N3" s="37"/>
      <c r="O3" s="39">
        <f>COUNTIFS($G$1:$G$100, 0, $B$1:$B$100, 1)</f>
        <v>32</v>
      </c>
      <c r="P3" s="35"/>
      <c r="Q3" s="47" cm="1">
        <f t="array" ref="Q3">SUMPRODUCT(--($D$1:$D$100=$G$1:$G$100))</f>
        <v>1</v>
      </c>
    </row>
    <row r="4" spans="1:17" x14ac:dyDescent="0.3">
      <c r="A4" s="26">
        <v>2</v>
      </c>
      <c r="B4" s="26">
        <v>0</v>
      </c>
      <c r="C4" s="26" t="s">
        <v>12</v>
      </c>
      <c r="D4" s="26">
        <v>14</v>
      </c>
      <c r="E4" s="26" t="s">
        <v>12</v>
      </c>
      <c r="F4" s="26">
        <v>24</v>
      </c>
      <c r="G4" s="26">
        <v>1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12</v>
      </c>
      <c r="D5" s="26">
        <v>25</v>
      </c>
      <c r="E5" s="26" t="s">
        <v>12</v>
      </c>
      <c r="F5" s="26">
        <v>21</v>
      </c>
      <c r="G5" s="26">
        <v>0</v>
      </c>
      <c r="I5" s="38" t="s">
        <v>5</v>
      </c>
      <c r="J5" s="38"/>
      <c r="K5" s="34">
        <f>COUNTIF($G$1:$G$100, 1)</f>
        <v>43</v>
      </c>
      <c r="L5" s="37"/>
      <c r="M5" s="37">
        <f>COUNTIFS($G$1:$G$100, 1, $B$1:$B$100, 0)</f>
        <v>25</v>
      </c>
      <c r="N5" s="37"/>
      <c r="O5" s="37">
        <f>COUNTIFS($G$1:$G$100, 1, $B$1:$B$100, 1)</f>
        <v>18</v>
      </c>
      <c r="P5" s="33"/>
    </row>
    <row r="6" spans="1:17" x14ac:dyDescent="0.3">
      <c r="A6" s="26">
        <v>2</v>
      </c>
      <c r="B6" s="26">
        <v>0</v>
      </c>
      <c r="C6" s="26" t="s">
        <v>12</v>
      </c>
      <c r="D6" s="26">
        <v>37</v>
      </c>
      <c r="E6" s="26" t="s">
        <v>12</v>
      </c>
      <c r="F6" s="26">
        <v>25</v>
      </c>
      <c r="G6" s="26">
        <v>0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12</v>
      </c>
      <c r="D7" s="26">
        <v>26</v>
      </c>
      <c r="E7" s="26" t="s">
        <v>12</v>
      </c>
      <c r="F7" s="26">
        <v>15</v>
      </c>
      <c r="G7" s="26">
        <v>0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12</v>
      </c>
      <c r="D8" s="26">
        <v>0</v>
      </c>
      <c r="E8" s="26" t="s">
        <v>12</v>
      </c>
      <c r="F8" s="26">
        <v>39</v>
      </c>
      <c r="G8" s="26">
        <v>1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12</v>
      </c>
      <c r="D9" s="26">
        <v>26</v>
      </c>
      <c r="E9" s="26" t="s">
        <v>12</v>
      </c>
      <c r="F9" s="26">
        <v>37</v>
      </c>
      <c r="G9" s="26">
        <v>1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12</v>
      </c>
      <c r="D10" s="26">
        <v>26</v>
      </c>
      <c r="E10" s="26" t="s">
        <v>12</v>
      </c>
      <c r="F10" s="26">
        <v>18</v>
      </c>
      <c r="G10" s="26">
        <v>0</v>
      </c>
      <c r="I10" s="38" t="s">
        <v>8</v>
      </c>
      <c r="J10" s="38"/>
      <c r="K10" s="37">
        <f>AVERAGE($D$1:$D$100,)</f>
        <v>28.762376237623762</v>
      </c>
      <c r="L10" s="37"/>
      <c r="M10" s="37" cm="1">
        <f t="array" ref="M10">AVERAGE(_xlfn._xlws.FILTER($D$1:$D$100,$G$1:$G$100 = 0))</f>
        <v>36.491228070175438</v>
      </c>
      <c r="N10" s="37"/>
      <c r="O10" s="39" cm="1">
        <f t="array" ref="O10">AVERAGE(_xlfn._xlws.FILTER($D$1:$D$100,$G$1:$G$100 = 1))</f>
        <v>19.186046511627907</v>
      </c>
      <c r="P10" s="35"/>
    </row>
    <row r="11" spans="1:17" x14ac:dyDescent="0.3">
      <c r="A11" s="26">
        <v>2</v>
      </c>
      <c r="B11" s="26">
        <v>0</v>
      </c>
      <c r="C11" s="26" t="s">
        <v>12</v>
      </c>
      <c r="D11" s="26">
        <v>23</v>
      </c>
      <c r="E11" s="26" t="s">
        <v>12</v>
      </c>
      <c r="F11" s="26">
        <v>42</v>
      </c>
      <c r="G11" s="26">
        <v>1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12</v>
      </c>
      <c r="D12" s="26">
        <v>26</v>
      </c>
      <c r="E12" s="26" t="s">
        <v>12</v>
      </c>
      <c r="F12" s="26">
        <v>19</v>
      </c>
      <c r="G12" s="26">
        <v>0</v>
      </c>
      <c r="I12" s="38" t="s">
        <v>9</v>
      </c>
      <c r="J12" s="38"/>
      <c r="K12" s="37">
        <f>AVERAGE($F$1:$F$100,)</f>
        <v>27.475247524752476</v>
      </c>
      <c r="L12" s="37"/>
      <c r="M12" s="37" cm="1">
        <f t="array" ref="M12">AVERAGE(_xlfn._xlws.FILTER($F$1:$F$100,$G$1:$G$100 = 0))</f>
        <v>20.754385964912281</v>
      </c>
      <c r="N12" s="37"/>
      <c r="O12" s="37" cm="1">
        <f t="array" ref="O12">AVERAGE(_xlfn._xlws.FILTER($F$1:$F$100,$G$1:$G$100 = 1))</f>
        <v>37.02325581395349</v>
      </c>
      <c r="P12" s="33"/>
    </row>
    <row r="13" spans="1:17" x14ac:dyDescent="0.3">
      <c r="A13" s="26">
        <v>2</v>
      </c>
      <c r="B13" s="26">
        <v>0</v>
      </c>
      <c r="C13" s="26" t="s">
        <v>12</v>
      </c>
      <c r="D13" s="26">
        <v>30</v>
      </c>
      <c r="E13" s="26" t="s">
        <v>12</v>
      </c>
      <c r="F13" s="26">
        <v>24</v>
      </c>
      <c r="G13" s="26">
        <v>0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12</v>
      </c>
      <c r="D14" s="26">
        <v>22</v>
      </c>
      <c r="E14" s="26" t="s">
        <v>12</v>
      </c>
      <c r="F14" s="26">
        <v>35</v>
      </c>
      <c r="G14" s="26">
        <v>1</v>
      </c>
      <c r="I14" s="36" t="s">
        <v>10</v>
      </c>
      <c r="J14" s="35"/>
      <c r="K14" s="32" cm="1">
        <f t="array" ref="K14">AVERAGE($D$1:$D$100 - $F$1:$F$100)</f>
        <v>1.3</v>
      </c>
      <c r="L14" s="32"/>
      <c r="M14" s="32" cm="1">
        <f t="array" ref="M14">AVERAGE(_xlfn._xlws.FILTER($D$1:$D$100 - $F$1:$F$100, G$1:G$100 = 0))</f>
        <v>15.736842105263158</v>
      </c>
      <c r="N14" s="32"/>
      <c r="O14" s="32" cm="1">
        <f t="array" ref="O14">AVERAGE(_xlfn._xlws.FILTER($D$1:$D$100 - $F$1:$F$100, G$1:G$100 = 1))</f>
        <v>-17.837209302325583</v>
      </c>
      <c r="P14" s="31"/>
    </row>
    <row r="15" spans="1:17" x14ac:dyDescent="0.3">
      <c r="A15" s="26">
        <v>2</v>
      </c>
      <c r="B15" s="26">
        <v>0</v>
      </c>
      <c r="C15" s="26" t="s">
        <v>12</v>
      </c>
      <c r="D15" s="26">
        <v>26</v>
      </c>
      <c r="E15" s="26" t="s">
        <v>12</v>
      </c>
      <c r="F15" s="26">
        <v>7</v>
      </c>
      <c r="G15" s="26">
        <v>0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12</v>
      </c>
      <c r="D16" s="26">
        <v>49</v>
      </c>
      <c r="E16" s="26" t="s">
        <v>12</v>
      </c>
      <c r="F16" s="26">
        <v>48</v>
      </c>
      <c r="G16" s="26">
        <v>0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12</v>
      </c>
      <c r="D17" s="26">
        <v>5</v>
      </c>
      <c r="E17" s="26" t="s">
        <v>12</v>
      </c>
      <c r="F17" s="26">
        <v>29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39</v>
      </c>
      <c r="E18" s="26" t="s">
        <v>12</v>
      </c>
      <c r="F18" s="26">
        <v>25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30</v>
      </c>
      <c r="E19" s="26" t="s">
        <v>12</v>
      </c>
      <c r="F19" s="26">
        <v>62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36</v>
      </c>
      <c r="E20" s="26" t="s">
        <v>12</v>
      </c>
      <c r="F20" s="26">
        <v>27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18</v>
      </c>
      <c r="E21" s="26" t="s">
        <v>12</v>
      </c>
      <c r="F21" s="26">
        <v>26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24</v>
      </c>
      <c r="E22" s="26" t="s">
        <v>12</v>
      </c>
      <c r="F22" s="26">
        <v>8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22</v>
      </c>
      <c r="E23" s="26" t="s">
        <v>12</v>
      </c>
      <c r="F23" s="26">
        <v>46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10</v>
      </c>
      <c r="E24" s="26" t="s">
        <v>12</v>
      </c>
      <c r="F24" s="26">
        <v>38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42</v>
      </c>
      <c r="E25" s="26" t="s">
        <v>12</v>
      </c>
      <c r="F25" s="26">
        <v>36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1</v>
      </c>
      <c r="E26" s="26" t="s">
        <v>12</v>
      </c>
      <c r="F26" s="26">
        <v>27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33</v>
      </c>
      <c r="E27" s="26" t="s">
        <v>12</v>
      </c>
      <c r="F27" s="26">
        <v>27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24</v>
      </c>
      <c r="E28" s="26" t="s">
        <v>12</v>
      </c>
      <c r="F28" s="26">
        <v>42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15</v>
      </c>
      <c r="E29" s="26" t="s">
        <v>12</v>
      </c>
      <c r="F29" s="26">
        <v>19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58</v>
      </c>
      <c r="E30" s="26" t="s">
        <v>12</v>
      </c>
      <c r="F30" s="26">
        <v>26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30</v>
      </c>
      <c r="E31" s="26" t="s">
        <v>12</v>
      </c>
      <c r="F31" s="26">
        <v>12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8</v>
      </c>
      <c r="E32" s="26" t="s">
        <v>12</v>
      </c>
      <c r="F32" s="26">
        <v>33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43</v>
      </c>
      <c r="E33" s="26" t="s">
        <v>12</v>
      </c>
      <c r="F33" s="26">
        <v>34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46</v>
      </c>
      <c r="E34" s="26" t="s">
        <v>12</v>
      </c>
      <c r="F34" s="26">
        <v>20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64</v>
      </c>
      <c r="E35" s="26" t="s">
        <v>12</v>
      </c>
      <c r="F35" s="26">
        <v>20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26</v>
      </c>
      <c r="E36" s="26" t="s">
        <v>12</v>
      </c>
      <c r="F36" s="26">
        <v>46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37</v>
      </c>
      <c r="E37" s="26" t="s">
        <v>12</v>
      </c>
      <c r="F37" s="26">
        <v>51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34</v>
      </c>
      <c r="E38" s="26" t="s">
        <v>12</v>
      </c>
      <c r="F38" s="26">
        <v>34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42</v>
      </c>
      <c r="E39" s="26" t="s">
        <v>12</v>
      </c>
      <c r="F39" s="26">
        <v>19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17</v>
      </c>
      <c r="E40" s="26" t="s">
        <v>12</v>
      </c>
      <c r="F40" s="26">
        <v>16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43</v>
      </c>
      <c r="E41" s="26" t="s">
        <v>12</v>
      </c>
      <c r="F41" s="26">
        <v>9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11</v>
      </c>
      <c r="E42" s="26" t="s">
        <v>12</v>
      </c>
      <c r="F42" s="26">
        <v>31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47</v>
      </c>
      <c r="E43" s="26" t="s">
        <v>12</v>
      </c>
      <c r="F43" s="26">
        <v>5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16</v>
      </c>
      <c r="E44" s="26" t="s">
        <v>12</v>
      </c>
      <c r="F44" s="26">
        <v>38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6</v>
      </c>
      <c r="E45" s="26" t="s">
        <v>12</v>
      </c>
      <c r="F45" s="26">
        <v>48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25</v>
      </c>
      <c r="E46" s="26" t="s">
        <v>12</v>
      </c>
      <c r="F46" s="26">
        <v>43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27</v>
      </c>
      <c r="E47" s="26" t="s">
        <v>12</v>
      </c>
      <c r="F47" s="26">
        <v>34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4</v>
      </c>
      <c r="E48" s="26" t="s">
        <v>12</v>
      </c>
      <c r="F48" s="26">
        <v>19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13</v>
      </c>
      <c r="E49" s="26" t="s">
        <v>12</v>
      </c>
      <c r="F49" s="26">
        <v>27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23</v>
      </c>
      <c r="E50" s="26" t="s">
        <v>12</v>
      </c>
      <c r="F50" s="26">
        <v>43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39</v>
      </c>
      <c r="E51" s="26" t="s">
        <v>12</v>
      </c>
      <c r="F51" s="26">
        <v>47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10</v>
      </c>
      <c r="E52" s="26" t="s">
        <v>12</v>
      </c>
      <c r="F52" s="26">
        <v>17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19</v>
      </c>
      <c r="E53" s="26" t="s">
        <v>12</v>
      </c>
      <c r="F53" s="26">
        <v>11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29</v>
      </c>
      <c r="E54" s="26" t="s">
        <v>12</v>
      </c>
      <c r="F54" s="26">
        <v>18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46</v>
      </c>
      <c r="E55" s="26" t="s">
        <v>12</v>
      </c>
      <c r="F55" s="26">
        <v>18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30</v>
      </c>
      <c r="E56" s="26" t="s">
        <v>12</v>
      </c>
      <c r="F56" s="26">
        <v>13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38</v>
      </c>
      <c r="E57" s="26" t="s">
        <v>12</v>
      </c>
      <c r="F57" s="26">
        <v>23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11</v>
      </c>
      <c r="E58" s="26" t="s">
        <v>12</v>
      </c>
      <c r="F58" s="26">
        <v>28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42</v>
      </c>
      <c r="E59" s="26" t="s">
        <v>12</v>
      </c>
      <c r="F59" s="26">
        <v>51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49</v>
      </c>
      <c r="E60" s="26" t="s">
        <v>12</v>
      </c>
      <c r="F60" s="26">
        <v>42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36</v>
      </c>
      <c r="E61" s="26" t="s">
        <v>12</v>
      </c>
      <c r="F61" s="26">
        <v>36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43</v>
      </c>
      <c r="E62" s="26" t="s">
        <v>12</v>
      </c>
      <c r="F62" s="26">
        <v>24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31</v>
      </c>
      <c r="E63" s="26" t="s">
        <v>12</v>
      </c>
      <c r="F63" s="26">
        <v>42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36</v>
      </c>
      <c r="E64" s="26" t="s">
        <v>12</v>
      </c>
      <c r="F64" s="26">
        <v>17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39</v>
      </c>
      <c r="E65" s="26" t="s">
        <v>12</v>
      </c>
      <c r="F65" s="26">
        <v>37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27</v>
      </c>
      <c r="E66" s="26" t="s">
        <v>12</v>
      </c>
      <c r="F66" s="26">
        <v>9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14</v>
      </c>
      <c r="E67" s="26" t="s">
        <v>12</v>
      </c>
      <c r="F67" s="26">
        <v>49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10</v>
      </c>
      <c r="E68" s="26" t="s">
        <v>12</v>
      </c>
      <c r="F68" s="26">
        <v>46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21</v>
      </c>
      <c r="E69" s="26" t="s">
        <v>12</v>
      </c>
      <c r="F69" s="26">
        <v>20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4</v>
      </c>
      <c r="E70" s="26" t="s">
        <v>12</v>
      </c>
      <c r="F70" s="26">
        <v>42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33</v>
      </c>
      <c r="E71" s="26" t="s">
        <v>12</v>
      </c>
      <c r="F71" s="26">
        <v>11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28</v>
      </c>
      <c r="E72" s="26" t="s">
        <v>12</v>
      </c>
      <c r="F72" s="26">
        <v>38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36</v>
      </c>
      <c r="E73" s="26" t="s">
        <v>12</v>
      </c>
      <c r="F73" s="26">
        <v>3</v>
      </c>
      <c r="G73" s="26">
        <v>0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29</v>
      </c>
      <c r="E74" s="26" t="s">
        <v>12</v>
      </c>
      <c r="F74" s="26">
        <v>15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29</v>
      </c>
      <c r="E75" s="26" t="s">
        <v>12</v>
      </c>
      <c r="F75" s="26">
        <v>17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5</v>
      </c>
      <c r="E76" s="26" t="s">
        <v>12</v>
      </c>
      <c r="F76" s="26">
        <v>16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56</v>
      </c>
      <c r="E77" s="26" t="s">
        <v>12</v>
      </c>
      <c r="F77" s="26">
        <v>12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26</v>
      </c>
      <c r="E78" s="26" t="s">
        <v>12</v>
      </c>
      <c r="F78" s="26">
        <v>44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39</v>
      </c>
      <c r="E79" s="26" t="s">
        <v>12</v>
      </c>
      <c r="F79" s="26">
        <v>5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29</v>
      </c>
      <c r="E80" s="26" t="s">
        <v>12</v>
      </c>
      <c r="F80" s="26">
        <v>26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7</v>
      </c>
      <c r="E81" s="26" t="s">
        <v>12</v>
      </c>
      <c r="F81" s="26">
        <v>37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31</v>
      </c>
      <c r="E82" s="26" t="s">
        <v>12</v>
      </c>
      <c r="F82" s="26">
        <v>45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20</v>
      </c>
      <c r="E83" s="26" t="s">
        <v>12</v>
      </c>
      <c r="F83" s="26">
        <v>30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37</v>
      </c>
      <c r="E84" s="26" t="s">
        <v>12</v>
      </c>
      <c r="F84" s="26">
        <v>23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36</v>
      </c>
      <c r="E85" s="26" t="s">
        <v>12</v>
      </c>
      <c r="F85" s="26">
        <v>24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43</v>
      </c>
      <c r="E86" s="26" t="s">
        <v>12</v>
      </c>
      <c r="F86" s="26">
        <v>19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24</v>
      </c>
      <c r="E87" s="26" t="s">
        <v>12</v>
      </c>
      <c r="F87" s="26">
        <v>30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48</v>
      </c>
      <c r="E88" s="26" t="s">
        <v>12</v>
      </c>
      <c r="F88" s="26">
        <v>30</v>
      </c>
      <c r="G88" s="26">
        <v>0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63</v>
      </c>
      <c r="E89" s="26" t="s">
        <v>12</v>
      </c>
      <c r="F89" s="26">
        <v>28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20</v>
      </c>
      <c r="E90" s="26" t="s">
        <v>12</v>
      </c>
      <c r="F90" s="26">
        <v>18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35</v>
      </c>
      <c r="E91" s="26" t="s">
        <v>12</v>
      </c>
      <c r="F91" s="26">
        <v>29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32</v>
      </c>
      <c r="E92" s="26" t="s">
        <v>12</v>
      </c>
      <c r="F92" s="26">
        <v>15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28</v>
      </c>
      <c r="E93" s="26" t="s">
        <v>12</v>
      </c>
      <c r="F93" s="26">
        <v>17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40</v>
      </c>
      <c r="E94" s="26" t="s">
        <v>12</v>
      </c>
      <c r="F94" s="26">
        <v>36</v>
      </c>
      <c r="G94" s="26">
        <v>0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38</v>
      </c>
      <c r="E95" s="26" t="s">
        <v>12</v>
      </c>
      <c r="F95" s="26">
        <v>12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27</v>
      </c>
      <c r="E96" s="26" t="s">
        <v>12</v>
      </c>
      <c r="F96" s="26">
        <v>40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34</v>
      </c>
      <c r="E97" s="26" t="s">
        <v>12</v>
      </c>
      <c r="F97" s="26">
        <v>18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27</v>
      </c>
      <c r="E98" s="26" t="s">
        <v>12</v>
      </c>
      <c r="F98" s="26">
        <v>34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2</v>
      </c>
      <c r="E99" s="26" t="s">
        <v>12</v>
      </c>
      <c r="F99" s="26">
        <v>10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42</v>
      </c>
      <c r="E100" s="26" t="s">
        <v>12</v>
      </c>
      <c r="F100" s="26">
        <v>7</v>
      </c>
      <c r="G100" s="26">
        <v>0</v>
      </c>
    </row>
  </sheetData>
  <mergeCells count="26">
    <mergeCell ref="K1:L2"/>
    <mergeCell ref="M1:N2"/>
    <mergeCell ref="O1:P2"/>
    <mergeCell ref="I3:J4"/>
    <mergeCell ref="K3:L4"/>
    <mergeCell ref="M3:N4"/>
    <mergeCell ref="O3:P4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D061-814F-4C68-AABB-F0323C723568}">
  <dimension ref="A1:Q100"/>
  <sheetViews>
    <sheetView workbookViewId="0">
      <selection activeCell="T12" sqref="T12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12</v>
      </c>
      <c r="E1" s="26" t="s">
        <v>11</v>
      </c>
      <c r="F1" s="26">
        <v>27</v>
      </c>
      <c r="G1" s="26">
        <v>1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11</v>
      </c>
      <c r="D2" s="26">
        <v>39</v>
      </c>
      <c r="E2" s="26" t="s">
        <v>11</v>
      </c>
      <c r="F2" s="26">
        <v>48</v>
      </c>
      <c r="G2" s="26">
        <v>1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27</v>
      </c>
      <c r="E3" s="26" t="s">
        <v>11</v>
      </c>
      <c r="F3" s="26">
        <v>39</v>
      </c>
      <c r="G3" s="26">
        <v>1</v>
      </c>
      <c r="I3" s="38" t="s">
        <v>4</v>
      </c>
      <c r="J3" s="38"/>
      <c r="K3" s="37">
        <f>COUNTIF($G$1:$G$100, 0)</f>
        <v>56</v>
      </c>
      <c r="L3" s="37"/>
      <c r="M3" s="37">
        <f>COUNTIFS($G$1:$G$100, 0, $B$1:$B$100, 0)</f>
        <v>32</v>
      </c>
      <c r="N3" s="37"/>
      <c r="O3" s="39">
        <f>COUNTIFS($G$1:$G$100, 0, $B$1:$B$100, 1)</f>
        <v>24</v>
      </c>
      <c r="P3" s="35"/>
      <c r="Q3" s="47" cm="1">
        <f t="array" ref="Q3">SUMPRODUCT(--($D$1:$D$100=$G$1:$G$100))</f>
        <v>1</v>
      </c>
    </row>
    <row r="4" spans="1:17" x14ac:dyDescent="0.3">
      <c r="A4" s="26">
        <v>2</v>
      </c>
      <c r="B4" s="26">
        <v>0</v>
      </c>
      <c r="C4" s="26" t="s">
        <v>11</v>
      </c>
      <c r="D4" s="26">
        <v>46</v>
      </c>
      <c r="E4" s="26" t="s">
        <v>11</v>
      </c>
      <c r="F4" s="26">
        <v>29</v>
      </c>
      <c r="G4" s="26">
        <v>0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11</v>
      </c>
      <c r="D5" s="26">
        <v>23</v>
      </c>
      <c r="E5" s="26" t="s">
        <v>11</v>
      </c>
      <c r="F5" s="26">
        <v>10</v>
      </c>
      <c r="G5" s="26">
        <v>0</v>
      </c>
      <c r="I5" s="38" t="s">
        <v>5</v>
      </c>
      <c r="J5" s="38"/>
      <c r="K5" s="34">
        <f>COUNTIF($G$1:$G$100, 1)</f>
        <v>44</v>
      </c>
      <c r="L5" s="37"/>
      <c r="M5" s="37">
        <f>COUNTIFS($G$1:$G$100, 1, $B$1:$B$100, 0)</f>
        <v>18</v>
      </c>
      <c r="N5" s="37"/>
      <c r="O5" s="37">
        <f>COUNTIFS($G$1:$G$100, 1, $B$1:$B$100, 1)</f>
        <v>26</v>
      </c>
      <c r="P5" s="33"/>
    </row>
    <row r="6" spans="1:17" x14ac:dyDescent="0.3">
      <c r="A6" s="26">
        <v>2</v>
      </c>
      <c r="B6" s="26">
        <v>0</v>
      </c>
      <c r="C6" s="26" t="s">
        <v>11</v>
      </c>
      <c r="D6" s="26">
        <v>49</v>
      </c>
      <c r="E6" s="26" t="s">
        <v>11</v>
      </c>
      <c r="F6" s="26">
        <v>2</v>
      </c>
      <c r="G6" s="26">
        <v>0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11</v>
      </c>
      <c r="D7" s="26">
        <v>33</v>
      </c>
      <c r="E7" s="26" t="s">
        <v>11</v>
      </c>
      <c r="F7" s="26">
        <v>39</v>
      </c>
      <c r="G7" s="26">
        <v>1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11</v>
      </c>
      <c r="D8" s="26">
        <v>24</v>
      </c>
      <c r="E8" s="26" t="s">
        <v>11</v>
      </c>
      <c r="F8" s="26">
        <v>21</v>
      </c>
      <c r="G8" s="26">
        <v>0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11</v>
      </c>
      <c r="D9" s="26">
        <v>28</v>
      </c>
      <c r="E9" s="26" t="s">
        <v>11</v>
      </c>
      <c r="F9" s="26">
        <v>40</v>
      </c>
      <c r="G9" s="26">
        <v>1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11</v>
      </c>
      <c r="D10" s="26">
        <v>38</v>
      </c>
      <c r="E10" s="26" t="s">
        <v>11</v>
      </c>
      <c r="F10" s="26">
        <v>15</v>
      </c>
      <c r="G10" s="26">
        <v>0</v>
      </c>
      <c r="I10" s="38" t="s">
        <v>8</v>
      </c>
      <c r="J10" s="38"/>
      <c r="K10" s="37">
        <f>AVERAGE($D$1:$D$100,)</f>
        <v>25.495049504950494</v>
      </c>
      <c r="L10" s="37"/>
      <c r="M10" s="37" cm="1">
        <f t="array" ref="M10">AVERAGE(_xlfn._xlws.FILTER($D$1:$D$100,$G$1:$G$100 = 0))</f>
        <v>32.767857142857146</v>
      </c>
      <c r="N10" s="37"/>
      <c r="O10" s="39" cm="1">
        <f t="array" ref="O10">AVERAGE(_xlfn._xlws.FILTER($D$1:$D$100,$G$1:$G$100 = 1))</f>
        <v>16.818181818181817</v>
      </c>
      <c r="P10" s="35"/>
    </row>
    <row r="11" spans="1:17" x14ac:dyDescent="0.3">
      <c r="A11" s="26">
        <v>2</v>
      </c>
      <c r="B11" s="26">
        <v>0</v>
      </c>
      <c r="C11" s="26" t="s">
        <v>11</v>
      </c>
      <c r="D11" s="26">
        <v>17</v>
      </c>
      <c r="E11" s="26" t="s">
        <v>11</v>
      </c>
      <c r="F11" s="26">
        <v>8</v>
      </c>
      <c r="G11" s="26">
        <v>0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11</v>
      </c>
      <c r="D12" s="26">
        <v>41</v>
      </c>
      <c r="E12" s="26" t="s">
        <v>11</v>
      </c>
      <c r="F12" s="26">
        <v>41</v>
      </c>
      <c r="G12" s="26">
        <v>0</v>
      </c>
      <c r="I12" s="38" t="s">
        <v>9</v>
      </c>
      <c r="J12" s="38"/>
      <c r="K12" s="37">
        <f>AVERAGE($F$1:$F$100,)</f>
        <v>20.376237623762375</v>
      </c>
      <c r="L12" s="37"/>
      <c r="M12" s="37" cm="1">
        <f t="array" ref="M12">AVERAGE(_xlfn._xlws.FILTER($F$1:$F$100,$G$1:$G$100 = 0))</f>
        <v>13.267857142857142</v>
      </c>
      <c r="N12" s="37"/>
      <c r="O12" s="37" cm="1">
        <f t="array" ref="O12">AVERAGE(_xlfn._xlws.FILTER($F$1:$F$100,$G$1:$G$100 = 1))</f>
        <v>29.886363636363637</v>
      </c>
      <c r="P12" s="33"/>
    </row>
    <row r="13" spans="1:17" x14ac:dyDescent="0.3">
      <c r="A13" s="26">
        <v>2</v>
      </c>
      <c r="B13" s="26">
        <v>0</v>
      </c>
      <c r="C13" s="26" t="s">
        <v>11</v>
      </c>
      <c r="D13" s="26">
        <v>43</v>
      </c>
      <c r="E13" s="26" t="s">
        <v>11</v>
      </c>
      <c r="F13" s="26">
        <v>5</v>
      </c>
      <c r="G13" s="26">
        <v>0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11</v>
      </c>
      <c r="D14" s="26">
        <v>19</v>
      </c>
      <c r="E14" s="26" t="s">
        <v>11</v>
      </c>
      <c r="F14" s="26">
        <v>54</v>
      </c>
      <c r="G14" s="26">
        <v>1</v>
      </c>
      <c r="I14" s="36" t="s">
        <v>10</v>
      </c>
      <c r="J14" s="35"/>
      <c r="K14" s="32" cm="1">
        <f t="array" ref="K14">AVERAGE($D$1:$D$100 - $F$1:$F$100)</f>
        <v>5.17</v>
      </c>
      <c r="L14" s="32"/>
      <c r="M14" s="32" cm="1">
        <f t="array" ref="M14">AVERAGE(_xlfn._xlws.FILTER($D$1:$D$100 - $F$1:$F$100, G$1:G$100 = 0))</f>
        <v>19.5</v>
      </c>
      <c r="N14" s="32"/>
      <c r="O14" s="32" cm="1">
        <f t="array" ref="O14">AVERAGE(_xlfn._xlws.FILTER($D$1:$D$100 - $F$1:$F$100, G$1:G$100 = 1))</f>
        <v>-13.068181818181818</v>
      </c>
      <c r="P14" s="31"/>
    </row>
    <row r="15" spans="1:17" x14ac:dyDescent="0.3">
      <c r="A15" s="26">
        <v>2</v>
      </c>
      <c r="B15" s="26">
        <v>0</v>
      </c>
      <c r="C15" s="26" t="s">
        <v>11</v>
      </c>
      <c r="D15" s="26">
        <v>18</v>
      </c>
      <c r="E15" s="26" t="s">
        <v>11</v>
      </c>
      <c r="F15" s="26">
        <v>22</v>
      </c>
      <c r="G15" s="26">
        <v>1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11</v>
      </c>
      <c r="D16" s="26">
        <v>24</v>
      </c>
      <c r="E16" s="26" t="s">
        <v>11</v>
      </c>
      <c r="F16" s="26">
        <v>3</v>
      </c>
      <c r="G16" s="26">
        <v>0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11</v>
      </c>
      <c r="D17" s="26">
        <v>44</v>
      </c>
      <c r="E17" s="26" t="s">
        <v>11</v>
      </c>
      <c r="F17" s="26">
        <v>22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46</v>
      </c>
      <c r="E18" s="26" t="s">
        <v>11</v>
      </c>
      <c r="F18" s="26">
        <v>13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52</v>
      </c>
      <c r="E19" s="26" t="s">
        <v>11</v>
      </c>
      <c r="F19" s="26">
        <v>38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13</v>
      </c>
      <c r="E20" s="26" t="s">
        <v>11</v>
      </c>
      <c r="F20" s="26">
        <v>32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12</v>
      </c>
      <c r="E21" s="26" t="s">
        <v>11</v>
      </c>
      <c r="F21" s="26">
        <v>7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17</v>
      </c>
      <c r="E22" s="26" t="s">
        <v>11</v>
      </c>
      <c r="F22" s="26">
        <v>20</v>
      </c>
      <c r="G22" s="26">
        <v>1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25</v>
      </c>
      <c r="E23" s="26" t="s">
        <v>11</v>
      </c>
      <c r="F23" s="26">
        <v>41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18</v>
      </c>
      <c r="E24" s="26" t="s">
        <v>11</v>
      </c>
      <c r="F24" s="26">
        <v>6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28</v>
      </c>
      <c r="E25" s="26" t="s">
        <v>11</v>
      </c>
      <c r="F25" s="26">
        <v>15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31</v>
      </c>
      <c r="E26" s="26" t="s">
        <v>11</v>
      </c>
      <c r="F26" s="26">
        <v>2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30</v>
      </c>
      <c r="E27" s="26" t="s">
        <v>11</v>
      </c>
      <c r="F27" s="26">
        <v>8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54</v>
      </c>
      <c r="E28" s="26" t="s">
        <v>11</v>
      </c>
      <c r="F28" s="26">
        <v>22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18</v>
      </c>
      <c r="E29" s="26" t="s">
        <v>11</v>
      </c>
      <c r="F29" s="26">
        <v>2</v>
      </c>
      <c r="G29" s="26">
        <v>0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21</v>
      </c>
      <c r="E30" s="26" t="s">
        <v>11</v>
      </c>
      <c r="F30" s="26">
        <v>4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39</v>
      </c>
      <c r="E31" s="26" t="s">
        <v>11</v>
      </c>
      <c r="F31" s="26">
        <v>18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42</v>
      </c>
      <c r="E32" s="26" t="s">
        <v>11</v>
      </c>
      <c r="F32" s="26">
        <v>19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31</v>
      </c>
      <c r="E33" s="26" t="s">
        <v>11</v>
      </c>
      <c r="F33" s="26">
        <v>36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30</v>
      </c>
      <c r="E34" s="26" t="s">
        <v>11</v>
      </c>
      <c r="F34" s="26">
        <v>2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45</v>
      </c>
      <c r="E35" s="26" t="s">
        <v>11</v>
      </c>
      <c r="F35" s="26">
        <v>10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2</v>
      </c>
      <c r="E36" s="26" t="s">
        <v>11</v>
      </c>
      <c r="F36" s="26">
        <v>25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4</v>
      </c>
      <c r="E37" s="26" t="s">
        <v>11</v>
      </c>
      <c r="F37" s="26">
        <v>31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38</v>
      </c>
      <c r="E38" s="26" t="s">
        <v>11</v>
      </c>
      <c r="F38" s="26">
        <v>44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35</v>
      </c>
      <c r="E39" s="26" t="s">
        <v>11</v>
      </c>
      <c r="F39" s="26">
        <v>13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50</v>
      </c>
      <c r="E40" s="26" t="s">
        <v>11</v>
      </c>
      <c r="F40" s="26">
        <v>13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8</v>
      </c>
      <c r="E41" s="26" t="s">
        <v>11</v>
      </c>
      <c r="F41" s="26">
        <v>26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20</v>
      </c>
      <c r="E42" s="26" t="s">
        <v>11</v>
      </c>
      <c r="F42" s="26">
        <v>44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42</v>
      </c>
      <c r="E43" s="26" t="s">
        <v>11</v>
      </c>
      <c r="F43" s="26">
        <v>31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30</v>
      </c>
      <c r="E44" s="26" t="s">
        <v>11</v>
      </c>
      <c r="F44" s="26">
        <v>28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47</v>
      </c>
      <c r="E45" s="26" t="s">
        <v>11</v>
      </c>
      <c r="F45" s="26">
        <v>12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30</v>
      </c>
      <c r="E46" s="26" t="s">
        <v>11</v>
      </c>
      <c r="F46" s="26">
        <v>27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28</v>
      </c>
      <c r="E47" s="26" t="s">
        <v>11</v>
      </c>
      <c r="F47" s="26">
        <v>24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6</v>
      </c>
      <c r="E48" s="26" t="s">
        <v>11</v>
      </c>
      <c r="F48" s="26">
        <v>6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12</v>
      </c>
      <c r="E49" s="26" t="s">
        <v>11</v>
      </c>
      <c r="F49" s="26">
        <v>28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21</v>
      </c>
      <c r="E50" s="26" t="s">
        <v>11</v>
      </c>
      <c r="F50" s="26">
        <v>25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62</v>
      </c>
      <c r="E51" s="26" t="s">
        <v>11</v>
      </c>
      <c r="F51" s="26">
        <v>34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3</v>
      </c>
      <c r="E52" s="26" t="s">
        <v>11</v>
      </c>
      <c r="F52" s="26">
        <v>3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12</v>
      </c>
      <c r="E53" s="26" t="s">
        <v>11</v>
      </c>
      <c r="F53" s="26">
        <v>11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32</v>
      </c>
      <c r="E54" s="26" t="s">
        <v>11</v>
      </c>
      <c r="F54" s="26">
        <v>36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35</v>
      </c>
      <c r="E55" s="26" t="s">
        <v>11</v>
      </c>
      <c r="F55" s="26">
        <v>4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0</v>
      </c>
      <c r="E56" s="26" t="s">
        <v>11</v>
      </c>
      <c r="F56" s="26">
        <v>20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43</v>
      </c>
      <c r="E57" s="26" t="s">
        <v>11</v>
      </c>
      <c r="F57" s="26">
        <v>55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38</v>
      </c>
      <c r="E58" s="26" t="s">
        <v>11</v>
      </c>
      <c r="F58" s="26">
        <v>26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16</v>
      </c>
      <c r="E59" s="26" t="s">
        <v>11</v>
      </c>
      <c r="F59" s="26">
        <v>24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14</v>
      </c>
      <c r="E60" s="26" t="s">
        <v>11</v>
      </c>
      <c r="F60" s="26">
        <v>17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14</v>
      </c>
      <c r="E61" s="26" t="s">
        <v>11</v>
      </c>
      <c r="F61" s="26">
        <v>6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46</v>
      </c>
      <c r="E62" s="26" t="s">
        <v>11</v>
      </c>
      <c r="F62" s="26">
        <v>21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26</v>
      </c>
      <c r="E63" s="26" t="s">
        <v>11</v>
      </c>
      <c r="F63" s="26">
        <v>23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6</v>
      </c>
      <c r="E64" s="26" t="s">
        <v>11</v>
      </c>
      <c r="F64" s="26">
        <v>25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35</v>
      </c>
      <c r="E65" s="26" t="s">
        <v>11</v>
      </c>
      <c r="F65" s="26">
        <v>15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24</v>
      </c>
      <c r="E66" s="26" t="s">
        <v>11</v>
      </c>
      <c r="F66" s="26">
        <v>22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2</v>
      </c>
      <c r="E67" s="26" t="s">
        <v>11</v>
      </c>
      <c r="F67" s="26">
        <v>17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50</v>
      </c>
      <c r="E68" s="26" t="s">
        <v>11</v>
      </c>
      <c r="F68" s="26">
        <v>2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18</v>
      </c>
      <c r="E69" s="26" t="s">
        <v>11</v>
      </c>
      <c r="F69" s="26">
        <v>20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0</v>
      </c>
      <c r="E70" s="26" t="s">
        <v>11</v>
      </c>
      <c r="F70" s="26">
        <v>20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51</v>
      </c>
      <c r="E71" s="26" t="s">
        <v>11</v>
      </c>
      <c r="F71" s="26">
        <v>2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16</v>
      </c>
      <c r="E72" s="26" t="s">
        <v>11</v>
      </c>
      <c r="F72" s="26">
        <v>3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2</v>
      </c>
      <c r="E73" s="26" t="s">
        <v>11</v>
      </c>
      <c r="F73" s="26">
        <v>39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48</v>
      </c>
      <c r="E74" s="26" t="s">
        <v>11</v>
      </c>
      <c r="F74" s="26">
        <v>21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1</v>
      </c>
      <c r="E75" s="26" t="s">
        <v>11</v>
      </c>
      <c r="F75" s="26">
        <v>9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20</v>
      </c>
      <c r="E76" s="26" t="s">
        <v>11</v>
      </c>
      <c r="F76" s="26">
        <v>25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6</v>
      </c>
      <c r="E77" s="26" t="s">
        <v>11</v>
      </c>
      <c r="F77" s="26">
        <v>32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14</v>
      </c>
      <c r="E78" s="26" t="s">
        <v>11</v>
      </c>
      <c r="F78" s="26">
        <v>17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8</v>
      </c>
      <c r="E79" s="26" t="s">
        <v>11</v>
      </c>
      <c r="F79" s="26">
        <v>14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41</v>
      </c>
      <c r="E80" s="26" t="s">
        <v>11</v>
      </c>
      <c r="F80" s="26">
        <v>2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14</v>
      </c>
      <c r="E81" s="26" t="s">
        <v>11</v>
      </c>
      <c r="F81" s="26">
        <v>32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23</v>
      </c>
      <c r="E82" s="26" t="s">
        <v>11</v>
      </c>
      <c r="F82" s="26">
        <v>5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28</v>
      </c>
      <c r="E83" s="26" t="s">
        <v>11</v>
      </c>
      <c r="F83" s="26">
        <v>2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17</v>
      </c>
      <c r="E84" s="26" t="s">
        <v>11</v>
      </c>
      <c r="F84" s="26">
        <v>42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30</v>
      </c>
      <c r="E85" s="26" t="s">
        <v>11</v>
      </c>
      <c r="F85" s="26">
        <v>1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3</v>
      </c>
      <c r="E86" s="26" t="s">
        <v>11</v>
      </c>
      <c r="F86" s="26">
        <v>3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61</v>
      </c>
      <c r="E87" s="26" t="s">
        <v>11</v>
      </c>
      <c r="F87" s="26">
        <v>10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33</v>
      </c>
      <c r="E88" s="26" t="s">
        <v>11</v>
      </c>
      <c r="F88" s="26">
        <v>37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9</v>
      </c>
      <c r="E89" s="26" t="s">
        <v>11</v>
      </c>
      <c r="F89" s="26">
        <v>20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14</v>
      </c>
      <c r="E90" s="26" t="s">
        <v>11</v>
      </c>
      <c r="F90" s="26">
        <v>21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14</v>
      </c>
      <c r="E91" s="26" t="s">
        <v>11</v>
      </c>
      <c r="F91" s="26">
        <v>5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25</v>
      </c>
      <c r="E92" s="26" t="s">
        <v>11</v>
      </c>
      <c r="F92" s="26">
        <v>28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34</v>
      </c>
      <c r="E93" s="26" t="s">
        <v>11</v>
      </c>
      <c r="F93" s="26">
        <v>34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8</v>
      </c>
      <c r="E94" s="26" t="s">
        <v>11</v>
      </c>
      <c r="F94" s="26">
        <v>12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42</v>
      </c>
      <c r="E95" s="26" t="s">
        <v>11</v>
      </c>
      <c r="F95" s="26">
        <v>10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12</v>
      </c>
      <c r="E96" s="26" t="s">
        <v>11</v>
      </c>
      <c r="F96" s="26">
        <v>17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16</v>
      </c>
      <c r="E97" s="26" t="s">
        <v>11</v>
      </c>
      <c r="F97" s="26">
        <v>2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26</v>
      </c>
      <c r="E98" s="26" t="s">
        <v>11</v>
      </c>
      <c r="F98" s="26">
        <v>47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19</v>
      </c>
      <c r="E99" s="26" t="s">
        <v>11</v>
      </c>
      <c r="F99" s="26">
        <v>30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14</v>
      </c>
      <c r="E100" s="26" t="s">
        <v>11</v>
      </c>
      <c r="F100" s="26">
        <v>38</v>
      </c>
      <c r="G100" s="26">
        <v>1</v>
      </c>
    </row>
  </sheetData>
  <mergeCells count="26">
    <mergeCell ref="K1:L2"/>
    <mergeCell ref="M1:N2"/>
    <mergeCell ref="O1:P2"/>
    <mergeCell ref="I3:J4"/>
    <mergeCell ref="K3:L4"/>
    <mergeCell ref="M3:N4"/>
    <mergeCell ref="O3:P4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18F7-743D-472C-A269-298C24AC450C}">
  <dimension ref="A1:Q100"/>
  <sheetViews>
    <sheetView workbookViewId="0">
      <selection activeCell="L20" sqref="L20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9</v>
      </c>
      <c r="E1" s="26" t="s">
        <v>12</v>
      </c>
      <c r="F1" s="26">
        <v>7</v>
      </c>
      <c r="G1" s="26">
        <v>0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12</v>
      </c>
      <c r="D2" s="26">
        <v>15</v>
      </c>
      <c r="E2" s="26" t="s">
        <v>12</v>
      </c>
      <c r="F2" s="26">
        <v>20</v>
      </c>
      <c r="G2" s="26">
        <v>1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30</v>
      </c>
      <c r="E3" s="26" t="s">
        <v>12</v>
      </c>
      <c r="F3" s="26">
        <v>35</v>
      </c>
      <c r="G3" s="26">
        <v>1</v>
      </c>
      <c r="I3" s="38" t="s">
        <v>4</v>
      </c>
      <c r="J3" s="38"/>
      <c r="K3" s="37">
        <f>COUNTIF($G$1:$G$100, 0)</f>
        <v>53</v>
      </c>
      <c r="L3" s="37"/>
      <c r="M3" s="37">
        <f>COUNTIFS($G$1:$G$100, 0, $B$1:$B$100, 0)</f>
        <v>28</v>
      </c>
      <c r="N3" s="37"/>
      <c r="O3" s="39">
        <f>COUNTIFS($G$1:$G$100, 0, $B$1:$B$100, 1)</f>
        <v>25</v>
      </c>
      <c r="P3" s="35"/>
      <c r="Q3" s="47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12</v>
      </c>
      <c r="D4" s="26">
        <v>22</v>
      </c>
      <c r="E4" s="26" t="s">
        <v>12</v>
      </c>
      <c r="F4" s="26">
        <v>53</v>
      </c>
      <c r="G4" s="26">
        <v>1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12</v>
      </c>
      <c r="D5" s="26">
        <v>25</v>
      </c>
      <c r="E5" s="26" t="s">
        <v>12</v>
      </c>
      <c r="F5" s="26">
        <v>29</v>
      </c>
      <c r="G5" s="26">
        <v>1</v>
      </c>
      <c r="I5" s="38" t="s">
        <v>5</v>
      </c>
      <c r="J5" s="38"/>
      <c r="K5" s="34">
        <f>COUNTIF($G$1:$G$100, 1)</f>
        <v>47</v>
      </c>
      <c r="L5" s="37"/>
      <c r="M5" s="37">
        <f>COUNTIFS($G$1:$G$100, 1, $B$1:$B$100, 0)</f>
        <v>22</v>
      </c>
      <c r="N5" s="37"/>
      <c r="O5" s="37">
        <f>COUNTIFS($G$1:$G$100, 1, $B$1:$B$100, 1)</f>
        <v>25</v>
      </c>
      <c r="P5" s="33"/>
    </row>
    <row r="6" spans="1:17" x14ac:dyDescent="0.3">
      <c r="A6" s="26">
        <v>2</v>
      </c>
      <c r="B6" s="26">
        <v>0</v>
      </c>
      <c r="C6" s="26" t="s">
        <v>12</v>
      </c>
      <c r="D6" s="26">
        <v>27</v>
      </c>
      <c r="E6" s="26" t="s">
        <v>12</v>
      </c>
      <c r="F6" s="26">
        <v>12</v>
      </c>
      <c r="G6" s="26">
        <v>0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12</v>
      </c>
      <c r="D7" s="26">
        <v>6</v>
      </c>
      <c r="E7" s="26" t="s">
        <v>12</v>
      </c>
      <c r="F7" s="26">
        <v>11</v>
      </c>
      <c r="G7" s="26">
        <v>1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12</v>
      </c>
      <c r="D8" s="26">
        <v>16</v>
      </c>
      <c r="E8" s="26" t="s">
        <v>12</v>
      </c>
      <c r="F8" s="26">
        <v>11</v>
      </c>
      <c r="G8" s="26">
        <v>0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12</v>
      </c>
      <c r="D9" s="26">
        <v>25</v>
      </c>
      <c r="E9" s="26" t="s">
        <v>12</v>
      </c>
      <c r="F9" s="26">
        <v>19</v>
      </c>
      <c r="G9" s="26">
        <v>0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12</v>
      </c>
      <c r="D10" s="26">
        <v>24</v>
      </c>
      <c r="E10" s="26" t="s">
        <v>12</v>
      </c>
      <c r="F10" s="26">
        <v>33</v>
      </c>
      <c r="G10" s="26">
        <v>1</v>
      </c>
      <c r="I10" s="38" t="s">
        <v>8</v>
      </c>
      <c r="J10" s="38"/>
      <c r="K10" s="37">
        <f>AVERAGE($D$1:$D$100,)</f>
        <v>24.712871287128714</v>
      </c>
      <c r="L10" s="37"/>
      <c r="M10" s="37" cm="1">
        <f t="array" ref="M10">AVERAGE(_xlfn._xlws.FILTER($D$1:$D$100,$G$1:$G$100 = 0))</f>
        <v>32.358490566037737</v>
      </c>
      <c r="N10" s="37"/>
      <c r="O10" s="39" cm="1">
        <f t="array" ref="O10">AVERAGE(_xlfn._xlws.FILTER($D$1:$D$100,$G$1:$G$100 = 1))</f>
        <v>16.617021276595743</v>
      </c>
      <c r="P10" s="35"/>
    </row>
    <row r="11" spans="1:17" x14ac:dyDescent="0.3">
      <c r="A11" s="26">
        <v>2</v>
      </c>
      <c r="B11" s="26">
        <v>0</v>
      </c>
      <c r="C11" s="26" t="s">
        <v>12</v>
      </c>
      <c r="D11" s="26">
        <v>31</v>
      </c>
      <c r="E11" s="26" t="s">
        <v>12</v>
      </c>
      <c r="F11" s="26">
        <v>10</v>
      </c>
      <c r="G11" s="26">
        <v>0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12</v>
      </c>
      <c r="D12" s="26">
        <v>34</v>
      </c>
      <c r="E12" s="26" t="s">
        <v>12</v>
      </c>
      <c r="F12" s="26">
        <v>2</v>
      </c>
      <c r="G12" s="26">
        <v>0</v>
      </c>
      <c r="I12" s="38" t="s">
        <v>9</v>
      </c>
      <c r="J12" s="38"/>
      <c r="K12" s="37">
        <f>AVERAGE($F$1:$F$100,)</f>
        <v>24.950495049504951</v>
      </c>
      <c r="L12" s="37"/>
      <c r="M12" s="37" cm="1">
        <f t="array" ref="M12">AVERAGE(_xlfn._xlws.FILTER($F$1:$F$100,$G$1:$G$100 = 0))</f>
        <v>18.358490566037737</v>
      </c>
      <c r="N12" s="37"/>
      <c r="O12" s="37" cm="1">
        <f t="array" ref="O12">AVERAGE(_xlfn._xlws.FILTER($F$1:$F$100,$G$1:$G$100 = 1))</f>
        <v>32.914893617021278</v>
      </c>
      <c r="P12" s="33"/>
    </row>
    <row r="13" spans="1:17" x14ac:dyDescent="0.3">
      <c r="A13" s="26">
        <v>2</v>
      </c>
      <c r="B13" s="26">
        <v>0</v>
      </c>
      <c r="C13" s="26" t="s">
        <v>12</v>
      </c>
      <c r="D13" s="26">
        <v>42</v>
      </c>
      <c r="E13" s="26" t="s">
        <v>12</v>
      </c>
      <c r="F13" s="26">
        <v>69</v>
      </c>
      <c r="G13" s="26">
        <v>1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12</v>
      </c>
      <c r="D14" s="26">
        <v>23</v>
      </c>
      <c r="E14" s="26" t="s">
        <v>12</v>
      </c>
      <c r="F14" s="26">
        <v>23</v>
      </c>
      <c r="G14" s="26">
        <v>0</v>
      </c>
      <c r="I14" s="36" t="s">
        <v>10</v>
      </c>
      <c r="J14" s="35"/>
      <c r="K14" s="32" cm="1">
        <f t="array" ref="K14">AVERAGE($D$1:$D$100 - $F$1:$F$100)</f>
        <v>-0.24</v>
      </c>
      <c r="L14" s="32"/>
      <c r="M14" s="32" cm="1">
        <f t="array" ref="M14">AVERAGE(_xlfn._xlws.FILTER($D$1:$D$100 - $F$1:$F$100, G$1:G$100 = 0))</f>
        <v>14</v>
      </c>
      <c r="N14" s="32"/>
      <c r="O14" s="32" cm="1">
        <f t="array" ref="O14">AVERAGE(_xlfn._xlws.FILTER($D$1:$D$100 - $F$1:$F$100, G$1:G$100 = 1))</f>
        <v>-16.297872340425531</v>
      </c>
      <c r="P14" s="31"/>
    </row>
    <row r="15" spans="1:17" x14ac:dyDescent="0.3">
      <c r="A15" s="26">
        <v>2</v>
      </c>
      <c r="B15" s="26">
        <v>0</v>
      </c>
      <c r="C15" s="26" t="s">
        <v>12</v>
      </c>
      <c r="D15" s="26">
        <v>54</v>
      </c>
      <c r="E15" s="26" t="s">
        <v>12</v>
      </c>
      <c r="F15" s="26">
        <v>38</v>
      </c>
      <c r="G15" s="26">
        <v>0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12</v>
      </c>
      <c r="D16" s="26">
        <v>2</v>
      </c>
      <c r="E16" s="26" t="s">
        <v>12</v>
      </c>
      <c r="F16" s="26">
        <v>34</v>
      </c>
      <c r="G16" s="26">
        <v>1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12</v>
      </c>
      <c r="D17" s="26">
        <v>2</v>
      </c>
      <c r="E17" s="26" t="s">
        <v>12</v>
      </c>
      <c r="F17" s="26">
        <v>33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29</v>
      </c>
      <c r="E18" s="26" t="s">
        <v>12</v>
      </c>
      <c r="F18" s="26">
        <v>16</v>
      </c>
      <c r="G18" s="26">
        <v>0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10</v>
      </c>
      <c r="E19" s="26" t="s">
        <v>12</v>
      </c>
      <c r="F19" s="26">
        <v>9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28</v>
      </c>
      <c r="E20" s="26" t="s">
        <v>12</v>
      </c>
      <c r="F20" s="26">
        <v>11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15</v>
      </c>
      <c r="E21" s="26" t="s">
        <v>12</v>
      </c>
      <c r="F21" s="26">
        <v>24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14</v>
      </c>
      <c r="E22" s="26" t="s">
        <v>12</v>
      </c>
      <c r="F22" s="26">
        <v>7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30</v>
      </c>
      <c r="E23" s="26" t="s">
        <v>12</v>
      </c>
      <c r="F23" s="26">
        <v>14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17</v>
      </c>
      <c r="E24" s="26" t="s">
        <v>12</v>
      </c>
      <c r="F24" s="26">
        <v>44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2</v>
      </c>
      <c r="E25" s="26" t="s">
        <v>12</v>
      </c>
      <c r="F25" s="26">
        <v>38</v>
      </c>
      <c r="G25" s="26">
        <v>1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12</v>
      </c>
      <c r="E26" s="26" t="s">
        <v>12</v>
      </c>
      <c r="F26" s="26">
        <v>37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17</v>
      </c>
      <c r="E27" s="26" t="s">
        <v>12</v>
      </c>
      <c r="F27" s="26">
        <v>36</v>
      </c>
      <c r="G27" s="26">
        <v>1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47</v>
      </c>
      <c r="E28" s="26" t="s">
        <v>12</v>
      </c>
      <c r="F28" s="26">
        <v>2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23</v>
      </c>
      <c r="E29" s="26" t="s">
        <v>12</v>
      </c>
      <c r="F29" s="26">
        <v>38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16</v>
      </c>
      <c r="E30" s="26" t="s">
        <v>12</v>
      </c>
      <c r="F30" s="26">
        <v>18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37</v>
      </c>
      <c r="E31" s="26" t="s">
        <v>12</v>
      </c>
      <c r="F31" s="26">
        <v>13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30</v>
      </c>
      <c r="E32" s="26" t="s">
        <v>12</v>
      </c>
      <c r="F32" s="26">
        <v>27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43</v>
      </c>
      <c r="E33" s="26" t="s">
        <v>12</v>
      </c>
      <c r="F33" s="26">
        <v>24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45</v>
      </c>
      <c r="E34" s="26" t="s">
        <v>12</v>
      </c>
      <c r="F34" s="26">
        <v>39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47</v>
      </c>
      <c r="E35" s="26" t="s">
        <v>12</v>
      </c>
      <c r="F35" s="26">
        <v>14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29</v>
      </c>
      <c r="E36" s="26" t="s">
        <v>12</v>
      </c>
      <c r="F36" s="26">
        <v>45</v>
      </c>
      <c r="G36" s="26">
        <v>1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47</v>
      </c>
      <c r="E37" s="26" t="s">
        <v>12</v>
      </c>
      <c r="F37" s="26">
        <v>5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18</v>
      </c>
      <c r="E38" s="26" t="s">
        <v>12</v>
      </c>
      <c r="F38" s="26">
        <v>17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27</v>
      </c>
      <c r="E39" s="26" t="s">
        <v>12</v>
      </c>
      <c r="F39" s="26">
        <v>37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2</v>
      </c>
      <c r="E40" s="26" t="s">
        <v>12</v>
      </c>
      <c r="F40" s="26">
        <v>31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44</v>
      </c>
      <c r="E41" s="26" t="s">
        <v>12</v>
      </c>
      <c r="F41" s="26">
        <v>6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33</v>
      </c>
      <c r="E42" s="26" t="s">
        <v>12</v>
      </c>
      <c r="F42" s="26">
        <v>30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23</v>
      </c>
      <c r="E43" s="26" t="s">
        <v>12</v>
      </c>
      <c r="F43" s="26">
        <v>21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17</v>
      </c>
      <c r="E44" s="26" t="s">
        <v>12</v>
      </c>
      <c r="F44" s="26">
        <v>17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38</v>
      </c>
      <c r="E45" s="26" t="s">
        <v>12</v>
      </c>
      <c r="F45" s="26">
        <v>39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13</v>
      </c>
      <c r="E46" s="26" t="s">
        <v>12</v>
      </c>
      <c r="F46" s="26">
        <v>33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24</v>
      </c>
      <c r="E47" s="26" t="s">
        <v>12</v>
      </c>
      <c r="F47" s="26">
        <v>9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31</v>
      </c>
      <c r="E48" s="26" t="s">
        <v>12</v>
      </c>
      <c r="F48" s="26">
        <v>14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26</v>
      </c>
      <c r="E49" s="26" t="s">
        <v>12</v>
      </c>
      <c r="F49" s="26">
        <v>17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12</v>
      </c>
      <c r="E50" s="26" t="s">
        <v>12</v>
      </c>
      <c r="F50" s="26">
        <v>20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43</v>
      </c>
      <c r="E51" s="26" t="s">
        <v>12</v>
      </c>
      <c r="F51" s="26">
        <v>2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21</v>
      </c>
      <c r="E52" s="26" t="s">
        <v>12</v>
      </c>
      <c r="F52" s="26">
        <v>16</v>
      </c>
      <c r="G52" s="26">
        <v>0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45</v>
      </c>
      <c r="E53" s="26" t="s">
        <v>12</v>
      </c>
      <c r="F53" s="26">
        <v>24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10</v>
      </c>
      <c r="E54" s="26" t="s">
        <v>12</v>
      </c>
      <c r="F54" s="26">
        <v>16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2</v>
      </c>
      <c r="E55" s="26" t="s">
        <v>12</v>
      </c>
      <c r="F55" s="26">
        <v>34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21</v>
      </c>
      <c r="E56" s="26" t="s">
        <v>12</v>
      </c>
      <c r="F56" s="26">
        <v>19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16</v>
      </c>
      <c r="E57" s="26" t="s">
        <v>12</v>
      </c>
      <c r="F57" s="26">
        <v>23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8</v>
      </c>
      <c r="E58" s="26" t="s">
        <v>12</v>
      </c>
      <c r="F58" s="26">
        <v>14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22</v>
      </c>
      <c r="E59" s="26" t="s">
        <v>12</v>
      </c>
      <c r="F59" s="26">
        <v>27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3</v>
      </c>
      <c r="E60" s="26" t="s">
        <v>12</v>
      </c>
      <c r="F60" s="26">
        <v>57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31</v>
      </c>
      <c r="E61" s="26" t="s">
        <v>12</v>
      </c>
      <c r="F61" s="26">
        <v>12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38</v>
      </c>
      <c r="E62" s="26" t="s">
        <v>12</v>
      </c>
      <c r="F62" s="26">
        <v>23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40</v>
      </c>
      <c r="E63" s="26" t="s">
        <v>12</v>
      </c>
      <c r="F63" s="26">
        <v>15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15</v>
      </c>
      <c r="E64" s="26" t="s">
        <v>12</v>
      </c>
      <c r="F64" s="26">
        <v>18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27</v>
      </c>
      <c r="E65" s="26" t="s">
        <v>12</v>
      </c>
      <c r="F65" s="26">
        <v>32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25</v>
      </c>
      <c r="E66" s="26" t="s">
        <v>12</v>
      </c>
      <c r="F66" s="26">
        <v>20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29</v>
      </c>
      <c r="E67" s="26" t="s">
        <v>12</v>
      </c>
      <c r="F67" s="26">
        <v>21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29</v>
      </c>
      <c r="E68" s="26" t="s">
        <v>12</v>
      </c>
      <c r="F68" s="26">
        <v>35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24</v>
      </c>
      <c r="E69" s="26" t="s">
        <v>12</v>
      </c>
      <c r="F69" s="26">
        <v>27</v>
      </c>
      <c r="G69" s="26">
        <v>1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13</v>
      </c>
      <c r="E70" s="26" t="s">
        <v>12</v>
      </c>
      <c r="F70" s="26">
        <v>36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19</v>
      </c>
      <c r="E71" s="26" t="s">
        <v>12</v>
      </c>
      <c r="F71" s="26">
        <v>27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33</v>
      </c>
      <c r="E72" s="26" t="s">
        <v>12</v>
      </c>
      <c r="F72" s="26">
        <v>21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40</v>
      </c>
      <c r="E73" s="26" t="s">
        <v>12</v>
      </c>
      <c r="F73" s="26">
        <v>32</v>
      </c>
      <c r="G73" s="26">
        <v>0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48</v>
      </c>
      <c r="E74" s="26" t="s">
        <v>12</v>
      </c>
      <c r="F74" s="26">
        <v>22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36</v>
      </c>
      <c r="E75" s="26" t="s">
        <v>12</v>
      </c>
      <c r="F75" s="26">
        <v>23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19</v>
      </c>
      <c r="E76" s="26" t="s">
        <v>12</v>
      </c>
      <c r="F76" s="26">
        <v>25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35</v>
      </c>
      <c r="E77" s="26" t="s">
        <v>12</v>
      </c>
      <c r="F77" s="26">
        <v>20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5</v>
      </c>
      <c r="E78" s="26" t="s">
        <v>12</v>
      </c>
      <c r="F78" s="26">
        <v>27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40</v>
      </c>
      <c r="E79" s="26" t="s">
        <v>12</v>
      </c>
      <c r="F79" s="26">
        <v>10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35</v>
      </c>
      <c r="E80" s="26" t="s">
        <v>12</v>
      </c>
      <c r="F80" s="26">
        <v>22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27</v>
      </c>
      <c r="E81" s="26" t="s">
        <v>12</v>
      </c>
      <c r="F81" s="26">
        <v>28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32</v>
      </c>
      <c r="E82" s="26" t="s">
        <v>12</v>
      </c>
      <c r="F82" s="26">
        <v>12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49</v>
      </c>
      <c r="E83" s="26" t="s">
        <v>12</v>
      </c>
      <c r="F83" s="26">
        <v>46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5</v>
      </c>
      <c r="E84" s="26" t="s">
        <v>12</v>
      </c>
      <c r="F84" s="26">
        <v>58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17</v>
      </c>
      <c r="E85" s="26" t="s">
        <v>12</v>
      </c>
      <c r="F85" s="26">
        <v>37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23</v>
      </c>
      <c r="E86" s="26" t="s">
        <v>12</v>
      </c>
      <c r="F86" s="26">
        <v>39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40</v>
      </c>
      <c r="E87" s="26" t="s">
        <v>12</v>
      </c>
      <c r="F87" s="26">
        <v>20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14</v>
      </c>
      <c r="E88" s="26" t="s">
        <v>12</v>
      </c>
      <c r="F88" s="26">
        <v>25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34</v>
      </c>
      <c r="E89" s="26" t="s">
        <v>12</v>
      </c>
      <c r="F89" s="26">
        <v>32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24</v>
      </c>
      <c r="E90" s="26" t="s">
        <v>12</v>
      </c>
      <c r="F90" s="26">
        <v>28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11</v>
      </c>
      <c r="E91" s="26" t="s">
        <v>12</v>
      </c>
      <c r="F91" s="26">
        <v>46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16</v>
      </c>
      <c r="E92" s="26" t="s">
        <v>12</v>
      </c>
      <c r="F92" s="26">
        <v>20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44</v>
      </c>
      <c r="E93" s="26" t="s">
        <v>12</v>
      </c>
      <c r="F93" s="26">
        <v>39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15</v>
      </c>
      <c r="E94" s="26" t="s">
        <v>12</v>
      </c>
      <c r="F94" s="26">
        <v>19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26</v>
      </c>
      <c r="E95" s="26" t="s">
        <v>12</v>
      </c>
      <c r="F95" s="26">
        <v>24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36</v>
      </c>
      <c r="E96" s="26" t="s">
        <v>12</v>
      </c>
      <c r="F96" s="26">
        <v>23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24</v>
      </c>
      <c r="E97" s="26" t="s">
        <v>12</v>
      </c>
      <c r="F97" s="26">
        <v>13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19</v>
      </c>
      <c r="E98" s="26" t="s">
        <v>12</v>
      </c>
      <c r="F98" s="26">
        <v>41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7</v>
      </c>
      <c r="E99" s="26" t="s">
        <v>12</v>
      </c>
      <c r="F99" s="26">
        <v>51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28</v>
      </c>
      <c r="E100" s="26" t="s">
        <v>12</v>
      </c>
      <c r="F100" s="26">
        <v>28</v>
      </c>
      <c r="G100" s="26">
        <v>0</v>
      </c>
    </row>
  </sheetData>
  <mergeCells count="26">
    <mergeCell ref="K1:L2"/>
    <mergeCell ref="M1:N2"/>
    <mergeCell ref="O1:P2"/>
    <mergeCell ref="I3:J4"/>
    <mergeCell ref="K3:L4"/>
    <mergeCell ref="M3:N4"/>
    <mergeCell ref="O3:P4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CA01-92A9-4604-8BF3-F2A05124603E}">
  <dimension ref="A1:Q100"/>
  <sheetViews>
    <sheetView topLeftCell="A10" workbookViewId="0">
      <selection activeCell="K23" sqref="K23:L25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19</v>
      </c>
      <c r="E1" s="26" t="s">
        <v>12</v>
      </c>
      <c r="F1" s="26">
        <v>20</v>
      </c>
      <c r="G1" s="26">
        <v>1</v>
      </c>
    </row>
    <row r="2" spans="1:17" x14ac:dyDescent="0.3">
      <c r="A2" s="26">
        <v>2</v>
      </c>
      <c r="B2" s="26">
        <v>0</v>
      </c>
      <c r="C2" s="26" t="s">
        <v>12</v>
      </c>
      <c r="D2" s="26">
        <v>19</v>
      </c>
      <c r="E2" s="26" t="s">
        <v>12</v>
      </c>
      <c r="F2" s="26">
        <v>32</v>
      </c>
      <c r="G2" s="26">
        <v>1</v>
      </c>
    </row>
    <row r="3" spans="1:17" x14ac:dyDescent="0.3">
      <c r="A3" s="26">
        <v>2</v>
      </c>
      <c r="B3" s="26">
        <v>0</v>
      </c>
      <c r="C3" s="26" t="s">
        <v>12</v>
      </c>
      <c r="D3" s="26">
        <v>26</v>
      </c>
      <c r="E3" s="26" t="s">
        <v>12</v>
      </c>
      <c r="F3" s="26">
        <v>39</v>
      </c>
      <c r="G3" s="26">
        <v>1</v>
      </c>
    </row>
    <row r="4" spans="1:17" x14ac:dyDescent="0.3">
      <c r="A4" s="26">
        <v>2</v>
      </c>
      <c r="B4" s="26">
        <v>0</v>
      </c>
      <c r="C4" s="26" t="s">
        <v>12</v>
      </c>
      <c r="D4" s="26">
        <v>27</v>
      </c>
      <c r="E4" s="26" t="s">
        <v>12</v>
      </c>
      <c r="F4" s="26">
        <v>16</v>
      </c>
      <c r="G4" s="26">
        <v>0</v>
      </c>
    </row>
    <row r="5" spans="1:17" x14ac:dyDescent="0.3">
      <c r="A5" s="26">
        <v>2</v>
      </c>
      <c r="B5" s="26">
        <v>0</v>
      </c>
      <c r="C5" s="26" t="s">
        <v>12</v>
      </c>
      <c r="D5" s="26">
        <v>27</v>
      </c>
      <c r="E5" s="26" t="s">
        <v>12</v>
      </c>
      <c r="F5" s="26">
        <v>21</v>
      </c>
      <c r="G5" s="26">
        <v>0</v>
      </c>
    </row>
    <row r="6" spans="1:17" x14ac:dyDescent="0.3">
      <c r="A6" s="26">
        <v>2</v>
      </c>
      <c r="B6" s="26">
        <v>0</v>
      </c>
      <c r="C6" s="26" t="s">
        <v>12</v>
      </c>
      <c r="D6" s="26">
        <v>39</v>
      </c>
      <c r="E6" s="26" t="s">
        <v>12</v>
      </c>
      <c r="F6" s="26">
        <v>48</v>
      </c>
      <c r="G6" s="26">
        <v>1</v>
      </c>
    </row>
    <row r="7" spans="1:17" x14ac:dyDescent="0.3">
      <c r="A7" s="26">
        <v>2</v>
      </c>
      <c r="B7" s="26">
        <v>0</v>
      </c>
      <c r="C7" s="26" t="s">
        <v>12</v>
      </c>
      <c r="D7" s="26">
        <v>30</v>
      </c>
      <c r="E7" s="26" t="s">
        <v>12</v>
      </c>
      <c r="F7" s="26">
        <v>48</v>
      </c>
      <c r="G7" s="26">
        <v>1</v>
      </c>
    </row>
    <row r="8" spans="1:17" x14ac:dyDescent="0.3">
      <c r="A8" s="26">
        <v>2</v>
      </c>
      <c r="B8" s="26">
        <v>0</v>
      </c>
      <c r="C8" s="26" t="s">
        <v>12</v>
      </c>
      <c r="D8" s="26">
        <v>18</v>
      </c>
      <c r="E8" s="26" t="s">
        <v>12</v>
      </c>
      <c r="F8" s="26">
        <v>40</v>
      </c>
      <c r="G8" s="26">
        <v>1</v>
      </c>
    </row>
    <row r="9" spans="1:17" x14ac:dyDescent="0.3">
      <c r="A9" s="26">
        <v>2</v>
      </c>
      <c r="B9" s="26">
        <v>0</v>
      </c>
      <c r="C9" s="26" t="s">
        <v>12</v>
      </c>
      <c r="D9" s="26">
        <v>13</v>
      </c>
      <c r="E9" s="26" t="s">
        <v>12</v>
      </c>
      <c r="F9" s="26">
        <v>21</v>
      </c>
      <c r="G9" s="26">
        <v>1</v>
      </c>
    </row>
    <row r="10" spans="1:17" x14ac:dyDescent="0.3">
      <c r="A10" s="26">
        <v>2</v>
      </c>
      <c r="B10" s="26">
        <v>0</v>
      </c>
      <c r="C10" s="26" t="s">
        <v>12</v>
      </c>
      <c r="D10" s="26">
        <v>26</v>
      </c>
      <c r="E10" s="26" t="s">
        <v>12</v>
      </c>
      <c r="F10" s="26">
        <v>40</v>
      </c>
      <c r="G10" s="26">
        <v>1</v>
      </c>
      <c r="I10" s="51"/>
      <c r="J10" s="50"/>
      <c r="K10" s="49" t="s">
        <v>0</v>
      </c>
      <c r="L10" s="49"/>
      <c r="M10" s="38" t="s">
        <v>1</v>
      </c>
      <c r="N10" s="38"/>
      <c r="O10" s="38" t="s">
        <v>2</v>
      </c>
      <c r="P10" s="38"/>
    </row>
    <row r="11" spans="1:17" x14ac:dyDescent="0.3">
      <c r="A11" s="26">
        <v>2</v>
      </c>
      <c r="B11" s="26">
        <v>0</v>
      </c>
      <c r="C11" s="26" t="s">
        <v>12</v>
      </c>
      <c r="D11" s="26">
        <v>41</v>
      </c>
      <c r="E11" s="26" t="s">
        <v>12</v>
      </c>
      <c r="F11" s="26">
        <v>15</v>
      </c>
      <c r="G11" s="26">
        <v>0</v>
      </c>
      <c r="I11" s="42"/>
      <c r="J11" s="41"/>
      <c r="K11" s="49"/>
      <c r="L11" s="49"/>
      <c r="M11" s="38"/>
      <c r="N11" s="38"/>
      <c r="O11" s="38"/>
      <c r="P11" s="38"/>
      <c r="Q11" s="48" t="s">
        <v>3</v>
      </c>
    </row>
    <row r="12" spans="1:17" x14ac:dyDescent="0.3">
      <c r="A12" s="26">
        <v>2</v>
      </c>
      <c r="B12" s="26">
        <v>0</v>
      </c>
      <c r="C12" s="26" t="s">
        <v>12</v>
      </c>
      <c r="D12" s="26">
        <v>44</v>
      </c>
      <c r="E12" s="26" t="s">
        <v>12</v>
      </c>
      <c r="F12" s="26">
        <v>4</v>
      </c>
      <c r="G12" s="26">
        <v>0</v>
      </c>
      <c r="I12" s="38" t="s">
        <v>4</v>
      </c>
      <c r="J12" s="38"/>
      <c r="K12" s="37">
        <f>COUNTIF($G$1:$G$100, 0)</f>
        <v>36</v>
      </c>
      <c r="L12" s="37"/>
      <c r="M12" s="37">
        <f>COUNTIFS($G$1:$G$100, 0, $B$1:$B$100, 0)</f>
        <v>20</v>
      </c>
      <c r="N12" s="37"/>
      <c r="O12" s="39">
        <f>COUNTIFS($G$1:$G$100, 0, $B$1:$B$100, 1)</f>
        <v>16</v>
      </c>
      <c r="P12" s="35"/>
      <c r="Q12" s="47" cm="1">
        <f t="array" ref="Q12">SUMPRODUCT(--($D$1:$D$100=$G$1:$G$100))</f>
        <v>0</v>
      </c>
    </row>
    <row r="13" spans="1:17" x14ac:dyDescent="0.3">
      <c r="A13" s="26">
        <v>2</v>
      </c>
      <c r="B13" s="26">
        <v>0</v>
      </c>
      <c r="C13" s="26" t="s">
        <v>12</v>
      </c>
      <c r="D13" s="26">
        <v>38</v>
      </c>
      <c r="E13" s="26" t="s">
        <v>12</v>
      </c>
      <c r="F13" s="26">
        <v>12</v>
      </c>
      <c r="G13" s="26">
        <v>0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12</v>
      </c>
      <c r="D14" s="26">
        <v>22</v>
      </c>
      <c r="E14" s="26" t="s">
        <v>12</v>
      </c>
      <c r="F14" s="26">
        <v>55</v>
      </c>
      <c r="G14" s="26">
        <v>1</v>
      </c>
      <c r="I14" s="38" t="s">
        <v>5</v>
      </c>
      <c r="J14" s="38"/>
      <c r="K14" s="34">
        <f>COUNTIF($G$1:$G$100, 1)</f>
        <v>64</v>
      </c>
      <c r="L14" s="37"/>
      <c r="M14" s="37">
        <f>COUNTIFS($G$1:$G$100, 1, $B$1:$B$100, 0)</f>
        <v>30</v>
      </c>
      <c r="N14" s="37"/>
      <c r="O14" s="37">
        <f>COUNTIFS($G$1:$G$100, 1, $B$1:$B$100, 1)</f>
        <v>34</v>
      </c>
      <c r="P14" s="33"/>
    </row>
    <row r="15" spans="1:17" x14ac:dyDescent="0.3">
      <c r="A15" s="26">
        <v>2</v>
      </c>
      <c r="B15" s="26">
        <v>0</v>
      </c>
      <c r="C15" s="26" t="s">
        <v>12</v>
      </c>
      <c r="D15" s="26">
        <v>17</v>
      </c>
      <c r="E15" s="26" t="s">
        <v>12</v>
      </c>
      <c r="F15" s="26">
        <v>16</v>
      </c>
      <c r="G15" s="26">
        <v>0</v>
      </c>
      <c r="I15" s="38"/>
      <c r="J15" s="38"/>
      <c r="K15" s="30"/>
      <c r="L15" s="46"/>
      <c r="M15" s="46"/>
      <c r="N15" s="46"/>
      <c r="O15" s="46"/>
      <c r="P15" s="29"/>
    </row>
    <row r="16" spans="1:17" x14ac:dyDescent="0.3">
      <c r="A16" s="26">
        <v>2</v>
      </c>
      <c r="B16" s="26">
        <v>0</v>
      </c>
      <c r="C16" s="26" t="s">
        <v>12</v>
      </c>
      <c r="D16" s="26">
        <v>30</v>
      </c>
      <c r="E16" s="26" t="s">
        <v>12</v>
      </c>
      <c r="F16" s="26">
        <v>25</v>
      </c>
      <c r="G16" s="26">
        <v>0</v>
      </c>
      <c r="I16" s="45"/>
      <c r="J16" s="45"/>
      <c r="K16" s="45"/>
      <c r="L16" s="45"/>
      <c r="M16" s="45"/>
      <c r="N16" s="45"/>
      <c r="O16" s="45"/>
      <c r="P16" s="45"/>
    </row>
    <row r="17" spans="1:16" x14ac:dyDescent="0.3">
      <c r="A17" s="26">
        <v>2</v>
      </c>
      <c r="B17" s="26">
        <v>0</v>
      </c>
      <c r="C17" s="26" t="s">
        <v>12</v>
      </c>
      <c r="D17" s="26">
        <v>24</v>
      </c>
      <c r="E17" s="26" t="s">
        <v>12</v>
      </c>
      <c r="F17" s="26">
        <v>33</v>
      </c>
      <c r="G17" s="26">
        <v>1</v>
      </c>
      <c r="I17" s="44"/>
      <c r="J17" s="43"/>
      <c r="K17" s="40" t="s">
        <v>0</v>
      </c>
      <c r="L17" s="40"/>
      <c r="M17" s="40" t="s">
        <v>6</v>
      </c>
      <c r="N17" s="40"/>
      <c r="O17" s="40" t="s">
        <v>7</v>
      </c>
      <c r="P17" s="40"/>
    </row>
    <row r="18" spans="1:16" x14ac:dyDescent="0.3">
      <c r="A18" s="26">
        <v>2</v>
      </c>
      <c r="B18" s="26">
        <v>0</v>
      </c>
      <c r="C18" s="26" t="s">
        <v>12</v>
      </c>
      <c r="D18" s="26">
        <v>17</v>
      </c>
      <c r="E18" s="26" t="s">
        <v>12</v>
      </c>
      <c r="F18" s="26">
        <v>39</v>
      </c>
      <c r="G18" s="26">
        <v>1</v>
      </c>
      <c r="I18" s="42"/>
      <c r="J18" s="41"/>
      <c r="K18" s="40"/>
      <c r="L18" s="40"/>
      <c r="M18" s="40"/>
      <c r="N18" s="40"/>
      <c r="O18" s="40"/>
      <c r="P18" s="40"/>
    </row>
    <row r="19" spans="1:16" x14ac:dyDescent="0.3">
      <c r="A19" s="26">
        <v>2</v>
      </c>
      <c r="B19" s="26">
        <v>0</v>
      </c>
      <c r="C19" s="26" t="s">
        <v>12</v>
      </c>
      <c r="D19" s="26">
        <v>5</v>
      </c>
      <c r="E19" s="26" t="s">
        <v>12</v>
      </c>
      <c r="F19" s="26">
        <v>2</v>
      </c>
      <c r="G19" s="26">
        <v>0</v>
      </c>
      <c r="I19" s="38" t="s">
        <v>8</v>
      </c>
      <c r="J19" s="38"/>
      <c r="K19" s="37">
        <f>AVERAGE($D$1:$D$100,)</f>
        <v>23.564356435643564</v>
      </c>
      <c r="L19" s="37"/>
      <c r="M19" s="37" cm="1">
        <f t="array" ref="M19">AVERAGE(_xlfn._xlws.FILTER($D$1:$D$100,$G$1:$G$100 = 0))</f>
        <v>30.694444444444443</v>
      </c>
      <c r="N19" s="37"/>
      <c r="O19" s="39" cm="1">
        <f t="array" ref="O19">AVERAGE(_xlfn._xlws.FILTER($D$1:$D$100,$G$1:$G$100 = 1))</f>
        <v>19.921875</v>
      </c>
      <c r="P19" s="35"/>
    </row>
    <row r="20" spans="1:16" x14ac:dyDescent="0.3">
      <c r="A20" s="26">
        <v>2</v>
      </c>
      <c r="B20" s="26">
        <v>0</v>
      </c>
      <c r="C20" s="26" t="s">
        <v>12</v>
      </c>
      <c r="D20" s="26">
        <v>38</v>
      </c>
      <c r="E20" s="26" t="s">
        <v>12</v>
      </c>
      <c r="F20" s="26">
        <v>46</v>
      </c>
      <c r="G20" s="26">
        <v>1</v>
      </c>
      <c r="I20" s="38"/>
      <c r="J20" s="38"/>
      <c r="K20" s="37"/>
      <c r="L20" s="37"/>
      <c r="M20" s="37"/>
      <c r="N20" s="37"/>
      <c r="O20" s="37"/>
      <c r="P20" s="33"/>
    </row>
    <row r="21" spans="1:16" x14ac:dyDescent="0.3">
      <c r="A21" s="26">
        <v>2</v>
      </c>
      <c r="B21" s="26">
        <v>0</v>
      </c>
      <c r="C21" s="26" t="s">
        <v>12</v>
      </c>
      <c r="D21" s="26">
        <v>46</v>
      </c>
      <c r="E21" s="26" t="s">
        <v>12</v>
      </c>
      <c r="F21" s="26">
        <v>56</v>
      </c>
      <c r="G21" s="26">
        <v>1</v>
      </c>
      <c r="I21" s="38" t="s">
        <v>9</v>
      </c>
      <c r="J21" s="38"/>
      <c r="K21" s="37">
        <f>AVERAGE($F$1:$F$100,)</f>
        <v>30.029702970297031</v>
      </c>
      <c r="L21" s="37"/>
      <c r="M21" s="37" cm="1">
        <f t="array" ref="M21">AVERAGE(_xlfn._xlws.FILTER($F$1:$F$100,$G$1:$G$100 = 0))</f>
        <v>18.444444444444443</v>
      </c>
      <c r="N21" s="37"/>
      <c r="O21" s="37" cm="1">
        <f t="array" ref="O21">AVERAGE(_xlfn._xlws.FILTER($F$1:$F$100,$G$1:$G$100 = 1))</f>
        <v>37.015625</v>
      </c>
      <c r="P21" s="33"/>
    </row>
    <row r="22" spans="1:16" x14ac:dyDescent="0.3">
      <c r="A22" s="26">
        <v>2</v>
      </c>
      <c r="B22" s="26">
        <v>0</v>
      </c>
      <c r="C22" s="26" t="s">
        <v>12</v>
      </c>
      <c r="D22" s="26">
        <v>29</v>
      </c>
      <c r="E22" s="26" t="s">
        <v>12</v>
      </c>
      <c r="F22" s="26">
        <v>8</v>
      </c>
      <c r="G22" s="26">
        <v>0</v>
      </c>
      <c r="I22" s="38"/>
      <c r="J22" s="38"/>
      <c r="K22" s="37"/>
      <c r="L22" s="37"/>
      <c r="M22" s="37"/>
      <c r="N22" s="37"/>
      <c r="O22" s="37"/>
      <c r="P22" s="33"/>
    </row>
    <row r="23" spans="1:16" x14ac:dyDescent="0.3">
      <c r="A23" s="26">
        <v>2</v>
      </c>
      <c r="B23" s="26">
        <v>0</v>
      </c>
      <c r="C23" s="26" t="s">
        <v>12</v>
      </c>
      <c r="D23" s="26">
        <v>20</v>
      </c>
      <c r="E23" s="26" t="s">
        <v>12</v>
      </c>
      <c r="F23" s="26">
        <v>46</v>
      </c>
      <c r="G23" s="26">
        <v>1</v>
      </c>
      <c r="I23" s="36" t="s">
        <v>10</v>
      </c>
      <c r="J23" s="35"/>
      <c r="K23" s="32" cm="1">
        <f t="array" ref="K23">AVERAGE($D$1:$D$100 - $F$1:$F$100)</f>
        <v>-6.53</v>
      </c>
      <c r="L23" s="32"/>
      <c r="M23" s="32" cm="1">
        <f t="array" ref="M23">AVERAGE(_xlfn._xlws.FILTER($D$1:$D$100 - $F$1:$F$100, G$1:G$100 = 0))</f>
        <v>12.25</v>
      </c>
      <c r="N23" s="32"/>
      <c r="O23" s="32" cm="1">
        <f t="array" ref="O23">AVERAGE(_xlfn._xlws.FILTER($D$1:$D$100 - $F$1:$F$100, G$1:G$100 = 1))</f>
        <v>-17.09375</v>
      </c>
      <c r="P23" s="31"/>
    </row>
    <row r="24" spans="1:16" x14ac:dyDescent="0.3">
      <c r="A24" s="26">
        <v>2</v>
      </c>
      <c r="B24" s="26">
        <v>0</v>
      </c>
      <c r="C24" s="26" t="s">
        <v>12</v>
      </c>
      <c r="D24" s="26">
        <v>32</v>
      </c>
      <c r="E24" s="26" t="s">
        <v>12</v>
      </c>
      <c r="F24" s="26">
        <v>41</v>
      </c>
      <c r="G24" s="26">
        <v>1</v>
      </c>
      <c r="I24" s="34"/>
      <c r="J24" s="33"/>
      <c r="K24" s="32"/>
      <c r="L24" s="32"/>
      <c r="M24" s="32"/>
      <c r="N24" s="32"/>
      <c r="O24" s="32"/>
      <c r="P24" s="31"/>
    </row>
    <row r="25" spans="1:16" x14ac:dyDescent="0.3">
      <c r="A25" s="26">
        <v>2</v>
      </c>
      <c r="B25" s="26">
        <v>0</v>
      </c>
      <c r="C25" s="26" t="s">
        <v>12</v>
      </c>
      <c r="D25" s="26">
        <v>28</v>
      </c>
      <c r="E25" s="26" t="s">
        <v>12</v>
      </c>
      <c r="F25" s="26">
        <v>2</v>
      </c>
      <c r="G25" s="26">
        <v>0</v>
      </c>
      <c r="I25" s="30"/>
      <c r="J25" s="29"/>
      <c r="K25" s="28"/>
      <c r="L25" s="28"/>
      <c r="M25" s="28"/>
      <c r="N25" s="28"/>
      <c r="O25" s="28"/>
      <c r="P25" s="27"/>
    </row>
    <row r="26" spans="1:16" x14ac:dyDescent="0.3">
      <c r="A26" s="26">
        <v>2</v>
      </c>
      <c r="B26" s="26">
        <v>0</v>
      </c>
      <c r="C26" s="26" t="s">
        <v>12</v>
      </c>
      <c r="D26" s="26">
        <v>12</v>
      </c>
      <c r="E26" s="26" t="s">
        <v>12</v>
      </c>
      <c r="F26" s="26">
        <v>31</v>
      </c>
      <c r="G26" s="26">
        <v>1</v>
      </c>
    </row>
    <row r="27" spans="1:16" x14ac:dyDescent="0.3">
      <c r="A27" s="26">
        <v>2</v>
      </c>
      <c r="B27" s="26">
        <v>0</v>
      </c>
      <c r="C27" s="26" t="s">
        <v>12</v>
      </c>
      <c r="D27" s="26">
        <v>13</v>
      </c>
      <c r="E27" s="26" t="s">
        <v>12</v>
      </c>
      <c r="F27" s="26">
        <v>6</v>
      </c>
      <c r="G27" s="26">
        <v>0</v>
      </c>
    </row>
    <row r="28" spans="1:16" x14ac:dyDescent="0.3">
      <c r="A28" s="26">
        <v>2</v>
      </c>
      <c r="B28" s="26">
        <v>0</v>
      </c>
      <c r="C28" s="26" t="s">
        <v>12</v>
      </c>
      <c r="D28" s="26">
        <v>42</v>
      </c>
      <c r="E28" s="26" t="s">
        <v>12</v>
      </c>
      <c r="F28" s="26">
        <v>30</v>
      </c>
      <c r="G28" s="26">
        <v>0</v>
      </c>
    </row>
    <row r="29" spans="1:16" x14ac:dyDescent="0.3">
      <c r="A29" s="26">
        <v>2</v>
      </c>
      <c r="B29" s="26">
        <v>0</v>
      </c>
      <c r="C29" s="26" t="s">
        <v>12</v>
      </c>
      <c r="D29" s="26">
        <v>15</v>
      </c>
      <c r="E29" s="26" t="s">
        <v>12</v>
      </c>
      <c r="F29" s="26">
        <v>33</v>
      </c>
      <c r="G29" s="26">
        <v>1</v>
      </c>
    </row>
    <row r="30" spans="1:16" x14ac:dyDescent="0.3">
      <c r="A30" s="26">
        <v>2</v>
      </c>
      <c r="B30" s="26">
        <v>0</v>
      </c>
      <c r="C30" s="26" t="s">
        <v>12</v>
      </c>
      <c r="D30" s="26">
        <v>13</v>
      </c>
      <c r="E30" s="26" t="s">
        <v>12</v>
      </c>
      <c r="F30" s="26">
        <v>3</v>
      </c>
      <c r="G30" s="26">
        <v>0</v>
      </c>
    </row>
    <row r="31" spans="1:16" x14ac:dyDescent="0.3">
      <c r="A31" s="26">
        <v>2</v>
      </c>
      <c r="B31" s="26">
        <v>0</v>
      </c>
      <c r="C31" s="26" t="s">
        <v>12</v>
      </c>
      <c r="D31" s="26">
        <v>20</v>
      </c>
      <c r="E31" s="26" t="s">
        <v>12</v>
      </c>
      <c r="F31" s="26">
        <v>2</v>
      </c>
      <c r="G31" s="26">
        <v>0</v>
      </c>
    </row>
    <row r="32" spans="1:16" x14ac:dyDescent="0.3">
      <c r="A32" s="26">
        <v>2</v>
      </c>
      <c r="B32" s="26">
        <v>0</v>
      </c>
      <c r="C32" s="26" t="s">
        <v>12</v>
      </c>
      <c r="D32" s="26">
        <v>13</v>
      </c>
      <c r="E32" s="26" t="s">
        <v>12</v>
      </c>
      <c r="F32" s="26">
        <v>26</v>
      </c>
      <c r="G32" s="26">
        <v>1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20</v>
      </c>
      <c r="E33" s="26" t="s">
        <v>12</v>
      </c>
      <c r="F33" s="26">
        <v>16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30</v>
      </c>
      <c r="E34" s="26" t="s">
        <v>12</v>
      </c>
      <c r="F34" s="26">
        <v>13</v>
      </c>
      <c r="G34" s="26">
        <v>0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23</v>
      </c>
      <c r="E35" s="26" t="s">
        <v>12</v>
      </c>
      <c r="F35" s="26">
        <v>26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37</v>
      </c>
      <c r="E36" s="26" t="s">
        <v>12</v>
      </c>
      <c r="F36" s="26">
        <v>33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40</v>
      </c>
      <c r="E37" s="26" t="s">
        <v>12</v>
      </c>
      <c r="F37" s="26">
        <v>44</v>
      </c>
      <c r="G37" s="26">
        <v>1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41</v>
      </c>
      <c r="E38" s="26" t="s">
        <v>12</v>
      </c>
      <c r="F38" s="26">
        <v>18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3</v>
      </c>
      <c r="E39" s="26" t="s">
        <v>12</v>
      </c>
      <c r="F39" s="26">
        <v>29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5</v>
      </c>
      <c r="E40" s="26" t="s">
        <v>12</v>
      </c>
      <c r="F40" s="26">
        <v>24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13</v>
      </c>
      <c r="E41" s="26" t="s">
        <v>12</v>
      </c>
      <c r="F41" s="26">
        <v>27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20</v>
      </c>
      <c r="E42" s="26" t="s">
        <v>12</v>
      </c>
      <c r="F42" s="26">
        <v>23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16</v>
      </c>
      <c r="E43" s="26" t="s">
        <v>12</v>
      </c>
      <c r="F43" s="26">
        <v>50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38</v>
      </c>
      <c r="E44" s="26" t="s">
        <v>12</v>
      </c>
      <c r="F44" s="26">
        <v>25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32</v>
      </c>
      <c r="E45" s="26" t="s">
        <v>12</v>
      </c>
      <c r="F45" s="26">
        <v>43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32</v>
      </c>
      <c r="E46" s="26" t="s">
        <v>12</v>
      </c>
      <c r="F46" s="26">
        <v>40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26</v>
      </c>
      <c r="E47" s="26" t="s">
        <v>12</v>
      </c>
      <c r="F47" s="26">
        <v>39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20</v>
      </c>
      <c r="E48" s="26" t="s">
        <v>12</v>
      </c>
      <c r="F48" s="26">
        <v>23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23</v>
      </c>
      <c r="E49" s="26" t="s">
        <v>12</v>
      </c>
      <c r="F49" s="26">
        <v>18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31</v>
      </c>
      <c r="E50" s="26" t="s">
        <v>12</v>
      </c>
      <c r="F50" s="26">
        <v>45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35</v>
      </c>
      <c r="E51" s="26" t="s">
        <v>12</v>
      </c>
      <c r="F51" s="26">
        <v>40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18</v>
      </c>
      <c r="E52" s="26" t="s">
        <v>12</v>
      </c>
      <c r="F52" s="26">
        <v>47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2</v>
      </c>
      <c r="E53" s="26" t="s">
        <v>12</v>
      </c>
      <c r="F53" s="26">
        <v>41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12</v>
      </c>
      <c r="E54" s="26" t="s">
        <v>12</v>
      </c>
      <c r="F54" s="26">
        <v>13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36</v>
      </c>
      <c r="E55" s="26" t="s">
        <v>12</v>
      </c>
      <c r="F55" s="26">
        <v>32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13</v>
      </c>
      <c r="E56" s="26" t="s">
        <v>12</v>
      </c>
      <c r="F56" s="26">
        <v>77</v>
      </c>
      <c r="G56" s="26">
        <v>1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26</v>
      </c>
      <c r="E57" s="26" t="s">
        <v>12</v>
      </c>
      <c r="F57" s="26">
        <v>48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14</v>
      </c>
      <c r="E58" s="26" t="s">
        <v>12</v>
      </c>
      <c r="F58" s="26">
        <v>21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17</v>
      </c>
      <c r="E59" s="26" t="s">
        <v>12</v>
      </c>
      <c r="F59" s="26">
        <v>32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14</v>
      </c>
      <c r="E60" s="26" t="s">
        <v>12</v>
      </c>
      <c r="F60" s="26">
        <v>50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29</v>
      </c>
      <c r="E61" s="26" t="s">
        <v>12</v>
      </c>
      <c r="F61" s="26">
        <v>33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39</v>
      </c>
      <c r="E62" s="26" t="s">
        <v>12</v>
      </c>
      <c r="F62" s="26">
        <v>17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8</v>
      </c>
      <c r="E63" s="26" t="s">
        <v>12</v>
      </c>
      <c r="F63" s="26">
        <v>50</v>
      </c>
      <c r="G63" s="26">
        <v>1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15</v>
      </c>
      <c r="E64" s="26" t="s">
        <v>12</v>
      </c>
      <c r="F64" s="26">
        <v>4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20</v>
      </c>
      <c r="E65" s="26" t="s">
        <v>12</v>
      </c>
      <c r="F65" s="26">
        <v>39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24</v>
      </c>
      <c r="E66" s="26" t="s">
        <v>12</v>
      </c>
      <c r="F66" s="26">
        <v>23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4</v>
      </c>
      <c r="E67" s="26" t="s">
        <v>12</v>
      </c>
      <c r="F67" s="26">
        <v>8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3</v>
      </c>
      <c r="E68" s="26" t="s">
        <v>12</v>
      </c>
      <c r="F68" s="26">
        <v>36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36</v>
      </c>
      <c r="E69" s="26" t="s">
        <v>12</v>
      </c>
      <c r="F69" s="26">
        <v>14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24</v>
      </c>
      <c r="E70" s="26" t="s">
        <v>12</v>
      </c>
      <c r="F70" s="26">
        <v>39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2</v>
      </c>
      <c r="E71" s="26" t="s">
        <v>12</v>
      </c>
      <c r="F71" s="26">
        <v>56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15</v>
      </c>
      <c r="E72" s="26" t="s">
        <v>12</v>
      </c>
      <c r="F72" s="26">
        <v>25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2</v>
      </c>
      <c r="E73" s="26" t="s">
        <v>12</v>
      </c>
      <c r="F73" s="26">
        <v>21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41</v>
      </c>
      <c r="E74" s="26" t="s">
        <v>12</v>
      </c>
      <c r="F74" s="26">
        <v>21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18</v>
      </c>
      <c r="E75" s="26" t="s">
        <v>12</v>
      </c>
      <c r="F75" s="26">
        <v>34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50</v>
      </c>
      <c r="E76" s="26" t="s">
        <v>12</v>
      </c>
      <c r="F76" s="26">
        <v>44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27</v>
      </c>
      <c r="E77" s="26" t="s">
        <v>12</v>
      </c>
      <c r="F77" s="26">
        <v>46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16</v>
      </c>
      <c r="E78" s="26" t="s">
        <v>12</v>
      </c>
      <c r="F78" s="26">
        <v>33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13</v>
      </c>
      <c r="E79" s="26" t="s">
        <v>12</v>
      </c>
      <c r="F79" s="26">
        <v>32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33</v>
      </c>
      <c r="E80" s="26" t="s">
        <v>12</v>
      </c>
      <c r="F80" s="26">
        <v>27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36</v>
      </c>
      <c r="E81" s="26" t="s">
        <v>12</v>
      </c>
      <c r="F81" s="26">
        <v>33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2</v>
      </c>
      <c r="E82" s="26" t="s">
        <v>12</v>
      </c>
      <c r="F82" s="26">
        <v>23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10</v>
      </c>
      <c r="E83" s="26" t="s">
        <v>12</v>
      </c>
      <c r="F83" s="26">
        <v>22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27</v>
      </c>
      <c r="E84" s="26" t="s">
        <v>12</v>
      </c>
      <c r="F84" s="26">
        <v>36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43</v>
      </c>
      <c r="E85" s="26" t="s">
        <v>12</v>
      </c>
      <c r="F85" s="26">
        <v>39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16</v>
      </c>
      <c r="E86" s="26" t="s">
        <v>12</v>
      </c>
      <c r="F86" s="26">
        <v>28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31</v>
      </c>
      <c r="E87" s="26" t="s">
        <v>12</v>
      </c>
      <c r="F87" s="26">
        <v>45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28</v>
      </c>
      <c r="E88" s="26" t="s">
        <v>12</v>
      </c>
      <c r="F88" s="26">
        <v>38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27</v>
      </c>
      <c r="E89" s="26" t="s">
        <v>12</v>
      </c>
      <c r="F89" s="26">
        <v>42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4</v>
      </c>
      <c r="E90" s="26" t="s">
        <v>12</v>
      </c>
      <c r="F90" s="26">
        <v>31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42</v>
      </c>
      <c r="E91" s="26" t="s">
        <v>12</v>
      </c>
      <c r="F91" s="26">
        <v>27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34</v>
      </c>
      <c r="E92" s="26" t="s">
        <v>12</v>
      </c>
      <c r="F92" s="26">
        <v>53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41</v>
      </c>
      <c r="E93" s="26" t="s">
        <v>12</v>
      </c>
      <c r="F93" s="26">
        <v>16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30</v>
      </c>
      <c r="E94" s="26" t="s">
        <v>12</v>
      </c>
      <c r="F94" s="26">
        <v>42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24</v>
      </c>
      <c r="E95" s="26" t="s">
        <v>12</v>
      </c>
      <c r="F95" s="26">
        <v>44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16</v>
      </c>
      <c r="E96" s="26" t="s">
        <v>12</v>
      </c>
      <c r="F96" s="26">
        <v>12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20</v>
      </c>
      <c r="E97" s="26" t="s">
        <v>12</v>
      </c>
      <c r="F97" s="26">
        <v>37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32</v>
      </c>
      <c r="E98" s="26" t="s">
        <v>12</v>
      </c>
      <c r="F98" s="26">
        <v>29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30</v>
      </c>
      <c r="E99" s="26" t="s">
        <v>12</v>
      </c>
      <c r="F99" s="26">
        <v>24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28</v>
      </c>
      <c r="E100" s="26" t="s">
        <v>12</v>
      </c>
      <c r="F100" s="26">
        <v>17</v>
      </c>
      <c r="G100" s="26">
        <v>0</v>
      </c>
    </row>
  </sheetData>
  <mergeCells count="26">
    <mergeCell ref="I23:J25"/>
    <mergeCell ref="K23:L25"/>
    <mergeCell ref="M23:N25"/>
    <mergeCell ref="O23:P25"/>
    <mergeCell ref="I19:J20"/>
    <mergeCell ref="K19:L20"/>
    <mergeCell ref="M19:N20"/>
    <mergeCell ref="O19:P20"/>
    <mergeCell ref="I21:J22"/>
    <mergeCell ref="K21:L22"/>
    <mergeCell ref="M21:N22"/>
    <mergeCell ref="O21:P22"/>
    <mergeCell ref="I14:J15"/>
    <mergeCell ref="K14:L15"/>
    <mergeCell ref="M14:N15"/>
    <mergeCell ref="O14:P15"/>
    <mergeCell ref="K17:L18"/>
    <mergeCell ref="M17:N18"/>
    <mergeCell ref="O17:P18"/>
    <mergeCell ref="K10:L11"/>
    <mergeCell ref="M10:N11"/>
    <mergeCell ref="O10:P11"/>
    <mergeCell ref="I12:J13"/>
    <mergeCell ref="K12:L13"/>
    <mergeCell ref="M12:N13"/>
    <mergeCell ref="O12:P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AF4B-AD0F-48DE-A65F-543705E77186}">
  <dimension ref="A1:Q100"/>
  <sheetViews>
    <sheetView workbookViewId="0">
      <selection activeCell="N23" sqref="N23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13</v>
      </c>
      <c r="E1" s="26" t="s">
        <v>11</v>
      </c>
      <c r="F1" s="26">
        <v>44</v>
      </c>
      <c r="G1" s="26">
        <v>1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11</v>
      </c>
      <c r="D2" s="26">
        <v>28</v>
      </c>
      <c r="E2" s="26" t="s">
        <v>11</v>
      </c>
      <c r="F2" s="26">
        <v>4</v>
      </c>
      <c r="G2" s="26">
        <v>0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46</v>
      </c>
      <c r="E3" s="26" t="s">
        <v>11</v>
      </c>
      <c r="F3" s="26">
        <v>3</v>
      </c>
      <c r="G3" s="26">
        <v>0</v>
      </c>
      <c r="I3" s="38" t="s">
        <v>4</v>
      </c>
      <c r="J3" s="38"/>
      <c r="K3" s="37">
        <f>COUNTIF($G$1:$G$100, 0)</f>
        <v>38</v>
      </c>
      <c r="L3" s="37"/>
      <c r="M3" s="37">
        <f>COUNTIFS($G$1:$G$100, 0, $B$1:$B$100, 0)</f>
        <v>20</v>
      </c>
      <c r="N3" s="37"/>
      <c r="O3" s="39">
        <f>COUNTIFS($G$1:$G$100, 0, $B$1:$B$100, 1)</f>
        <v>18</v>
      </c>
      <c r="P3" s="35"/>
      <c r="Q3" s="47" cm="1">
        <f t="array" ref="Q3">SUMPRODUCT(--($D$1:$D$100=$G$1:$G$100))</f>
        <v>3</v>
      </c>
    </row>
    <row r="4" spans="1:17" x14ac:dyDescent="0.3">
      <c r="A4" s="26">
        <v>2</v>
      </c>
      <c r="B4" s="26">
        <v>0</v>
      </c>
      <c r="C4" s="26" t="s">
        <v>11</v>
      </c>
      <c r="D4" s="26">
        <v>22</v>
      </c>
      <c r="E4" s="26" t="s">
        <v>11</v>
      </c>
      <c r="F4" s="26">
        <v>29</v>
      </c>
      <c r="G4" s="26">
        <v>1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11</v>
      </c>
      <c r="D5" s="26">
        <v>17</v>
      </c>
      <c r="E5" s="26" t="s">
        <v>11</v>
      </c>
      <c r="F5" s="26">
        <v>27</v>
      </c>
      <c r="G5" s="26">
        <v>1</v>
      </c>
      <c r="I5" s="38" t="s">
        <v>5</v>
      </c>
      <c r="J5" s="38"/>
      <c r="K5" s="34">
        <f>COUNTIF($G$1:$G$100, 1)</f>
        <v>62</v>
      </c>
      <c r="L5" s="37"/>
      <c r="M5" s="37">
        <f>COUNTIFS($G$1:$G$100, 1, $B$1:$B$100, 0)</f>
        <v>30</v>
      </c>
      <c r="N5" s="37"/>
      <c r="O5" s="37">
        <f>COUNTIFS($G$1:$G$100, 1, $B$1:$B$100, 1)</f>
        <v>32</v>
      </c>
      <c r="P5" s="33"/>
    </row>
    <row r="6" spans="1:17" x14ac:dyDescent="0.3">
      <c r="A6" s="26">
        <v>2</v>
      </c>
      <c r="B6" s="26">
        <v>0</v>
      </c>
      <c r="C6" s="26" t="s">
        <v>11</v>
      </c>
      <c r="D6" s="26">
        <v>36</v>
      </c>
      <c r="E6" s="26" t="s">
        <v>11</v>
      </c>
      <c r="F6" s="26">
        <v>8</v>
      </c>
      <c r="G6" s="26">
        <v>0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11</v>
      </c>
      <c r="D7" s="26">
        <v>38</v>
      </c>
      <c r="E7" s="26" t="s">
        <v>11</v>
      </c>
      <c r="F7" s="26">
        <v>2</v>
      </c>
      <c r="G7" s="26">
        <v>0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11</v>
      </c>
      <c r="D8" s="26">
        <v>2</v>
      </c>
      <c r="E8" s="26" t="s">
        <v>11</v>
      </c>
      <c r="F8" s="26">
        <v>36</v>
      </c>
      <c r="G8" s="26">
        <v>1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11</v>
      </c>
      <c r="D9" s="26">
        <v>18</v>
      </c>
      <c r="E9" s="26" t="s">
        <v>11</v>
      </c>
      <c r="F9" s="26">
        <v>36</v>
      </c>
      <c r="G9" s="26">
        <v>1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11</v>
      </c>
      <c r="D10" s="26">
        <v>45</v>
      </c>
      <c r="E10" s="26" t="s">
        <v>11</v>
      </c>
      <c r="F10" s="26">
        <v>22</v>
      </c>
      <c r="G10" s="26">
        <v>0</v>
      </c>
      <c r="I10" s="38" t="s">
        <v>8</v>
      </c>
      <c r="J10" s="38"/>
      <c r="K10" s="37">
        <f>AVERAGE($D$1:$D$100,)</f>
        <v>19.138613861386137</v>
      </c>
      <c r="L10" s="37"/>
      <c r="M10" s="37" cm="1">
        <f t="array" ref="M10">AVERAGE(_xlfn._xlws.FILTER($D$1:$D$100,$G$1:$G$100 = 0))</f>
        <v>30.842105263157894</v>
      </c>
      <c r="N10" s="37"/>
      <c r="O10" s="39" cm="1">
        <f t="array" ref="O10">AVERAGE(_xlfn._xlws.FILTER($D$1:$D$100,$G$1:$G$100 = 1))</f>
        <v>12.274193548387096</v>
      </c>
      <c r="P10" s="35"/>
    </row>
    <row r="11" spans="1:17" x14ac:dyDescent="0.3">
      <c r="A11" s="26">
        <v>2</v>
      </c>
      <c r="B11" s="26">
        <v>0</v>
      </c>
      <c r="C11" s="26" t="s">
        <v>11</v>
      </c>
      <c r="D11" s="26">
        <v>9</v>
      </c>
      <c r="E11" s="26" t="s">
        <v>11</v>
      </c>
      <c r="F11" s="26">
        <v>50</v>
      </c>
      <c r="G11" s="26">
        <v>1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11</v>
      </c>
      <c r="D12" s="26">
        <v>41</v>
      </c>
      <c r="E12" s="26" t="s">
        <v>11</v>
      </c>
      <c r="F12" s="26">
        <v>15</v>
      </c>
      <c r="G12" s="26">
        <v>0</v>
      </c>
      <c r="I12" s="38" t="s">
        <v>9</v>
      </c>
      <c r="J12" s="38"/>
      <c r="K12" s="37">
        <f>AVERAGE($F$1:$F$100,)</f>
        <v>23.03960396039604</v>
      </c>
      <c r="L12" s="37"/>
      <c r="M12" s="37" cm="1">
        <f t="array" ref="M12">AVERAGE(_xlfn._xlws.FILTER($F$1:$F$100,$G$1:$G$100 = 0))</f>
        <v>12.263157894736842</v>
      </c>
      <c r="N12" s="37"/>
      <c r="O12" s="37" cm="1">
        <f t="array" ref="O12">AVERAGE(_xlfn._xlws.FILTER($F$1:$F$100,$G$1:$G$100 = 1))</f>
        <v>30.016129032258064</v>
      </c>
      <c r="P12" s="33"/>
    </row>
    <row r="13" spans="1:17" x14ac:dyDescent="0.3">
      <c r="A13" s="26">
        <v>2</v>
      </c>
      <c r="B13" s="26">
        <v>0</v>
      </c>
      <c r="C13" s="26" t="s">
        <v>11</v>
      </c>
      <c r="D13" s="26">
        <v>27</v>
      </c>
      <c r="E13" s="26" t="s">
        <v>11</v>
      </c>
      <c r="F13" s="26">
        <v>35</v>
      </c>
      <c r="G13" s="26">
        <v>1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11</v>
      </c>
      <c r="D14" s="26">
        <v>2</v>
      </c>
      <c r="E14" s="26" t="s">
        <v>11</v>
      </c>
      <c r="F14" s="26">
        <v>13</v>
      </c>
      <c r="G14" s="26">
        <v>1</v>
      </c>
      <c r="I14" s="36" t="s">
        <v>10</v>
      </c>
      <c r="J14" s="35"/>
      <c r="K14" s="32" cm="1">
        <f t="array" ref="K14">AVERAGE($D$1:$D$100 - $F$1:$F$100)</f>
        <v>-3.94</v>
      </c>
      <c r="L14" s="32"/>
      <c r="M14" s="32" cm="1">
        <f t="array" ref="M14">AVERAGE(_xlfn._xlws.FILTER($D$1:$D$100 - $F$1:$F$100, G$1:G$100 = 0))</f>
        <v>18.578947368421051</v>
      </c>
      <c r="N14" s="32"/>
      <c r="O14" s="32" cm="1">
        <f t="array" ref="O14">AVERAGE(_xlfn._xlws.FILTER($D$1:$D$100 - $F$1:$F$100, G$1:G$100 = 1))</f>
        <v>-17.741935483870968</v>
      </c>
      <c r="P14" s="31"/>
    </row>
    <row r="15" spans="1:17" x14ac:dyDescent="0.3">
      <c r="A15" s="26">
        <v>2</v>
      </c>
      <c r="B15" s="26">
        <v>0</v>
      </c>
      <c r="C15" s="26" t="s">
        <v>11</v>
      </c>
      <c r="D15" s="26">
        <v>43</v>
      </c>
      <c r="E15" s="26" t="s">
        <v>11</v>
      </c>
      <c r="F15" s="26">
        <v>26</v>
      </c>
      <c r="G15" s="26">
        <v>0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11</v>
      </c>
      <c r="D16" s="26">
        <v>3</v>
      </c>
      <c r="E16" s="26" t="s">
        <v>11</v>
      </c>
      <c r="F16" s="26">
        <v>34</v>
      </c>
      <c r="G16" s="26">
        <v>1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11</v>
      </c>
      <c r="D17" s="26">
        <v>10</v>
      </c>
      <c r="E17" s="26" t="s">
        <v>11</v>
      </c>
      <c r="F17" s="26">
        <v>22</v>
      </c>
      <c r="G17" s="26">
        <v>1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2</v>
      </c>
      <c r="E18" s="26" t="s">
        <v>11</v>
      </c>
      <c r="F18" s="26">
        <v>25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34</v>
      </c>
      <c r="E19" s="26" t="s">
        <v>11</v>
      </c>
      <c r="F19" s="26">
        <v>2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13</v>
      </c>
      <c r="E20" s="26" t="s">
        <v>11</v>
      </c>
      <c r="F20" s="26">
        <v>23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48</v>
      </c>
      <c r="E21" s="26" t="s">
        <v>11</v>
      </c>
      <c r="F21" s="26">
        <v>5</v>
      </c>
      <c r="G21" s="26">
        <v>0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18</v>
      </c>
      <c r="E22" s="26" t="s">
        <v>11</v>
      </c>
      <c r="F22" s="26">
        <v>11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14</v>
      </c>
      <c r="E23" s="26" t="s">
        <v>11</v>
      </c>
      <c r="F23" s="26">
        <v>38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52</v>
      </c>
      <c r="E24" s="26" t="s">
        <v>11</v>
      </c>
      <c r="F24" s="26">
        <v>53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22</v>
      </c>
      <c r="E25" s="26" t="s">
        <v>11</v>
      </c>
      <c r="F25" s="26">
        <v>0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2</v>
      </c>
      <c r="E26" s="26" t="s">
        <v>11</v>
      </c>
      <c r="F26" s="26">
        <v>37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45</v>
      </c>
      <c r="E27" s="26" t="s">
        <v>11</v>
      </c>
      <c r="F27" s="26">
        <v>24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32</v>
      </c>
      <c r="E28" s="26" t="s">
        <v>11</v>
      </c>
      <c r="F28" s="26">
        <v>39</v>
      </c>
      <c r="G28" s="26">
        <v>1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6</v>
      </c>
      <c r="E29" s="26" t="s">
        <v>11</v>
      </c>
      <c r="F29" s="26">
        <v>28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12</v>
      </c>
      <c r="E30" s="26" t="s">
        <v>11</v>
      </c>
      <c r="F30" s="26">
        <v>34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21</v>
      </c>
      <c r="E31" s="26" t="s">
        <v>11</v>
      </c>
      <c r="F31" s="26">
        <v>12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39</v>
      </c>
      <c r="E32" s="26" t="s">
        <v>11</v>
      </c>
      <c r="F32" s="26">
        <v>5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10</v>
      </c>
      <c r="E33" s="26" t="s">
        <v>11</v>
      </c>
      <c r="F33" s="26">
        <v>22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5</v>
      </c>
      <c r="E34" s="26" t="s">
        <v>11</v>
      </c>
      <c r="F34" s="26">
        <v>28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11</v>
      </c>
      <c r="E35" s="26" t="s">
        <v>11</v>
      </c>
      <c r="F35" s="26">
        <v>27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6</v>
      </c>
      <c r="E36" s="26" t="s">
        <v>11</v>
      </c>
      <c r="F36" s="26">
        <v>5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59</v>
      </c>
      <c r="E37" s="26" t="s">
        <v>11</v>
      </c>
      <c r="F37" s="26">
        <v>31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35</v>
      </c>
      <c r="E38" s="26" t="s">
        <v>11</v>
      </c>
      <c r="F38" s="26">
        <v>4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6</v>
      </c>
      <c r="E39" s="26" t="s">
        <v>11</v>
      </c>
      <c r="F39" s="26">
        <v>38</v>
      </c>
      <c r="G39" s="26">
        <v>1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36</v>
      </c>
      <c r="E40" s="26" t="s">
        <v>11</v>
      </c>
      <c r="F40" s="26">
        <v>23</v>
      </c>
      <c r="G40" s="26">
        <v>0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1</v>
      </c>
      <c r="E41" s="26" t="s">
        <v>11</v>
      </c>
      <c r="F41" s="26">
        <v>50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13</v>
      </c>
      <c r="E42" s="26" t="s">
        <v>11</v>
      </c>
      <c r="F42" s="26">
        <v>40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33</v>
      </c>
      <c r="E43" s="26" t="s">
        <v>11</v>
      </c>
      <c r="F43" s="26">
        <v>3</v>
      </c>
      <c r="G43" s="26">
        <v>0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46</v>
      </c>
      <c r="E44" s="26" t="s">
        <v>11</v>
      </c>
      <c r="F44" s="26">
        <v>15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20</v>
      </c>
      <c r="E45" s="26" t="s">
        <v>11</v>
      </c>
      <c r="F45" s="26">
        <v>26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3</v>
      </c>
      <c r="E46" s="26" t="s">
        <v>11</v>
      </c>
      <c r="F46" s="26">
        <v>16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1</v>
      </c>
      <c r="E47" s="26" t="s">
        <v>11</v>
      </c>
      <c r="F47" s="26">
        <v>31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19</v>
      </c>
      <c r="E48" s="26" t="s">
        <v>11</v>
      </c>
      <c r="F48" s="26">
        <v>21</v>
      </c>
      <c r="G48" s="26">
        <v>1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32</v>
      </c>
      <c r="E49" s="26" t="s">
        <v>11</v>
      </c>
      <c r="F49" s="26">
        <v>41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16</v>
      </c>
      <c r="E50" s="26" t="s">
        <v>11</v>
      </c>
      <c r="F50" s="26">
        <v>20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42</v>
      </c>
      <c r="E51" s="26" t="s">
        <v>11</v>
      </c>
      <c r="F51" s="26">
        <v>28</v>
      </c>
      <c r="G51" s="26">
        <v>0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7</v>
      </c>
      <c r="E52" s="26" t="s">
        <v>11</v>
      </c>
      <c r="F52" s="26">
        <v>59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2</v>
      </c>
      <c r="E53" s="26" t="s">
        <v>11</v>
      </c>
      <c r="F53" s="26">
        <v>35</v>
      </c>
      <c r="G53" s="26">
        <v>1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15</v>
      </c>
      <c r="E54" s="26" t="s">
        <v>11</v>
      </c>
      <c r="F54" s="26">
        <v>33</v>
      </c>
      <c r="G54" s="26">
        <v>1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7</v>
      </c>
      <c r="E55" s="26" t="s">
        <v>11</v>
      </c>
      <c r="F55" s="26">
        <v>5</v>
      </c>
      <c r="G55" s="26">
        <v>0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26</v>
      </c>
      <c r="E56" s="26" t="s">
        <v>11</v>
      </c>
      <c r="F56" s="26">
        <v>17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10</v>
      </c>
      <c r="E57" s="26" t="s">
        <v>11</v>
      </c>
      <c r="F57" s="26">
        <v>32</v>
      </c>
      <c r="G57" s="26">
        <v>1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20</v>
      </c>
      <c r="E58" s="26" t="s">
        <v>11</v>
      </c>
      <c r="F58" s="26">
        <v>10</v>
      </c>
      <c r="G58" s="26">
        <v>0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15</v>
      </c>
      <c r="E59" s="26" t="s">
        <v>11</v>
      </c>
      <c r="F59" s="26">
        <v>24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20</v>
      </c>
      <c r="E60" s="26" t="s">
        <v>11</v>
      </c>
      <c r="F60" s="26">
        <v>21</v>
      </c>
      <c r="G60" s="26">
        <v>1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11</v>
      </c>
      <c r="E61" s="26" t="s">
        <v>11</v>
      </c>
      <c r="F61" s="26">
        <v>16</v>
      </c>
      <c r="G61" s="26">
        <v>1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26</v>
      </c>
      <c r="E62" s="26" t="s">
        <v>11</v>
      </c>
      <c r="F62" s="26">
        <v>23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6</v>
      </c>
      <c r="E63" s="26" t="s">
        <v>11</v>
      </c>
      <c r="F63" s="26">
        <v>6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16</v>
      </c>
      <c r="E64" s="26" t="s">
        <v>11</v>
      </c>
      <c r="F64" s="26">
        <v>2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5</v>
      </c>
      <c r="E65" s="26" t="s">
        <v>11</v>
      </c>
      <c r="F65" s="26">
        <v>20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2</v>
      </c>
      <c r="E66" s="26" t="s">
        <v>11</v>
      </c>
      <c r="F66" s="26">
        <v>19</v>
      </c>
      <c r="G66" s="26">
        <v>1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16</v>
      </c>
      <c r="E67" s="26" t="s">
        <v>11</v>
      </c>
      <c r="F67" s="26">
        <v>23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36</v>
      </c>
      <c r="E68" s="26" t="s">
        <v>11</v>
      </c>
      <c r="F68" s="26">
        <v>38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34</v>
      </c>
      <c r="E69" s="26" t="s">
        <v>11</v>
      </c>
      <c r="F69" s="26">
        <v>31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2</v>
      </c>
      <c r="E70" s="26" t="s">
        <v>11</v>
      </c>
      <c r="F70" s="26">
        <v>9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18</v>
      </c>
      <c r="E71" s="26" t="s">
        <v>11</v>
      </c>
      <c r="F71" s="26">
        <v>26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55</v>
      </c>
      <c r="E72" s="26" t="s">
        <v>11</v>
      </c>
      <c r="F72" s="26">
        <v>2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12</v>
      </c>
      <c r="E73" s="26" t="s">
        <v>11</v>
      </c>
      <c r="F73" s="26">
        <v>30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54</v>
      </c>
      <c r="E74" s="26" t="s">
        <v>11</v>
      </c>
      <c r="F74" s="26">
        <v>10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13</v>
      </c>
      <c r="E75" s="26" t="s">
        <v>11</v>
      </c>
      <c r="F75" s="26">
        <v>18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1</v>
      </c>
      <c r="E76" s="26" t="s">
        <v>11</v>
      </c>
      <c r="F76" s="26">
        <v>25</v>
      </c>
      <c r="G76" s="26">
        <v>1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0</v>
      </c>
      <c r="E77" s="26" t="s">
        <v>11</v>
      </c>
      <c r="F77" s="26">
        <v>14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14</v>
      </c>
      <c r="E78" s="26" t="s">
        <v>11</v>
      </c>
      <c r="F78" s="26">
        <v>47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26</v>
      </c>
      <c r="E79" s="26" t="s">
        <v>11</v>
      </c>
      <c r="F79" s="26">
        <v>21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2</v>
      </c>
      <c r="E80" s="26" t="s">
        <v>11</v>
      </c>
      <c r="F80" s="26">
        <v>20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20</v>
      </c>
      <c r="E81" s="26" t="s">
        <v>11</v>
      </c>
      <c r="F81" s="26">
        <v>46</v>
      </c>
      <c r="G81" s="26">
        <v>1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21</v>
      </c>
      <c r="E82" s="26" t="s">
        <v>11</v>
      </c>
      <c r="F82" s="26">
        <v>2</v>
      </c>
      <c r="G82" s="26">
        <v>0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24</v>
      </c>
      <c r="E83" s="26" t="s">
        <v>11</v>
      </c>
      <c r="F83" s="26">
        <v>29</v>
      </c>
      <c r="G83" s="26">
        <v>1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22</v>
      </c>
      <c r="E84" s="26" t="s">
        <v>11</v>
      </c>
      <c r="F84" s="26">
        <v>62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12</v>
      </c>
      <c r="E85" s="26" t="s">
        <v>11</v>
      </c>
      <c r="F85" s="26">
        <v>4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2</v>
      </c>
      <c r="E86" s="26" t="s">
        <v>11</v>
      </c>
      <c r="F86" s="26">
        <v>2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27</v>
      </c>
      <c r="E87" s="26" t="s">
        <v>11</v>
      </c>
      <c r="F87" s="26">
        <v>25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5</v>
      </c>
      <c r="E88" s="26" t="s">
        <v>11</v>
      </c>
      <c r="F88" s="26">
        <v>13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21</v>
      </c>
      <c r="E89" s="26" t="s">
        <v>11</v>
      </c>
      <c r="F89" s="26">
        <v>36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17</v>
      </c>
      <c r="E90" s="26" t="s">
        <v>11</v>
      </c>
      <c r="F90" s="26">
        <v>36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37</v>
      </c>
      <c r="E91" s="26" t="s">
        <v>11</v>
      </c>
      <c r="F91" s="26">
        <v>33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0</v>
      </c>
      <c r="E92" s="26" t="s">
        <v>11</v>
      </c>
      <c r="F92" s="26">
        <v>19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32</v>
      </c>
      <c r="E93" s="26" t="s">
        <v>11</v>
      </c>
      <c r="F93" s="26">
        <v>23</v>
      </c>
      <c r="G93" s="26">
        <v>0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18</v>
      </c>
      <c r="E94" s="26" t="s">
        <v>11</v>
      </c>
      <c r="F94" s="26">
        <v>22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10</v>
      </c>
      <c r="E95" s="26" t="s">
        <v>11</v>
      </c>
      <c r="F95" s="26">
        <v>2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12</v>
      </c>
      <c r="E96" s="26" t="s">
        <v>11</v>
      </c>
      <c r="F96" s="26">
        <v>27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5</v>
      </c>
      <c r="E97" s="26" t="s">
        <v>11</v>
      </c>
      <c r="F97" s="26">
        <v>21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5</v>
      </c>
      <c r="E98" s="26" t="s">
        <v>11</v>
      </c>
      <c r="F98" s="26">
        <v>15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2</v>
      </c>
      <c r="E99" s="26" t="s">
        <v>11</v>
      </c>
      <c r="F99" s="26">
        <v>36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16</v>
      </c>
      <c r="E100" s="26" t="s">
        <v>11</v>
      </c>
      <c r="F100" s="26">
        <v>27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551E-AB3B-4C6A-ABA3-3C4225A1D20D}">
  <dimension ref="A1:Q100"/>
  <sheetViews>
    <sheetView workbookViewId="0">
      <selection activeCell="L19" sqref="L19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12</v>
      </c>
      <c r="D1" s="26">
        <v>13</v>
      </c>
      <c r="E1" s="26" t="s">
        <v>12</v>
      </c>
      <c r="F1" s="26">
        <v>35</v>
      </c>
      <c r="G1" s="26">
        <v>1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12</v>
      </c>
      <c r="D2" s="26">
        <v>22</v>
      </c>
      <c r="E2" s="26" t="s">
        <v>12</v>
      </c>
      <c r="F2" s="26">
        <v>32</v>
      </c>
      <c r="G2" s="26">
        <v>1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12</v>
      </c>
      <c r="D3" s="26">
        <v>4</v>
      </c>
      <c r="E3" s="26" t="s">
        <v>12</v>
      </c>
      <c r="F3" s="26">
        <v>2</v>
      </c>
      <c r="G3" s="26">
        <v>0</v>
      </c>
      <c r="I3" s="38" t="s">
        <v>4</v>
      </c>
      <c r="J3" s="38"/>
      <c r="K3" s="37">
        <f>COUNTIF($G$1:$G$100, 0)</f>
        <v>48</v>
      </c>
      <c r="L3" s="37"/>
      <c r="M3" s="37">
        <f>COUNTIFS($G$1:$G$100, 0, $B$1:$B$100, 0)</f>
        <v>26</v>
      </c>
      <c r="N3" s="37"/>
      <c r="O3" s="39">
        <f>COUNTIFS($G$1:$G$100, 0, $B$1:$B$100, 1)</f>
        <v>22</v>
      </c>
      <c r="P3" s="35"/>
      <c r="Q3" s="47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12</v>
      </c>
      <c r="D4" s="26">
        <v>36</v>
      </c>
      <c r="E4" s="26" t="s">
        <v>12</v>
      </c>
      <c r="F4" s="26">
        <v>37</v>
      </c>
      <c r="G4" s="26">
        <v>1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12</v>
      </c>
      <c r="D5" s="26">
        <v>27</v>
      </c>
      <c r="E5" s="26" t="s">
        <v>12</v>
      </c>
      <c r="F5" s="26">
        <v>25</v>
      </c>
      <c r="G5" s="26">
        <v>0</v>
      </c>
      <c r="I5" s="38" t="s">
        <v>5</v>
      </c>
      <c r="J5" s="38"/>
      <c r="K5" s="34">
        <f>COUNTIF($G$1:$G$100, 1)</f>
        <v>52</v>
      </c>
      <c r="L5" s="37"/>
      <c r="M5" s="37">
        <f>COUNTIFS($G$1:$G$100, 1, $B$1:$B$100, 0)</f>
        <v>24</v>
      </c>
      <c r="N5" s="37"/>
      <c r="O5" s="37">
        <f>COUNTIFS($G$1:$G$100, 1, $B$1:$B$100, 1)</f>
        <v>28</v>
      </c>
      <c r="P5" s="33"/>
    </row>
    <row r="6" spans="1:17" x14ac:dyDescent="0.3">
      <c r="A6" s="26">
        <v>2</v>
      </c>
      <c r="B6" s="26">
        <v>0</v>
      </c>
      <c r="C6" s="26" t="s">
        <v>12</v>
      </c>
      <c r="D6" s="26">
        <v>37</v>
      </c>
      <c r="E6" s="26" t="s">
        <v>12</v>
      </c>
      <c r="F6" s="26">
        <v>50</v>
      </c>
      <c r="G6" s="26">
        <v>1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12</v>
      </c>
      <c r="D7" s="26">
        <v>14</v>
      </c>
      <c r="E7" s="26" t="s">
        <v>12</v>
      </c>
      <c r="F7" s="26">
        <v>26</v>
      </c>
      <c r="G7" s="26">
        <v>1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12</v>
      </c>
      <c r="D8" s="26">
        <v>46</v>
      </c>
      <c r="E8" s="26" t="s">
        <v>12</v>
      </c>
      <c r="F8" s="26">
        <v>19</v>
      </c>
      <c r="G8" s="26">
        <v>0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12</v>
      </c>
      <c r="D9" s="26">
        <v>56</v>
      </c>
      <c r="E9" s="26" t="s">
        <v>12</v>
      </c>
      <c r="F9" s="26">
        <v>4</v>
      </c>
      <c r="G9" s="26">
        <v>0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12</v>
      </c>
      <c r="D10" s="26">
        <v>6</v>
      </c>
      <c r="E10" s="26" t="s">
        <v>12</v>
      </c>
      <c r="F10" s="26">
        <v>28</v>
      </c>
      <c r="G10" s="26">
        <v>1</v>
      </c>
      <c r="I10" s="38" t="s">
        <v>8</v>
      </c>
      <c r="J10" s="38"/>
      <c r="K10" s="37">
        <f>AVERAGE($D$1:$D$100,)</f>
        <v>26.168316831683168</v>
      </c>
      <c r="L10" s="37"/>
      <c r="M10" s="37" cm="1">
        <f t="array" ref="M10">AVERAGE(_xlfn._xlws.FILTER($D$1:$D$100,$G$1:$G$100 = 0))</f>
        <v>33.020833333333336</v>
      </c>
      <c r="N10" s="37"/>
      <c r="O10" s="39" cm="1">
        <f t="array" ref="O10">AVERAGE(_xlfn._xlws.FILTER($D$1:$D$100,$G$1:$G$100 = 1))</f>
        <v>20.346153846153847</v>
      </c>
      <c r="P10" s="35"/>
    </row>
    <row r="11" spans="1:17" x14ac:dyDescent="0.3">
      <c r="A11" s="26">
        <v>2</v>
      </c>
      <c r="B11" s="26">
        <v>0</v>
      </c>
      <c r="C11" s="26" t="s">
        <v>12</v>
      </c>
      <c r="D11" s="26">
        <v>22</v>
      </c>
      <c r="E11" s="26" t="s">
        <v>12</v>
      </c>
      <c r="F11" s="26">
        <v>12</v>
      </c>
      <c r="G11" s="26">
        <v>0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12</v>
      </c>
      <c r="D12" s="26">
        <v>27</v>
      </c>
      <c r="E12" s="26" t="s">
        <v>12</v>
      </c>
      <c r="F12" s="26">
        <v>10</v>
      </c>
      <c r="G12" s="26">
        <v>0</v>
      </c>
      <c r="I12" s="38" t="s">
        <v>9</v>
      </c>
      <c r="J12" s="38"/>
      <c r="K12" s="37">
        <f>AVERAGE($F$1:$F$100,)</f>
        <v>26.138613861386137</v>
      </c>
      <c r="L12" s="37"/>
      <c r="M12" s="37" cm="1">
        <f t="array" ref="M12">AVERAGE(_xlfn._xlws.FILTER($F$1:$F$100,$G$1:$G$100 = 0))</f>
        <v>16.625</v>
      </c>
      <c r="N12" s="37"/>
      <c r="O12" s="37" cm="1">
        <f t="array" ref="O12">AVERAGE(_xlfn._xlws.FILTER($F$1:$F$100,$G$1:$G$100 = 1))</f>
        <v>35.42307692307692</v>
      </c>
      <c r="P12" s="33"/>
    </row>
    <row r="13" spans="1:17" x14ac:dyDescent="0.3">
      <c r="A13" s="26">
        <v>2</v>
      </c>
      <c r="B13" s="26">
        <v>0</v>
      </c>
      <c r="C13" s="26" t="s">
        <v>12</v>
      </c>
      <c r="D13" s="26">
        <v>20</v>
      </c>
      <c r="E13" s="26" t="s">
        <v>12</v>
      </c>
      <c r="F13" s="26">
        <v>36</v>
      </c>
      <c r="G13" s="26">
        <v>1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12</v>
      </c>
      <c r="D14" s="26">
        <v>18</v>
      </c>
      <c r="E14" s="26" t="s">
        <v>12</v>
      </c>
      <c r="F14" s="26">
        <v>40</v>
      </c>
      <c r="G14" s="26">
        <v>1</v>
      </c>
      <c r="I14" s="36" t="s">
        <v>10</v>
      </c>
      <c r="J14" s="35"/>
      <c r="K14" s="32" cm="1">
        <f t="array" ref="K14">AVERAGE($D$1:$D$100 - $F$1:$F$100)</f>
        <v>0.03</v>
      </c>
      <c r="L14" s="32"/>
      <c r="M14" s="32" cm="1">
        <f t="array" ref="M14">AVERAGE(_xlfn._xlws.FILTER($D$1:$D$100 - $F$1:$F$100, G$1:G$100 = 0))</f>
        <v>16.395833333333332</v>
      </c>
      <c r="N14" s="32"/>
      <c r="O14" s="32" cm="1">
        <f t="array" ref="O14">AVERAGE(_xlfn._xlws.FILTER($D$1:$D$100 - $F$1:$F$100, G$1:G$100 = 1))</f>
        <v>-15.076923076923077</v>
      </c>
      <c r="P14" s="31"/>
    </row>
    <row r="15" spans="1:17" x14ac:dyDescent="0.3">
      <c r="A15" s="26">
        <v>2</v>
      </c>
      <c r="B15" s="26">
        <v>0</v>
      </c>
      <c r="C15" s="26" t="s">
        <v>12</v>
      </c>
      <c r="D15" s="26">
        <v>28</v>
      </c>
      <c r="E15" s="26" t="s">
        <v>12</v>
      </c>
      <c r="F15" s="26">
        <v>28</v>
      </c>
      <c r="G15" s="26">
        <v>0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12</v>
      </c>
      <c r="D16" s="26">
        <v>35</v>
      </c>
      <c r="E16" s="26" t="s">
        <v>12</v>
      </c>
      <c r="F16" s="26">
        <v>47</v>
      </c>
      <c r="G16" s="26">
        <v>1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12</v>
      </c>
      <c r="D17" s="26">
        <v>35</v>
      </c>
      <c r="E17" s="26" t="s">
        <v>12</v>
      </c>
      <c r="F17" s="26">
        <v>8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12</v>
      </c>
      <c r="D18" s="26">
        <v>20</v>
      </c>
      <c r="E18" s="26" t="s">
        <v>12</v>
      </c>
      <c r="F18" s="26">
        <v>29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12</v>
      </c>
      <c r="D19" s="26">
        <v>18</v>
      </c>
      <c r="E19" s="26" t="s">
        <v>12</v>
      </c>
      <c r="F19" s="26">
        <v>35</v>
      </c>
      <c r="G19" s="26">
        <v>1</v>
      </c>
    </row>
    <row r="20" spans="1:7" x14ac:dyDescent="0.3">
      <c r="A20" s="26">
        <v>2</v>
      </c>
      <c r="B20" s="26">
        <v>0</v>
      </c>
      <c r="C20" s="26" t="s">
        <v>12</v>
      </c>
      <c r="D20" s="26">
        <v>12</v>
      </c>
      <c r="E20" s="26" t="s">
        <v>12</v>
      </c>
      <c r="F20" s="26">
        <v>37</v>
      </c>
      <c r="G20" s="26">
        <v>1</v>
      </c>
    </row>
    <row r="21" spans="1:7" x14ac:dyDescent="0.3">
      <c r="A21" s="26">
        <v>2</v>
      </c>
      <c r="B21" s="26">
        <v>0</v>
      </c>
      <c r="C21" s="26" t="s">
        <v>12</v>
      </c>
      <c r="D21" s="26">
        <v>24</v>
      </c>
      <c r="E21" s="26" t="s">
        <v>12</v>
      </c>
      <c r="F21" s="26">
        <v>39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12</v>
      </c>
      <c r="D22" s="26">
        <v>34</v>
      </c>
      <c r="E22" s="26" t="s">
        <v>12</v>
      </c>
      <c r="F22" s="26">
        <v>20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12</v>
      </c>
      <c r="D23" s="26">
        <v>36</v>
      </c>
      <c r="E23" s="26" t="s">
        <v>12</v>
      </c>
      <c r="F23" s="26">
        <v>20</v>
      </c>
      <c r="G23" s="26">
        <v>0</v>
      </c>
    </row>
    <row r="24" spans="1:7" x14ac:dyDescent="0.3">
      <c r="A24" s="26">
        <v>2</v>
      </c>
      <c r="B24" s="26">
        <v>0</v>
      </c>
      <c r="C24" s="26" t="s">
        <v>12</v>
      </c>
      <c r="D24" s="26">
        <v>26</v>
      </c>
      <c r="E24" s="26" t="s">
        <v>12</v>
      </c>
      <c r="F24" s="26">
        <v>22</v>
      </c>
      <c r="G24" s="26">
        <v>0</v>
      </c>
    </row>
    <row r="25" spans="1:7" x14ac:dyDescent="0.3">
      <c r="A25" s="26">
        <v>2</v>
      </c>
      <c r="B25" s="26">
        <v>0</v>
      </c>
      <c r="C25" s="26" t="s">
        <v>12</v>
      </c>
      <c r="D25" s="26">
        <v>13</v>
      </c>
      <c r="E25" s="26" t="s">
        <v>12</v>
      </c>
      <c r="F25" s="26">
        <v>2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12</v>
      </c>
      <c r="D26" s="26">
        <v>14</v>
      </c>
      <c r="E26" s="26" t="s">
        <v>12</v>
      </c>
      <c r="F26" s="26">
        <v>32</v>
      </c>
      <c r="G26" s="26">
        <v>1</v>
      </c>
    </row>
    <row r="27" spans="1:7" x14ac:dyDescent="0.3">
      <c r="A27" s="26">
        <v>2</v>
      </c>
      <c r="B27" s="26">
        <v>0</v>
      </c>
      <c r="C27" s="26" t="s">
        <v>12</v>
      </c>
      <c r="D27" s="26">
        <v>52</v>
      </c>
      <c r="E27" s="26" t="s">
        <v>12</v>
      </c>
      <c r="F27" s="26">
        <v>42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12</v>
      </c>
      <c r="D28" s="26">
        <v>30</v>
      </c>
      <c r="E28" s="26" t="s">
        <v>12</v>
      </c>
      <c r="F28" s="26">
        <v>18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12</v>
      </c>
      <c r="D29" s="26">
        <v>16</v>
      </c>
      <c r="E29" s="26" t="s">
        <v>12</v>
      </c>
      <c r="F29" s="26">
        <v>36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12</v>
      </c>
      <c r="D30" s="26">
        <v>53</v>
      </c>
      <c r="E30" s="26" t="s">
        <v>12</v>
      </c>
      <c r="F30" s="26">
        <v>15</v>
      </c>
      <c r="G30" s="26">
        <v>0</v>
      </c>
    </row>
    <row r="31" spans="1:7" x14ac:dyDescent="0.3">
      <c r="A31" s="26">
        <v>2</v>
      </c>
      <c r="B31" s="26">
        <v>0</v>
      </c>
      <c r="C31" s="26" t="s">
        <v>12</v>
      </c>
      <c r="D31" s="26">
        <v>32</v>
      </c>
      <c r="E31" s="26" t="s">
        <v>12</v>
      </c>
      <c r="F31" s="26">
        <v>15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12</v>
      </c>
      <c r="D32" s="26">
        <v>41</v>
      </c>
      <c r="E32" s="26" t="s">
        <v>12</v>
      </c>
      <c r="F32" s="26">
        <v>23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12</v>
      </c>
      <c r="D33" s="26">
        <v>25</v>
      </c>
      <c r="E33" s="26" t="s">
        <v>12</v>
      </c>
      <c r="F33" s="26">
        <v>46</v>
      </c>
      <c r="G33" s="26">
        <v>1</v>
      </c>
    </row>
    <row r="34" spans="1:7" x14ac:dyDescent="0.3">
      <c r="A34" s="26">
        <v>2</v>
      </c>
      <c r="B34" s="26">
        <v>0</v>
      </c>
      <c r="C34" s="26" t="s">
        <v>12</v>
      </c>
      <c r="D34" s="26">
        <v>17</v>
      </c>
      <c r="E34" s="26" t="s">
        <v>12</v>
      </c>
      <c r="F34" s="26">
        <v>23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12</v>
      </c>
      <c r="D35" s="26">
        <v>30</v>
      </c>
      <c r="E35" s="26" t="s">
        <v>12</v>
      </c>
      <c r="F35" s="26">
        <v>8</v>
      </c>
      <c r="G35" s="26">
        <v>0</v>
      </c>
    </row>
    <row r="36" spans="1:7" x14ac:dyDescent="0.3">
      <c r="A36" s="26">
        <v>2</v>
      </c>
      <c r="B36" s="26">
        <v>0</v>
      </c>
      <c r="C36" s="26" t="s">
        <v>12</v>
      </c>
      <c r="D36" s="26">
        <v>57</v>
      </c>
      <c r="E36" s="26" t="s">
        <v>12</v>
      </c>
      <c r="F36" s="26">
        <v>32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12</v>
      </c>
      <c r="D37" s="26">
        <v>50</v>
      </c>
      <c r="E37" s="26" t="s">
        <v>12</v>
      </c>
      <c r="F37" s="26">
        <v>0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12</v>
      </c>
      <c r="D38" s="26">
        <v>35</v>
      </c>
      <c r="E38" s="26" t="s">
        <v>12</v>
      </c>
      <c r="F38" s="26">
        <v>16</v>
      </c>
      <c r="G38" s="26">
        <v>0</v>
      </c>
    </row>
    <row r="39" spans="1:7" x14ac:dyDescent="0.3">
      <c r="A39" s="26">
        <v>2</v>
      </c>
      <c r="B39" s="26">
        <v>0</v>
      </c>
      <c r="C39" s="26" t="s">
        <v>12</v>
      </c>
      <c r="D39" s="26">
        <v>10</v>
      </c>
      <c r="E39" s="26" t="s">
        <v>12</v>
      </c>
      <c r="F39" s="26">
        <v>9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12</v>
      </c>
      <c r="D40" s="26">
        <v>0</v>
      </c>
      <c r="E40" s="26" t="s">
        <v>12</v>
      </c>
      <c r="F40" s="26">
        <v>21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12</v>
      </c>
      <c r="D41" s="26">
        <v>12</v>
      </c>
      <c r="E41" s="26" t="s">
        <v>12</v>
      </c>
      <c r="F41" s="26">
        <v>16</v>
      </c>
      <c r="G41" s="26">
        <v>1</v>
      </c>
    </row>
    <row r="42" spans="1:7" x14ac:dyDescent="0.3">
      <c r="A42" s="26">
        <v>2</v>
      </c>
      <c r="B42" s="26">
        <v>0</v>
      </c>
      <c r="C42" s="26" t="s">
        <v>12</v>
      </c>
      <c r="D42" s="26">
        <v>20</v>
      </c>
      <c r="E42" s="26" t="s">
        <v>12</v>
      </c>
      <c r="F42" s="26">
        <v>28</v>
      </c>
      <c r="G42" s="26">
        <v>1</v>
      </c>
    </row>
    <row r="43" spans="1:7" x14ac:dyDescent="0.3">
      <c r="A43" s="26">
        <v>2</v>
      </c>
      <c r="B43" s="26">
        <v>0</v>
      </c>
      <c r="C43" s="26" t="s">
        <v>12</v>
      </c>
      <c r="D43" s="26">
        <v>20</v>
      </c>
      <c r="E43" s="26" t="s">
        <v>12</v>
      </c>
      <c r="F43" s="26">
        <v>25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12</v>
      </c>
      <c r="D44" s="26">
        <v>48</v>
      </c>
      <c r="E44" s="26" t="s">
        <v>12</v>
      </c>
      <c r="F44" s="26">
        <v>55</v>
      </c>
      <c r="G44" s="26">
        <v>1</v>
      </c>
    </row>
    <row r="45" spans="1:7" x14ac:dyDescent="0.3">
      <c r="A45" s="26">
        <v>2</v>
      </c>
      <c r="B45" s="26">
        <v>0</v>
      </c>
      <c r="C45" s="26" t="s">
        <v>12</v>
      </c>
      <c r="D45" s="26">
        <v>34</v>
      </c>
      <c r="E45" s="26" t="s">
        <v>12</v>
      </c>
      <c r="F45" s="26">
        <v>40</v>
      </c>
      <c r="G45" s="26">
        <v>1</v>
      </c>
    </row>
    <row r="46" spans="1:7" x14ac:dyDescent="0.3">
      <c r="A46" s="26">
        <v>2</v>
      </c>
      <c r="B46" s="26">
        <v>0</v>
      </c>
      <c r="C46" s="26" t="s">
        <v>12</v>
      </c>
      <c r="D46" s="26">
        <v>26</v>
      </c>
      <c r="E46" s="26" t="s">
        <v>12</v>
      </c>
      <c r="F46" s="26">
        <v>20</v>
      </c>
      <c r="G46" s="26">
        <v>0</v>
      </c>
    </row>
    <row r="47" spans="1:7" x14ac:dyDescent="0.3">
      <c r="A47" s="26">
        <v>2</v>
      </c>
      <c r="B47" s="26">
        <v>0</v>
      </c>
      <c r="C47" s="26" t="s">
        <v>12</v>
      </c>
      <c r="D47" s="26">
        <v>43</v>
      </c>
      <c r="E47" s="26" t="s">
        <v>12</v>
      </c>
      <c r="F47" s="26">
        <v>2</v>
      </c>
      <c r="G47" s="26">
        <v>0</v>
      </c>
    </row>
    <row r="48" spans="1:7" x14ac:dyDescent="0.3">
      <c r="A48" s="26">
        <v>2</v>
      </c>
      <c r="B48" s="26">
        <v>0</v>
      </c>
      <c r="C48" s="26" t="s">
        <v>12</v>
      </c>
      <c r="D48" s="26">
        <v>54</v>
      </c>
      <c r="E48" s="26" t="s">
        <v>12</v>
      </c>
      <c r="F48" s="26">
        <v>27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12</v>
      </c>
      <c r="D49" s="26">
        <v>27</v>
      </c>
      <c r="E49" s="26" t="s">
        <v>12</v>
      </c>
      <c r="F49" s="26">
        <v>54</v>
      </c>
      <c r="G49" s="26">
        <v>1</v>
      </c>
    </row>
    <row r="50" spans="1:7" x14ac:dyDescent="0.3">
      <c r="A50" s="26">
        <v>2</v>
      </c>
      <c r="B50" s="26">
        <v>0</v>
      </c>
      <c r="C50" s="26" t="s">
        <v>12</v>
      </c>
      <c r="D50" s="26">
        <v>23</v>
      </c>
      <c r="E50" s="26" t="s">
        <v>12</v>
      </c>
      <c r="F50" s="26">
        <v>17</v>
      </c>
      <c r="G50" s="26">
        <v>0</v>
      </c>
    </row>
    <row r="51" spans="1:7" x14ac:dyDescent="0.3">
      <c r="A51" s="26">
        <v>2</v>
      </c>
      <c r="B51" s="26">
        <v>1</v>
      </c>
      <c r="C51" s="26" t="s">
        <v>12</v>
      </c>
      <c r="D51" s="26">
        <v>9</v>
      </c>
      <c r="E51" s="26" t="s">
        <v>12</v>
      </c>
      <c r="F51" s="26">
        <v>28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12</v>
      </c>
      <c r="D52" s="26">
        <v>9</v>
      </c>
      <c r="E52" s="26" t="s">
        <v>12</v>
      </c>
      <c r="F52" s="26">
        <v>29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12</v>
      </c>
      <c r="D53" s="26">
        <v>26</v>
      </c>
      <c r="E53" s="26" t="s">
        <v>12</v>
      </c>
      <c r="F53" s="26">
        <v>19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12</v>
      </c>
      <c r="D54" s="26">
        <v>22</v>
      </c>
      <c r="E54" s="26" t="s">
        <v>12</v>
      </c>
      <c r="F54" s="26">
        <v>10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12</v>
      </c>
      <c r="D55" s="26">
        <v>28</v>
      </c>
      <c r="E55" s="26" t="s">
        <v>12</v>
      </c>
      <c r="F55" s="26">
        <v>39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12</v>
      </c>
      <c r="D56" s="26">
        <v>6</v>
      </c>
      <c r="E56" s="26" t="s">
        <v>12</v>
      </c>
      <c r="F56" s="26">
        <v>6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12</v>
      </c>
      <c r="D57" s="26">
        <v>29</v>
      </c>
      <c r="E57" s="26" t="s">
        <v>12</v>
      </c>
      <c r="F57" s="26">
        <v>14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12</v>
      </c>
      <c r="D58" s="26">
        <v>26</v>
      </c>
      <c r="E58" s="26" t="s">
        <v>12</v>
      </c>
      <c r="F58" s="26">
        <v>28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12</v>
      </c>
      <c r="D59" s="26">
        <v>41</v>
      </c>
      <c r="E59" s="26" t="s">
        <v>12</v>
      </c>
      <c r="F59" s="26">
        <v>26</v>
      </c>
      <c r="G59" s="26">
        <v>0</v>
      </c>
    </row>
    <row r="60" spans="1:7" x14ac:dyDescent="0.3">
      <c r="A60" s="26">
        <v>2</v>
      </c>
      <c r="B60" s="26">
        <v>1</v>
      </c>
      <c r="C60" s="26" t="s">
        <v>12</v>
      </c>
      <c r="D60" s="26">
        <v>52</v>
      </c>
      <c r="E60" s="26" t="s">
        <v>12</v>
      </c>
      <c r="F60" s="26">
        <v>2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12</v>
      </c>
      <c r="D61" s="26">
        <v>19</v>
      </c>
      <c r="E61" s="26" t="s">
        <v>12</v>
      </c>
      <c r="F61" s="26">
        <v>10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12</v>
      </c>
      <c r="D62" s="26">
        <v>17</v>
      </c>
      <c r="E62" s="26" t="s">
        <v>12</v>
      </c>
      <c r="F62" s="26">
        <v>18</v>
      </c>
      <c r="G62" s="26">
        <v>1</v>
      </c>
    </row>
    <row r="63" spans="1:7" x14ac:dyDescent="0.3">
      <c r="A63" s="26">
        <v>2</v>
      </c>
      <c r="B63" s="26">
        <v>1</v>
      </c>
      <c r="C63" s="26" t="s">
        <v>12</v>
      </c>
      <c r="D63" s="26">
        <v>46</v>
      </c>
      <c r="E63" s="26" t="s">
        <v>12</v>
      </c>
      <c r="F63" s="26">
        <v>36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12</v>
      </c>
      <c r="D64" s="26">
        <v>27</v>
      </c>
      <c r="E64" s="26" t="s">
        <v>12</v>
      </c>
      <c r="F64" s="26">
        <v>61</v>
      </c>
      <c r="G64" s="26">
        <v>1</v>
      </c>
    </row>
    <row r="65" spans="1:7" x14ac:dyDescent="0.3">
      <c r="A65" s="26">
        <v>2</v>
      </c>
      <c r="B65" s="26">
        <v>1</v>
      </c>
      <c r="C65" s="26" t="s">
        <v>12</v>
      </c>
      <c r="D65" s="26">
        <v>0</v>
      </c>
      <c r="E65" s="26" t="s">
        <v>12</v>
      </c>
      <c r="F65" s="26">
        <v>33</v>
      </c>
      <c r="G65" s="26">
        <v>1</v>
      </c>
    </row>
    <row r="66" spans="1:7" x14ac:dyDescent="0.3">
      <c r="A66" s="26">
        <v>2</v>
      </c>
      <c r="B66" s="26">
        <v>1</v>
      </c>
      <c r="C66" s="26" t="s">
        <v>12</v>
      </c>
      <c r="D66" s="26">
        <v>28</v>
      </c>
      <c r="E66" s="26" t="s">
        <v>12</v>
      </c>
      <c r="F66" s="26">
        <v>17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12</v>
      </c>
      <c r="D67" s="26">
        <v>8</v>
      </c>
      <c r="E67" s="26" t="s">
        <v>12</v>
      </c>
      <c r="F67" s="26">
        <v>35</v>
      </c>
      <c r="G67" s="26">
        <v>1</v>
      </c>
    </row>
    <row r="68" spans="1:7" x14ac:dyDescent="0.3">
      <c r="A68" s="26">
        <v>2</v>
      </c>
      <c r="B68" s="26">
        <v>1</v>
      </c>
      <c r="C68" s="26" t="s">
        <v>12</v>
      </c>
      <c r="D68" s="26">
        <v>24</v>
      </c>
      <c r="E68" s="26" t="s">
        <v>12</v>
      </c>
      <c r="F68" s="26">
        <v>33</v>
      </c>
      <c r="G68" s="26">
        <v>1</v>
      </c>
    </row>
    <row r="69" spans="1:7" x14ac:dyDescent="0.3">
      <c r="A69" s="26">
        <v>2</v>
      </c>
      <c r="B69" s="26">
        <v>1</v>
      </c>
      <c r="C69" s="26" t="s">
        <v>12</v>
      </c>
      <c r="D69" s="26">
        <v>36</v>
      </c>
      <c r="E69" s="26" t="s">
        <v>12</v>
      </c>
      <c r="F69" s="26">
        <v>15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12</v>
      </c>
      <c r="D70" s="26">
        <v>21</v>
      </c>
      <c r="E70" s="26" t="s">
        <v>12</v>
      </c>
      <c r="F70" s="26">
        <v>37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12</v>
      </c>
      <c r="D71" s="26">
        <v>45</v>
      </c>
      <c r="E71" s="26" t="s">
        <v>12</v>
      </c>
      <c r="F71" s="26">
        <v>17</v>
      </c>
      <c r="G71" s="26">
        <v>0</v>
      </c>
    </row>
    <row r="72" spans="1:7" x14ac:dyDescent="0.3">
      <c r="A72" s="26">
        <v>2</v>
      </c>
      <c r="B72" s="26">
        <v>1</v>
      </c>
      <c r="C72" s="26" t="s">
        <v>12</v>
      </c>
      <c r="D72" s="26">
        <v>17</v>
      </c>
      <c r="E72" s="26" t="s">
        <v>12</v>
      </c>
      <c r="F72" s="26">
        <v>32</v>
      </c>
      <c r="G72" s="26">
        <v>1</v>
      </c>
    </row>
    <row r="73" spans="1:7" x14ac:dyDescent="0.3">
      <c r="A73" s="26">
        <v>2</v>
      </c>
      <c r="B73" s="26">
        <v>1</v>
      </c>
      <c r="C73" s="26" t="s">
        <v>12</v>
      </c>
      <c r="D73" s="26">
        <v>28</v>
      </c>
      <c r="E73" s="26" t="s">
        <v>12</v>
      </c>
      <c r="F73" s="26">
        <v>49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12</v>
      </c>
      <c r="D74" s="26">
        <v>2</v>
      </c>
      <c r="E74" s="26" t="s">
        <v>12</v>
      </c>
      <c r="F74" s="26">
        <v>28</v>
      </c>
      <c r="G74" s="26">
        <v>1</v>
      </c>
    </row>
    <row r="75" spans="1:7" x14ac:dyDescent="0.3">
      <c r="A75" s="26">
        <v>2</v>
      </c>
      <c r="B75" s="26">
        <v>1</v>
      </c>
      <c r="C75" s="26" t="s">
        <v>12</v>
      </c>
      <c r="D75" s="26">
        <v>20</v>
      </c>
      <c r="E75" s="26" t="s">
        <v>12</v>
      </c>
      <c r="F75" s="26">
        <v>14</v>
      </c>
      <c r="G75" s="26">
        <v>0</v>
      </c>
    </row>
    <row r="76" spans="1:7" x14ac:dyDescent="0.3">
      <c r="A76" s="26">
        <v>2</v>
      </c>
      <c r="B76" s="26">
        <v>1</v>
      </c>
      <c r="C76" s="26" t="s">
        <v>12</v>
      </c>
      <c r="D76" s="26">
        <v>48</v>
      </c>
      <c r="E76" s="26" t="s">
        <v>12</v>
      </c>
      <c r="F76" s="26">
        <v>25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12</v>
      </c>
      <c r="D77" s="26">
        <v>25</v>
      </c>
      <c r="E77" s="26" t="s">
        <v>12</v>
      </c>
      <c r="F77" s="26">
        <v>37</v>
      </c>
      <c r="G77" s="26">
        <v>1</v>
      </c>
    </row>
    <row r="78" spans="1:7" x14ac:dyDescent="0.3">
      <c r="A78" s="26">
        <v>2</v>
      </c>
      <c r="B78" s="26">
        <v>1</v>
      </c>
      <c r="C78" s="26" t="s">
        <v>12</v>
      </c>
      <c r="D78" s="26">
        <v>29</v>
      </c>
      <c r="E78" s="26" t="s">
        <v>12</v>
      </c>
      <c r="F78" s="26">
        <v>55</v>
      </c>
      <c r="G78" s="26">
        <v>1</v>
      </c>
    </row>
    <row r="79" spans="1:7" x14ac:dyDescent="0.3">
      <c r="A79" s="26">
        <v>2</v>
      </c>
      <c r="B79" s="26">
        <v>1</v>
      </c>
      <c r="C79" s="26" t="s">
        <v>12</v>
      </c>
      <c r="D79" s="26">
        <v>46</v>
      </c>
      <c r="E79" s="26" t="s">
        <v>12</v>
      </c>
      <c r="F79" s="26">
        <v>27</v>
      </c>
      <c r="G79" s="26">
        <v>0</v>
      </c>
    </row>
    <row r="80" spans="1:7" x14ac:dyDescent="0.3">
      <c r="A80" s="26">
        <v>2</v>
      </c>
      <c r="B80" s="26">
        <v>1</v>
      </c>
      <c r="C80" s="26" t="s">
        <v>12</v>
      </c>
      <c r="D80" s="26">
        <v>30</v>
      </c>
      <c r="E80" s="26" t="s">
        <v>12</v>
      </c>
      <c r="F80" s="26">
        <v>36</v>
      </c>
      <c r="G80" s="26">
        <v>1</v>
      </c>
    </row>
    <row r="81" spans="1:7" x14ac:dyDescent="0.3">
      <c r="A81" s="26">
        <v>2</v>
      </c>
      <c r="B81" s="26">
        <v>1</v>
      </c>
      <c r="C81" s="26" t="s">
        <v>12</v>
      </c>
      <c r="D81" s="26">
        <v>29</v>
      </c>
      <c r="E81" s="26" t="s">
        <v>12</v>
      </c>
      <c r="F81" s="26">
        <v>14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12</v>
      </c>
      <c r="D82" s="26">
        <v>11</v>
      </c>
      <c r="E82" s="26" t="s">
        <v>12</v>
      </c>
      <c r="F82" s="26">
        <v>42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12</v>
      </c>
      <c r="D83" s="26">
        <v>28</v>
      </c>
      <c r="E83" s="26" t="s">
        <v>12</v>
      </c>
      <c r="F83" s="26">
        <v>25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12</v>
      </c>
      <c r="D84" s="26">
        <v>9</v>
      </c>
      <c r="E84" s="26" t="s">
        <v>12</v>
      </c>
      <c r="F84" s="26">
        <v>19</v>
      </c>
      <c r="G84" s="26">
        <v>1</v>
      </c>
    </row>
    <row r="85" spans="1:7" x14ac:dyDescent="0.3">
      <c r="A85" s="26">
        <v>2</v>
      </c>
      <c r="B85" s="26">
        <v>1</v>
      </c>
      <c r="C85" s="26" t="s">
        <v>12</v>
      </c>
      <c r="D85" s="26">
        <v>23</v>
      </c>
      <c r="E85" s="26" t="s">
        <v>12</v>
      </c>
      <c r="F85" s="26">
        <v>48</v>
      </c>
      <c r="G85" s="26">
        <v>1</v>
      </c>
    </row>
    <row r="86" spans="1:7" x14ac:dyDescent="0.3">
      <c r="A86" s="26">
        <v>2</v>
      </c>
      <c r="B86" s="26">
        <v>1</v>
      </c>
      <c r="C86" s="26" t="s">
        <v>12</v>
      </c>
      <c r="D86" s="26">
        <v>30</v>
      </c>
      <c r="E86" s="26" t="s">
        <v>12</v>
      </c>
      <c r="F86" s="26">
        <v>44</v>
      </c>
      <c r="G86" s="26">
        <v>1</v>
      </c>
    </row>
    <row r="87" spans="1:7" x14ac:dyDescent="0.3">
      <c r="A87" s="26">
        <v>2</v>
      </c>
      <c r="B87" s="26">
        <v>1</v>
      </c>
      <c r="C87" s="26" t="s">
        <v>12</v>
      </c>
      <c r="D87" s="26">
        <v>30</v>
      </c>
      <c r="E87" s="26" t="s">
        <v>12</v>
      </c>
      <c r="F87" s="26">
        <v>37</v>
      </c>
      <c r="G87" s="26">
        <v>1</v>
      </c>
    </row>
    <row r="88" spans="1:7" x14ac:dyDescent="0.3">
      <c r="A88" s="26">
        <v>2</v>
      </c>
      <c r="B88" s="26">
        <v>1</v>
      </c>
      <c r="C88" s="26" t="s">
        <v>12</v>
      </c>
      <c r="D88" s="26">
        <v>23</v>
      </c>
      <c r="E88" s="26" t="s">
        <v>12</v>
      </c>
      <c r="F88" s="26">
        <v>39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12</v>
      </c>
      <c r="D89" s="26">
        <v>30</v>
      </c>
      <c r="E89" s="26" t="s">
        <v>12</v>
      </c>
      <c r="F89" s="26">
        <v>8</v>
      </c>
      <c r="G89" s="26">
        <v>0</v>
      </c>
    </row>
    <row r="90" spans="1:7" x14ac:dyDescent="0.3">
      <c r="A90" s="26">
        <v>2</v>
      </c>
      <c r="B90" s="26">
        <v>1</v>
      </c>
      <c r="C90" s="26" t="s">
        <v>12</v>
      </c>
      <c r="D90" s="26">
        <v>36</v>
      </c>
      <c r="E90" s="26" t="s">
        <v>12</v>
      </c>
      <c r="F90" s="26">
        <v>19</v>
      </c>
      <c r="G90" s="26">
        <v>0</v>
      </c>
    </row>
    <row r="91" spans="1:7" x14ac:dyDescent="0.3">
      <c r="A91" s="26">
        <v>2</v>
      </c>
      <c r="B91" s="26">
        <v>1</v>
      </c>
      <c r="C91" s="26" t="s">
        <v>12</v>
      </c>
      <c r="D91" s="26">
        <v>28</v>
      </c>
      <c r="E91" s="26" t="s">
        <v>12</v>
      </c>
      <c r="F91" s="26">
        <v>15</v>
      </c>
      <c r="G91" s="26">
        <v>0</v>
      </c>
    </row>
    <row r="92" spans="1:7" x14ac:dyDescent="0.3">
      <c r="A92" s="26">
        <v>2</v>
      </c>
      <c r="B92" s="26">
        <v>1</v>
      </c>
      <c r="C92" s="26" t="s">
        <v>12</v>
      </c>
      <c r="D92" s="26">
        <v>0</v>
      </c>
      <c r="E92" s="26" t="s">
        <v>12</v>
      </c>
      <c r="F92" s="26">
        <v>29</v>
      </c>
      <c r="G92" s="26">
        <v>1</v>
      </c>
    </row>
    <row r="93" spans="1:7" x14ac:dyDescent="0.3">
      <c r="A93" s="26">
        <v>2</v>
      </c>
      <c r="B93" s="26">
        <v>1</v>
      </c>
      <c r="C93" s="26" t="s">
        <v>12</v>
      </c>
      <c r="D93" s="26">
        <v>28</v>
      </c>
      <c r="E93" s="26" t="s">
        <v>12</v>
      </c>
      <c r="F93" s="26">
        <v>41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12</v>
      </c>
      <c r="D94" s="26">
        <v>40</v>
      </c>
      <c r="E94" s="26" t="s">
        <v>12</v>
      </c>
      <c r="F94" s="26">
        <v>43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12</v>
      </c>
      <c r="D95" s="26">
        <v>32</v>
      </c>
      <c r="E95" s="26" t="s">
        <v>12</v>
      </c>
      <c r="F95" s="26">
        <v>27</v>
      </c>
      <c r="G95" s="26">
        <v>0</v>
      </c>
    </row>
    <row r="96" spans="1:7" x14ac:dyDescent="0.3">
      <c r="A96" s="26">
        <v>2</v>
      </c>
      <c r="B96" s="26">
        <v>1</v>
      </c>
      <c r="C96" s="26" t="s">
        <v>12</v>
      </c>
      <c r="D96" s="26">
        <v>17</v>
      </c>
      <c r="E96" s="26" t="s">
        <v>12</v>
      </c>
      <c r="F96" s="26">
        <v>23</v>
      </c>
      <c r="G96" s="26">
        <v>1</v>
      </c>
    </row>
    <row r="97" spans="1:7" x14ac:dyDescent="0.3">
      <c r="A97" s="26">
        <v>2</v>
      </c>
      <c r="B97" s="26">
        <v>1</v>
      </c>
      <c r="C97" s="26" t="s">
        <v>12</v>
      </c>
      <c r="D97" s="26">
        <v>26</v>
      </c>
      <c r="E97" s="26" t="s">
        <v>12</v>
      </c>
      <c r="F97" s="26">
        <v>25</v>
      </c>
      <c r="G97" s="26">
        <v>0</v>
      </c>
    </row>
    <row r="98" spans="1:7" x14ac:dyDescent="0.3">
      <c r="A98" s="26">
        <v>2</v>
      </c>
      <c r="B98" s="26">
        <v>1</v>
      </c>
      <c r="C98" s="26" t="s">
        <v>12</v>
      </c>
      <c r="D98" s="26">
        <v>39</v>
      </c>
      <c r="E98" s="26" t="s">
        <v>12</v>
      </c>
      <c r="F98" s="26">
        <v>44</v>
      </c>
      <c r="G98" s="26">
        <v>1</v>
      </c>
    </row>
    <row r="99" spans="1:7" x14ac:dyDescent="0.3">
      <c r="A99" s="26">
        <v>2</v>
      </c>
      <c r="B99" s="26">
        <v>1</v>
      </c>
      <c r="C99" s="26" t="s">
        <v>12</v>
      </c>
      <c r="D99" s="26">
        <v>22</v>
      </c>
      <c r="E99" s="26" t="s">
        <v>12</v>
      </c>
      <c r="F99" s="26">
        <v>11</v>
      </c>
      <c r="G99" s="26">
        <v>0</v>
      </c>
    </row>
    <row r="100" spans="1:7" x14ac:dyDescent="0.3">
      <c r="A100" s="26">
        <v>2</v>
      </c>
      <c r="B100" s="26">
        <v>1</v>
      </c>
      <c r="C100" s="26" t="s">
        <v>12</v>
      </c>
      <c r="D100" s="26">
        <v>0</v>
      </c>
      <c r="E100" s="26" t="s">
        <v>12</v>
      </c>
      <c r="F100" s="26">
        <v>8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0AC4-2B29-4D1F-BFFA-2744C9FE02AE}">
  <dimension ref="A1:Q100"/>
  <sheetViews>
    <sheetView workbookViewId="0">
      <selection activeCell="K18" sqref="K18"/>
    </sheetView>
  </sheetViews>
  <sheetFormatPr defaultRowHeight="14.4" x14ac:dyDescent="0.3"/>
  <cols>
    <col min="1" max="16384" width="8.88671875" style="26"/>
  </cols>
  <sheetData>
    <row r="1" spans="1:17" x14ac:dyDescent="0.3">
      <c r="A1" s="26">
        <v>2</v>
      </c>
      <c r="B1" s="26">
        <v>0</v>
      </c>
      <c r="C1" s="26" t="s">
        <v>11</v>
      </c>
      <c r="D1" s="26">
        <v>38</v>
      </c>
      <c r="E1" s="26" t="s">
        <v>11</v>
      </c>
      <c r="F1" s="26">
        <v>40</v>
      </c>
      <c r="G1" s="26">
        <v>1</v>
      </c>
      <c r="I1" s="51"/>
      <c r="J1" s="50"/>
      <c r="K1" s="49" t="s">
        <v>0</v>
      </c>
      <c r="L1" s="49"/>
      <c r="M1" s="38" t="s">
        <v>1</v>
      </c>
      <c r="N1" s="38"/>
      <c r="O1" s="38" t="s">
        <v>2</v>
      </c>
      <c r="P1" s="38"/>
    </row>
    <row r="2" spans="1:17" x14ac:dyDescent="0.3">
      <c r="A2" s="26">
        <v>2</v>
      </c>
      <c r="B2" s="26">
        <v>0</v>
      </c>
      <c r="C2" s="26" t="s">
        <v>11</v>
      </c>
      <c r="D2" s="26">
        <v>26</v>
      </c>
      <c r="E2" s="26" t="s">
        <v>11</v>
      </c>
      <c r="F2" s="26">
        <v>24</v>
      </c>
      <c r="G2" s="26">
        <v>0</v>
      </c>
      <c r="I2" s="42"/>
      <c r="J2" s="41"/>
      <c r="K2" s="49"/>
      <c r="L2" s="49"/>
      <c r="M2" s="38"/>
      <c r="N2" s="38"/>
      <c r="O2" s="38"/>
      <c r="P2" s="38"/>
      <c r="Q2" s="48" t="s">
        <v>3</v>
      </c>
    </row>
    <row r="3" spans="1:17" x14ac:dyDescent="0.3">
      <c r="A3" s="26">
        <v>2</v>
      </c>
      <c r="B3" s="26">
        <v>0</v>
      </c>
      <c r="C3" s="26" t="s">
        <v>11</v>
      </c>
      <c r="D3" s="26">
        <v>47</v>
      </c>
      <c r="E3" s="26" t="s">
        <v>11</v>
      </c>
      <c r="F3" s="26">
        <v>7</v>
      </c>
      <c r="G3" s="26">
        <v>0</v>
      </c>
      <c r="I3" s="38" t="s">
        <v>4</v>
      </c>
      <c r="J3" s="38"/>
      <c r="K3" s="37">
        <f>COUNTIF($G$1:$G$100, 0)</f>
        <v>59</v>
      </c>
      <c r="L3" s="37"/>
      <c r="M3" s="37">
        <f>COUNTIFS($G$1:$G$100, 0, $B$1:$B$100, 0)</f>
        <v>30</v>
      </c>
      <c r="N3" s="37"/>
      <c r="O3" s="39">
        <f>COUNTIFS($G$1:$G$100, 0, $B$1:$B$100, 1)</f>
        <v>29</v>
      </c>
      <c r="P3" s="35"/>
      <c r="Q3" s="47" cm="1">
        <f t="array" ref="Q3">SUMPRODUCT(--($D$1:$D$100=$G$1:$G$100))</f>
        <v>0</v>
      </c>
    </row>
    <row r="4" spans="1:17" x14ac:dyDescent="0.3">
      <c r="A4" s="26">
        <v>2</v>
      </c>
      <c r="B4" s="26">
        <v>0</v>
      </c>
      <c r="C4" s="26" t="s">
        <v>11</v>
      </c>
      <c r="D4" s="26">
        <v>29</v>
      </c>
      <c r="E4" s="26" t="s">
        <v>11</v>
      </c>
      <c r="F4" s="26">
        <v>35</v>
      </c>
      <c r="G4" s="26">
        <v>1</v>
      </c>
      <c r="I4" s="38"/>
      <c r="J4" s="38"/>
      <c r="K4" s="37"/>
      <c r="L4" s="37"/>
      <c r="M4" s="37"/>
      <c r="N4" s="37"/>
      <c r="O4" s="37"/>
      <c r="P4" s="33"/>
    </row>
    <row r="5" spans="1:17" x14ac:dyDescent="0.3">
      <c r="A5" s="26">
        <v>2</v>
      </c>
      <c r="B5" s="26">
        <v>0</v>
      </c>
      <c r="C5" s="26" t="s">
        <v>11</v>
      </c>
      <c r="D5" s="26">
        <v>10</v>
      </c>
      <c r="E5" s="26" t="s">
        <v>11</v>
      </c>
      <c r="F5" s="26">
        <v>33</v>
      </c>
      <c r="G5" s="26">
        <v>1</v>
      </c>
      <c r="I5" s="38" t="s">
        <v>5</v>
      </c>
      <c r="J5" s="38"/>
      <c r="K5" s="34">
        <f>COUNTIF($G$1:$G$100, 1)</f>
        <v>41</v>
      </c>
      <c r="L5" s="37"/>
      <c r="M5" s="37">
        <f>COUNTIFS($G$1:$G$100, 1, $B$1:$B$100, 0)</f>
        <v>20</v>
      </c>
      <c r="N5" s="37"/>
      <c r="O5" s="37">
        <f>COUNTIFS($G$1:$G$100, 1, $B$1:$B$100, 1)</f>
        <v>21</v>
      </c>
      <c r="P5" s="33"/>
    </row>
    <row r="6" spans="1:17" x14ac:dyDescent="0.3">
      <c r="A6" s="26">
        <v>2</v>
      </c>
      <c r="B6" s="26">
        <v>0</v>
      </c>
      <c r="C6" s="26" t="s">
        <v>11</v>
      </c>
      <c r="D6" s="26">
        <v>34</v>
      </c>
      <c r="E6" s="26" t="s">
        <v>11</v>
      </c>
      <c r="F6" s="26">
        <v>32</v>
      </c>
      <c r="G6" s="26">
        <v>0</v>
      </c>
      <c r="I6" s="38"/>
      <c r="J6" s="38"/>
      <c r="K6" s="30"/>
      <c r="L6" s="46"/>
      <c r="M6" s="46"/>
      <c r="N6" s="46"/>
      <c r="O6" s="46"/>
      <c r="P6" s="29"/>
    </row>
    <row r="7" spans="1:17" x14ac:dyDescent="0.3">
      <c r="A7" s="26">
        <v>2</v>
      </c>
      <c r="B7" s="26">
        <v>0</v>
      </c>
      <c r="C7" s="26" t="s">
        <v>11</v>
      </c>
      <c r="D7" s="26">
        <v>30</v>
      </c>
      <c r="E7" s="26" t="s">
        <v>11</v>
      </c>
      <c r="F7" s="26">
        <v>10</v>
      </c>
      <c r="G7" s="26">
        <v>0</v>
      </c>
      <c r="I7" s="45"/>
      <c r="J7" s="45"/>
      <c r="K7" s="45"/>
      <c r="L7" s="45"/>
      <c r="M7" s="45"/>
      <c r="N7" s="45"/>
      <c r="O7" s="45"/>
      <c r="P7" s="45"/>
    </row>
    <row r="8" spans="1:17" x14ac:dyDescent="0.3">
      <c r="A8" s="26">
        <v>2</v>
      </c>
      <c r="B8" s="26">
        <v>0</v>
      </c>
      <c r="C8" s="26" t="s">
        <v>11</v>
      </c>
      <c r="D8" s="26">
        <v>21</v>
      </c>
      <c r="E8" s="26" t="s">
        <v>11</v>
      </c>
      <c r="F8" s="26">
        <v>41</v>
      </c>
      <c r="G8" s="26">
        <v>1</v>
      </c>
      <c r="I8" s="44"/>
      <c r="J8" s="43"/>
      <c r="K8" s="40" t="s">
        <v>0</v>
      </c>
      <c r="L8" s="40"/>
      <c r="M8" s="40" t="s">
        <v>6</v>
      </c>
      <c r="N8" s="40"/>
      <c r="O8" s="40" t="s">
        <v>7</v>
      </c>
      <c r="P8" s="40"/>
    </row>
    <row r="9" spans="1:17" x14ac:dyDescent="0.3">
      <c r="A9" s="26">
        <v>2</v>
      </c>
      <c r="B9" s="26">
        <v>0</v>
      </c>
      <c r="C9" s="26" t="s">
        <v>11</v>
      </c>
      <c r="D9" s="26">
        <v>43</v>
      </c>
      <c r="E9" s="26" t="s">
        <v>11</v>
      </c>
      <c r="F9" s="26">
        <v>2</v>
      </c>
      <c r="G9" s="26">
        <v>0</v>
      </c>
      <c r="I9" s="42"/>
      <c r="J9" s="41"/>
      <c r="K9" s="40"/>
      <c r="L9" s="40"/>
      <c r="M9" s="40"/>
      <c r="N9" s="40"/>
      <c r="O9" s="40"/>
      <c r="P9" s="40"/>
    </row>
    <row r="10" spans="1:17" x14ac:dyDescent="0.3">
      <c r="A10" s="26">
        <v>2</v>
      </c>
      <c r="B10" s="26">
        <v>0</v>
      </c>
      <c r="C10" s="26" t="s">
        <v>11</v>
      </c>
      <c r="D10" s="26">
        <v>39</v>
      </c>
      <c r="E10" s="26" t="s">
        <v>11</v>
      </c>
      <c r="F10" s="26">
        <v>2</v>
      </c>
      <c r="G10" s="26">
        <v>0</v>
      </c>
      <c r="I10" s="38" t="s">
        <v>8</v>
      </c>
      <c r="J10" s="38"/>
      <c r="K10" s="37">
        <f>AVERAGE($D$1:$D$100,)</f>
        <v>24.93069306930693</v>
      </c>
      <c r="L10" s="37"/>
      <c r="M10" s="37" cm="1">
        <f t="array" ref="M10">AVERAGE(_xlfn._xlws.FILTER($D$1:$D$100,$G$1:$G$100 = 0))</f>
        <v>31.661016949152543</v>
      </c>
      <c r="N10" s="37"/>
      <c r="O10" s="39" cm="1">
        <f t="array" ref="O10">AVERAGE(_xlfn._xlws.FILTER($D$1:$D$100,$G$1:$G$100 = 1))</f>
        <v>15.853658536585366</v>
      </c>
      <c r="P10" s="35"/>
    </row>
    <row r="11" spans="1:17" x14ac:dyDescent="0.3">
      <c r="A11" s="26">
        <v>2</v>
      </c>
      <c r="B11" s="26">
        <v>0</v>
      </c>
      <c r="C11" s="26" t="s">
        <v>11</v>
      </c>
      <c r="D11" s="26">
        <v>24</v>
      </c>
      <c r="E11" s="26" t="s">
        <v>11</v>
      </c>
      <c r="F11" s="26">
        <v>31</v>
      </c>
      <c r="G11" s="26">
        <v>1</v>
      </c>
      <c r="I11" s="38"/>
      <c r="J11" s="38"/>
      <c r="K11" s="37"/>
      <c r="L11" s="37"/>
      <c r="M11" s="37"/>
      <c r="N11" s="37"/>
      <c r="O11" s="37"/>
      <c r="P11" s="33"/>
    </row>
    <row r="12" spans="1:17" x14ac:dyDescent="0.3">
      <c r="A12" s="26">
        <v>2</v>
      </c>
      <c r="B12" s="26">
        <v>0</v>
      </c>
      <c r="C12" s="26" t="s">
        <v>11</v>
      </c>
      <c r="D12" s="26">
        <v>30</v>
      </c>
      <c r="E12" s="26" t="s">
        <v>11</v>
      </c>
      <c r="F12" s="26">
        <v>13</v>
      </c>
      <c r="G12" s="26">
        <v>0</v>
      </c>
      <c r="I12" s="38" t="s">
        <v>9</v>
      </c>
      <c r="J12" s="38"/>
      <c r="K12" s="37">
        <f>AVERAGE($F$1:$F$100,)</f>
        <v>21.118811881188119</v>
      </c>
      <c r="L12" s="37"/>
      <c r="M12" s="37" cm="1">
        <f t="array" ref="M12">AVERAGE(_xlfn._xlws.FILTER($F$1:$F$100,$G$1:$G$100 = 0))</f>
        <v>13.983050847457626</v>
      </c>
      <c r="N12" s="37"/>
      <c r="O12" s="37" cm="1">
        <f t="array" ref="O12">AVERAGE(_xlfn._xlws.FILTER($F$1:$F$100,$G$1:$G$100 = 1))</f>
        <v>31.902439024390244</v>
      </c>
      <c r="P12" s="33"/>
    </row>
    <row r="13" spans="1:17" x14ac:dyDescent="0.3">
      <c r="A13" s="26">
        <v>2</v>
      </c>
      <c r="B13" s="26">
        <v>0</v>
      </c>
      <c r="C13" s="26" t="s">
        <v>11</v>
      </c>
      <c r="D13" s="26">
        <v>46</v>
      </c>
      <c r="E13" s="26" t="s">
        <v>11</v>
      </c>
      <c r="F13" s="26">
        <v>33</v>
      </c>
      <c r="G13" s="26">
        <v>0</v>
      </c>
      <c r="I13" s="38"/>
      <c r="J13" s="38"/>
      <c r="K13" s="37"/>
      <c r="L13" s="37"/>
      <c r="M13" s="37"/>
      <c r="N13" s="37"/>
      <c r="O13" s="37"/>
      <c r="P13" s="33"/>
    </row>
    <row r="14" spans="1:17" x14ac:dyDescent="0.3">
      <c r="A14" s="26">
        <v>2</v>
      </c>
      <c r="B14" s="26">
        <v>0</v>
      </c>
      <c r="C14" s="26" t="s">
        <v>11</v>
      </c>
      <c r="D14" s="26">
        <v>28</v>
      </c>
      <c r="E14" s="26" t="s">
        <v>11</v>
      </c>
      <c r="F14" s="26">
        <v>17</v>
      </c>
      <c r="G14" s="26">
        <v>0</v>
      </c>
      <c r="I14" s="36" t="s">
        <v>10</v>
      </c>
      <c r="J14" s="35"/>
      <c r="K14" s="32" cm="1">
        <f t="array" ref="K14">AVERAGE($D$1:$D$100 - $F$1:$F$100)</f>
        <v>3.85</v>
      </c>
      <c r="L14" s="32"/>
      <c r="M14" s="32" cm="1">
        <f t="array" ref="M14">AVERAGE(_xlfn._xlws.FILTER($D$1:$D$100 - $F$1:$F$100, G$1:G$100 = 0))</f>
        <v>17.677966101694917</v>
      </c>
      <c r="N14" s="32"/>
      <c r="O14" s="32" cm="1">
        <f t="array" ref="O14">AVERAGE(_xlfn._xlws.FILTER($D$1:$D$100 - $F$1:$F$100, G$1:G$100 = 1))</f>
        <v>-16.048780487804876</v>
      </c>
      <c r="P14" s="31"/>
    </row>
    <row r="15" spans="1:17" x14ac:dyDescent="0.3">
      <c r="A15" s="26">
        <v>2</v>
      </c>
      <c r="B15" s="26">
        <v>0</v>
      </c>
      <c r="C15" s="26" t="s">
        <v>11</v>
      </c>
      <c r="D15" s="26">
        <v>13</v>
      </c>
      <c r="E15" s="26" t="s">
        <v>11</v>
      </c>
      <c r="F15" s="26">
        <v>46</v>
      </c>
      <c r="G15" s="26">
        <v>1</v>
      </c>
      <c r="I15" s="34"/>
      <c r="J15" s="33"/>
      <c r="K15" s="32"/>
      <c r="L15" s="32"/>
      <c r="M15" s="32"/>
      <c r="N15" s="32"/>
      <c r="O15" s="32"/>
      <c r="P15" s="31"/>
    </row>
    <row r="16" spans="1:17" x14ac:dyDescent="0.3">
      <c r="A16" s="26">
        <v>2</v>
      </c>
      <c r="B16" s="26">
        <v>0</v>
      </c>
      <c r="C16" s="26" t="s">
        <v>11</v>
      </c>
      <c r="D16" s="26">
        <v>50</v>
      </c>
      <c r="E16" s="26" t="s">
        <v>11</v>
      </c>
      <c r="F16" s="26">
        <v>26</v>
      </c>
      <c r="G16" s="26">
        <v>0</v>
      </c>
      <c r="I16" s="30"/>
      <c r="J16" s="29"/>
      <c r="K16" s="28"/>
      <c r="L16" s="28"/>
      <c r="M16" s="28"/>
      <c r="N16" s="28"/>
      <c r="O16" s="28"/>
      <c r="P16" s="27"/>
    </row>
    <row r="17" spans="1:7" x14ac:dyDescent="0.3">
      <c r="A17" s="26">
        <v>2</v>
      </c>
      <c r="B17" s="26">
        <v>0</v>
      </c>
      <c r="C17" s="26" t="s">
        <v>11</v>
      </c>
      <c r="D17" s="26">
        <v>22</v>
      </c>
      <c r="E17" s="26" t="s">
        <v>11</v>
      </c>
      <c r="F17" s="26">
        <v>19</v>
      </c>
      <c r="G17" s="26">
        <v>0</v>
      </c>
    </row>
    <row r="18" spans="1:7" x14ac:dyDescent="0.3">
      <c r="A18" s="26">
        <v>2</v>
      </c>
      <c r="B18" s="26">
        <v>0</v>
      </c>
      <c r="C18" s="26" t="s">
        <v>11</v>
      </c>
      <c r="D18" s="26">
        <v>6</v>
      </c>
      <c r="E18" s="26" t="s">
        <v>11</v>
      </c>
      <c r="F18" s="26">
        <v>37</v>
      </c>
      <c r="G18" s="26">
        <v>1</v>
      </c>
    </row>
    <row r="19" spans="1:7" x14ac:dyDescent="0.3">
      <c r="A19" s="26">
        <v>2</v>
      </c>
      <c r="B19" s="26">
        <v>0</v>
      </c>
      <c r="C19" s="26" t="s">
        <v>11</v>
      </c>
      <c r="D19" s="26">
        <v>26</v>
      </c>
      <c r="E19" s="26" t="s">
        <v>11</v>
      </c>
      <c r="F19" s="26">
        <v>12</v>
      </c>
      <c r="G19" s="26">
        <v>0</v>
      </c>
    </row>
    <row r="20" spans="1:7" x14ac:dyDescent="0.3">
      <c r="A20" s="26">
        <v>2</v>
      </c>
      <c r="B20" s="26">
        <v>0</v>
      </c>
      <c r="C20" s="26" t="s">
        <v>11</v>
      </c>
      <c r="D20" s="26">
        <v>11</v>
      </c>
      <c r="E20" s="26" t="s">
        <v>11</v>
      </c>
      <c r="F20" s="26">
        <v>8</v>
      </c>
      <c r="G20" s="26">
        <v>0</v>
      </c>
    </row>
    <row r="21" spans="1:7" x14ac:dyDescent="0.3">
      <c r="A21" s="26">
        <v>2</v>
      </c>
      <c r="B21" s="26">
        <v>0</v>
      </c>
      <c r="C21" s="26" t="s">
        <v>11</v>
      </c>
      <c r="D21" s="26">
        <v>26</v>
      </c>
      <c r="E21" s="26" t="s">
        <v>11</v>
      </c>
      <c r="F21" s="26">
        <v>55</v>
      </c>
      <c r="G21" s="26">
        <v>1</v>
      </c>
    </row>
    <row r="22" spans="1:7" x14ac:dyDescent="0.3">
      <c r="A22" s="26">
        <v>2</v>
      </c>
      <c r="B22" s="26">
        <v>0</v>
      </c>
      <c r="C22" s="26" t="s">
        <v>11</v>
      </c>
      <c r="D22" s="26">
        <v>25</v>
      </c>
      <c r="E22" s="26" t="s">
        <v>11</v>
      </c>
      <c r="F22" s="26">
        <v>4</v>
      </c>
      <c r="G22" s="26">
        <v>0</v>
      </c>
    </row>
    <row r="23" spans="1:7" x14ac:dyDescent="0.3">
      <c r="A23" s="26">
        <v>2</v>
      </c>
      <c r="B23" s="26">
        <v>0</v>
      </c>
      <c r="C23" s="26" t="s">
        <v>11</v>
      </c>
      <c r="D23" s="26">
        <v>4</v>
      </c>
      <c r="E23" s="26" t="s">
        <v>11</v>
      </c>
      <c r="F23" s="26">
        <v>15</v>
      </c>
      <c r="G23" s="26">
        <v>1</v>
      </c>
    </row>
    <row r="24" spans="1:7" x14ac:dyDescent="0.3">
      <c r="A24" s="26">
        <v>2</v>
      </c>
      <c r="B24" s="26">
        <v>0</v>
      </c>
      <c r="C24" s="26" t="s">
        <v>11</v>
      </c>
      <c r="D24" s="26">
        <v>27</v>
      </c>
      <c r="E24" s="26" t="s">
        <v>11</v>
      </c>
      <c r="F24" s="26">
        <v>58</v>
      </c>
      <c r="G24" s="26">
        <v>1</v>
      </c>
    </row>
    <row r="25" spans="1:7" x14ac:dyDescent="0.3">
      <c r="A25" s="26">
        <v>2</v>
      </c>
      <c r="B25" s="26">
        <v>0</v>
      </c>
      <c r="C25" s="26" t="s">
        <v>11</v>
      </c>
      <c r="D25" s="26">
        <v>33</v>
      </c>
      <c r="E25" s="26" t="s">
        <v>11</v>
      </c>
      <c r="F25" s="26">
        <v>23</v>
      </c>
      <c r="G25" s="26">
        <v>0</v>
      </c>
    </row>
    <row r="26" spans="1:7" x14ac:dyDescent="0.3">
      <c r="A26" s="26">
        <v>2</v>
      </c>
      <c r="B26" s="26">
        <v>0</v>
      </c>
      <c r="C26" s="26" t="s">
        <v>11</v>
      </c>
      <c r="D26" s="26">
        <v>21</v>
      </c>
      <c r="E26" s="26" t="s">
        <v>11</v>
      </c>
      <c r="F26" s="26">
        <v>16</v>
      </c>
      <c r="G26" s="26">
        <v>0</v>
      </c>
    </row>
    <row r="27" spans="1:7" x14ac:dyDescent="0.3">
      <c r="A27" s="26">
        <v>2</v>
      </c>
      <c r="B27" s="26">
        <v>0</v>
      </c>
      <c r="C27" s="26" t="s">
        <v>11</v>
      </c>
      <c r="D27" s="26">
        <v>36</v>
      </c>
      <c r="E27" s="26" t="s">
        <v>11</v>
      </c>
      <c r="F27" s="26">
        <v>13</v>
      </c>
      <c r="G27" s="26">
        <v>0</v>
      </c>
    </row>
    <row r="28" spans="1:7" x14ac:dyDescent="0.3">
      <c r="A28" s="26">
        <v>2</v>
      </c>
      <c r="B28" s="26">
        <v>0</v>
      </c>
      <c r="C28" s="26" t="s">
        <v>11</v>
      </c>
      <c r="D28" s="26">
        <v>36</v>
      </c>
      <c r="E28" s="26" t="s">
        <v>11</v>
      </c>
      <c r="F28" s="26">
        <v>3</v>
      </c>
      <c r="G28" s="26">
        <v>0</v>
      </c>
    </row>
    <row r="29" spans="1:7" x14ac:dyDescent="0.3">
      <c r="A29" s="26">
        <v>2</v>
      </c>
      <c r="B29" s="26">
        <v>0</v>
      </c>
      <c r="C29" s="26" t="s">
        <v>11</v>
      </c>
      <c r="D29" s="26">
        <v>10</v>
      </c>
      <c r="E29" s="26" t="s">
        <v>11</v>
      </c>
      <c r="F29" s="26">
        <v>29</v>
      </c>
      <c r="G29" s="26">
        <v>1</v>
      </c>
    </row>
    <row r="30" spans="1:7" x14ac:dyDescent="0.3">
      <c r="A30" s="26">
        <v>2</v>
      </c>
      <c r="B30" s="26">
        <v>0</v>
      </c>
      <c r="C30" s="26" t="s">
        <v>11</v>
      </c>
      <c r="D30" s="26">
        <v>2</v>
      </c>
      <c r="E30" s="26" t="s">
        <v>11</v>
      </c>
      <c r="F30" s="26">
        <v>18</v>
      </c>
      <c r="G30" s="26">
        <v>1</v>
      </c>
    </row>
    <row r="31" spans="1:7" x14ac:dyDescent="0.3">
      <c r="A31" s="26">
        <v>2</v>
      </c>
      <c r="B31" s="26">
        <v>0</v>
      </c>
      <c r="C31" s="26" t="s">
        <v>11</v>
      </c>
      <c r="D31" s="26">
        <v>18</v>
      </c>
      <c r="E31" s="26" t="s">
        <v>11</v>
      </c>
      <c r="F31" s="26">
        <v>7</v>
      </c>
      <c r="G31" s="26">
        <v>0</v>
      </c>
    </row>
    <row r="32" spans="1:7" x14ac:dyDescent="0.3">
      <c r="A32" s="26">
        <v>2</v>
      </c>
      <c r="B32" s="26">
        <v>0</v>
      </c>
      <c r="C32" s="26" t="s">
        <v>11</v>
      </c>
      <c r="D32" s="26">
        <v>6</v>
      </c>
      <c r="E32" s="26" t="s">
        <v>11</v>
      </c>
      <c r="F32" s="26">
        <v>6</v>
      </c>
      <c r="G32" s="26">
        <v>0</v>
      </c>
    </row>
    <row r="33" spans="1:7" x14ac:dyDescent="0.3">
      <c r="A33" s="26">
        <v>2</v>
      </c>
      <c r="B33" s="26">
        <v>0</v>
      </c>
      <c r="C33" s="26" t="s">
        <v>11</v>
      </c>
      <c r="D33" s="26">
        <v>21</v>
      </c>
      <c r="E33" s="26" t="s">
        <v>11</v>
      </c>
      <c r="F33" s="26">
        <v>5</v>
      </c>
      <c r="G33" s="26">
        <v>0</v>
      </c>
    </row>
    <row r="34" spans="1:7" x14ac:dyDescent="0.3">
      <c r="A34" s="26">
        <v>2</v>
      </c>
      <c r="B34" s="26">
        <v>0</v>
      </c>
      <c r="C34" s="26" t="s">
        <v>11</v>
      </c>
      <c r="D34" s="26">
        <v>2</v>
      </c>
      <c r="E34" s="26" t="s">
        <v>11</v>
      </c>
      <c r="F34" s="26">
        <v>27</v>
      </c>
      <c r="G34" s="26">
        <v>1</v>
      </c>
    </row>
    <row r="35" spans="1:7" x14ac:dyDescent="0.3">
      <c r="A35" s="26">
        <v>2</v>
      </c>
      <c r="B35" s="26">
        <v>0</v>
      </c>
      <c r="C35" s="26" t="s">
        <v>11</v>
      </c>
      <c r="D35" s="26">
        <v>6</v>
      </c>
      <c r="E35" s="26" t="s">
        <v>11</v>
      </c>
      <c r="F35" s="26">
        <v>14</v>
      </c>
      <c r="G35" s="26">
        <v>1</v>
      </c>
    </row>
    <row r="36" spans="1:7" x14ac:dyDescent="0.3">
      <c r="A36" s="26">
        <v>2</v>
      </c>
      <c r="B36" s="26">
        <v>0</v>
      </c>
      <c r="C36" s="26" t="s">
        <v>11</v>
      </c>
      <c r="D36" s="26">
        <v>23</v>
      </c>
      <c r="E36" s="26" t="s">
        <v>11</v>
      </c>
      <c r="F36" s="26">
        <v>20</v>
      </c>
      <c r="G36" s="26">
        <v>0</v>
      </c>
    </row>
    <row r="37" spans="1:7" x14ac:dyDescent="0.3">
      <c r="A37" s="26">
        <v>2</v>
      </c>
      <c r="B37" s="26">
        <v>0</v>
      </c>
      <c r="C37" s="26" t="s">
        <v>11</v>
      </c>
      <c r="D37" s="26">
        <v>17</v>
      </c>
      <c r="E37" s="26" t="s">
        <v>11</v>
      </c>
      <c r="F37" s="26">
        <v>9</v>
      </c>
      <c r="G37" s="26">
        <v>0</v>
      </c>
    </row>
    <row r="38" spans="1:7" x14ac:dyDescent="0.3">
      <c r="A38" s="26">
        <v>2</v>
      </c>
      <c r="B38" s="26">
        <v>0</v>
      </c>
      <c r="C38" s="26" t="s">
        <v>11</v>
      </c>
      <c r="D38" s="26">
        <v>51</v>
      </c>
      <c r="E38" s="26" t="s">
        <v>11</v>
      </c>
      <c r="F38" s="26">
        <v>53</v>
      </c>
      <c r="G38" s="26">
        <v>1</v>
      </c>
    </row>
    <row r="39" spans="1:7" x14ac:dyDescent="0.3">
      <c r="A39" s="26">
        <v>2</v>
      </c>
      <c r="B39" s="26">
        <v>0</v>
      </c>
      <c r="C39" s="26" t="s">
        <v>11</v>
      </c>
      <c r="D39" s="26">
        <v>50</v>
      </c>
      <c r="E39" s="26" t="s">
        <v>11</v>
      </c>
      <c r="F39" s="26">
        <v>9</v>
      </c>
      <c r="G39" s="26">
        <v>0</v>
      </c>
    </row>
    <row r="40" spans="1:7" x14ac:dyDescent="0.3">
      <c r="A40" s="26">
        <v>2</v>
      </c>
      <c r="B40" s="26">
        <v>0</v>
      </c>
      <c r="C40" s="26" t="s">
        <v>11</v>
      </c>
      <c r="D40" s="26">
        <v>7</v>
      </c>
      <c r="E40" s="26" t="s">
        <v>11</v>
      </c>
      <c r="F40" s="26">
        <v>38</v>
      </c>
      <c r="G40" s="26">
        <v>1</v>
      </c>
    </row>
    <row r="41" spans="1:7" x14ac:dyDescent="0.3">
      <c r="A41" s="26">
        <v>2</v>
      </c>
      <c r="B41" s="26">
        <v>0</v>
      </c>
      <c r="C41" s="26" t="s">
        <v>11</v>
      </c>
      <c r="D41" s="26">
        <v>29</v>
      </c>
      <c r="E41" s="26" t="s">
        <v>11</v>
      </c>
      <c r="F41" s="26">
        <v>20</v>
      </c>
      <c r="G41" s="26">
        <v>0</v>
      </c>
    </row>
    <row r="42" spans="1:7" x14ac:dyDescent="0.3">
      <c r="A42" s="26">
        <v>2</v>
      </c>
      <c r="B42" s="26">
        <v>0</v>
      </c>
      <c r="C42" s="26" t="s">
        <v>11</v>
      </c>
      <c r="D42" s="26">
        <v>36</v>
      </c>
      <c r="E42" s="26" t="s">
        <v>11</v>
      </c>
      <c r="F42" s="26">
        <v>30</v>
      </c>
      <c r="G42" s="26">
        <v>0</v>
      </c>
    </row>
    <row r="43" spans="1:7" x14ac:dyDescent="0.3">
      <c r="A43" s="26">
        <v>2</v>
      </c>
      <c r="B43" s="26">
        <v>0</v>
      </c>
      <c r="C43" s="26" t="s">
        <v>11</v>
      </c>
      <c r="D43" s="26">
        <v>37</v>
      </c>
      <c r="E43" s="26" t="s">
        <v>11</v>
      </c>
      <c r="F43" s="26">
        <v>48</v>
      </c>
      <c r="G43" s="26">
        <v>1</v>
      </c>
    </row>
    <row r="44" spans="1:7" x14ac:dyDescent="0.3">
      <c r="A44" s="26">
        <v>2</v>
      </c>
      <c r="B44" s="26">
        <v>0</v>
      </c>
      <c r="C44" s="26" t="s">
        <v>11</v>
      </c>
      <c r="D44" s="26">
        <v>49</v>
      </c>
      <c r="E44" s="26" t="s">
        <v>11</v>
      </c>
      <c r="F44" s="26">
        <v>20</v>
      </c>
      <c r="G44" s="26">
        <v>0</v>
      </c>
    </row>
    <row r="45" spans="1:7" x14ac:dyDescent="0.3">
      <c r="A45" s="26">
        <v>2</v>
      </c>
      <c r="B45" s="26">
        <v>0</v>
      </c>
      <c r="C45" s="26" t="s">
        <v>11</v>
      </c>
      <c r="D45" s="26">
        <v>12</v>
      </c>
      <c r="E45" s="26" t="s">
        <v>11</v>
      </c>
      <c r="F45" s="26">
        <v>12</v>
      </c>
      <c r="G45" s="26">
        <v>0</v>
      </c>
    </row>
    <row r="46" spans="1:7" x14ac:dyDescent="0.3">
      <c r="A46" s="26">
        <v>2</v>
      </c>
      <c r="B46" s="26">
        <v>0</v>
      </c>
      <c r="C46" s="26" t="s">
        <v>11</v>
      </c>
      <c r="D46" s="26">
        <v>6</v>
      </c>
      <c r="E46" s="26" t="s">
        <v>11</v>
      </c>
      <c r="F46" s="26">
        <v>37</v>
      </c>
      <c r="G46" s="26">
        <v>1</v>
      </c>
    </row>
    <row r="47" spans="1:7" x14ac:dyDescent="0.3">
      <c r="A47" s="26">
        <v>2</v>
      </c>
      <c r="B47" s="26">
        <v>0</v>
      </c>
      <c r="C47" s="26" t="s">
        <v>11</v>
      </c>
      <c r="D47" s="26">
        <v>19</v>
      </c>
      <c r="E47" s="26" t="s">
        <v>11</v>
      </c>
      <c r="F47" s="26">
        <v>45</v>
      </c>
      <c r="G47" s="26">
        <v>1</v>
      </c>
    </row>
    <row r="48" spans="1:7" x14ac:dyDescent="0.3">
      <c r="A48" s="26">
        <v>2</v>
      </c>
      <c r="B48" s="26">
        <v>0</v>
      </c>
      <c r="C48" s="26" t="s">
        <v>11</v>
      </c>
      <c r="D48" s="26">
        <v>30</v>
      </c>
      <c r="E48" s="26" t="s">
        <v>11</v>
      </c>
      <c r="F48" s="26">
        <v>20</v>
      </c>
      <c r="G48" s="26">
        <v>0</v>
      </c>
    </row>
    <row r="49" spans="1:7" x14ac:dyDescent="0.3">
      <c r="A49" s="26">
        <v>2</v>
      </c>
      <c r="B49" s="26">
        <v>0</v>
      </c>
      <c r="C49" s="26" t="s">
        <v>11</v>
      </c>
      <c r="D49" s="26">
        <v>26</v>
      </c>
      <c r="E49" s="26" t="s">
        <v>11</v>
      </c>
      <c r="F49" s="26">
        <v>19</v>
      </c>
      <c r="G49" s="26">
        <v>0</v>
      </c>
    </row>
    <row r="50" spans="1:7" x14ac:dyDescent="0.3">
      <c r="A50" s="26">
        <v>2</v>
      </c>
      <c r="B50" s="26">
        <v>0</v>
      </c>
      <c r="C50" s="26" t="s">
        <v>11</v>
      </c>
      <c r="D50" s="26">
        <v>22</v>
      </c>
      <c r="E50" s="26" t="s">
        <v>11</v>
      </c>
      <c r="F50" s="26">
        <v>30</v>
      </c>
      <c r="G50" s="26">
        <v>1</v>
      </c>
    </row>
    <row r="51" spans="1:7" x14ac:dyDescent="0.3">
      <c r="A51" s="26">
        <v>2</v>
      </c>
      <c r="B51" s="26">
        <v>1</v>
      </c>
      <c r="C51" s="26" t="s">
        <v>11</v>
      </c>
      <c r="D51" s="26">
        <v>16</v>
      </c>
      <c r="E51" s="26" t="s">
        <v>11</v>
      </c>
      <c r="F51" s="26">
        <v>38</v>
      </c>
      <c r="G51" s="26">
        <v>1</v>
      </c>
    </row>
    <row r="52" spans="1:7" x14ac:dyDescent="0.3">
      <c r="A52" s="26">
        <v>2</v>
      </c>
      <c r="B52" s="26">
        <v>1</v>
      </c>
      <c r="C52" s="26" t="s">
        <v>11</v>
      </c>
      <c r="D52" s="26">
        <v>11</v>
      </c>
      <c r="E52" s="26" t="s">
        <v>11</v>
      </c>
      <c r="F52" s="26">
        <v>32</v>
      </c>
      <c r="G52" s="26">
        <v>1</v>
      </c>
    </row>
    <row r="53" spans="1:7" x14ac:dyDescent="0.3">
      <c r="A53" s="26">
        <v>2</v>
      </c>
      <c r="B53" s="26">
        <v>1</v>
      </c>
      <c r="C53" s="26" t="s">
        <v>11</v>
      </c>
      <c r="D53" s="26">
        <v>39</v>
      </c>
      <c r="E53" s="26" t="s">
        <v>11</v>
      </c>
      <c r="F53" s="26">
        <v>38</v>
      </c>
      <c r="G53" s="26">
        <v>0</v>
      </c>
    </row>
    <row r="54" spans="1:7" x14ac:dyDescent="0.3">
      <c r="A54" s="26">
        <v>2</v>
      </c>
      <c r="B54" s="26">
        <v>1</v>
      </c>
      <c r="C54" s="26" t="s">
        <v>11</v>
      </c>
      <c r="D54" s="26">
        <v>25</v>
      </c>
      <c r="E54" s="26" t="s">
        <v>11</v>
      </c>
      <c r="F54" s="26">
        <v>18</v>
      </c>
      <c r="G54" s="26">
        <v>0</v>
      </c>
    </row>
    <row r="55" spans="1:7" x14ac:dyDescent="0.3">
      <c r="A55" s="26">
        <v>2</v>
      </c>
      <c r="B55" s="26">
        <v>1</v>
      </c>
      <c r="C55" s="26" t="s">
        <v>11</v>
      </c>
      <c r="D55" s="26">
        <v>21</v>
      </c>
      <c r="E55" s="26" t="s">
        <v>11</v>
      </c>
      <c r="F55" s="26">
        <v>26</v>
      </c>
      <c r="G55" s="26">
        <v>1</v>
      </c>
    </row>
    <row r="56" spans="1:7" x14ac:dyDescent="0.3">
      <c r="A56" s="26">
        <v>2</v>
      </c>
      <c r="B56" s="26">
        <v>1</v>
      </c>
      <c r="C56" s="26" t="s">
        <v>11</v>
      </c>
      <c r="D56" s="26">
        <v>29</v>
      </c>
      <c r="E56" s="26" t="s">
        <v>11</v>
      </c>
      <c r="F56" s="26">
        <v>11</v>
      </c>
      <c r="G56" s="26">
        <v>0</v>
      </c>
    </row>
    <row r="57" spans="1:7" x14ac:dyDescent="0.3">
      <c r="A57" s="26">
        <v>2</v>
      </c>
      <c r="B57" s="26">
        <v>1</v>
      </c>
      <c r="C57" s="26" t="s">
        <v>11</v>
      </c>
      <c r="D57" s="26">
        <v>36</v>
      </c>
      <c r="E57" s="26" t="s">
        <v>11</v>
      </c>
      <c r="F57" s="26">
        <v>2</v>
      </c>
      <c r="G57" s="26">
        <v>0</v>
      </c>
    </row>
    <row r="58" spans="1:7" x14ac:dyDescent="0.3">
      <c r="A58" s="26">
        <v>2</v>
      </c>
      <c r="B58" s="26">
        <v>1</v>
      </c>
      <c r="C58" s="26" t="s">
        <v>11</v>
      </c>
      <c r="D58" s="26">
        <v>4</v>
      </c>
      <c r="E58" s="26" t="s">
        <v>11</v>
      </c>
      <c r="F58" s="26">
        <v>14</v>
      </c>
      <c r="G58" s="26">
        <v>1</v>
      </c>
    </row>
    <row r="59" spans="1:7" x14ac:dyDescent="0.3">
      <c r="A59" s="26">
        <v>2</v>
      </c>
      <c r="B59" s="26">
        <v>1</v>
      </c>
      <c r="C59" s="26" t="s">
        <v>11</v>
      </c>
      <c r="D59" s="26">
        <v>26</v>
      </c>
      <c r="E59" s="26" t="s">
        <v>11</v>
      </c>
      <c r="F59" s="26">
        <v>27</v>
      </c>
      <c r="G59" s="26">
        <v>1</v>
      </c>
    </row>
    <row r="60" spans="1:7" x14ac:dyDescent="0.3">
      <c r="A60" s="26">
        <v>2</v>
      </c>
      <c r="B60" s="26">
        <v>1</v>
      </c>
      <c r="C60" s="26" t="s">
        <v>11</v>
      </c>
      <c r="D60" s="26">
        <v>24</v>
      </c>
      <c r="E60" s="26" t="s">
        <v>11</v>
      </c>
      <c r="F60" s="26">
        <v>23</v>
      </c>
      <c r="G60" s="26">
        <v>0</v>
      </c>
    </row>
    <row r="61" spans="1:7" x14ac:dyDescent="0.3">
      <c r="A61" s="26">
        <v>2</v>
      </c>
      <c r="B61" s="26">
        <v>1</v>
      </c>
      <c r="C61" s="26" t="s">
        <v>11</v>
      </c>
      <c r="D61" s="26">
        <v>12</v>
      </c>
      <c r="E61" s="26" t="s">
        <v>11</v>
      </c>
      <c r="F61" s="26">
        <v>11</v>
      </c>
      <c r="G61" s="26">
        <v>0</v>
      </c>
    </row>
    <row r="62" spans="1:7" x14ac:dyDescent="0.3">
      <c r="A62" s="26">
        <v>2</v>
      </c>
      <c r="B62" s="26">
        <v>1</v>
      </c>
      <c r="C62" s="26" t="s">
        <v>11</v>
      </c>
      <c r="D62" s="26">
        <v>26</v>
      </c>
      <c r="E62" s="26" t="s">
        <v>11</v>
      </c>
      <c r="F62" s="26">
        <v>13</v>
      </c>
      <c r="G62" s="26">
        <v>0</v>
      </c>
    </row>
    <row r="63" spans="1:7" x14ac:dyDescent="0.3">
      <c r="A63" s="26">
        <v>2</v>
      </c>
      <c r="B63" s="26">
        <v>1</v>
      </c>
      <c r="C63" s="26" t="s">
        <v>11</v>
      </c>
      <c r="D63" s="26">
        <v>39</v>
      </c>
      <c r="E63" s="26" t="s">
        <v>11</v>
      </c>
      <c r="F63" s="26">
        <v>18</v>
      </c>
      <c r="G63" s="26">
        <v>0</v>
      </c>
    </row>
    <row r="64" spans="1:7" x14ac:dyDescent="0.3">
      <c r="A64" s="26">
        <v>2</v>
      </c>
      <c r="B64" s="26">
        <v>1</v>
      </c>
      <c r="C64" s="26" t="s">
        <v>11</v>
      </c>
      <c r="D64" s="26">
        <v>48</v>
      </c>
      <c r="E64" s="26" t="s">
        <v>11</v>
      </c>
      <c r="F64" s="26">
        <v>15</v>
      </c>
      <c r="G64" s="26">
        <v>0</v>
      </c>
    </row>
    <row r="65" spans="1:7" x14ac:dyDescent="0.3">
      <c r="A65" s="26">
        <v>2</v>
      </c>
      <c r="B65" s="26">
        <v>1</v>
      </c>
      <c r="C65" s="26" t="s">
        <v>11</v>
      </c>
      <c r="D65" s="26">
        <v>29</v>
      </c>
      <c r="E65" s="26" t="s">
        <v>11</v>
      </c>
      <c r="F65" s="26">
        <v>18</v>
      </c>
      <c r="G65" s="26">
        <v>0</v>
      </c>
    </row>
    <row r="66" spans="1:7" x14ac:dyDescent="0.3">
      <c r="A66" s="26">
        <v>2</v>
      </c>
      <c r="B66" s="26">
        <v>1</v>
      </c>
      <c r="C66" s="26" t="s">
        <v>11</v>
      </c>
      <c r="D66" s="26">
        <v>35</v>
      </c>
      <c r="E66" s="26" t="s">
        <v>11</v>
      </c>
      <c r="F66" s="26">
        <v>4</v>
      </c>
      <c r="G66" s="26">
        <v>0</v>
      </c>
    </row>
    <row r="67" spans="1:7" x14ac:dyDescent="0.3">
      <c r="A67" s="26">
        <v>2</v>
      </c>
      <c r="B67" s="26">
        <v>1</v>
      </c>
      <c r="C67" s="26" t="s">
        <v>11</v>
      </c>
      <c r="D67" s="26">
        <v>61</v>
      </c>
      <c r="E67" s="26" t="s">
        <v>11</v>
      </c>
      <c r="F67" s="26">
        <v>2</v>
      </c>
      <c r="G67" s="26">
        <v>0</v>
      </c>
    </row>
    <row r="68" spans="1:7" x14ac:dyDescent="0.3">
      <c r="A68" s="26">
        <v>2</v>
      </c>
      <c r="B68" s="26">
        <v>1</v>
      </c>
      <c r="C68" s="26" t="s">
        <v>11</v>
      </c>
      <c r="D68" s="26">
        <v>25</v>
      </c>
      <c r="E68" s="26" t="s">
        <v>11</v>
      </c>
      <c r="F68" s="26">
        <v>13</v>
      </c>
      <c r="G68" s="26">
        <v>0</v>
      </c>
    </row>
    <row r="69" spans="1:7" x14ac:dyDescent="0.3">
      <c r="A69" s="26">
        <v>2</v>
      </c>
      <c r="B69" s="26">
        <v>1</v>
      </c>
      <c r="C69" s="26" t="s">
        <v>11</v>
      </c>
      <c r="D69" s="26">
        <v>30</v>
      </c>
      <c r="E69" s="26" t="s">
        <v>11</v>
      </c>
      <c r="F69" s="26">
        <v>2</v>
      </c>
      <c r="G69" s="26">
        <v>0</v>
      </c>
    </row>
    <row r="70" spans="1:7" x14ac:dyDescent="0.3">
      <c r="A70" s="26">
        <v>2</v>
      </c>
      <c r="B70" s="26">
        <v>1</v>
      </c>
      <c r="C70" s="26" t="s">
        <v>11</v>
      </c>
      <c r="D70" s="26">
        <v>20</v>
      </c>
      <c r="E70" s="26" t="s">
        <v>11</v>
      </c>
      <c r="F70" s="26">
        <v>25</v>
      </c>
      <c r="G70" s="26">
        <v>1</v>
      </c>
    </row>
    <row r="71" spans="1:7" x14ac:dyDescent="0.3">
      <c r="A71" s="26">
        <v>2</v>
      </c>
      <c r="B71" s="26">
        <v>1</v>
      </c>
      <c r="C71" s="26" t="s">
        <v>11</v>
      </c>
      <c r="D71" s="26">
        <v>10</v>
      </c>
      <c r="E71" s="26" t="s">
        <v>11</v>
      </c>
      <c r="F71" s="26">
        <v>16</v>
      </c>
      <c r="G71" s="26">
        <v>1</v>
      </c>
    </row>
    <row r="72" spans="1:7" x14ac:dyDescent="0.3">
      <c r="A72" s="26">
        <v>2</v>
      </c>
      <c r="B72" s="26">
        <v>1</v>
      </c>
      <c r="C72" s="26" t="s">
        <v>11</v>
      </c>
      <c r="D72" s="26">
        <v>91</v>
      </c>
      <c r="E72" s="26" t="s">
        <v>11</v>
      </c>
      <c r="F72" s="26">
        <v>0</v>
      </c>
      <c r="G72" s="26">
        <v>0</v>
      </c>
    </row>
    <row r="73" spans="1:7" x14ac:dyDescent="0.3">
      <c r="A73" s="26">
        <v>2</v>
      </c>
      <c r="B73" s="26">
        <v>1</v>
      </c>
      <c r="C73" s="26" t="s">
        <v>11</v>
      </c>
      <c r="D73" s="26">
        <v>28</v>
      </c>
      <c r="E73" s="26" t="s">
        <v>11</v>
      </c>
      <c r="F73" s="26">
        <v>32</v>
      </c>
      <c r="G73" s="26">
        <v>1</v>
      </c>
    </row>
    <row r="74" spans="1:7" x14ac:dyDescent="0.3">
      <c r="A74" s="26">
        <v>2</v>
      </c>
      <c r="B74" s="26">
        <v>1</v>
      </c>
      <c r="C74" s="26" t="s">
        <v>11</v>
      </c>
      <c r="D74" s="26">
        <v>41</v>
      </c>
      <c r="E74" s="26" t="s">
        <v>11</v>
      </c>
      <c r="F74" s="26">
        <v>18</v>
      </c>
      <c r="G74" s="26">
        <v>0</v>
      </c>
    </row>
    <row r="75" spans="1:7" x14ac:dyDescent="0.3">
      <c r="A75" s="26">
        <v>2</v>
      </c>
      <c r="B75" s="26">
        <v>1</v>
      </c>
      <c r="C75" s="26" t="s">
        <v>11</v>
      </c>
      <c r="D75" s="26">
        <v>8</v>
      </c>
      <c r="E75" s="26" t="s">
        <v>11</v>
      </c>
      <c r="F75" s="26">
        <v>18</v>
      </c>
      <c r="G75" s="26">
        <v>1</v>
      </c>
    </row>
    <row r="76" spans="1:7" x14ac:dyDescent="0.3">
      <c r="A76" s="26">
        <v>2</v>
      </c>
      <c r="B76" s="26">
        <v>1</v>
      </c>
      <c r="C76" s="26" t="s">
        <v>11</v>
      </c>
      <c r="D76" s="26">
        <v>25</v>
      </c>
      <c r="E76" s="26" t="s">
        <v>11</v>
      </c>
      <c r="F76" s="26">
        <v>0</v>
      </c>
      <c r="G76" s="26">
        <v>0</v>
      </c>
    </row>
    <row r="77" spans="1:7" x14ac:dyDescent="0.3">
      <c r="A77" s="26">
        <v>2</v>
      </c>
      <c r="B77" s="26">
        <v>1</v>
      </c>
      <c r="C77" s="26" t="s">
        <v>11</v>
      </c>
      <c r="D77" s="26">
        <v>33</v>
      </c>
      <c r="E77" s="26" t="s">
        <v>11</v>
      </c>
      <c r="F77" s="26">
        <v>33</v>
      </c>
      <c r="G77" s="26">
        <v>0</v>
      </c>
    </row>
    <row r="78" spans="1:7" x14ac:dyDescent="0.3">
      <c r="A78" s="26">
        <v>2</v>
      </c>
      <c r="B78" s="26">
        <v>1</v>
      </c>
      <c r="C78" s="26" t="s">
        <v>11</v>
      </c>
      <c r="D78" s="26">
        <v>35</v>
      </c>
      <c r="E78" s="26" t="s">
        <v>11</v>
      </c>
      <c r="F78" s="26">
        <v>2</v>
      </c>
      <c r="G78" s="26">
        <v>0</v>
      </c>
    </row>
    <row r="79" spans="1:7" x14ac:dyDescent="0.3">
      <c r="A79" s="26">
        <v>2</v>
      </c>
      <c r="B79" s="26">
        <v>1</v>
      </c>
      <c r="C79" s="26" t="s">
        <v>11</v>
      </c>
      <c r="D79" s="26">
        <v>30</v>
      </c>
      <c r="E79" s="26" t="s">
        <v>11</v>
      </c>
      <c r="F79" s="26">
        <v>33</v>
      </c>
      <c r="G79" s="26">
        <v>1</v>
      </c>
    </row>
    <row r="80" spans="1:7" x14ac:dyDescent="0.3">
      <c r="A80" s="26">
        <v>2</v>
      </c>
      <c r="B80" s="26">
        <v>1</v>
      </c>
      <c r="C80" s="26" t="s">
        <v>11</v>
      </c>
      <c r="D80" s="26">
        <v>41</v>
      </c>
      <c r="E80" s="26" t="s">
        <v>11</v>
      </c>
      <c r="F80" s="26">
        <v>4</v>
      </c>
      <c r="G80" s="26">
        <v>0</v>
      </c>
    </row>
    <row r="81" spans="1:7" x14ac:dyDescent="0.3">
      <c r="A81" s="26">
        <v>2</v>
      </c>
      <c r="B81" s="26">
        <v>1</v>
      </c>
      <c r="C81" s="26" t="s">
        <v>11</v>
      </c>
      <c r="D81" s="26">
        <v>33</v>
      </c>
      <c r="E81" s="26" t="s">
        <v>11</v>
      </c>
      <c r="F81" s="26">
        <v>20</v>
      </c>
      <c r="G81" s="26">
        <v>0</v>
      </c>
    </row>
    <row r="82" spans="1:7" x14ac:dyDescent="0.3">
      <c r="A82" s="26">
        <v>2</v>
      </c>
      <c r="B82" s="26">
        <v>1</v>
      </c>
      <c r="C82" s="26" t="s">
        <v>11</v>
      </c>
      <c r="D82" s="26">
        <v>0</v>
      </c>
      <c r="E82" s="26" t="s">
        <v>11</v>
      </c>
      <c r="F82" s="26">
        <v>17</v>
      </c>
      <c r="G82" s="26">
        <v>1</v>
      </c>
    </row>
    <row r="83" spans="1:7" x14ac:dyDescent="0.3">
      <c r="A83" s="26">
        <v>2</v>
      </c>
      <c r="B83" s="26">
        <v>1</v>
      </c>
      <c r="C83" s="26" t="s">
        <v>11</v>
      </c>
      <c r="D83" s="26">
        <v>39</v>
      </c>
      <c r="E83" s="26" t="s">
        <v>11</v>
      </c>
      <c r="F83" s="26">
        <v>29</v>
      </c>
      <c r="G83" s="26">
        <v>0</v>
      </c>
    </row>
    <row r="84" spans="1:7" x14ac:dyDescent="0.3">
      <c r="A84" s="26">
        <v>2</v>
      </c>
      <c r="B84" s="26">
        <v>1</v>
      </c>
      <c r="C84" s="26" t="s">
        <v>11</v>
      </c>
      <c r="D84" s="26">
        <v>21</v>
      </c>
      <c r="E84" s="26" t="s">
        <v>11</v>
      </c>
      <c r="F84" s="26">
        <v>18</v>
      </c>
      <c r="G84" s="26">
        <v>0</v>
      </c>
    </row>
    <row r="85" spans="1:7" x14ac:dyDescent="0.3">
      <c r="A85" s="26">
        <v>2</v>
      </c>
      <c r="B85" s="26">
        <v>1</v>
      </c>
      <c r="C85" s="26" t="s">
        <v>11</v>
      </c>
      <c r="D85" s="26">
        <v>19</v>
      </c>
      <c r="E85" s="26" t="s">
        <v>11</v>
      </c>
      <c r="F85" s="26">
        <v>10</v>
      </c>
      <c r="G85" s="26">
        <v>0</v>
      </c>
    </row>
    <row r="86" spans="1:7" x14ac:dyDescent="0.3">
      <c r="A86" s="26">
        <v>2</v>
      </c>
      <c r="B86" s="26">
        <v>1</v>
      </c>
      <c r="C86" s="26" t="s">
        <v>11</v>
      </c>
      <c r="D86" s="26">
        <v>36</v>
      </c>
      <c r="E86" s="26" t="s">
        <v>11</v>
      </c>
      <c r="F86" s="26">
        <v>23</v>
      </c>
      <c r="G86" s="26">
        <v>0</v>
      </c>
    </row>
    <row r="87" spans="1:7" x14ac:dyDescent="0.3">
      <c r="A87" s="26">
        <v>2</v>
      </c>
      <c r="B87" s="26">
        <v>1</v>
      </c>
      <c r="C87" s="26" t="s">
        <v>11</v>
      </c>
      <c r="D87" s="26">
        <v>25</v>
      </c>
      <c r="E87" s="26" t="s">
        <v>11</v>
      </c>
      <c r="F87" s="26">
        <v>3</v>
      </c>
      <c r="G87" s="26">
        <v>0</v>
      </c>
    </row>
    <row r="88" spans="1:7" x14ac:dyDescent="0.3">
      <c r="A88" s="26">
        <v>2</v>
      </c>
      <c r="B88" s="26">
        <v>1</v>
      </c>
      <c r="C88" s="26" t="s">
        <v>11</v>
      </c>
      <c r="D88" s="26">
        <v>16</v>
      </c>
      <c r="E88" s="26" t="s">
        <v>11</v>
      </c>
      <c r="F88" s="26">
        <v>24</v>
      </c>
      <c r="G88" s="26">
        <v>1</v>
      </c>
    </row>
    <row r="89" spans="1:7" x14ac:dyDescent="0.3">
      <c r="A89" s="26">
        <v>2</v>
      </c>
      <c r="B89" s="26">
        <v>1</v>
      </c>
      <c r="C89" s="26" t="s">
        <v>11</v>
      </c>
      <c r="D89" s="26">
        <v>4</v>
      </c>
      <c r="E89" s="26" t="s">
        <v>11</v>
      </c>
      <c r="F89" s="26">
        <v>44</v>
      </c>
      <c r="G89" s="26">
        <v>1</v>
      </c>
    </row>
    <row r="90" spans="1:7" x14ac:dyDescent="0.3">
      <c r="A90" s="26">
        <v>2</v>
      </c>
      <c r="B90" s="26">
        <v>1</v>
      </c>
      <c r="C90" s="26" t="s">
        <v>11</v>
      </c>
      <c r="D90" s="26">
        <v>2</v>
      </c>
      <c r="E90" s="26" t="s">
        <v>11</v>
      </c>
      <c r="F90" s="26">
        <v>39</v>
      </c>
      <c r="G90" s="26">
        <v>1</v>
      </c>
    </row>
    <row r="91" spans="1:7" x14ac:dyDescent="0.3">
      <c r="A91" s="26">
        <v>2</v>
      </c>
      <c r="B91" s="26">
        <v>1</v>
      </c>
      <c r="C91" s="26" t="s">
        <v>11</v>
      </c>
      <c r="D91" s="26">
        <v>19</v>
      </c>
      <c r="E91" s="26" t="s">
        <v>11</v>
      </c>
      <c r="F91" s="26">
        <v>26</v>
      </c>
      <c r="G91" s="26">
        <v>1</v>
      </c>
    </row>
    <row r="92" spans="1:7" x14ac:dyDescent="0.3">
      <c r="A92" s="26">
        <v>2</v>
      </c>
      <c r="B92" s="26">
        <v>1</v>
      </c>
      <c r="C92" s="26" t="s">
        <v>11</v>
      </c>
      <c r="D92" s="26">
        <v>13</v>
      </c>
      <c r="E92" s="26" t="s">
        <v>11</v>
      </c>
      <c r="F92" s="26">
        <v>4</v>
      </c>
      <c r="G92" s="26">
        <v>0</v>
      </c>
    </row>
    <row r="93" spans="1:7" x14ac:dyDescent="0.3">
      <c r="A93" s="26">
        <v>2</v>
      </c>
      <c r="B93" s="26">
        <v>1</v>
      </c>
      <c r="C93" s="26" t="s">
        <v>11</v>
      </c>
      <c r="D93" s="26">
        <v>20</v>
      </c>
      <c r="E93" s="26" t="s">
        <v>11</v>
      </c>
      <c r="F93" s="26">
        <v>32</v>
      </c>
      <c r="G93" s="26">
        <v>1</v>
      </c>
    </row>
    <row r="94" spans="1:7" x14ac:dyDescent="0.3">
      <c r="A94" s="26">
        <v>2</v>
      </c>
      <c r="B94" s="26">
        <v>1</v>
      </c>
      <c r="C94" s="26" t="s">
        <v>11</v>
      </c>
      <c r="D94" s="26">
        <v>15</v>
      </c>
      <c r="E94" s="26" t="s">
        <v>11</v>
      </c>
      <c r="F94" s="26">
        <v>34</v>
      </c>
      <c r="G94" s="26">
        <v>1</v>
      </c>
    </row>
    <row r="95" spans="1:7" x14ac:dyDescent="0.3">
      <c r="A95" s="26">
        <v>2</v>
      </c>
      <c r="B95" s="26">
        <v>1</v>
      </c>
      <c r="C95" s="26" t="s">
        <v>11</v>
      </c>
      <c r="D95" s="26">
        <v>13</v>
      </c>
      <c r="E95" s="26" t="s">
        <v>11</v>
      </c>
      <c r="F95" s="26">
        <v>33</v>
      </c>
      <c r="G95" s="26">
        <v>1</v>
      </c>
    </row>
    <row r="96" spans="1:7" x14ac:dyDescent="0.3">
      <c r="A96" s="26">
        <v>2</v>
      </c>
      <c r="B96" s="26">
        <v>1</v>
      </c>
      <c r="C96" s="26" t="s">
        <v>11</v>
      </c>
      <c r="D96" s="26">
        <v>23</v>
      </c>
      <c r="E96" s="26" t="s">
        <v>11</v>
      </c>
      <c r="F96" s="26">
        <v>17</v>
      </c>
      <c r="G96" s="26">
        <v>0</v>
      </c>
    </row>
    <row r="97" spans="1:7" x14ac:dyDescent="0.3">
      <c r="A97" s="26">
        <v>2</v>
      </c>
      <c r="B97" s="26">
        <v>1</v>
      </c>
      <c r="C97" s="26" t="s">
        <v>11</v>
      </c>
      <c r="D97" s="26">
        <v>12</v>
      </c>
      <c r="E97" s="26" t="s">
        <v>11</v>
      </c>
      <c r="F97" s="26">
        <v>26</v>
      </c>
      <c r="G97" s="26">
        <v>1</v>
      </c>
    </row>
    <row r="98" spans="1:7" x14ac:dyDescent="0.3">
      <c r="A98" s="26">
        <v>2</v>
      </c>
      <c r="B98" s="26">
        <v>1</v>
      </c>
      <c r="C98" s="26" t="s">
        <v>11</v>
      </c>
      <c r="D98" s="26">
        <v>35</v>
      </c>
      <c r="E98" s="26" t="s">
        <v>11</v>
      </c>
      <c r="F98" s="26">
        <v>15</v>
      </c>
      <c r="G98" s="26">
        <v>0</v>
      </c>
    </row>
    <row r="99" spans="1:7" x14ac:dyDescent="0.3">
      <c r="A99" s="26">
        <v>2</v>
      </c>
      <c r="B99" s="26">
        <v>1</v>
      </c>
      <c r="C99" s="26" t="s">
        <v>11</v>
      </c>
      <c r="D99" s="26">
        <v>5</v>
      </c>
      <c r="E99" s="26" t="s">
        <v>11</v>
      </c>
      <c r="F99" s="26">
        <v>23</v>
      </c>
      <c r="G99" s="26">
        <v>1</v>
      </c>
    </row>
    <row r="100" spans="1:7" x14ac:dyDescent="0.3">
      <c r="A100" s="26">
        <v>2</v>
      </c>
      <c r="B100" s="26">
        <v>1</v>
      </c>
      <c r="C100" s="26" t="s">
        <v>11</v>
      </c>
      <c r="D100" s="26">
        <v>10</v>
      </c>
      <c r="E100" s="26" t="s">
        <v>11</v>
      </c>
      <c r="F100" s="26">
        <v>19</v>
      </c>
      <c r="G100" s="26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Sheet1</vt:lpstr>
      <vt:lpstr>ConvVSLinearBigModel</vt:lpstr>
      <vt:lpstr>ConvVSLinearBigModelWithMCTS</vt:lpstr>
      <vt:lpstr>SmallVSBigLinearModelWithMCTS</vt:lpstr>
      <vt:lpstr>SmallVSBigLinearModel</vt:lpstr>
      <vt:lpstr>SmallVSBigConvModelWithMCTS</vt:lpstr>
      <vt:lpstr>SmallVSBigConvModel</vt:lpstr>
      <vt:lpstr>MCTSnPolicyVSPolicyOnly</vt:lpstr>
      <vt:lpstr>MCTSnPolicyVSMCTSnCustomEval</vt:lpstr>
      <vt:lpstr>MCTSnCustomEvalVSMinimaxAI</vt:lpstr>
      <vt:lpstr>MCTSnCustomEvalVSMCTSnNNAI</vt:lpstr>
      <vt:lpstr>MCTSnCustomEvalVSMCTSAIScoreDif</vt:lpstr>
      <vt:lpstr>MCTSAIScoreDiffAvgVSMinimaxAI</vt:lpstr>
      <vt:lpstr>HeuristicVSPolicyOnly</vt:lpstr>
      <vt:lpstr>HeuristicVSMinimaxAI</vt:lpstr>
      <vt:lpstr>HeuristicVSMCTSnPolicy</vt:lpstr>
      <vt:lpstr>HeuristicVSMCTSnNNAI</vt:lpstr>
      <vt:lpstr>HeuristicVSMCTSnCustomEval</vt:lpstr>
      <vt:lpstr>ConvVSLinearSmallModel</vt:lpstr>
      <vt:lpstr>ConvVSLinearSmallModelWithMCTS</vt:lpstr>
      <vt:lpstr>FixedConvVSLinearBigModel</vt:lpstr>
      <vt:lpstr>FixedSmallVSBigConvModel</vt:lpstr>
      <vt:lpstr>FixedConvVSLinearBigModelWithMC</vt:lpstr>
      <vt:lpstr>FixedSmallVSBigConvModelWithMCT</vt:lpstr>
      <vt:lpstr>FixedSmallVSBigLinearModel</vt:lpstr>
      <vt:lpstr>FixedSmallVSBigLinearModelWithM</vt:lpstr>
      <vt:lpstr>BigConvVSSmallLinearModelWithMC</vt:lpstr>
      <vt:lpstr>SmallConvVSBigLinearModel</vt:lpstr>
      <vt:lpstr>SmallConvVSBigLinearModelWithMC</vt:lpstr>
      <vt:lpstr>BigConvVSSmallLinearModel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2015-06-05T18:17:20Z</dcterms:created>
  <dcterms:modified xsi:type="dcterms:W3CDTF">2026-05-15T17:50:15Z</dcterms:modified>
</cp:coreProperties>
</file>
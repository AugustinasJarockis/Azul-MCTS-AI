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au\Downloads\NewModels\NewModels\"/>
    </mc:Choice>
  </mc:AlternateContent>
  <xr:revisionPtr revIDLastSave="0" documentId="13_ncr:1_{D64EE223-A18D-4915-B71E-2862AFA70C9E}" xr6:coauthVersionLast="47" xr6:coauthVersionMax="47" xr10:uidLastSave="{00000000-0000-0000-0000-000000000000}"/>
  <bookViews>
    <workbookView xWindow="468" yWindow="576" windowWidth="22524" windowHeight="11412" firstSheet="3" activeTab="5" xr2:uid="{4956CBD1-F994-4645-8D0D-CCE733DB9736}"/>
  </bookViews>
  <sheets>
    <sheet name="BigLinearOnHUGE.v1" sheetId="2" r:id="rId1"/>
    <sheet name="BigConvOnHUGE.v0" sheetId="3" r:id="rId2"/>
    <sheet name="SmallConvOnHUGE.v1" sheetId="4" r:id="rId3"/>
    <sheet name="SmallLinearOnHUGE.v0" sheetId="5" r:id="rId4"/>
    <sheet name="SmallLinearVallueOnHUGE.v0" sheetId="6" r:id="rId5"/>
    <sheet name="FinalSmallLinearValueTraining.v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3" i="7" l="1"/>
  <c r="F4" i="7"/>
  <c r="G4" i="7"/>
  <c r="H4" i="7" s="1"/>
  <c r="F5" i="7"/>
  <c r="G5" i="7"/>
  <c r="H5" i="7" s="1"/>
  <c r="F6" i="7"/>
  <c r="G6" i="7"/>
  <c r="H6" i="7" s="1"/>
  <c r="F7" i="7"/>
  <c r="G7" i="7"/>
  <c r="H7" i="7" s="1"/>
  <c r="F8" i="7"/>
  <c r="G8" i="7"/>
  <c r="H8" i="7" s="1"/>
  <c r="F9" i="7"/>
  <c r="G9" i="7"/>
  <c r="H9" i="7" s="1"/>
  <c r="F10" i="7"/>
  <c r="G10" i="7"/>
  <c r="H10" i="7" s="1"/>
  <c r="F11" i="7"/>
  <c r="G11" i="7"/>
  <c r="F12" i="7"/>
  <c r="G12" i="7"/>
  <c r="F13" i="7"/>
  <c r="G13" i="7"/>
  <c r="F14" i="7"/>
  <c r="G14" i="7"/>
  <c r="H14" i="7" s="1"/>
  <c r="F15" i="7"/>
  <c r="G15" i="7"/>
  <c r="H15" i="7" s="1"/>
  <c r="F16" i="7"/>
  <c r="G16" i="7"/>
  <c r="H16" i="7" s="1"/>
  <c r="F17" i="7"/>
  <c r="G17" i="7"/>
  <c r="H17" i="7" s="1"/>
  <c r="F18" i="7"/>
  <c r="G18" i="7"/>
  <c r="H18" i="7" s="1"/>
  <c r="F19" i="7"/>
  <c r="G19" i="7"/>
  <c r="F20" i="7"/>
  <c r="G20" i="7"/>
  <c r="F21" i="7"/>
  <c r="G21" i="7"/>
  <c r="F22" i="7"/>
  <c r="G22" i="7"/>
  <c r="H22" i="7" s="1"/>
  <c r="F23" i="7"/>
  <c r="G23" i="7"/>
  <c r="H23" i="7" s="1"/>
  <c r="F24" i="7"/>
  <c r="G24" i="7"/>
  <c r="H24" i="7" s="1"/>
  <c r="F25" i="7"/>
  <c r="G25" i="7"/>
  <c r="H25" i="7" s="1"/>
  <c r="F26" i="7"/>
  <c r="G26" i="7"/>
  <c r="H26" i="7" s="1"/>
  <c r="F27" i="7"/>
  <c r="G27" i="7"/>
  <c r="F28" i="7"/>
  <c r="G28" i="7"/>
  <c r="F29" i="7"/>
  <c r="G29" i="7"/>
  <c r="F30" i="7"/>
  <c r="G30" i="7"/>
  <c r="H30" i="7" s="1"/>
  <c r="F31" i="7"/>
  <c r="G31" i="7"/>
  <c r="H31" i="7" s="1"/>
  <c r="F32" i="7"/>
  <c r="G32" i="7"/>
  <c r="F33" i="7"/>
  <c r="G33" i="7"/>
  <c r="H33" i="7" s="1"/>
  <c r="F34" i="7"/>
  <c r="G34" i="7"/>
  <c r="H34" i="7" s="1"/>
  <c r="F35" i="7"/>
  <c r="G35" i="7"/>
  <c r="F36" i="7"/>
  <c r="G36" i="7"/>
  <c r="F37" i="7"/>
  <c r="G37" i="7"/>
  <c r="F38" i="7"/>
  <c r="G38" i="7"/>
  <c r="H38" i="7" s="1"/>
  <c r="F39" i="7"/>
  <c r="G39" i="7"/>
  <c r="H39" i="7" s="1"/>
  <c r="F40" i="7"/>
  <c r="G40" i="7"/>
  <c r="F41" i="7"/>
  <c r="G41" i="7"/>
  <c r="H41" i="7" s="1"/>
  <c r="F42" i="7"/>
  <c r="G42" i="7"/>
  <c r="H42" i="7" s="1"/>
  <c r="F43" i="7"/>
  <c r="G43" i="7"/>
  <c r="F44" i="7"/>
  <c r="G44" i="7"/>
  <c r="F45" i="7"/>
  <c r="G45" i="7"/>
  <c r="F46" i="7"/>
  <c r="G46" i="7"/>
  <c r="H46" i="7" s="1"/>
  <c r="F47" i="7"/>
  <c r="G47" i="7"/>
  <c r="H47" i="7" s="1"/>
  <c r="F48" i="7"/>
  <c r="G48" i="7"/>
  <c r="F49" i="7"/>
  <c r="G49" i="7"/>
  <c r="H49" i="7" s="1"/>
  <c r="F50" i="7"/>
  <c r="G50" i="7"/>
  <c r="H50" i="7" s="1"/>
  <c r="F51" i="7"/>
  <c r="G51" i="7"/>
  <c r="H51" i="7"/>
  <c r="G3" i="7"/>
  <c r="F3" i="7"/>
  <c r="G2" i="7"/>
  <c r="F2" i="7"/>
  <c r="H4" i="6"/>
  <c r="F4" i="6"/>
  <c r="G4" i="6"/>
  <c r="F5" i="6"/>
  <c r="G5" i="6"/>
  <c r="H37" i="6" s="1"/>
  <c r="F6" i="6"/>
  <c r="G6" i="6"/>
  <c r="H6" i="6" s="1"/>
  <c r="F7" i="6"/>
  <c r="G7" i="6"/>
  <c r="F8" i="6"/>
  <c r="G8" i="6"/>
  <c r="H8" i="6" s="1"/>
  <c r="F9" i="6"/>
  <c r="G9" i="6"/>
  <c r="H9" i="6" s="1"/>
  <c r="F10" i="6"/>
  <c r="G10" i="6"/>
  <c r="F11" i="6"/>
  <c r="G11" i="6"/>
  <c r="F12" i="6"/>
  <c r="G12" i="6"/>
  <c r="H12" i="6" s="1"/>
  <c r="F13" i="6"/>
  <c r="G13" i="6"/>
  <c r="F14" i="6"/>
  <c r="G14" i="6"/>
  <c r="H14" i="6" s="1"/>
  <c r="F15" i="6"/>
  <c r="G15" i="6"/>
  <c r="F16" i="6"/>
  <c r="G16" i="6"/>
  <c r="H16" i="6" s="1"/>
  <c r="F17" i="6"/>
  <c r="G17" i="6"/>
  <c r="H17" i="6" s="1"/>
  <c r="F18" i="6"/>
  <c r="G18" i="6"/>
  <c r="F19" i="6"/>
  <c r="G19" i="6"/>
  <c r="F20" i="6"/>
  <c r="G20" i="6"/>
  <c r="H20" i="6" s="1"/>
  <c r="F21" i="6"/>
  <c r="G21" i="6"/>
  <c r="F22" i="6"/>
  <c r="G22" i="6"/>
  <c r="H22" i="6" s="1"/>
  <c r="F23" i="6"/>
  <c r="G23" i="6"/>
  <c r="F24" i="6"/>
  <c r="G24" i="6"/>
  <c r="H24" i="6" s="1"/>
  <c r="F25" i="6"/>
  <c r="G25" i="6"/>
  <c r="H25" i="6" s="1"/>
  <c r="F26" i="6"/>
  <c r="G26" i="6"/>
  <c r="F27" i="6"/>
  <c r="G27" i="6"/>
  <c r="F28" i="6"/>
  <c r="G28" i="6"/>
  <c r="F29" i="6"/>
  <c r="G29" i="6"/>
  <c r="F30" i="6"/>
  <c r="G30" i="6"/>
  <c r="H30" i="6" s="1"/>
  <c r="F31" i="6"/>
  <c r="G31" i="6"/>
  <c r="H31" i="6" s="1"/>
  <c r="F32" i="6"/>
  <c r="G32" i="6"/>
  <c r="H32" i="6" s="1"/>
  <c r="F33" i="6"/>
  <c r="G33" i="6"/>
  <c r="H33" i="6" s="1"/>
  <c r="F34" i="6"/>
  <c r="G34" i="6"/>
  <c r="F35" i="6"/>
  <c r="G35" i="6"/>
  <c r="F36" i="6"/>
  <c r="G36" i="6"/>
  <c r="F37" i="6"/>
  <c r="G37" i="6"/>
  <c r="F38" i="6"/>
  <c r="G38" i="6"/>
  <c r="H38" i="6" s="1"/>
  <c r="F39" i="6"/>
  <c r="G39" i="6"/>
  <c r="H39" i="6" s="1"/>
  <c r="F40" i="6"/>
  <c r="G40" i="6"/>
  <c r="H40" i="6" s="1"/>
  <c r="F41" i="6"/>
  <c r="G41" i="6"/>
  <c r="H41" i="6" s="1"/>
  <c r="F42" i="6"/>
  <c r="G42" i="6"/>
  <c r="F43" i="6"/>
  <c r="G43" i="6"/>
  <c r="F44" i="6"/>
  <c r="G44" i="6"/>
  <c r="F45" i="6"/>
  <c r="G45" i="6"/>
  <c r="F46" i="6"/>
  <c r="G46" i="6"/>
  <c r="H46" i="6" s="1"/>
  <c r="F47" i="6"/>
  <c r="G47" i="6"/>
  <c r="H47" i="6" s="1"/>
  <c r="F48" i="6"/>
  <c r="G48" i="6"/>
  <c r="H48" i="6" s="1"/>
  <c r="F49" i="6"/>
  <c r="G49" i="6"/>
  <c r="H49" i="6" s="1"/>
  <c r="F50" i="6"/>
  <c r="G50" i="6"/>
  <c r="F51" i="6"/>
  <c r="G51" i="6"/>
  <c r="G3" i="6"/>
  <c r="F3" i="6"/>
  <c r="G2" i="6"/>
  <c r="F2" i="6"/>
  <c r="H3" i="4"/>
  <c r="H8" i="5"/>
  <c r="H7" i="5"/>
  <c r="F3" i="5"/>
  <c r="G3" i="5"/>
  <c r="H3" i="5" s="1"/>
  <c r="F4" i="5"/>
  <c r="G4" i="5"/>
  <c r="F5" i="5"/>
  <c r="G5" i="5"/>
  <c r="H5" i="5" s="1"/>
  <c r="F6" i="5"/>
  <c r="G6" i="5"/>
  <c r="F7" i="5"/>
  <c r="G7" i="5"/>
  <c r="F8" i="5"/>
  <c r="G8" i="5"/>
  <c r="F9" i="5"/>
  <c r="G9" i="5"/>
  <c r="H9" i="5" s="1"/>
  <c r="F10" i="5"/>
  <c r="G10" i="5"/>
  <c r="H10" i="5"/>
  <c r="F11" i="5"/>
  <c r="G11" i="5"/>
  <c r="H11" i="5" s="1"/>
  <c r="F12" i="5"/>
  <c r="G12" i="5"/>
  <c r="F13" i="5"/>
  <c r="G13" i="5"/>
  <c r="H13" i="5" s="1"/>
  <c r="F14" i="5"/>
  <c r="G14" i="5"/>
  <c r="F15" i="5"/>
  <c r="G15" i="5"/>
  <c r="H15" i="5" s="1"/>
  <c r="F16" i="5"/>
  <c r="G16" i="5"/>
  <c r="H16" i="5" s="1"/>
  <c r="F17" i="5"/>
  <c r="G17" i="5"/>
  <c r="H17" i="5" s="1"/>
  <c r="F18" i="5"/>
  <c r="G18" i="5"/>
  <c r="F19" i="5"/>
  <c r="G19" i="5"/>
  <c r="H19" i="5" s="1"/>
  <c r="F20" i="5"/>
  <c r="G20" i="5"/>
  <c r="F21" i="5"/>
  <c r="G21" i="5"/>
  <c r="H21" i="5" s="1"/>
  <c r="F22" i="5"/>
  <c r="G22" i="5"/>
  <c r="F23" i="5"/>
  <c r="G23" i="5"/>
  <c r="H23" i="5" s="1"/>
  <c r="F24" i="5"/>
  <c r="G24" i="5"/>
  <c r="H24" i="5" s="1"/>
  <c r="F25" i="5"/>
  <c r="G25" i="5"/>
  <c r="H25" i="5" s="1"/>
  <c r="F26" i="5"/>
  <c r="G26" i="5"/>
  <c r="H26" i="5"/>
  <c r="F27" i="5"/>
  <c r="G27" i="5"/>
  <c r="H27" i="5" s="1"/>
  <c r="F28" i="5"/>
  <c r="G28" i="5"/>
  <c r="F29" i="5"/>
  <c r="G29" i="5"/>
  <c r="H29" i="5" s="1"/>
  <c r="F30" i="5"/>
  <c r="G30" i="5"/>
  <c r="F31" i="5"/>
  <c r="G31" i="5"/>
  <c r="H31" i="5" s="1"/>
  <c r="F32" i="5"/>
  <c r="G32" i="5"/>
  <c r="H32" i="5" s="1"/>
  <c r="F33" i="5"/>
  <c r="G33" i="5"/>
  <c r="H33" i="5" s="1"/>
  <c r="F34" i="5"/>
  <c r="G34" i="5"/>
  <c r="F35" i="5"/>
  <c r="G35" i="5"/>
  <c r="H35" i="5" s="1"/>
  <c r="F36" i="5"/>
  <c r="G36" i="5"/>
  <c r="F37" i="5"/>
  <c r="G37" i="5"/>
  <c r="H37" i="5" s="1"/>
  <c r="F38" i="5"/>
  <c r="G38" i="5"/>
  <c r="F39" i="5"/>
  <c r="G39" i="5"/>
  <c r="H39" i="5" s="1"/>
  <c r="F40" i="5"/>
  <c r="G40" i="5"/>
  <c r="H40" i="5" s="1"/>
  <c r="F41" i="5"/>
  <c r="G41" i="5"/>
  <c r="H41" i="5" s="1"/>
  <c r="F42" i="5"/>
  <c r="G42" i="5"/>
  <c r="F43" i="5"/>
  <c r="G43" i="5"/>
  <c r="F44" i="5"/>
  <c r="G44" i="5"/>
  <c r="F45" i="5"/>
  <c r="G45" i="5"/>
  <c r="H45" i="5" s="1"/>
  <c r="F46" i="5"/>
  <c r="G46" i="5"/>
  <c r="F47" i="5"/>
  <c r="G47" i="5"/>
  <c r="H47" i="5" s="1"/>
  <c r="F48" i="5"/>
  <c r="G48" i="5"/>
  <c r="H48" i="5" s="1"/>
  <c r="F49" i="5"/>
  <c r="G49" i="5"/>
  <c r="H49" i="5" s="1"/>
  <c r="F50" i="5"/>
  <c r="G50" i="5"/>
  <c r="H50" i="5"/>
  <c r="H4" i="4"/>
  <c r="F3" i="4"/>
  <c r="G3" i="4"/>
  <c r="F4" i="4"/>
  <c r="G4" i="4"/>
  <c r="F5" i="4"/>
  <c r="G5" i="4"/>
  <c r="H5" i="4" s="1"/>
  <c r="F6" i="4"/>
  <c r="G6" i="4"/>
  <c r="F7" i="4"/>
  <c r="G7" i="4"/>
  <c r="F8" i="4"/>
  <c r="G8" i="4"/>
  <c r="H8" i="4" s="1"/>
  <c r="F9" i="4"/>
  <c r="G9" i="4"/>
  <c r="H9" i="4" s="1"/>
  <c r="F10" i="4"/>
  <c r="G10" i="4"/>
  <c r="F11" i="4"/>
  <c r="G11" i="4"/>
  <c r="H11" i="4" s="1"/>
  <c r="F12" i="4"/>
  <c r="G12" i="4"/>
  <c r="H12" i="4" s="1"/>
  <c r="F13" i="4"/>
  <c r="G13" i="4"/>
  <c r="H13" i="4" s="1"/>
  <c r="F14" i="4"/>
  <c r="G14" i="4"/>
  <c r="F15" i="4"/>
  <c r="G15" i="4"/>
  <c r="F16" i="4"/>
  <c r="G16" i="4"/>
  <c r="H16" i="4" s="1"/>
  <c r="F17" i="4"/>
  <c r="G17" i="4"/>
  <c r="H17" i="4" s="1"/>
  <c r="F18" i="4"/>
  <c r="G18" i="4"/>
  <c r="F19" i="4"/>
  <c r="G19" i="4"/>
  <c r="H19" i="4" s="1"/>
  <c r="F20" i="4"/>
  <c r="G20" i="4"/>
  <c r="H20" i="4" s="1"/>
  <c r="F21" i="4"/>
  <c r="G21" i="4"/>
  <c r="H21" i="4" s="1"/>
  <c r="F22" i="4"/>
  <c r="G22" i="4"/>
  <c r="F23" i="4"/>
  <c r="G23" i="4"/>
  <c r="F24" i="4"/>
  <c r="G24" i="4"/>
  <c r="H24" i="4" s="1"/>
  <c r="F25" i="4"/>
  <c r="G25" i="4"/>
  <c r="H25" i="4" s="1"/>
  <c r="F26" i="4"/>
  <c r="G26" i="4"/>
  <c r="F27" i="4"/>
  <c r="G27" i="4"/>
  <c r="H27" i="4" s="1"/>
  <c r="F28" i="4"/>
  <c r="G28" i="4"/>
  <c r="H28" i="4" s="1"/>
  <c r="F29" i="4"/>
  <c r="G29" i="4"/>
  <c r="H29" i="4" s="1"/>
  <c r="F30" i="4"/>
  <c r="G30" i="4"/>
  <c r="F31" i="4"/>
  <c r="G31" i="4"/>
  <c r="F32" i="4"/>
  <c r="G32" i="4"/>
  <c r="H32" i="4" s="1"/>
  <c r="F33" i="4"/>
  <c r="G33" i="4"/>
  <c r="H33" i="4" s="1"/>
  <c r="F34" i="4"/>
  <c r="G34" i="4"/>
  <c r="F35" i="4"/>
  <c r="G35" i="4"/>
  <c r="H35" i="4" s="1"/>
  <c r="F36" i="4"/>
  <c r="G36" i="4"/>
  <c r="H36" i="4" s="1"/>
  <c r="F37" i="4"/>
  <c r="G37" i="4"/>
  <c r="H37" i="4" s="1"/>
  <c r="F38" i="4"/>
  <c r="G38" i="4"/>
  <c r="F39" i="4"/>
  <c r="G39" i="4"/>
  <c r="F40" i="4"/>
  <c r="G40" i="4"/>
  <c r="H40" i="4" s="1"/>
  <c r="F41" i="4"/>
  <c r="G41" i="4"/>
  <c r="H41" i="4" s="1"/>
  <c r="F42" i="4"/>
  <c r="G42" i="4"/>
  <c r="H42" i="4"/>
  <c r="F43" i="4"/>
  <c r="G43" i="4"/>
  <c r="H43" i="4" s="1"/>
  <c r="F44" i="4"/>
  <c r="G44" i="4"/>
  <c r="H44" i="4" s="1"/>
  <c r="F45" i="4"/>
  <c r="G45" i="4"/>
  <c r="H45" i="4" s="1"/>
  <c r="F46" i="4"/>
  <c r="G46" i="4"/>
  <c r="F47" i="4"/>
  <c r="G47" i="4"/>
  <c r="F48" i="4"/>
  <c r="G48" i="4"/>
  <c r="H48" i="4" s="1"/>
  <c r="F49" i="4"/>
  <c r="G49" i="4"/>
  <c r="H49" i="4" s="1"/>
  <c r="F50" i="4"/>
  <c r="G50" i="4"/>
  <c r="H50" i="4"/>
  <c r="H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G2" i="5"/>
  <c r="F2" i="5"/>
  <c r="G1" i="5"/>
  <c r="F1" i="5"/>
  <c r="G2" i="4"/>
  <c r="F2" i="4"/>
  <c r="H1" i="4"/>
  <c r="G1" i="4"/>
  <c r="F1" i="4"/>
  <c r="G2" i="3"/>
  <c r="F2" i="3"/>
  <c r="G1" i="3"/>
  <c r="F1" i="3"/>
  <c r="F1" i="2"/>
  <c r="G1" i="2"/>
  <c r="H1" i="2" s="1"/>
  <c r="F2" i="2"/>
  <c r="G2" i="2"/>
  <c r="H2" i="2" s="1"/>
  <c r="F3" i="2"/>
  <c r="G3" i="2"/>
  <c r="F4" i="2"/>
  <c r="G4" i="2"/>
  <c r="F5" i="2"/>
  <c r="G5" i="2"/>
  <c r="F6" i="2"/>
  <c r="G6" i="2"/>
  <c r="H3" i="2" s="1"/>
  <c r="F7" i="2"/>
  <c r="G7" i="2"/>
  <c r="H7" i="2" s="1"/>
  <c r="F8" i="2"/>
  <c r="G8" i="2"/>
  <c r="H20" i="2" s="1"/>
  <c r="F9" i="2"/>
  <c r="G9" i="2"/>
  <c r="H9" i="2" s="1"/>
  <c r="F10" i="2"/>
  <c r="G10" i="2"/>
  <c r="H10" i="2" s="1"/>
  <c r="F11" i="2"/>
  <c r="G11" i="2"/>
  <c r="H11" i="2" s="1"/>
  <c r="F12" i="2"/>
  <c r="G12" i="2"/>
  <c r="F13" i="2"/>
  <c r="G13" i="2"/>
  <c r="F14" i="2"/>
  <c r="G14" i="2"/>
  <c r="H14" i="2" s="1"/>
  <c r="F15" i="2"/>
  <c r="G15" i="2"/>
  <c r="H15" i="2" s="1"/>
  <c r="F16" i="2"/>
  <c r="G16" i="2"/>
  <c r="F17" i="2"/>
  <c r="G17" i="2"/>
  <c r="H17" i="2" s="1"/>
  <c r="F18" i="2"/>
  <c r="G18" i="2"/>
  <c r="H18" i="2" s="1"/>
  <c r="F19" i="2"/>
  <c r="G19" i="2"/>
  <c r="H19" i="2" s="1"/>
  <c r="F20" i="2"/>
  <c r="G20" i="2"/>
  <c r="F21" i="2"/>
  <c r="G21" i="2"/>
  <c r="F22" i="2"/>
  <c r="G22" i="2"/>
  <c r="H22" i="2" s="1"/>
  <c r="F23" i="2"/>
  <c r="G23" i="2"/>
  <c r="H23" i="2" s="1"/>
  <c r="F24" i="2"/>
  <c r="G24" i="2"/>
  <c r="F25" i="2"/>
  <c r="G25" i="2"/>
  <c r="H25" i="2" s="1"/>
  <c r="F26" i="2"/>
  <c r="G26" i="2"/>
  <c r="H26" i="2" s="1"/>
  <c r="F27" i="2"/>
  <c r="G27" i="2"/>
  <c r="H27" i="2" s="1"/>
  <c r="F28" i="2"/>
  <c r="G28" i="2"/>
  <c r="F29" i="2"/>
  <c r="G29" i="2"/>
  <c r="F30" i="2"/>
  <c r="G30" i="2"/>
  <c r="H30" i="2" s="1"/>
  <c r="F31" i="2"/>
  <c r="G31" i="2"/>
  <c r="H31" i="2" s="1"/>
  <c r="F32" i="2"/>
  <c r="G32" i="2"/>
  <c r="F33" i="2"/>
  <c r="G33" i="2"/>
  <c r="H33" i="2" s="1"/>
  <c r="F34" i="2"/>
  <c r="G34" i="2"/>
  <c r="H34" i="2" s="1"/>
  <c r="F35" i="2"/>
  <c r="G35" i="2"/>
  <c r="H35" i="2" s="1"/>
  <c r="F36" i="2"/>
  <c r="G36" i="2"/>
  <c r="F37" i="2"/>
  <c r="G37" i="2"/>
  <c r="F38" i="2"/>
  <c r="G38" i="2"/>
  <c r="H38" i="2" s="1"/>
  <c r="F39" i="2"/>
  <c r="G39" i="2"/>
  <c r="H39" i="2" s="1"/>
  <c r="F40" i="2"/>
  <c r="G40" i="2"/>
  <c r="F41" i="2"/>
  <c r="G41" i="2"/>
  <c r="H41" i="2" s="1"/>
  <c r="F42" i="2"/>
  <c r="G42" i="2"/>
  <c r="H42" i="2" s="1"/>
  <c r="F43" i="2"/>
  <c r="G43" i="2"/>
  <c r="H43" i="2" s="1"/>
  <c r="F44" i="2"/>
  <c r="G44" i="2"/>
  <c r="F45" i="2"/>
  <c r="G45" i="2"/>
  <c r="F46" i="2"/>
  <c r="G46" i="2"/>
  <c r="H46" i="2" s="1"/>
  <c r="F47" i="2"/>
  <c r="G47" i="2"/>
  <c r="H47" i="2" s="1"/>
  <c r="F48" i="2"/>
  <c r="G48" i="2"/>
  <c r="H48" i="2"/>
  <c r="F49" i="2"/>
  <c r="G49" i="2"/>
  <c r="H49" i="2" s="1"/>
  <c r="F50" i="2"/>
  <c r="G50" i="2"/>
  <c r="H50" i="2" s="1"/>
  <c r="H40" i="7" l="1"/>
  <c r="H32" i="7"/>
  <c r="H27" i="7"/>
  <c r="H11" i="7"/>
  <c r="H45" i="7"/>
  <c r="H37" i="7"/>
  <c r="H29" i="7"/>
  <c r="H21" i="7"/>
  <c r="H13" i="7"/>
  <c r="H48" i="7"/>
  <c r="H35" i="7"/>
  <c r="H19" i="7"/>
  <c r="H28" i="7"/>
  <c r="H20" i="7"/>
  <c r="H12" i="7"/>
  <c r="H43" i="7"/>
  <c r="H44" i="7"/>
  <c r="H36" i="7"/>
  <c r="H2" i="7"/>
  <c r="H35" i="6"/>
  <c r="H27" i="6"/>
  <c r="H19" i="6"/>
  <c r="H11" i="6"/>
  <c r="H5" i="6"/>
  <c r="H51" i="6"/>
  <c r="H13" i="6"/>
  <c r="H50" i="6"/>
  <c r="H34" i="6"/>
  <c r="H26" i="6"/>
  <c r="H18" i="6"/>
  <c r="H10" i="6"/>
  <c r="H23" i="6"/>
  <c r="H15" i="6"/>
  <c r="H7" i="6"/>
  <c r="H29" i="6"/>
  <c r="H21" i="6"/>
  <c r="H44" i="6"/>
  <c r="H36" i="6"/>
  <c r="H28" i="6"/>
  <c r="H42" i="6"/>
  <c r="H43" i="6"/>
  <c r="H45" i="6"/>
  <c r="H2" i="6"/>
  <c r="H3" i="6"/>
  <c r="H42" i="5"/>
  <c r="H34" i="5"/>
  <c r="H1" i="5"/>
  <c r="H44" i="5"/>
  <c r="H36" i="5"/>
  <c r="H28" i="5"/>
  <c r="H20" i="5"/>
  <c r="H12" i="5"/>
  <c r="H4" i="5"/>
  <c r="H2" i="5"/>
  <c r="H46" i="5"/>
  <c r="H38" i="5"/>
  <c r="H30" i="5"/>
  <c r="H22" i="5"/>
  <c r="H14" i="5"/>
  <c r="H6" i="5"/>
  <c r="H43" i="5"/>
  <c r="H18" i="5"/>
  <c r="H26" i="4"/>
  <c r="H47" i="4"/>
  <c r="H39" i="4"/>
  <c r="H7" i="4"/>
  <c r="H2" i="4"/>
  <c r="H10" i="4"/>
  <c r="H18" i="4"/>
  <c r="H46" i="4"/>
  <c r="H38" i="4"/>
  <c r="H30" i="4"/>
  <c r="H22" i="4"/>
  <c r="H14" i="4"/>
  <c r="H6" i="4"/>
  <c r="H34" i="4"/>
  <c r="H31" i="4"/>
  <c r="H15" i="4"/>
  <c r="H23" i="4"/>
  <c r="H2" i="3"/>
  <c r="H8" i="2"/>
  <c r="H45" i="2"/>
  <c r="H37" i="2"/>
  <c r="H29" i="2"/>
  <c r="H21" i="2"/>
  <c r="H13" i="2"/>
  <c r="H5" i="2"/>
  <c r="H16" i="2"/>
  <c r="H44" i="2"/>
  <c r="H36" i="2"/>
  <c r="H28" i="2"/>
  <c r="H12" i="2"/>
  <c r="H4" i="2"/>
  <c r="H32" i="2"/>
  <c r="H6" i="2"/>
  <c r="H40" i="2"/>
  <c r="H24" i="2"/>
</calcChain>
</file>

<file path=xl/sharedStrings.xml><?xml version="1.0" encoding="utf-8"?>
<sst xmlns="http://schemas.openxmlformats.org/spreadsheetml/2006/main" count="902" uniqueCount="678">
  <si>
    <t xml:space="preserve"> Test loss: 2.1772153</t>
  </si>
  <si>
    <t xml:space="preserve"> Train loss: 1.9607984 </t>
  </si>
  <si>
    <t xml:space="preserve">Epoch: 49 </t>
  </si>
  <si>
    <t xml:space="preserve"> Test loss: 2.2124293</t>
  </si>
  <si>
    <t xml:space="preserve"> Train loss: 1.923704 </t>
  </si>
  <si>
    <t xml:space="preserve">Epoch: 48 </t>
  </si>
  <si>
    <t xml:space="preserve"> Test loss: 2.2428803</t>
  </si>
  <si>
    <t xml:space="preserve"> Train loss: 1.9142001 </t>
  </si>
  <si>
    <t xml:space="preserve">Epoch: 47 </t>
  </si>
  <si>
    <t xml:space="preserve"> Test loss: 2.2038002</t>
  </si>
  <si>
    <t xml:space="preserve"> Train loss: 1.9236368 </t>
  </si>
  <si>
    <t xml:space="preserve">Epoch: 46 </t>
  </si>
  <si>
    <t xml:space="preserve"> Test loss: 2.2422395</t>
  </si>
  <si>
    <t xml:space="preserve"> Train loss: 1.9205478 </t>
  </si>
  <si>
    <t xml:space="preserve">Epoch: 45 </t>
  </si>
  <si>
    <t xml:space="preserve"> Test loss: 2.2329729</t>
  </si>
  <si>
    <t xml:space="preserve"> Train loss: 1.9216049 </t>
  </si>
  <si>
    <t xml:space="preserve">Epoch: 44 </t>
  </si>
  <si>
    <t xml:space="preserve"> Test loss: 2.2447026</t>
  </si>
  <si>
    <t xml:space="preserve"> Train loss: 1.9214923 </t>
  </si>
  <si>
    <t xml:space="preserve">Epoch: 43 </t>
  </si>
  <si>
    <t xml:space="preserve"> Test loss: 2.2033532</t>
  </si>
  <si>
    <t xml:space="preserve"> Train loss: 1.9266173 </t>
  </si>
  <si>
    <t xml:space="preserve">Epoch: 42 </t>
  </si>
  <si>
    <t xml:space="preserve"> Test loss: 2.2208998</t>
  </si>
  <si>
    <t xml:space="preserve"> Train loss: 1.9440471 </t>
  </si>
  <si>
    <t xml:space="preserve">Epoch: 41 </t>
  </si>
  <si>
    <t xml:space="preserve"> Test loss: 2.2068512</t>
  </si>
  <si>
    <t xml:space="preserve"> Train loss: 1.9276649 </t>
  </si>
  <si>
    <t xml:space="preserve">Epoch: 40 </t>
  </si>
  <si>
    <t xml:space="preserve"> Test loss: 2.2307155</t>
  </si>
  <si>
    <t xml:space="preserve"> Train loss: 1.9319376 </t>
  </si>
  <si>
    <t xml:space="preserve">Epoch: 39 </t>
  </si>
  <si>
    <t xml:space="preserve"> Test loss: 2.1944337</t>
  </si>
  <si>
    <t xml:space="preserve"> Train loss: 1.931764 </t>
  </si>
  <si>
    <t xml:space="preserve">Epoch: 38 </t>
  </si>
  <si>
    <t xml:space="preserve"> Test loss: 2.2041</t>
  </si>
  <si>
    <t xml:space="preserve"> Train loss: 1.9306589 </t>
  </si>
  <si>
    <t xml:space="preserve">Epoch: 37 </t>
  </si>
  <si>
    <t xml:space="preserve"> Test loss: 2.1811888</t>
  </si>
  <si>
    <t xml:space="preserve"> Train loss: 1.9463825 </t>
  </si>
  <si>
    <t xml:space="preserve">Epoch: 36 </t>
  </si>
  <si>
    <t xml:space="preserve"> Test loss: 2.2030404</t>
  </si>
  <si>
    <t xml:space="preserve"> Train loss: 1.9416517 </t>
  </si>
  <si>
    <t xml:space="preserve">Epoch: 35 </t>
  </si>
  <si>
    <t xml:space="preserve"> Test loss: 2.1692073</t>
  </si>
  <si>
    <t xml:space="preserve"> Train loss: 1.9410704 </t>
  </si>
  <si>
    <t xml:space="preserve">Epoch: 34 </t>
  </si>
  <si>
    <t xml:space="preserve"> Test loss: 2.169037</t>
  </si>
  <si>
    <t xml:space="preserve"> Train loss: 1.9438305 </t>
  </si>
  <si>
    <t xml:space="preserve">Epoch: 33 </t>
  </si>
  <si>
    <t xml:space="preserve"> Test loss: 2.173033</t>
  </si>
  <si>
    <t xml:space="preserve"> Train loss: 1.9444648 </t>
  </si>
  <si>
    <t xml:space="preserve">Epoch: 32 </t>
  </si>
  <si>
    <t xml:space="preserve"> Test loss: 2.1844733</t>
  </si>
  <si>
    <t xml:space="preserve"> Train loss: 1.9536353 </t>
  </si>
  <si>
    <t xml:space="preserve">Epoch: 31 </t>
  </si>
  <si>
    <t xml:space="preserve"> Test loss: 2.1502476</t>
  </si>
  <si>
    <t xml:space="preserve"> Train loss: 1.9545003 </t>
  </si>
  <si>
    <t xml:space="preserve">Epoch: 30 </t>
  </si>
  <si>
    <t xml:space="preserve"> Test loss: 2.1914003</t>
  </si>
  <si>
    <t xml:space="preserve"> Train loss: 1.9502 </t>
  </si>
  <si>
    <t xml:space="preserve">Epoch: 29 </t>
  </si>
  <si>
    <t xml:space="preserve"> Test loss: 2.1882055</t>
  </si>
  <si>
    <t xml:space="preserve"> Train loss: 1.9636966 </t>
  </si>
  <si>
    <t xml:space="preserve">Epoch: 28 </t>
  </si>
  <si>
    <t xml:space="preserve"> Test loss: 2.1891906</t>
  </si>
  <si>
    <t xml:space="preserve"> Train loss: 1.9577311 </t>
  </si>
  <si>
    <t xml:space="preserve">Epoch: 27 </t>
  </si>
  <si>
    <t xml:space="preserve"> Test loss: 2.139565</t>
  </si>
  <si>
    <t xml:space="preserve"> Train loss: 1.9613774 </t>
  </si>
  <si>
    <t xml:space="preserve">Epoch: 26 </t>
  </si>
  <si>
    <t xml:space="preserve"> Test loss: 2.1569328</t>
  </si>
  <si>
    <t xml:space="preserve"> Train loss: 1.963838 </t>
  </si>
  <si>
    <t xml:space="preserve">Epoch: 25 </t>
  </si>
  <si>
    <t xml:space="preserve"> Test loss: 2.141117</t>
  </si>
  <si>
    <t xml:space="preserve"> Train loss: 1.9667634 </t>
  </si>
  <si>
    <t xml:space="preserve">Epoch: 24 </t>
  </si>
  <si>
    <t xml:space="preserve"> Test loss: 2.1308722</t>
  </si>
  <si>
    <t xml:space="preserve"> Train loss: 1.9702604 </t>
  </si>
  <si>
    <t xml:space="preserve">Epoch: 23 </t>
  </si>
  <si>
    <t xml:space="preserve"> Test loss: 2.1428707</t>
  </si>
  <si>
    <t xml:space="preserve"> Train loss: 1.9726347 </t>
  </si>
  <si>
    <t xml:space="preserve">Epoch: 22 </t>
  </si>
  <si>
    <t xml:space="preserve"> Test loss: 2.1477559</t>
  </si>
  <si>
    <t xml:space="preserve"> Train loss: 1.979066 </t>
  </si>
  <si>
    <t xml:space="preserve">Epoch: 21 </t>
  </si>
  <si>
    <t xml:space="preserve"> Test loss: 2.124416</t>
  </si>
  <si>
    <t xml:space="preserve"> Train loss: 1.9804639 </t>
  </si>
  <si>
    <t xml:space="preserve">Epoch: 20 </t>
  </si>
  <si>
    <t xml:space="preserve"> Test loss: 2.132723</t>
  </si>
  <si>
    <t xml:space="preserve"> Train loss: 1.9848608 </t>
  </si>
  <si>
    <t xml:space="preserve">Epoch: 19 </t>
  </si>
  <si>
    <t xml:space="preserve"> Test loss: 2.151507</t>
  </si>
  <si>
    <t xml:space="preserve"> Train loss: 1.9886353 </t>
  </si>
  <si>
    <t xml:space="preserve">Epoch: 18 </t>
  </si>
  <si>
    <t xml:space="preserve"> Test loss: 2.1179879</t>
  </si>
  <si>
    <t xml:space="preserve"> Train loss: 1.9917223 </t>
  </si>
  <si>
    <t xml:space="preserve">Saving model on epoch nr.16Epoch: 17 </t>
  </si>
  <si>
    <t xml:space="preserve"> Test loss: 2.1104605</t>
  </si>
  <si>
    <t xml:space="preserve"> Train loss: 1.998306 </t>
  </si>
  <si>
    <t xml:space="preserve">Epoch: 16 </t>
  </si>
  <si>
    <t xml:space="preserve"> Test loss: 2.1208193</t>
  </si>
  <si>
    <t xml:space="preserve"> Train loss: 2.000553 </t>
  </si>
  <si>
    <t xml:space="preserve">Epoch: 15 </t>
  </si>
  <si>
    <t xml:space="preserve"> Test loss: 2.1268587</t>
  </si>
  <si>
    <t xml:space="preserve"> Train loss: 2.005311 </t>
  </si>
  <si>
    <t xml:space="preserve">Epoch: 14 </t>
  </si>
  <si>
    <t xml:space="preserve"> Test loss: 2.1233294</t>
  </si>
  <si>
    <t xml:space="preserve"> Train loss: 2.0114033 </t>
  </si>
  <si>
    <t xml:space="preserve">Epoch: 13 </t>
  </si>
  <si>
    <t xml:space="preserve"> Test loss: 2.1338367</t>
  </si>
  <si>
    <t xml:space="preserve"> Train loss: 2.0159476 </t>
  </si>
  <si>
    <t xml:space="preserve">Epoch: 12 </t>
  </si>
  <si>
    <t xml:space="preserve"> Test loss: 2.1229658</t>
  </si>
  <si>
    <t xml:space="preserve"> Train loss: 2.021858 </t>
  </si>
  <si>
    <t xml:space="preserve">Epoch: 11 </t>
  </si>
  <si>
    <t xml:space="preserve"> Test loss: 2.1448383</t>
  </si>
  <si>
    <t xml:space="preserve"> Train loss: 2.028349 </t>
  </si>
  <si>
    <t xml:space="preserve">Epoch: 10 </t>
  </si>
  <si>
    <t xml:space="preserve"> Test loss: 2.135974</t>
  </si>
  <si>
    <t xml:space="preserve"> Train loss: 2.0354507 </t>
  </si>
  <si>
    <t xml:space="preserve">Epoch: 9 </t>
  </si>
  <si>
    <t xml:space="preserve"> Test loss: 2.1349287</t>
  </si>
  <si>
    <t xml:space="preserve"> Train loss: 2.0431795 </t>
  </si>
  <si>
    <t xml:space="preserve">Epoch: 8 </t>
  </si>
  <si>
    <t xml:space="preserve"> Test loss: 2.125025</t>
  </si>
  <si>
    <t xml:space="preserve"> Train loss: 2.052502 </t>
  </si>
  <si>
    <t xml:space="preserve">Saving model on epoch nr.6Epoch: 7 </t>
  </si>
  <si>
    <t xml:space="preserve"> Test loss: 2.1180744</t>
  </si>
  <si>
    <t xml:space="preserve"> Train loss: 2.0618193 </t>
  </si>
  <si>
    <t xml:space="preserve">Saving model on epoch nr.5Epoch: 6 </t>
  </si>
  <si>
    <t xml:space="preserve"> Test loss: 2.1395633</t>
  </si>
  <si>
    <t xml:space="preserve"> Train loss: 2.072703 </t>
  </si>
  <si>
    <t xml:space="preserve">Saving model on epoch nr.4Epoch: 5 </t>
  </si>
  <si>
    <t xml:space="preserve"> Test loss: 2.1472561</t>
  </si>
  <si>
    <t xml:space="preserve"> Train loss: 2.0864553 </t>
  </si>
  <si>
    <t xml:space="preserve">Saving model on epoch nr.3Epoch: 4 </t>
  </si>
  <si>
    <t xml:space="preserve"> Test loss: 2.1597526</t>
  </si>
  <si>
    <t xml:space="preserve"> Train loss: 2.1066537 </t>
  </si>
  <si>
    <t xml:space="preserve">Saving model on epoch nr.2Epoch: 3 </t>
  </si>
  <si>
    <t xml:space="preserve"> Test loss: 2.19628</t>
  </si>
  <si>
    <t xml:space="preserve"> Train loss: 2.1499898 </t>
  </si>
  <si>
    <t xml:space="preserve">Saving model on epoch nr.1Epoch: 2 </t>
  </si>
  <si>
    <t xml:space="preserve"> Test loss: 2.2290885</t>
  </si>
  <si>
    <t xml:space="preserve"> Train loss: 2.238854 </t>
  </si>
  <si>
    <t xml:space="preserve">Saving model on epoch nr.0Epoch: 1 </t>
  </si>
  <si>
    <t xml:space="preserve"> Test loss: 2.373493</t>
  </si>
  <si>
    <t xml:space="preserve"> Train loss: 2.4872065 </t>
  </si>
  <si>
    <t xml:space="preserve">Epoch: 0 </t>
  </si>
  <si>
    <t xml:space="preserve"> Test loss: 2.1490505</t>
  </si>
  <si>
    <t xml:space="preserve"> Train loss: 1.9514407 </t>
  </si>
  <si>
    <t xml:space="preserve"> Test loss: 2.137809</t>
  </si>
  <si>
    <t xml:space="preserve"> Train loss: 1.9524596 </t>
  </si>
  <si>
    <t xml:space="preserve"> Test loss: 2.1484158</t>
  </si>
  <si>
    <t xml:space="preserve"> Train loss: 1.953828 </t>
  </si>
  <si>
    <t xml:space="preserve"> Test loss: 2.140376</t>
  </si>
  <si>
    <t xml:space="preserve"> Train loss: 1.9552039 </t>
  </si>
  <si>
    <t xml:space="preserve"> Test loss: 2.138921</t>
  </si>
  <si>
    <t xml:space="preserve"> Train loss: 1.9565006 </t>
  </si>
  <si>
    <t xml:space="preserve"> Test loss: 2.1330707</t>
  </si>
  <si>
    <t xml:space="preserve"> Train loss: 1.9578707 </t>
  </si>
  <si>
    <t xml:space="preserve"> Test loss: 2.1449528</t>
  </si>
  <si>
    <t xml:space="preserve"> Train loss: 1.959139 </t>
  </si>
  <si>
    <t xml:space="preserve"> Test loss: 2.1302457</t>
  </si>
  <si>
    <t xml:space="preserve"> Train loss: 1.9605845 </t>
  </si>
  <si>
    <t xml:space="preserve"> Test loss: 2.153977</t>
  </si>
  <si>
    <t xml:space="preserve"> Train loss: 1.9617809 </t>
  </si>
  <si>
    <t xml:space="preserve"> Test loss: 2.1385262</t>
  </si>
  <si>
    <t xml:space="preserve"> Train loss: 1.9633147 </t>
  </si>
  <si>
    <t xml:space="preserve"> Test loss: 2.1573465</t>
  </si>
  <si>
    <t xml:space="preserve"> Train loss: 1.9652479 </t>
  </si>
  <si>
    <t xml:space="preserve"> Test loss: 2.14254</t>
  </si>
  <si>
    <t xml:space="preserve"> Train loss: 1.9669261 </t>
  </si>
  <si>
    <t xml:space="preserve"> Test loss: 2.164899</t>
  </si>
  <si>
    <t xml:space="preserve"> Train loss: 1.9685702 </t>
  </si>
  <si>
    <t xml:space="preserve"> Test loss: 2.154264</t>
  </si>
  <si>
    <t xml:space="preserve"> Train loss: 1.9700541 </t>
  </si>
  <si>
    <t xml:space="preserve"> Test loss: 2.1387277</t>
  </si>
  <si>
    <t xml:space="preserve"> Train loss: 1.9716752 </t>
  </si>
  <si>
    <t xml:space="preserve"> Test loss: 2.150439</t>
  </si>
  <si>
    <t xml:space="preserve"> Train loss: 1.9741285 </t>
  </si>
  <si>
    <t xml:space="preserve"> Test loss: 2.150687</t>
  </si>
  <si>
    <t xml:space="preserve"> Train loss: 1.9760131 </t>
  </si>
  <si>
    <t xml:space="preserve"> Test loss: 2.1567237</t>
  </si>
  <si>
    <t xml:space="preserve"> Train loss: 1.9781529 </t>
  </si>
  <si>
    <t xml:space="preserve"> Test loss: 2.1606188</t>
  </si>
  <si>
    <t xml:space="preserve"> Train loss: 1.9803618 </t>
  </si>
  <si>
    <t xml:space="preserve"> Test loss: 2.151734</t>
  </si>
  <si>
    <t xml:space="preserve"> Train loss: 1.9825279 </t>
  </si>
  <si>
    <t xml:space="preserve"> Test loss: 2.136566</t>
  </si>
  <si>
    <t xml:space="preserve"> Train loss: 1.9846119 </t>
  </si>
  <si>
    <t xml:space="preserve"> Test loss: 2.1405542</t>
  </si>
  <si>
    <t xml:space="preserve"> Train loss: 1.9869721 </t>
  </si>
  <si>
    <t xml:space="preserve">Saving model on epoch nr.27Epoch: 28 </t>
  </si>
  <si>
    <t xml:space="preserve"> Test loss: 2.1291294</t>
  </si>
  <si>
    <t xml:space="preserve"> Train loss: 1.989124 </t>
  </si>
  <si>
    <t xml:space="preserve">Saving model on epoch nr.26Epoch: 27 </t>
  </si>
  <si>
    <t xml:space="preserve"> Test loss: 2.1373932</t>
  </si>
  <si>
    <t xml:space="preserve"> Train loss: 1.9919902 </t>
  </si>
  <si>
    <t xml:space="preserve">Saving model on epoch nr.25Epoch: 26 </t>
  </si>
  <si>
    <t xml:space="preserve"> Test loss: 2.1379488</t>
  </si>
  <si>
    <t xml:space="preserve"> Train loss: 1.9946141 </t>
  </si>
  <si>
    <t xml:space="preserve"> Test loss: 2.1551445</t>
  </si>
  <si>
    <t xml:space="preserve"> Train loss: 1.9973942 </t>
  </si>
  <si>
    <t xml:space="preserve"> Test loss: 2.1539943</t>
  </si>
  <si>
    <t xml:space="preserve"> Train loss: 2.0007262 </t>
  </si>
  <si>
    <t xml:space="preserve"> Test loss: 2.1503544</t>
  </si>
  <si>
    <t xml:space="preserve"> Train loss: 2.0038455 </t>
  </si>
  <si>
    <t xml:space="preserve"> Test loss: 2.1442566</t>
  </si>
  <si>
    <t xml:space="preserve"> Train loss: 2.0071187 </t>
  </si>
  <si>
    <t xml:space="preserve">Saving model on epoch nr.20Epoch: 21 </t>
  </si>
  <si>
    <t xml:space="preserve"> Test loss: 2.1422346</t>
  </si>
  <si>
    <t xml:space="preserve"> Train loss: 2.0106483 </t>
  </si>
  <si>
    <t xml:space="preserve"> Test loss: 2.1701035</t>
  </si>
  <si>
    <t xml:space="preserve"> Train loss: 2.0146782 </t>
  </si>
  <si>
    <t xml:space="preserve"> Test loss: 2.1504276</t>
  </si>
  <si>
    <t xml:space="preserve"> Train loss: 2.018659 </t>
  </si>
  <si>
    <t xml:space="preserve">Saving model on epoch nr.17Epoch: 18 </t>
  </si>
  <si>
    <t xml:space="preserve"> Test loss: 2.1473026</t>
  </si>
  <si>
    <t xml:space="preserve"> Train loss: 2.02269 </t>
  </si>
  <si>
    <t xml:space="preserve">Epoch: 17 </t>
  </si>
  <si>
    <t xml:space="preserve"> Test loss: 2.173568</t>
  </si>
  <si>
    <t xml:space="preserve"> Train loss: 2.0271335 </t>
  </si>
  <si>
    <t xml:space="preserve"> Test loss: 2.162072</t>
  </si>
  <si>
    <t xml:space="preserve"> Train loss: 2.0322294 </t>
  </si>
  <si>
    <t xml:space="preserve">Saving model on epoch nr.14Epoch: 15 </t>
  </si>
  <si>
    <t xml:space="preserve"> Test loss: 2.155775</t>
  </si>
  <si>
    <t xml:space="preserve"> Train loss: 2.0377743 </t>
  </si>
  <si>
    <t xml:space="preserve"> Test loss: 2.176267</t>
  </si>
  <si>
    <t xml:space="preserve"> Train loss: 2.0431428 </t>
  </si>
  <si>
    <t xml:space="preserve">Saving model on epoch nr.12Epoch: 13 </t>
  </si>
  <si>
    <t xml:space="preserve"> Test loss: 2.1661053</t>
  </si>
  <si>
    <t xml:space="preserve"> Train loss: 2.0498605 </t>
  </si>
  <si>
    <t xml:space="preserve"> Test loss: 2.185246</t>
  </si>
  <si>
    <t xml:space="preserve"> Train loss: 2.05699 </t>
  </si>
  <si>
    <t xml:space="preserve">Saving model on epoch nr.10Epoch: 11 </t>
  </si>
  <si>
    <t xml:space="preserve"> Test loss: 2.176495</t>
  </si>
  <si>
    <t xml:space="preserve"> Train loss: 2.064368 </t>
  </si>
  <si>
    <t xml:space="preserve">Saving model on epoch nr.9Epoch: 10 </t>
  </si>
  <si>
    <t xml:space="preserve"> Test loss: 2.179957</t>
  </si>
  <si>
    <t xml:space="preserve"> Train loss: 2.0733752 </t>
  </si>
  <si>
    <t xml:space="preserve">Saving model on epoch nr.8Epoch: 9 </t>
  </si>
  <si>
    <t xml:space="preserve"> Test loss: 2.1846554</t>
  </si>
  <si>
    <t xml:space="preserve"> Train loss: 2.082557 </t>
  </si>
  <si>
    <t xml:space="preserve"> Test loss: 2.1959658</t>
  </si>
  <si>
    <t xml:space="preserve"> Train loss: 2.0941944 </t>
  </si>
  <si>
    <t xml:space="preserve"> Test loss: 2.1860979</t>
  </si>
  <si>
    <t xml:space="preserve"> Train loss: 2.1071024 </t>
  </si>
  <si>
    <t xml:space="preserve"> Test loss: 2.2006006</t>
  </si>
  <si>
    <t xml:space="preserve"> Train loss: 2.1222525 </t>
  </si>
  <si>
    <t xml:space="preserve"> Test loss: 2.2142496</t>
  </si>
  <si>
    <t xml:space="preserve"> Train loss: 2.1407351 </t>
  </si>
  <si>
    <t xml:space="preserve">Epoch: 4 </t>
  </si>
  <si>
    <t xml:space="preserve"> Test loss: 2.2547193</t>
  </si>
  <si>
    <t xml:space="preserve"> Train loss: 2.16434 </t>
  </si>
  <si>
    <t xml:space="preserve"> Test loss: 2.238179</t>
  </si>
  <si>
    <t xml:space="preserve"> Train loss: 2.1936147 </t>
  </si>
  <si>
    <t xml:space="preserve"> Test loss: 2.2685697</t>
  </si>
  <si>
    <t xml:space="preserve"> Train loss: 2.2402854 </t>
  </si>
  <si>
    <t xml:space="preserve"> Test loss: 2.3080962</t>
  </si>
  <si>
    <t xml:space="preserve"> Train loss: 2.475278 </t>
  </si>
  <si>
    <t xml:space="preserve"> Test loss: 2.1673124</t>
  </si>
  <si>
    <t xml:space="preserve"> Train loss: 1.9459394 </t>
  </si>
  <si>
    <t xml:space="preserve"> Test loss: 2.1783352</t>
  </si>
  <si>
    <t xml:space="preserve"> Train loss: 1.9473505 </t>
  </si>
  <si>
    <t xml:space="preserve"> Test loss: 2.1718035</t>
  </si>
  <si>
    <t xml:space="preserve"> Train loss: 1.9483467 </t>
  </si>
  <si>
    <t xml:space="preserve"> Test loss: 2.1845741</t>
  </si>
  <si>
    <t xml:space="preserve"> Train loss: 1.9496589 </t>
  </si>
  <si>
    <t xml:space="preserve"> Test loss: 2.1797867</t>
  </si>
  <si>
    <t xml:space="preserve"> Train loss: 1.9509609 </t>
  </si>
  <si>
    <t xml:space="preserve"> Test loss: 2.1842506</t>
  </si>
  <si>
    <t xml:space="preserve"> Train loss: 1.9523492 </t>
  </si>
  <si>
    <t xml:space="preserve"> Test loss: 2.1618972</t>
  </si>
  <si>
    <t xml:space="preserve"> Train loss: 1.954075 </t>
  </si>
  <si>
    <t xml:space="preserve"> Test loss: 2.1853013</t>
  </si>
  <si>
    <t xml:space="preserve"> Train loss: 1.9554507 </t>
  </si>
  <si>
    <t xml:space="preserve"> Test loss: 2.171761</t>
  </si>
  <si>
    <t xml:space="preserve"> Train loss: 1.956701 </t>
  </si>
  <si>
    <t xml:space="preserve"> Test loss: 2.1737325</t>
  </si>
  <si>
    <t xml:space="preserve"> Train loss: 1.9583775 </t>
  </si>
  <si>
    <t xml:space="preserve"> Test loss: 2.1900089</t>
  </si>
  <si>
    <t xml:space="preserve"> Train loss: 1.9606924 </t>
  </si>
  <si>
    <t xml:space="preserve"> Test loss: 2.1698434</t>
  </si>
  <si>
    <t xml:space="preserve"> Train loss: 1.9619672 </t>
  </si>
  <si>
    <t xml:space="preserve"> Test loss: 2.1800811</t>
  </si>
  <si>
    <t xml:space="preserve"> Train loss: 1.9636388 </t>
  </si>
  <si>
    <t xml:space="preserve"> Test loss: 2.1715622</t>
  </si>
  <si>
    <t xml:space="preserve"> Train loss: 1.9655777 </t>
  </si>
  <si>
    <t xml:space="preserve"> Test loss: 2.1859727</t>
  </si>
  <si>
    <t xml:space="preserve"> Train loss: 1.9675001 </t>
  </si>
  <si>
    <t xml:space="preserve"> Test loss: 2.187546</t>
  </si>
  <si>
    <t xml:space="preserve"> Train loss: 1.9692808 </t>
  </si>
  <si>
    <t xml:space="preserve"> Test loss: 2.1815956</t>
  </si>
  <si>
    <t xml:space="preserve"> Train loss: 1.9715328 </t>
  </si>
  <si>
    <t xml:space="preserve"> Test loss: 2.181827</t>
  </si>
  <si>
    <t xml:space="preserve"> Train loss: 1.9735602 </t>
  </si>
  <si>
    <t xml:space="preserve"> Test loss: 2.1726475</t>
  </si>
  <si>
    <t xml:space="preserve"> Train loss: 1.9757977 </t>
  </si>
  <si>
    <t xml:space="preserve"> Test loss: 2.1718946</t>
  </si>
  <si>
    <t xml:space="preserve"> Train loss: 1.9777075 </t>
  </si>
  <si>
    <t xml:space="preserve"> Test loss: 2.1939743</t>
  </si>
  <si>
    <t xml:space="preserve"> Train loss: 1.9802344 </t>
  </si>
  <si>
    <t xml:space="preserve"> Test loss: 2.1935067</t>
  </si>
  <si>
    <t xml:space="preserve"> Train loss: 1.9821427 </t>
  </si>
  <si>
    <t xml:space="preserve"> Test loss: 2.1539724</t>
  </si>
  <si>
    <t xml:space="preserve"> Train loss: 1.9849412 </t>
  </si>
  <si>
    <t xml:space="preserve"> Test loss: 2.1679208</t>
  </si>
  <si>
    <t xml:space="preserve"> Train loss: 1.9879442 </t>
  </si>
  <si>
    <t xml:space="preserve"> Test loss: 2.198994</t>
  </si>
  <si>
    <t xml:space="preserve"> Train loss: 1.9904685 </t>
  </si>
  <si>
    <t xml:space="preserve">Saving model on epoch nr.24Epoch: 25 </t>
  </si>
  <si>
    <t xml:space="preserve"> Test loss: 2.1659806</t>
  </si>
  <si>
    <t xml:space="preserve"> Train loss: 1.993775 </t>
  </si>
  <si>
    <t xml:space="preserve"> Test loss: 2.1787086</t>
  </si>
  <si>
    <t xml:space="preserve"> Train loss: 1.9967788 </t>
  </si>
  <si>
    <t xml:space="preserve"> Test loss: 2.1962376</t>
  </si>
  <si>
    <t xml:space="preserve"> Train loss: 1.9999948 </t>
  </si>
  <si>
    <t xml:space="preserve"> Test loss: 2.1957586</t>
  </si>
  <si>
    <t xml:space="preserve"> Train loss: 2.0036108 </t>
  </si>
  <si>
    <t xml:space="preserve"> Test loss: 2.1835494</t>
  </si>
  <si>
    <t xml:space="preserve"> Train loss: 2.006904 </t>
  </si>
  <si>
    <t xml:space="preserve">Saving model on epoch nr.19Epoch: 20 </t>
  </si>
  <si>
    <t xml:space="preserve"> Test loss: 2.1695156</t>
  </si>
  <si>
    <t xml:space="preserve"> Train loss: 2.0108922 </t>
  </si>
  <si>
    <t xml:space="preserve"> Test loss: 2.1934817</t>
  </si>
  <si>
    <t xml:space="preserve"> Train loss: 2.015424 </t>
  </si>
  <si>
    <t xml:space="preserve"> Test loss: 2.2021804</t>
  </si>
  <si>
    <t xml:space="preserve"> Train loss: 2.0192838 </t>
  </si>
  <si>
    <t xml:space="preserve"> Test loss: 2.1932364</t>
  </si>
  <si>
    <t xml:space="preserve"> Train loss: 2.0239975 </t>
  </si>
  <si>
    <t xml:space="preserve"> Test loss: 2.1970134</t>
  </si>
  <si>
    <t xml:space="preserve"> Train loss: 2.029398 </t>
  </si>
  <si>
    <t xml:space="preserve"> Test loss: 2.1900985</t>
  </si>
  <si>
    <t xml:space="preserve"> Train loss: 2.0344152 </t>
  </si>
  <si>
    <t xml:space="preserve"> Test loss: 2.1958683</t>
  </si>
  <si>
    <t xml:space="preserve"> Train loss: 2.0400333 </t>
  </si>
  <si>
    <t xml:space="preserve"> Test loss: 2.2006602</t>
  </si>
  <si>
    <t xml:space="preserve"> Train loss: 2.0470595 </t>
  </si>
  <si>
    <t xml:space="preserve"> Test loss: 2.199296</t>
  </si>
  <si>
    <t xml:space="preserve"> Train loss: 2.053379 </t>
  </si>
  <si>
    <t xml:space="preserve"> Test loss: 2.1987193</t>
  </si>
  <si>
    <t xml:space="preserve"> Train loss: 2.0618284 </t>
  </si>
  <si>
    <t xml:space="preserve"> Test loss: 2.1917892</t>
  </si>
  <si>
    <t xml:space="preserve"> Train loss: 2.0705786 </t>
  </si>
  <si>
    <t xml:space="preserve"> Test loss: 2.205257</t>
  </si>
  <si>
    <t xml:space="preserve"> Train loss: 2.0803962 </t>
  </si>
  <si>
    <t xml:space="preserve">Saving model on epoch nr.7Epoch: 8 </t>
  </si>
  <si>
    <t xml:space="preserve"> Test loss: 2.2095451</t>
  </si>
  <si>
    <t xml:space="preserve"> Train loss: 2.0911462 </t>
  </si>
  <si>
    <t xml:space="preserve"> Test loss: 2.2152314</t>
  </si>
  <si>
    <t xml:space="preserve"> Train loss: 2.1046515 </t>
  </si>
  <si>
    <t xml:space="preserve"> Test loss: 2.2229486</t>
  </si>
  <si>
    <t xml:space="preserve"> Train loss: 2.1209369 </t>
  </si>
  <si>
    <t xml:space="preserve"> Test loss: 2.2287128</t>
  </si>
  <si>
    <t xml:space="preserve"> Train loss: 2.1384912 </t>
  </si>
  <si>
    <t xml:space="preserve"> Test loss: 2.2662199</t>
  </si>
  <si>
    <t xml:space="preserve"> Train loss: 2.162821 </t>
  </si>
  <si>
    <t xml:space="preserve"> Test loss: 2.2833853</t>
  </si>
  <si>
    <t xml:space="preserve"> Train loss: 2.1933749 </t>
  </si>
  <si>
    <t xml:space="preserve"> Test loss: 2.2947009</t>
  </si>
  <si>
    <t xml:space="preserve"> Train loss: 2.2412493 </t>
  </si>
  <si>
    <t xml:space="preserve"> Test loss: 2.3462431</t>
  </si>
  <si>
    <t xml:space="preserve"> Train loss: 2.4809935 </t>
  </si>
  <si>
    <t xml:space="preserve"> Test loss: 2.1837132</t>
  </si>
  <si>
    <t xml:space="preserve"> Train loss: 1.8765668 </t>
  </si>
  <si>
    <t xml:space="preserve"> Test loss: 2.1783814</t>
  </si>
  <si>
    <t xml:space="preserve"> Train loss: 1.8788235 </t>
  </si>
  <si>
    <t xml:space="preserve"> Test loss: 2.239557</t>
  </si>
  <si>
    <t xml:space="preserve"> Train loss: 1.8791634 </t>
  </si>
  <si>
    <t xml:space="preserve"> Test loss: 2.1821988</t>
  </si>
  <si>
    <t xml:space="preserve"> Train loss: 1.8809452 </t>
  </si>
  <si>
    <t xml:space="preserve"> Test loss: 2.1871316</t>
  </si>
  <si>
    <t xml:space="preserve"> Train loss: 1.8826772 </t>
  </si>
  <si>
    <t xml:space="preserve"> Test loss: 2.1894937</t>
  </si>
  <si>
    <t xml:space="preserve"> Train loss: 1.8829937 </t>
  </si>
  <si>
    <t xml:space="preserve"> Test loss: 2.1723197</t>
  </si>
  <si>
    <t xml:space="preserve"> Train loss: 1.8837014 </t>
  </si>
  <si>
    <t xml:space="preserve"> Test loss: 2.1755364</t>
  </si>
  <si>
    <t xml:space="preserve"> Train loss: 1.8861209 </t>
  </si>
  <si>
    <t xml:space="preserve"> Test loss: 2.187182</t>
  </si>
  <si>
    <t xml:space="preserve"> Train loss: 1.8871912 </t>
  </si>
  <si>
    <t xml:space="preserve"> Test loss: 2.2031567</t>
  </si>
  <si>
    <t xml:space="preserve"> Train loss: 1.88812 </t>
  </si>
  <si>
    <t xml:space="preserve"> Test loss: 2.1824255</t>
  </si>
  <si>
    <t xml:space="preserve"> Train loss: 1.8889314 </t>
  </si>
  <si>
    <t xml:space="preserve"> Test loss: 2.1779194</t>
  </si>
  <si>
    <t xml:space="preserve"> Train loss: 1.8910625 </t>
  </si>
  <si>
    <t xml:space="preserve"> Test loss: 2.1990244</t>
  </si>
  <si>
    <t xml:space="preserve"> Train loss: 1.8934531 </t>
  </si>
  <si>
    <t xml:space="preserve"> Test loss: 2.1828575</t>
  </si>
  <si>
    <t xml:space="preserve"> Train loss: 1.8948821 </t>
  </si>
  <si>
    <t xml:space="preserve"> Test loss: 2.1990497</t>
  </si>
  <si>
    <t xml:space="preserve"> Train loss: 1.8973362 </t>
  </si>
  <si>
    <t xml:space="preserve"> Test loss: 2.1756372</t>
  </si>
  <si>
    <t xml:space="preserve"> Train loss: 1.8986531 </t>
  </si>
  <si>
    <t xml:space="preserve"> Test loss: 2.1799443</t>
  </si>
  <si>
    <t xml:space="preserve"> Train loss: 1.9008654 </t>
  </si>
  <si>
    <t xml:space="preserve"> Test loss: 2.187675</t>
  </si>
  <si>
    <t xml:space="preserve"> Train loss: 1.9035436 </t>
  </si>
  <si>
    <t xml:space="preserve"> Test loss: 2.1887326</t>
  </si>
  <si>
    <t xml:space="preserve"> Train loss: 1.90614 </t>
  </si>
  <si>
    <t xml:space="preserve"> Test loss: 2.1467197</t>
  </si>
  <si>
    <t xml:space="preserve"> Train loss: 1.9079134 </t>
  </si>
  <si>
    <t xml:space="preserve"> Test loss: 2.1765223</t>
  </si>
  <si>
    <t xml:space="preserve"> Train loss: 1.9103316 </t>
  </si>
  <si>
    <t xml:space="preserve"> Test loss: 2.1650977</t>
  </si>
  <si>
    <t xml:space="preserve"> Train loss: 1.9138333 </t>
  </si>
  <si>
    <t xml:space="preserve"> Test loss: 2.1700354</t>
  </si>
  <si>
    <t xml:space="preserve"> Train loss: 1.9168036 </t>
  </si>
  <si>
    <t xml:space="preserve"> Test loss: 2.1543117</t>
  </si>
  <si>
    <t xml:space="preserve"> Train loss: 1.9215472 </t>
  </si>
  <si>
    <t xml:space="preserve"> Test loss: 2.1411784</t>
  </si>
  <si>
    <t xml:space="preserve"> Train loss: 1.9229072 </t>
  </si>
  <si>
    <t xml:space="preserve"> Test loss: 2.1691096</t>
  </si>
  <si>
    <t xml:space="preserve"> Train loss: 1.9270334 </t>
  </si>
  <si>
    <t xml:space="preserve"> Test loss: 2.1893463</t>
  </si>
  <si>
    <t xml:space="preserve"> Train loss: 1.9299676 </t>
  </si>
  <si>
    <t xml:space="preserve"> Test loss: 2.1857755</t>
  </si>
  <si>
    <t xml:space="preserve"> Train loss: 1.9336157 </t>
  </si>
  <si>
    <t xml:space="preserve"> Test loss: 2.1747634</t>
  </si>
  <si>
    <t xml:space="preserve"> Train loss: 1.9377546 </t>
  </si>
  <si>
    <t xml:space="preserve"> Test loss: 2.1550446</t>
  </si>
  <si>
    <t xml:space="preserve"> Train loss: 1.9425685 </t>
  </si>
  <si>
    <t xml:space="preserve"> Test loss: 2.164278</t>
  </si>
  <si>
    <t xml:space="preserve"> Train loss: 1.9475073 </t>
  </si>
  <si>
    <t xml:space="preserve"> Test loss: 2.15086</t>
  </si>
  <si>
    <t xml:space="preserve"> Train loss: 1.9527401 </t>
  </si>
  <si>
    <t xml:space="preserve"> Test loss: 2.1709971</t>
  </si>
  <si>
    <t xml:space="preserve"> Train loss: 1.958824 </t>
  </si>
  <si>
    <t xml:space="preserve"> Test loss: 2.1532035</t>
  </si>
  <si>
    <t xml:space="preserve"> Train loss: 1.9653907 </t>
  </si>
  <si>
    <t xml:space="preserve">Saving model on epoch nr.15Epoch: 16 </t>
  </si>
  <si>
    <t xml:space="preserve"> Test loss: 2.132818</t>
  </si>
  <si>
    <t xml:space="preserve"> Train loss: 1.9718034 </t>
  </si>
  <si>
    <t xml:space="preserve"> Test loss: 2.1437423</t>
  </si>
  <si>
    <t xml:space="preserve"> Train loss: 1.9795156 </t>
  </si>
  <si>
    <t xml:space="preserve">Saving model on epoch nr.13Epoch: 14 </t>
  </si>
  <si>
    <t xml:space="preserve"> Test loss: 2.146798</t>
  </si>
  <si>
    <t xml:space="preserve"> Train loss: 1.9875274 </t>
  </si>
  <si>
    <t xml:space="preserve"> Test loss: 2.1739886</t>
  </si>
  <si>
    <t xml:space="preserve"> Train loss: 1.9971765 </t>
  </si>
  <si>
    <t xml:space="preserve">Saving model on epoch nr.11Epoch: 12 </t>
  </si>
  <si>
    <t xml:space="preserve"> Test loss: 2.1826398</t>
  </si>
  <si>
    <t xml:space="preserve"> Train loss: 2.006952 </t>
  </si>
  <si>
    <t xml:space="preserve"> Test loss: 2.1946757</t>
  </si>
  <si>
    <t xml:space="preserve"> Train loss: 2.0203843 </t>
  </si>
  <si>
    <t xml:space="preserve"> Test loss: 2.2111351</t>
  </si>
  <si>
    <t xml:space="preserve"> Train loss: 2.0357485 </t>
  </si>
  <si>
    <t xml:space="preserve"> Test loss: 2.2043324</t>
  </si>
  <si>
    <t xml:space="preserve"> Train loss: 2.0519392 </t>
  </si>
  <si>
    <t xml:space="preserve"> Test loss: 2.2428632</t>
  </si>
  <si>
    <t xml:space="preserve"> Train loss: 2.069946 </t>
  </si>
  <si>
    <t xml:space="preserve"> Test loss: 2.245265</t>
  </si>
  <si>
    <t xml:space="preserve"> Train loss: 2.0874455 </t>
  </si>
  <si>
    <t xml:space="preserve"> Test loss: 2.254147</t>
  </si>
  <si>
    <t xml:space="preserve"> Train loss: 2.107903 </t>
  </si>
  <si>
    <t xml:space="preserve"> Test loss: 2.2571876</t>
  </si>
  <si>
    <t xml:space="preserve"> Train loss: 2.1301765 </t>
  </si>
  <si>
    <t xml:space="preserve"> Test loss: 2.2695525</t>
  </si>
  <si>
    <t xml:space="preserve"> Train loss: 2.1534836 </t>
  </si>
  <si>
    <t xml:space="preserve">Epoch: 3 </t>
  </si>
  <si>
    <t xml:space="preserve"> Test loss: 2.3055854</t>
  </si>
  <si>
    <t xml:space="preserve"> Train loss: 2.183734 </t>
  </si>
  <si>
    <t xml:space="preserve"> Test loss: 2.2992344</t>
  </si>
  <si>
    <t xml:space="preserve"> Train loss: 2.2285275 </t>
  </si>
  <si>
    <t xml:space="preserve"> Test loss: 2.35093</t>
  </si>
  <si>
    <t xml:space="preserve"> Train loss: 2.4558632 </t>
  </si>
  <si>
    <t xml:space="preserve"> Test loss: 0.65382683</t>
  </si>
  <si>
    <t xml:space="preserve"> Train loss: 0.5967298 </t>
  </si>
  <si>
    <t xml:space="preserve">Saving model on epoch nr.48Epoch: 49 </t>
  </si>
  <si>
    <t xml:space="preserve"> Test loss: 0.6486264</t>
  </si>
  <si>
    <t xml:space="preserve"> Train loss: 0.59754866 </t>
  </si>
  <si>
    <t xml:space="preserve"> Test loss: 0.6539627</t>
  </si>
  <si>
    <t xml:space="preserve"> Train loss: 0.5982538 </t>
  </si>
  <si>
    <t xml:space="preserve"> Test loss: 0.66161597</t>
  </si>
  <si>
    <t xml:space="preserve"> Train loss: 0.59879965 </t>
  </si>
  <si>
    <t xml:space="preserve">Saving model on epoch nr.45Epoch: 46 </t>
  </si>
  <si>
    <t xml:space="preserve"> Test loss: 0.65304005</t>
  </si>
  <si>
    <t xml:space="preserve"> Train loss: 0.59953064 </t>
  </si>
  <si>
    <t xml:space="preserve"> Test loss: 0.6622942</t>
  </si>
  <si>
    <t xml:space="preserve"> Train loss: 0.60036623 </t>
  </si>
  <si>
    <t xml:space="preserve"> Test loss: 0.65429914</t>
  </si>
  <si>
    <t xml:space="preserve"> Train loss: 0.6010913 </t>
  </si>
  <si>
    <t xml:space="preserve"> Test loss: 0.6611594</t>
  </si>
  <si>
    <t xml:space="preserve"> Train loss: 0.6021146 </t>
  </si>
  <si>
    <t xml:space="preserve"> Test loss: 0.6577582</t>
  </si>
  <si>
    <t xml:space="preserve"> Train loss: 0.6028462 </t>
  </si>
  <si>
    <t xml:space="preserve">Saving model on epoch nr.40Epoch: 41 </t>
  </si>
  <si>
    <t xml:space="preserve"> Test loss: 0.65320265</t>
  </si>
  <si>
    <t xml:space="preserve"> Train loss: 0.6037005 </t>
  </si>
  <si>
    <t xml:space="preserve"> Test loss: 0.65718085</t>
  </si>
  <si>
    <t xml:space="preserve"> Train loss: 0.6047461 </t>
  </si>
  <si>
    <t xml:space="preserve"> Test loss: 0.6549628</t>
  </si>
  <si>
    <t xml:space="preserve"> Train loss: 0.60576594 </t>
  </si>
  <si>
    <t xml:space="preserve"> Test loss: 0.6568582</t>
  </si>
  <si>
    <t xml:space="preserve"> Train loss: 0.6064031 </t>
  </si>
  <si>
    <t xml:space="preserve"> Test loss: 0.66323876</t>
  </si>
  <si>
    <t xml:space="preserve"> Train loss: 0.60732275 </t>
  </si>
  <si>
    <t xml:space="preserve"> Test loss: 0.661029</t>
  </si>
  <si>
    <t xml:space="preserve"> Train loss: 0.6082345 </t>
  </si>
  <si>
    <t xml:space="preserve"> Test loss: 0.66473186</t>
  </si>
  <si>
    <t xml:space="preserve"> Train loss: 0.6091227 </t>
  </si>
  <si>
    <t xml:space="preserve"> Test loss: 0.6627497</t>
  </si>
  <si>
    <t xml:space="preserve"> Train loss: 0.6101377 </t>
  </si>
  <si>
    <t xml:space="preserve">Saving model on epoch nr.32Epoch: 33 </t>
  </si>
  <si>
    <t xml:space="preserve"> Test loss: 0.6543945</t>
  </si>
  <si>
    <t xml:space="preserve"> Train loss: 0.6107614 </t>
  </si>
  <si>
    <t xml:space="preserve"> Test loss: 0.6596949</t>
  </si>
  <si>
    <t xml:space="preserve"> Train loss: 0.61191666 </t>
  </si>
  <si>
    <t xml:space="preserve"> Test loss: 0.6629387</t>
  </si>
  <si>
    <t xml:space="preserve"> Train loss: 0.6130129 </t>
  </si>
  <si>
    <t xml:space="preserve">Saving model on epoch nr.29Epoch: 30 </t>
  </si>
  <si>
    <t xml:space="preserve"> Test loss: 0.6576995</t>
  </si>
  <si>
    <t xml:space="preserve"> Train loss: 0.6138991 </t>
  </si>
  <si>
    <t xml:space="preserve"> Test loss: 0.66324866</t>
  </si>
  <si>
    <t xml:space="preserve"> Train loss: 0.61514336 </t>
  </si>
  <si>
    <t xml:space="preserve"> Test loss: 0.6609876</t>
  </si>
  <si>
    <t xml:space="preserve"> Train loss: 0.61643916 </t>
  </si>
  <si>
    <t xml:space="preserve"> Test loss: 0.66282326</t>
  </si>
  <si>
    <t xml:space="preserve"> Train loss: 0.617829 </t>
  </si>
  <si>
    <t xml:space="preserve"> Test loss: 0.66262066</t>
  </si>
  <si>
    <t xml:space="preserve"> Train loss: 0.6190204 </t>
  </si>
  <si>
    <t xml:space="preserve"> Test loss: 0.66558766</t>
  </si>
  <si>
    <t xml:space="preserve"> Train loss: 0.6205459 </t>
  </si>
  <si>
    <t xml:space="preserve"> Test loss: 0.663159</t>
  </si>
  <si>
    <t xml:space="preserve"> Train loss: 0.62218624 </t>
  </si>
  <si>
    <t xml:space="preserve"> Test loss: 0.6662687</t>
  </si>
  <si>
    <t xml:space="preserve"> Train loss: 0.62354577 </t>
  </si>
  <si>
    <t xml:space="preserve"> Test loss: 0.66468775</t>
  </si>
  <si>
    <t xml:space="preserve"> Train loss: 0.6256243 </t>
  </si>
  <si>
    <t xml:space="preserve"> Test loss: 0.66140544</t>
  </si>
  <si>
    <t xml:space="preserve"> Train loss: 0.62729555 </t>
  </si>
  <si>
    <t xml:space="preserve"> Test loss: 0.66173553</t>
  </si>
  <si>
    <t xml:space="preserve"> Train loss: 0.6291256 </t>
  </si>
  <si>
    <t xml:space="preserve"> Test loss: 0.6749201</t>
  </si>
  <si>
    <t xml:space="preserve"> Train loss: 0.6312151 </t>
  </si>
  <si>
    <t xml:space="preserve"> Test loss: 0.67529577</t>
  </si>
  <si>
    <t xml:space="preserve"> Train loss: 0.6334717 </t>
  </si>
  <si>
    <t xml:space="preserve"> Test loss: 0.6740405</t>
  </si>
  <si>
    <t xml:space="preserve"> Train loss: 0.635937 </t>
  </si>
  <si>
    <t xml:space="preserve"> Test loss: 0.67693883</t>
  </si>
  <si>
    <t xml:space="preserve"> Train loss: 0.6384572 </t>
  </si>
  <si>
    <t xml:space="preserve"> Test loss: 0.6696748</t>
  </si>
  <si>
    <t xml:space="preserve"> Train loss: 0.6412214 </t>
  </si>
  <si>
    <t xml:space="preserve"> Test loss: 0.6810096</t>
  </si>
  <si>
    <t xml:space="preserve"> Train loss: 0.6441358 </t>
  </si>
  <si>
    <t xml:space="preserve"> Test loss: 0.6875035</t>
  </si>
  <si>
    <t xml:space="preserve"> Train loss: 0.6474902 </t>
  </si>
  <si>
    <t xml:space="preserve"> Test loss: 0.68585604</t>
  </si>
  <si>
    <t xml:space="preserve"> Train loss: 0.65112776 </t>
  </si>
  <si>
    <t xml:space="preserve"> Test loss: 0.68959534</t>
  </si>
  <si>
    <t xml:space="preserve"> Train loss: 0.65527546 </t>
  </si>
  <si>
    <t xml:space="preserve"> Test loss: 0.6944381</t>
  </si>
  <si>
    <t xml:space="preserve"> Train loss: 0.65993583 </t>
  </si>
  <si>
    <t xml:space="preserve"> Test loss: 0.69153404</t>
  </si>
  <si>
    <t xml:space="preserve"> Train loss: 0.6648529 </t>
  </si>
  <si>
    <t xml:space="preserve"> Test loss: 0.7044472</t>
  </si>
  <si>
    <t xml:space="preserve"> Train loss: 0.67073107 </t>
  </si>
  <si>
    <t xml:space="preserve"> Test loss: 0.70506895</t>
  </si>
  <si>
    <t xml:space="preserve"> Train loss: 0.67741007 </t>
  </si>
  <si>
    <t xml:space="preserve"> Test loss: 0.713068</t>
  </si>
  <si>
    <t xml:space="preserve"> Train loss: 0.6860748 </t>
  </si>
  <si>
    <t xml:space="preserve">Epoch: 5 </t>
  </si>
  <si>
    <t xml:space="preserve"> Test loss: 0.71865386</t>
  </si>
  <si>
    <t xml:space="preserve"> Train loss: 0.6958347 </t>
  </si>
  <si>
    <t xml:space="preserve"> Test loss: 0.715756</t>
  </si>
  <si>
    <t xml:space="preserve"> Train loss: 0.7063655 </t>
  </si>
  <si>
    <t xml:space="preserve"> Test loss: 0.7324427</t>
  </si>
  <si>
    <t xml:space="preserve"> Train loss: 0.7174783 </t>
  </si>
  <si>
    <t xml:space="preserve"> Test loss: 0.73345095</t>
  </si>
  <si>
    <t xml:space="preserve"> Train loss: 0.72778994 </t>
  </si>
  <si>
    <t xml:space="preserve"> Test loss: 0.7500625</t>
  </si>
  <si>
    <t xml:space="preserve"> Train loss: 0.73629767 </t>
  </si>
  <si>
    <t>Value training started</t>
  </si>
  <si>
    <t xml:space="preserve"> Test loss: 0.082066536</t>
  </si>
  <si>
    <t xml:space="preserve"> Train loss: 0.058931198 </t>
  </si>
  <si>
    <t xml:space="preserve"> Test loss: 0.080280185</t>
  </si>
  <si>
    <t xml:space="preserve"> Train loss: 0.059271496 </t>
  </si>
  <si>
    <t xml:space="preserve"> Test loss: 0.080219805</t>
  </si>
  <si>
    <t xml:space="preserve"> Train loss: 0.059331346 </t>
  </si>
  <si>
    <t xml:space="preserve"> Test loss: 0.07928124</t>
  </si>
  <si>
    <t xml:space="preserve"> Train loss: 0.05962163 </t>
  </si>
  <si>
    <t xml:space="preserve"> Test loss: 0.084051535</t>
  </si>
  <si>
    <t xml:space="preserve"> Train loss: 0.059739124 </t>
  </si>
  <si>
    <t xml:space="preserve"> Test loss: 0.08058438</t>
  </si>
  <si>
    <t xml:space="preserve"> Train loss: 0.05986334 </t>
  </si>
  <si>
    <t xml:space="preserve"> Test loss: 0.082563445</t>
  </si>
  <si>
    <t xml:space="preserve"> Train loss: 0.060158372 </t>
  </si>
  <si>
    <t xml:space="preserve"> Test loss: 0.080015816</t>
  </si>
  <si>
    <t xml:space="preserve"> Train loss: 0.06035808 </t>
  </si>
  <si>
    <t xml:space="preserve">Saving model on epoch nr.41Epoch: 42 </t>
  </si>
  <si>
    <t xml:space="preserve"> Test loss: 0.078499</t>
  </si>
  <si>
    <t xml:space="preserve"> Train loss: 0.060521502 </t>
  </si>
  <si>
    <t xml:space="preserve"> Test loss: 0.082514636</t>
  </si>
  <si>
    <t xml:space="preserve"> Train loss: 0.060778413 </t>
  </si>
  <si>
    <t xml:space="preserve"> Test loss: 0.08117228</t>
  </si>
  <si>
    <t xml:space="preserve"> Train loss: 0.06104406 </t>
  </si>
  <si>
    <t xml:space="preserve"> Test loss: 0.081124246</t>
  </si>
  <si>
    <t xml:space="preserve"> Train loss: 0.061244953 </t>
  </si>
  <si>
    <t xml:space="preserve"> Test loss: 0.07942936</t>
  </si>
  <si>
    <t xml:space="preserve"> Train loss: 0.061373606 </t>
  </si>
  <si>
    <t xml:space="preserve"> Test loss: 0.0806928</t>
  </si>
  <si>
    <t xml:space="preserve"> Train loss: 0.06168453 </t>
  </si>
  <si>
    <t xml:space="preserve"> Test loss: 0.082006</t>
  </si>
  <si>
    <t xml:space="preserve"> Train loss: 0.061927363 </t>
  </si>
  <si>
    <t xml:space="preserve"> Test loss: 0.08208786</t>
  </si>
  <si>
    <t xml:space="preserve"> Train loss: 0.06216194 </t>
  </si>
  <si>
    <t xml:space="preserve"> Test loss: 0.079743415</t>
  </si>
  <si>
    <t xml:space="preserve"> Train loss: 0.0623972 </t>
  </si>
  <si>
    <t xml:space="preserve"> Test loss: 0.081034</t>
  </si>
  <si>
    <t xml:space="preserve"> Train loss: 0.06281307 </t>
  </si>
  <si>
    <t xml:space="preserve"> Test loss: 0.07931024</t>
  </si>
  <si>
    <t xml:space="preserve"> Train loss: 0.06298614 </t>
  </si>
  <si>
    <t xml:space="preserve"> Test loss: 0.08389154</t>
  </si>
  <si>
    <t xml:space="preserve"> Train loss: 0.063315295 </t>
  </si>
  <si>
    <t xml:space="preserve"> Test loss: 0.08271092</t>
  </si>
  <si>
    <t xml:space="preserve"> Train loss: 0.06360798 </t>
  </si>
  <si>
    <t xml:space="preserve"> Test loss: 0.081169344</t>
  </si>
  <si>
    <t xml:space="preserve"> Train loss: 0.06392878 </t>
  </si>
  <si>
    <t xml:space="preserve"> Test loss: 0.08151826</t>
  </si>
  <si>
    <t xml:space="preserve"> Train loss: 0.06427606 </t>
  </si>
  <si>
    <t xml:space="preserve"> Test loss: 0.0831164</t>
  </si>
  <si>
    <t xml:space="preserve"> Train loss: 0.06464164 </t>
  </si>
  <si>
    <t xml:space="preserve"> Test loss: 0.08178826</t>
  </si>
  <si>
    <t xml:space="preserve"> Train loss: 0.06501172 </t>
  </si>
  <si>
    <t xml:space="preserve"> Test loss: 0.08215533</t>
  </si>
  <si>
    <t xml:space="preserve"> Train loss: 0.06532045 </t>
  </si>
  <si>
    <t xml:space="preserve"> Test loss: 0.07992201</t>
  </si>
  <si>
    <t xml:space="preserve"> Train loss: 0.065798484 </t>
  </si>
  <si>
    <t xml:space="preserve"> Test loss: 0.080282986</t>
  </si>
  <si>
    <t xml:space="preserve"> Train loss: 0.0663381 </t>
  </si>
  <si>
    <t xml:space="preserve"> Test loss: 0.08168166</t>
  </si>
  <si>
    <t xml:space="preserve"> Train loss: 0.066658966 </t>
  </si>
  <si>
    <t xml:space="preserve"> Test loss: 0.08182721</t>
  </si>
  <si>
    <t xml:space="preserve"> Train loss: 0.06721146 </t>
  </si>
  <si>
    <t xml:space="preserve"> Test loss: 0.078949876</t>
  </si>
  <si>
    <t xml:space="preserve"> Train loss: 0.067716986 </t>
  </si>
  <si>
    <t xml:space="preserve">Saving model on epoch nr.18Epoch: 19 </t>
  </si>
  <si>
    <t xml:space="preserve"> Test loss: 0.08067007</t>
  </si>
  <si>
    <t xml:space="preserve"> Train loss: 0.0683418 </t>
  </si>
  <si>
    <t xml:space="preserve"> Test loss: 0.083706</t>
  </si>
  <si>
    <t xml:space="preserve"> Train loss: 0.0688544 </t>
  </si>
  <si>
    <t xml:space="preserve"> Test loss: 0.08347953</t>
  </si>
  <si>
    <t xml:space="preserve"> Train loss: 0.06943017 </t>
  </si>
  <si>
    <t xml:space="preserve"> Test loss: 0.08264855</t>
  </si>
  <si>
    <t xml:space="preserve"> Train loss: 0.07010035 </t>
  </si>
  <si>
    <t xml:space="preserve"> Test loss: 0.08231396</t>
  </si>
  <si>
    <t xml:space="preserve"> Train loss: 0.07078097 </t>
  </si>
  <si>
    <t xml:space="preserve"> Test loss: 0.08365911</t>
  </si>
  <si>
    <t xml:space="preserve"> Train loss: 0.07151712 </t>
  </si>
  <si>
    <t xml:space="preserve"> Test loss: 0.08361646</t>
  </si>
  <si>
    <t xml:space="preserve"> Train loss: 0.072190836 </t>
  </si>
  <si>
    <t xml:space="preserve"> Test loss: 0.08315076</t>
  </si>
  <si>
    <t xml:space="preserve"> Train loss: 0.07301699 </t>
  </si>
  <si>
    <t xml:space="preserve"> Test loss: 0.085889645</t>
  </si>
  <si>
    <t xml:space="preserve"> Train loss: 0.073861636 </t>
  </si>
  <si>
    <t xml:space="preserve"> Test loss: 0.08457547</t>
  </si>
  <si>
    <t xml:space="preserve"> Train loss: 0.07474955 </t>
  </si>
  <si>
    <t xml:space="preserve"> Test loss: 0.0855849</t>
  </si>
  <si>
    <t xml:space="preserve"> Train loss: 0.07581316 </t>
  </si>
  <si>
    <t xml:space="preserve"> Test loss: 0.087122925</t>
  </si>
  <si>
    <t xml:space="preserve"> Train loss: 0.07683645 </t>
  </si>
  <si>
    <t xml:space="preserve"> Test loss: 0.08405088</t>
  </si>
  <si>
    <t xml:space="preserve"> Train loss: 0.07800096 </t>
  </si>
  <si>
    <t xml:space="preserve"> Test loss: 0.08556448</t>
  </si>
  <si>
    <t xml:space="preserve"> Train loss: 0.07941614 </t>
  </si>
  <si>
    <t xml:space="preserve"> Test loss: 0.0879144</t>
  </si>
  <si>
    <t xml:space="preserve"> Train loss: 0.08089212 </t>
  </si>
  <si>
    <t xml:space="preserve"> Test loss: 0.08765109</t>
  </si>
  <si>
    <t xml:space="preserve"> Train loss: 0.08276622 </t>
  </si>
  <si>
    <t xml:space="preserve"> Test loss: 0.090237424</t>
  </si>
  <si>
    <t xml:space="preserve"> Train loss: 0.08627686 </t>
  </si>
  <si>
    <t xml:space="preserve"> Test loss: 0.096509665</t>
  </si>
  <si>
    <t xml:space="preserve"> Train loss: 0.09126148 </t>
  </si>
  <si>
    <t xml:space="preserve"> Test loss: 0.10272829</t>
  </si>
  <si>
    <t xml:space="preserve"> Train loss: 0.10321533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</si>
</sst>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Mokymo nuostoliai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BigLinearOnHUGE.v1!$E$1:$E$50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BigLinearOnHUGE.v1!$F$1:$F$50</c:f>
              <c:numCache>
                <c:formatCode>General</c:formatCode>
                <c:ptCount val="50"/>
                <c:pt idx="0">
                  <c:v>2.4872065000000001</c:v>
                </c:pt>
                <c:pt idx="1">
                  <c:v>2.2388539999999999</c:v>
                </c:pt>
                <c:pt idx="2">
                  <c:v>2.1499898000000002</c:v>
                </c:pt>
                <c:pt idx="3">
                  <c:v>2.1066536999999999</c:v>
                </c:pt>
                <c:pt idx="4">
                  <c:v>2.0864552999999999</c:v>
                </c:pt>
                <c:pt idx="5">
                  <c:v>2.0727030000000002</c:v>
                </c:pt>
                <c:pt idx="6">
                  <c:v>2.0618192999999998</c:v>
                </c:pt>
                <c:pt idx="7">
                  <c:v>2.052502</c:v>
                </c:pt>
                <c:pt idx="8">
                  <c:v>2.0431794999999999</c:v>
                </c:pt>
                <c:pt idx="9">
                  <c:v>2.0354507000000002</c:v>
                </c:pt>
                <c:pt idx="10">
                  <c:v>2.028349</c:v>
                </c:pt>
                <c:pt idx="11">
                  <c:v>2.0218579999999999</c:v>
                </c:pt>
                <c:pt idx="12">
                  <c:v>2.0159476000000001</c:v>
                </c:pt>
                <c:pt idx="13">
                  <c:v>2.0114033</c:v>
                </c:pt>
                <c:pt idx="14">
                  <c:v>2.0053109999999998</c:v>
                </c:pt>
                <c:pt idx="15">
                  <c:v>2.000553</c:v>
                </c:pt>
                <c:pt idx="16">
                  <c:v>1.9983059999999999</c:v>
                </c:pt>
                <c:pt idx="17">
                  <c:v>1.9917222999999999</c:v>
                </c:pt>
                <c:pt idx="18">
                  <c:v>1.9886353000000001</c:v>
                </c:pt>
                <c:pt idx="19">
                  <c:v>1.9848608000000001</c:v>
                </c:pt>
                <c:pt idx="20">
                  <c:v>1.9804638999999999</c:v>
                </c:pt>
                <c:pt idx="21">
                  <c:v>1.979066</c:v>
                </c:pt>
                <c:pt idx="22">
                  <c:v>1.9726347</c:v>
                </c:pt>
                <c:pt idx="23">
                  <c:v>1.9702603999999999</c:v>
                </c:pt>
                <c:pt idx="24">
                  <c:v>1.9667634000000001</c:v>
                </c:pt>
                <c:pt idx="25">
                  <c:v>1.963838</c:v>
                </c:pt>
                <c:pt idx="26">
                  <c:v>1.9613773999999999</c:v>
                </c:pt>
                <c:pt idx="27">
                  <c:v>1.9577310999999999</c:v>
                </c:pt>
                <c:pt idx="28">
                  <c:v>1.9636966</c:v>
                </c:pt>
                <c:pt idx="29">
                  <c:v>1.9501999999999999</c:v>
                </c:pt>
                <c:pt idx="30">
                  <c:v>1.9545003000000001</c:v>
                </c:pt>
                <c:pt idx="31">
                  <c:v>1.9536353</c:v>
                </c:pt>
                <c:pt idx="32">
                  <c:v>1.9444648</c:v>
                </c:pt>
                <c:pt idx="33">
                  <c:v>1.9438305</c:v>
                </c:pt>
                <c:pt idx="34">
                  <c:v>1.9410704000000001</c:v>
                </c:pt>
                <c:pt idx="35">
                  <c:v>1.9416517</c:v>
                </c:pt>
                <c:pt idx="36">
                  <c:v>1.9463824999999999</c:v>
                </c:pt>
                <c:pt idx="37">
                  <c:v>1.9306589000000001</c:v>
                </c:pt>
                <c:pt idx="38">
                  <c:v>1.931764</c:v>
                </c:pt>
                <c:pt idx="39">
                  <c:v>1.9319375999999999</c:v>
                </c:pt>
                <c:pt idx="40">
                  <c:v>1.9276648999999999</c:v>
                </c:pt>
                <c:pt idx="41">
                  <c:v>1.9440470999999999</c:v>
                </c:pt>
                <c:pt idx="42">
                  <c:v>1.9266173</c:v>
                </c:pt>
                <c:pt idx="43">
                  <c:v>1.9214922999999999</c:v>
                </c:pt>
                <c:pt idx="44">
                  <c:v>1.9216048999999999</c:v>
                </c:pt>
                <c:pt idx="45">
                  <c:v>1.9205478</c:v>
                </c:pt>
                <c:pt idx="46">
                  <c:v>1.9236367999999999</c:v>
                </c:pt>
                <c:pt idx="47">
                  <c:v>1.9142001</c:v>
                </c:pt>
                <c:pt idx="48">
                  <c:v>1.9237040000000001</c:v>
                </c:pt>
                <c:pt idx="49">
                  <c:v>1.9607984000000001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E-4C89-BA15-0FE4072B9259}"/>
            </c:ext>
          </c:extLst>
        </c:ser>
        <c:ser>
          <c:idx val="1"/>
          <c:order val="1"/>
          <c:tx>
            <c:v>Testavimo nuostoliai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BigLinearOnHUGE.v1!$E$1:$E$50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BigLinearOnHUGE.v1!$G$1:$G$50</c:f>
              <c:numCache>
                <c:formatCode>General</c:formatCode>
                <c:ptCount val="50"/>
                <c:pt idx="0">
                  <c:v>2.3734929999999999</c:v>
                </c:pt>
                <c:pt idx="1">
                  <c:v>2.2290885</c:v>
                </c:pt>
                <c:pt idx="2">
                  <c:v>2.1962799999999998</c:v>
                </c:pt>
                <c:pt idx="3">
                  <c:v>2.1597526</c:v>
                </c:pt>
                <c:pt idx="4">
                  <c:v>2.1472560999999999</c:v>
                </c:pt>
                <c:pt idx="5">
                  <c:v>2.1395632999999998</c:v>
                </c:pt>
                <c:pt idx="6">
                  <c:v>2.1180743999999998</c:v>
                </c:pt>
                <c:pt idx="7">
                  <c:v>2.1250249999999999</c:v>
                </c:pt>
                <c:pt idx="8">
                  <c:v>2.1349287000000001</c:v>
                </c:pt>
                <c:pt idx="9">
                  <c:v>2.135974</c:v>
                </c:pt>
                <c:pt idx="10">
                  <c:v>2.1448383</c:v>
                </c:pt>
                <c:pt idx="11">
                  <c:v>2.1229657999999998</c:v>
                </c:pt>
                <c:pt idx="12">
                  <c:v>2.1338366999999998</c:v>
                </c:pt>
                <c:pt idx="13">
                  <c:v>2.1233293999999998</c:v>
                </c:pt>
                <c:pt idx="14">
                  <c:v>2.1268587000000001</c:v>
                </c:pt>
                <c:pt idx="15">
                  <c:v>2.1208193</c:v>
                </c:pt>
                <c:pt idx="16">
                  <c:v>2.1104604999999999</c:v>
                </c:pt>
                <c:pt idx="17">
                  <c:v>2.1179879000000001</c:v>
                </c:pt>
                <c:pt idx="18">
                  <c:v>2.1515070000000001</c:v>
                </c:pt>
                <c:pt idx="19">
                  <c:v>2.1327229999999999</c:v>
                </c:pt>
                <c:pt idx="20">
                  <c:v>2.1244160000000001</c:v>
                </c:pt>
                <c:pt idx="21">
                  <c:v>2.1477558999999999</c:v>
                </c:pt>
                <c:pt idx="22">
                  <c:v>2.1428707</c:v>
                </c:pt>
                <c:pt idx="23">
                  <c:v>2.1308722000000002</c:v>
                </c:pt>
                <c:pt idx="24">
                  <c:v>2.1411169999999999</c:v>
                </c:pt>
                <c:pt idx="25">
                  <c:v>2.1569327999999999</c:v>
                </c:pt>
                <c:pt idx="26">
                  <c:v>2.1395650000000002</c:v>
                </c:pt>
                <c:pt idx="27">
                  <c:v>2.1891905999999999</c:v>
                </c:pt>
                <c:pt idx="28">
                  <c:v>2.1882055</c:v>
                </c:pt>
                <c:pt idx="29">
                  <c:v>2.1914003000000002</c:v>
                </c:pt>
                <c:pt idx="30">
                  <c:v>2.1502476000000001</c:v>
                </c:pt>
                <c:pt idx="31">
                  <c:v>2.1844733000000001</c:v>
                </c:pt>
                <c:pt idx="32">
                  <c:v>2.1730330000000002</c:v>
                </c:pt>
                <c:pt idx="33">
                  <c:v>2.1690369999999999</c:v>
                </c:pt>
                <c:pt idx="34">
                  <c:v>2.1692073000000001</c:v>
                </c:pt>
                <c:pt idx="35">
                  <c:v>2.2030403999999999</c:v>
                </c:pt>
                <c:pt idx="36">
                  <c:v>2.1811888000000001</c:v>
                </c:pt>
                <c:pt idx="37">
                  <c:v>2.2040999999999999</c:v>
                </c:pt>
                <c:pt idx="38">
                  <c:v>2.1944336999999998</c:v>
                </c:pt>
                <c:pt idx="39">
                  <c:v>2.2307155000000001</c:v>
                </c:pt>
                <c:pt idx="40">
                  <c:v>2.2068512</c:v>
                </c:pt>
                <c:pt idx="41">
                  <c:v>2.2208998000000002</c:v>
                </c:pt>
                <c:pt idx="42">
                  <c:v>2.2033532</c:v>
                </c:pt>
                <c:pt idx="43">
                  <c:v>2.2447026000000001</c:v>
                </c:pt>
                <c:pt idx="44">
                  <c:v>2.2329729</c:v>
                </c:pt>
                <c:pt idx="45">
                  <c:v>2.2422395000000002</c:v>
                </c:pt>
                <c:pt idx="46">
                  <c:v>2.2038001999999999</c:v>
                </c:pt>
                <c:pt idx="47">
                  <c:v>2.2428802999999999</c:v>
                </c:pt>
                <c:pt idx="48">
                  <c:v>2.2124293000000002</c:v>
                </c:pt>
                <c:pt idx="49">
                  <c:v>2.1772152999999999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E-4C89-BA15-0FE4072B9259}"/>
            </c:ext>
          </c:extLst>
        </c:ser>
        <c:ser>
          <c:idx val="2"/>
          <c:order val="2"/>
          <c:tx>
            <c:v>Minimumas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08E-4C89-BA15-0FE4072B9259}"/>
              </c:ext>
            </c:extLst>
          </c:dPt>
          <c:dLbls>
            <c:dLbl>
              <c:idx val="16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8E-4C89-BA15-0FE4072B9259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BigLinearOnHUGE.v1!$E$1:$E$50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BigLinearOnHUGE.v1!$H$1:$H$50</c:f>
              <c:numCache>
                <c:formatCode>General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2.1104604999999999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8E-4C89-BA15-0FE4072B9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484655"/>
        <c:axId val="1726490895"/>
      </c:lineChart>
      <c:catAx>
        <c:axId val="172648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90895"/>
        <c:crosses val="autoZero"/>
        <c:auto val="1"/>
        <c:lblAlgn val="ctr"/>
        <c:lblOffset val="100"/>
        <c:noMultiLvlLbl val="0"/>
      </c:catAx>
      <c:valAx>
        <c:axId val="172649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8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Mokymo nuostoliai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BigConvOnHUGE.v0!$E$1:$E$50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BigConvOnHUGE.v0!$F$1:$F$50</c:f>
              <c:numCache>
                <c:formatCode>General</c:formatCode>
                <c:ptCount val="50"/>
                <c:pt idx="0">
                  <c:v>2.4752779999999999</c:v>
                </c:pt>
                <c:pt idx="1">
                  <c:v>2.2402853999999999</c:v>
                </c:pt>
                <c:pt idx="2">
                  <c:v>2.1936146999999999</c:v>
                </c:pt>
                <c:pt idx="3">
                  <c:v>2.1643400000000002</c:v>
                </c:pt>
                <c:pt idx="4">
                  <c:v>2.1407351000000001</c:v>
                </c:pt>
                <c:pt idx="5">
                  <c:v>2.1222525000000001</c:v>
                </c:pt>
                <c:pt idx="6">
                  <c:v>2.1071024</c:v>
                </c:pt>
                <c:pt idx="7">
                  <c:v>2.0941944000000001</c:v>
                </c:pt>
                <c:pt idx="8">
                  <c:v>2.082557</c:v>
                </c:pt>
                <c:pt idx="9">
                  <c:v>2.0733752000000001</c:v>
                </c:pt>
                <c:pt idx="10">
                  <c:v>2.064368</c:v>
                </c:pt>
                <c:pt idx="11">
                  <c:v>2.0569899999999999</c:v>
                </c:pt>
                <c:pt idx="12">
                  <c:v>2.0498604999999999</c:v>
                </c:pt>
                <c:pt idx="13">
                  <c:v>2.0431428</c:v>
                </c:pt>
                <c:pt idx="14">
                  <c:v>2.0377743000000001</c:v>
                </c:pt>
                <c:pt idx="15">
                  <c:v>2.0322293999999999</c:v>
                </c:pt>
                <c:pt idx="16">
                  <c:v>2.0271335000000001</c:v>
                </c:pt>
                <c:pt idx="17">
                  <c:v>2.0226899999999999</c:v>
                </c:pt>
                <c:pt idx="18">
                  <c:v>2.018659</c:v>
                </c:pt>
                <c:pt idx="19">
                  <c:v>2.0146782000000001</c:v>
                </c:pt>
                <c:pt idx="20">
                  <c:v>2.0106483000000002</c:v>
                </c:pt>
                <c:pt idx="21">
                  <c:v>2.0071186999999999</c:v>
                </c:pt>
                <c:pt idx="22">
                  <c:v>2.0038455000000002</c:v>
                </c:pt>
                <c:pt idx="23">
                  <c:v>2.0007261999999999</c:v>
                </c:pt>
                <c:pt idx="24">
                  <c:v>1.9973942</c:v>
                </c:pt>
                <c:pt idx="25">
                  <c:v>1.9946140999999999</c:v>
                </c:pt>
                <c:pt idx="26">
                  <c:v>1.9919902</c:v>
                </c:pt>
                <c:pt idx="27">
                  <c:v>1.9891239999999999</c:v>
                </c:pt>
                <c:pt idx="28">
                  <c:v>1.9869721</c:v>
                </c:pt>
                <c:pt idx="29">
                  <c:v>1.9846119</c:v>
                </c:pt>
                <c:pt idx="30">
                  <c:v>1.9825279</c:v>
                </c:pt>
                <c:pt idx="31">
                  <c:v>1.9803618000000001</c:v>
                </c:pt>
                <c:pt idx="32">
                  <c:v>1.9781529</c:v>
                </c:pt>
                <c:pt idx="33">
                  <c:v>1.9760131000000001</c:v>
                </c:pt>
                <c:pt idx="34">
                  <c:v>1.9741285</c:v>
                </c:pt>
                <c:pt idx="35">
                  <c:v>1.9716752</c:v>
                </c:pt>
                <c:pt idx="36">
                  <c:v>1.9700541</c:v>
                </c:pt>
                <c:pt idx="37">
                  <c:v>1.9685702</c:v>
                </c:pt>
                <c:pt idx="38">
                  <c:v>1.9669261</c:v>
                </c:pt>
                <c:pt idx="39">
                  <c:v>1.9652479</c:v>
                </c:pt>
                <c:pt idx="40">
                  <c:v>1.9633147</c:v>
                </c:pt>
                <c:pt idx="41">
                  <c:v>1.9617808999999999</c:v>
                </c:pt>
                <c:pt idx="42">
                  <c:v>1.9605845</c:v>
                </c:pt>
                <c:pt idx="43">
                  <c:v>1.959139</c:v>
                </c:pt>
                <c:pt idx="44">
                  <c:v>1.9578707</c:v>
                </c:pt>
                <c:pt idx="45">
                  <c:v>1.9565006</c:v>
                </c:pt>
                <c:pt idx="46">
                  <c:v>1.9552039000000001</c:v>
                </c:pt>
                <c:pt idx="47">
                  <c:v>1.9538279999999999</c:v>
                </c:pt>
                <c:pt idx="48">
                  <c:v>1.9524596000000001</c:v>
                </c:pt>
                <c:pt idx="49">
                  <c:v>1.9514407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9-4389-9114-DF45BE63ED0C}"/>
            </c:ext>
          </c:extLst>
        </c:ser>
        <c:ser>
          <c:idx val="1"/>
          <c:order val="1"/>
          <c:tx>
            <c:v>Testavimo nuostoliai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BigConvOnHUGE.v0!$E$1:$E$50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BigConvOnHUGE.v0!$G$1:$G$50</c:f>
              <c:numCache>
                <c:formatCode>General</c:formatCode>
                <c:ptCount val="50"/>
                <c:pt idx="0">
                  <c:v>2.3080962</c:v>
                </c:pt>
                <c:pt idx="1">
                  <c:v>2.2685697</c:v>
                </c:pt>
                <c:pt idx="2">
                  <c:v>2.2381790000000001</c:v>
                </c:pt>
                <c:pt idx="3">
                  <c:v>2.2547193000000001</c:v>
                </c:pt>
                <c:pt idx="4">
                  <c:v>2.2142496</c:v>
                </c:pt>
                <c:pt idx="5">
                  <c:v>2.2006006</c:v>
                </c:pt>
                <c:pt idx="6">
                  <c:v>2.1860979</c:v>
                </c:pt>
                <c:pt idx="7">
                  <c:v>2.1959658000000002</c:v>
                </c:pt>
                <c:pt idx="8">
                  <c:v>2.1846554</c:v>
                </c:pt>
                <c:pt idx="9">
                  <c:v>2.1799569999999999</c:v>
                </c:pt>
                <c:pt idx="10">
                  <c:v>2.1764950000000001</c:v>
                </c:pt>
                <c:pt idx="11">
                  <c:v>2.1852459999999998</c:v>
                </c:pt>
                <c:pt idx="12">
                  <c:v>2.1661052999999999</c:v>
                </c:pt>
                <c:pt idx="13">
                  <c:v>2.1762670000000002</c:v>
                </c:pt>
                <c:pt idx="14">
                  <c:v>2.1557750000000002</c:v>
                </c:pt>
                <c:pt idx="15">
                  <c:v>2.1620720000000002</c:v>
                </c:pt>
                <c:pt idx="16">
                  <c:v>2.1735679999999999</c:v>
                </c:pt>
                <c:pt idx="17">
                  <c:v>2.1473026000000002</c:v>
                </c:pt>
                <c:pt idx="18">
                  <c:v>2.1504276</c:v>
                </c:pt>
                <c:pt idx="19">
                  <c:v>2.1701035000000002</c:v>
                </c:pt>
                <c:pt idx="20">
                  <c:v>2.1422346000000001</c:v>
                </c:pt>
                <c:pt idx="21">
                  <c:v>2.1442565999999998</c:v>
                </c:pt>
                <c:pt idx="22">
                  <c:v>2.1503543999999999</c:v>
                </c:pt>
                <c:pt idx="23">
                  <c:v>2.1539942999999999</c:v>
                </c:pt>
                <c:pt idx="24">
                  <c:v>2.1551445</c:v>
                </c:pt>
                <c:pt idx="25">
                  <c:v>2.1379488000000002</c:v>
                </c:pt>
                <c:pt idx="26">
                  <c:v>2.1373932</c:v>
                </c:pt>
                <c:pt idx="27">
                  <c:v>2.1291294000000001</c:v>
                </c:pt>
                <c:pt idx="28">
                  <c:v>2.1405542</c:v>
                </c:pt>
                <c:pt idx="29">
                  <c:v>2.1365660000000002</c:v>
                </c:pt>
                <c:pt idx="30">
                  <c:v>2.1517339999999998</c:v>
                </c:pt>
                <c:pt idx="31">
                  <c:v>2.1606188</c:v>
                </c:pt>
                <c:pt idx="32">
                  <c:v>2.1567237000000001</c:v>
                </c:pt>
                <c:pt idx="33">
                  <c:v>2.150687</c:v>
                </c:pt>
                <c:pt idx="34">
                  <c:v>2.150439</c:v>
                </c:pt>
                <c:pt idx="35">
                  <c:v>2.1387277</c:v>
                </c:pt>
                <c:pt idx="36">
                  <c:v>2.154264</c:v>
                </c:pt>
                <c:pt idx="37">
                  <c:v>2.1648990000000001</c:v>
                </c:pt>
                <c:pt idx="38">
                  <c:v>2.1425399999999999</c:v>
                </c:pt>
                <c:pt idx="39">
                  <c:v>2.1573465000000001</c:v>
                </c:pt>
                <c:pt idx="40">
                  <c:v>2.1385261999999998</c:v>
                </c:pt>
                <c:pt idx="41">
                  <c:v>2.1539769999999998</c:v>
                </c:pt>
                <c:pt idx="42">
                  <c:v>2.1302457000000001</c:v>
                </c:pt>
                <c:pt idx="43">
                  <c:v>2.1449528</c:v>
                </c:pt>
                <c:pt idx="44">
                  <c:v>2.1330707000000002</c:v>
                </c:pt>
                <c:pt idx="45">
                  <c:v>2.1389209999999999</c:v>
                </c:pt>
                <c:pt idx="46">
                  <c:v>2.1403759999999998</c:v>
                </c:pt>
                <c:pt idx="47">
                  <c:v>2.1484158</c:v>
                </c:pt>
                <c:pt idx="48">
                  <c:v>2.1378089999999998</c:v>
                </c:pt>
                <c:pt idx="49">
                  <c:v>2.1490505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9-4389-9114-DF45BE63ED0C}"/>
            </c:ext>
          </c:extLst>
        </c:ser>
        <c:ser>
          <c:idx val="2"/>
          <c:order val="2"/>
          <c:tx>
            <c:v>Minimumas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7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E89-4389-9114-DF45BE63ED0C}"/>
              </c:ext>
            </c:extLst>
          </c:dPt>
          <c:dLbls>
            <c:dLbl>
              <c:idx val="27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89-4389-9114-DF45BE63ED0C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BigConvOnHUGE.v0!$E$1:$E$50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BigConvOnHUGE.v0!$H$1:$H$50</c:f>
              <c:numCache>
                <c:formatCode>General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2.1291294000000001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9-4389-9114-DF45BE63E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000591"/>
        <c:axId val="1419002511"/>
      </c:lineChart>
      <c:catAx>
        <c:axId val="141900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02511"/>
        <c:crosses val="autoZero"/>
        <c:auto val="1"/>
        <c:lblAlgn val="ctr"/>
        <c:lblOffset val="100"/>
        <c:noMultiLvlLbl val="0"/>
      </c:catAx>
      <c:valAx>
        <c:axId val="141900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0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Mokymo nuostoliai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SmallConvOnHUGE.v1!$E$1:$E$50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SmallConvOnHUGE.v1!$F$1:$F$50</c:f>
              <c:numCache>
                <c:formatCode>General</c:formatCode>
                <c:ptCount val="50"/>
                <c:pt idx="0">
                  <c:v>2.4809934999999999</c:v>
                </c:pt>
                <c:pt idx="1">
                  <c:v>2.2412493000000002</c:v>
                </c:pt>
                <c:pt idx="2">
                  <c:v>2.1933748999999998</c:v>
                </c:pt>
                <c:pt idx="3">
                  <c:v>2.1628210000000001</c:v>
                </c:pt>
                <c:pt idx="4">
                  <c:v>2.1384911999999998</c:v>
                </c:pt>
                <c:pt idx="5">
                  <c:v>2.1209368999999998</c:v>
                </c:pt>
                <c:pt idx="6">
                  <c:v>2.1046515000000001</c:v>
                </c:pt>
                <c:pt idx="7">
                  <c:v>2.0911461999999998</c:v>
                </c:pt>
                <c:pt idx="8">
                  <c:v>2.0803962</c:v>
                </c:pt>
                <c:pt idx="9">
                  <c:v>2.0705786000000002</c:v>
                </c:pt>
                <c:pt idx="10">
                  <c:v>2.0618284</c:v>
                </c:pt>
                <c:pt idx="11">
                  <c:v>2.0533790000000001</c:v>
                </c:pt>
                <c:pt idx="12">
                  <c:v>2.0470595</c:v>
                </c:pt>
                <c:pt idx="13">
                  <c:v>2.0400333000000002</c:v>
                </c:pt>
                <c:pt idx="14">
                  <c:v>2.0344152000000002</c:v>
                </c:pt>
                <c:pt idx="15">
                  <c:v>2.029398</c:v>
                </c:pt>
                <c:pt idx="16">
                  <c:v>2.0239975000000001</c:v>
                </c:pt>
                <c:pt idx="17">
                  <c:v>2.0192838000000002</c:v>
                </c:pt>
                <c:pt idx="18">
                  <c:v>2.0154239999999999</c:v>
                </c:pt>
                <c:pt idx="19">
                  <c:v>2.0108921999999998</c:v>
                </c:pt>
                <c:pt idx="20">
                  <c:v>2.006904</c:v>
                </c:pt>
                <c:pt idx="21">
                  <c:v>2.0036108000000001</c:v>
                </c:pt>
                <c:pt idx="22">
                  <c:v>1.9999948000000001</c:v>
                </c:pt>
                <c:pt idx="23">
                  <c:v>1.9967788</c:v>
                </c:pt>
                <c:pt idx="24">
                  <c:v>1.9937750000000001</c:v>
                </c:pt>
                <c:pt idx="25">
                  <c:v>1.9904685</c:v>
                </c:pt>
                <c:pt idx="26">
                  <c:v>1.9879442000000001</c:v>
                </c:pt>
                <c:pt idx="27">
                  <c:v>1.9849412</c:v>
                </c:pt>
                <c:pt idx="28">
                  <c:v>1.9821427</c:v>
                </c:pt>
                <c:pt idx="29">
                  <c:v>1.9802344000000001</c:v>
                </c:pt>
                <c:pt idx="30">
                  <c:v>1.9777075</c:v>
                </c:pt>
                <c:pt idx="31">
                  <c:v>1.9757977</c:v>
                </c:pt>
                <c:pt idx="32">
                  <c:v>1.9735602000000001</c:v>
                </c:pt>
                <c:pt idx="33">
                  <c:v>1.9715328000000001</c:v>
                </c:pt>
                <c:pt idx="34">
                  <c:v>1.9692807999999999</c:v>
                </c:pt>
                <c:pt idx="35">
                  <c:v>1.9675001000000001</c:v>
                </c:pt>
                <c:pt idx="36">
                  <c:v>1.9655777000000001</c:v>
                </c:pt>
                <c:pt idx="37">
                  <c:v>1.9636388</c:v>
                </c:pt>
                <c:pt idx="38">
                  <c:v>1.9619671999999999</c:v>
                </c:pt>
                <c:pt idx="39">
                  <c:v>1.9606923999999999</c:v>
                </c:pt>
                <c:pt idx="40">
                  <c:v>1.9583775000000001</c:v>
                </c:pt>
                <c:pt idx="41">
                  <c:v>1.956701</c:v>
                </c:pt>
                <c:pt idx="42">
                  <c:v>1.9554507000000001</c:v>
                </c:pt>
                <c:pt idx="43">
                  <c:v>1.954075</c:v>
                </c:pt>
                <c:pt idx="44">
                  <c:v>1.9523492</c:v>
                </c:pt>
                <c:pt idx="45">
                  <c:v>1.9509609000000001</c:v>
                </c:pt>
                <c:pt idx="46">
                  <c:v>1.9496589</c:v>
                </c:pt>
                <c:pt idx="47">
                  <c:v>1.9483467000000001</c:v>
                </c:pt>
                <c:pt idx="48">
                  <c:v>1.9473505</c:v>
                </c:pt>
                <c:pt idx="49">
                  <c:v>1.9459394000000001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C-46C7-8B3D-E6657E06416D}"/>
            </c:ext>
          </c:extLst>
        </c:ser>
        <c:ser>
          <c:idx val="1"/>
          <c:order val="1"/>
          <c:tx>
            <c:v>Testavimo nuostoliai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SmallConvOnHUGE.v1!$E$1:$E$50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SmallConvOnHUGE.v1!$G$1:$G$50</c:f>
              <c:numCache>
                <c:formatCode>General</c:formatCode>
                <c:ptCount val="50"/>
                <c:pt idx="0">
                  <c:v>2.3462431000000001</c:v>
                </c:pt>
                <c:pt idx="1">
                  <c:v>2.2947009</c:v>
                </c:pt>
                <c:pt idx="2">
                  <c:v>2.2833853</c:v>
                </c:pt>
                <c:pt idx="3">
                  <c:v>2.2662198999999998</c:v>
                </c:pt>
                <c:pt idx="4">
                  <c:v>2.2287127999999998</c:v>
                </c:pt>
                <c:pt idx="5">
                  <c:v>2.2229486000000001</c:v>
                </c:pt>
                <c:pt idx="6">
                  <c:v>2.2152314</c:v>
                </c:pt>
                <c:pt idx="7">
                  <c:v>2.2095451000000002</c:v>
                </c:pt>
                <c:pt idx="8">
                  <c:v>2.205257</c:v>
                </c:pt>
                <c:pt idx="9">
                  <c:v>2.1917892000000001</c:v>
                </c:pt>
                <c:pt idx="10">
                  <c:v>2.1987193</c:v>
                </c:pt>
                <c:pt idx="11">
                  <c:v>2.1992959999999999</c:v>
                </c:pt>
                <c:pt idx="12">
                  <c:v>2.2006602000000002</c:v>
                </c:pt>
                <c:pt idx="13">
                  <c:v>2.1958682999999999</c:v>
                </c:pt>
                <c:pt idx="14">
                  <c:v>2.1900984999999999</c:v>
                </c:pt>
                <c:pt idx="15">
                  <c:v>2.1970133999999999</c:v>
                </c:pt>
                <c:pt idx="16">
                  <c:v>2.1932364</c:v>
                </c:pt>
                <c:pt idx="17">
                  <c:v>2.2021804</c:v>
                </c:pt>
                <c:pt idx="18">
                  <c:v>2.1934817</c:v>
                </c:pt>
                <c:pt idx="19">
                  <c:v>2.1695156</c:v>
                </c:pt>
                <c:pt idx="20">
                  <c:v>2.1835494</c:v>
                </c:pt>
                <c:pt idx="21">
                  <c:v>2.1957586</c:v>
                </c:pt>
                <c:pt idx="22">
                  <c:v>2.1962375999999999</c:v>
                </c:pt>
                <c:pt idx="23">
                  <c:v>2.1787086000000002</c:v>
                </c:pt>
                <c:pt idx="24">
                  <c:v>2.1659806000000001</c:v>
                </c:pt>
                <c:pt idx="25">
                  <c:v>2.1989939999999999</c:v>
                </c:pt>
                <c:pt idx="26">
                  <c:v>2.1679208000000001</c:v>
                </c:pt>
                <c:pt idx="27">
                  <c:v>2.1539723999999998</c:v>
                </c:pt>
                <c:pt idx="28">
                  <c:v>2.1935066999999999</c:v>
                </c:pt>
                <c:pt idx="29">
                  <c:v>2.1939742999999998</c:v>
                </c:pt>
                <c:pt idx="30">
                  <c:v>2.1718945999999999</c:v>
                </c:pt>
                <c:pt idx="31">
                  <c:v>2.1726475000000001</c:v>
                </c:pt>
                <c:pt idx="32">
                  <c:v>2.1818270000000002</c:v>
                </c:pt>
                <c:pt idx="33">
                  <c:v>2.1815956000000001</c:v>
                </c:pt>
                <c:pt idx="34">
                  <c:v>2.1875460000000002</c:v>
                </c:pt>
                <c:pt idx="35">
                  <c:v>2.1859727000000002</c:v>
                </c:pt>
                <c:pt idx="36">
                  <c:v>2.1715621999999999</c:v>
                </c:pt>
                <c:pt idx="37">
                  <c:v>2.1800811000000002</c:v>
                </c:pt>
                <c:pt idx="38">
                  <c:v>2.1698434</c:v>
                </c:pt>
                <c:pt idx="39">
                  <c:v>2.1900089</c:v>
                </c:pt>
                <c:pt idx="40">
                  <c:v>2.1737324999999998</c:v>
                </c:pt>
                <c:pt idx="41">
                  <c:v>2.1717610000000001</c:v>
                </c:pt>
                <c:pt idx="42">
                  <c:v>2.1853012999999999</c:v>
                </c:pt>
                <c:pt idx="43">
                  <c:v>2.1618971999999999</c:v>
                </c:pt>
                <c:pt idx="44">
                  <c:v>2.1842505999999999</c:v>
                </c:pt>
                <c:pt idx="45">
                  <c:v>2.1797867000000002</c:v>
                </c:pt>
                <c:pt idx="46">
                  <c:v>2.1845740999999999</c:v>
                </c:pt>
                <c:pt idx="47">
                  <c:v>2.1718035000000002</c:v>
                </c:pt>
                <c:pt idx="48">
                  <c:v>2.1783351999999998</c:v>
                </c:pt>
                <c:pt idx="49">
                  <c:v>2.1673124000000001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EC-46C7-8B3D-E6657E06416D}"/>
            </c:ext>
          </c:extLst>
        </c:ser>
        <c:ser>
          <c:idx val="2"/>
          <c:order val="2"/>
          <c:tx>
            <c:v>Minimumas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7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EEC-46C7-8B3D-E6657E06416D}"/>
              </c:ext>
            </c:extLst>
          </c:dPt>
          <c:dLbls>
            <c:dLbl>
              <c:idx val="27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EC-46C7-8B3D-E6657E06416D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SmallConvOnHUGE.v1!$E$1:$E$50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SmallConvOnHUGE.v1!$H$1:$H$50</c:f>
              <c:numCache>
                <c:formatCode>General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2.1539723999999998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EC-46C7-8B3D-E6657E064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196719"/>
        <c:axId val="1680201519"/>
      </c:lineChart>
      <c:catAx>
        <c:axId val="168019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01519"/>
        <c:crosses val="autoZero"/>
        <c:auto val="1"/>
        <c:lblAlgn val="ctr"/>
        <c:lblOffset val="100"/>
        <c:noMultiLvlLbl val="0"/>
      </c:catAx>
      <c:valAx>
        <c:axId val="168020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19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Mokymo nuostoliai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SmallLinearOnHUGE.v0!$E$1:$E$50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SmallLinearOnHUGE.v0!$F$1:$F$50</c:f>
              <c:numCache>
                <c:formatCode>General</c:formatCode>
                <c:ptCount val="50"/>
                <c:pt idx="0">
                  <c:v>2.4558632</c:v>
                </c:pt>
                <c:pt idx="1">
                  <c:v>2.2285275000000002</c:v>
                </c:pt>
                <c:pt idx="2">
                  <c:v>2.1837339999999998</c:v>
                </c:pt>
                <c:pt idx="3">
                  <c:v>2.1534835999999999</c:v>
                </c:pt>
                <c:pt idx="4">
                  <c:v>2.1301765000000001</c:v>
                </c:pt>
                <c:pt idx="5">
                  <c:v>2.1079029999999999</c:v>
                </c:pt>
                <c:pt idx="6">
                  <c:v>2.0874454999999998</c:v>
                </c:pt>
                <c:pt idx="7">
                  <c:v>2.0699459999999998</c:v>
                </c:pt>
                <c:pt idx="8">
                  <c:v>2.0519392000000001</c:v>
                </c:pt>
                <c:pt idx="9">
                  <c:v>2.0357485</c:v>
                </c:pt>
                <c:pt idx="10">
                  <c:v>2.0203842999999999</c:v>
                </c:pt>
                <c:pt idx="11">
                  <c:v>2.0069520000000001</c:v>
                </c:pt>
                <c:pt idx="12">
                  <c:v>1.9971764999999999</c:v>
                </c:pt>
                <c:pt idx="13">
                  <c:v>1.9875274000000001</c:v>
                </c:pt>
                <c:pt idx="14">
                  <c:v>1.9795156</c:v>
                </c:pt>
                <c:pt idx="15">
                  <c:v>1.9718034</c:v>
                </c:pt>
                <c:pt idx="16">
                  <c:v>1.9653906999999999</c:v>
                </c:pt>
                <c:pt idx="17">
                  <c:v>1.9588239999999999</c:v>
                </c:pt>
                <c:pt idx="18">
                  <c:v>1.9527401</c:v>
                </c:pt>
                <c:pt idx="19">
                  <c:v>1.9475073000000001</c:v>
                </c:pt>
                <c:pt idx="20">
                  <c:v>1.9425684999999999</c:v>
                </c:pt>
                <c:pt idx="21">
                  <c:v>1.9377546000000001</c:v>
                </c:pt>
                <c:pt idx="22">
                  <c:v>1.9336157</c:v>
                </c:pt>
                <c:pt idx="23">
                  <c:v>1.9299675999999999</c:v>
                </c:pt>
                <c:pt idx="24">
                  <c:v>1.9270334</c:v>
                </c:pt>
                <c:pt idx="25">
                  <c:v>1.9229072</c:v>
                </c:pt>
                <c:pt idx="26">
                  <c:v>1.9215472</c:v>
                </c:pt>
                <c:pt idx="27">
                  <c:v>1.9168035999999999</c:v>
                </c:pt>
                <c:pt idx="28">
                  <c:v>1.9138333000000001</c:v>
                </c:pt>
                <c:pt idx="29">
                  <c:v>1.9103315999999999</c:v>
                </c:pt>
                <c:pt idx="30">
                  <c:v>1.9079134</c:v>
                </c:pt>
                <c:pt idx="31">
                  <c:v>1.9061399999999999</c:v>
                </c:pt>
                <c:pt idx="32">
                  <c:v>1.9035435999999999</c:v>
                </c:pt>
                <c:pt idx="33">
                  <c:v>1.9008654</c:v>
                </c:pt>
                <c:pt idx="34">
                  <c:v>1.8986531</c:v>
                </c:pt>
                <c:pt idx="35">
                  <c:v>1.8973362</c:v>
                </c:pt>
                <c:pt idx="36">
                  <c:v>1.8948821</c:v>
                </c:pt>
                <c:pt idx="37">
                  <c:v>1.8934530999999999</c:v>
                </c:pt>
                <c:pt idx="38">
                  <c:v>1.8910625000000001</c:v>
                </c:pt>
                <c:pt idx="39">
                  <c:v>1.8889313999999999</c:v>
                </c:pt>
                <c:pt idx="40">
                  <c:v>1.88812</c:v>
                </c:pt>
                <c:pt idx="41">
                  <c:v>1.8871912</c:v>
                </c:pt>
                <c:pt idx="42">
                  <c:v>1.8861209000000001</c:v>
                </c:pt>
                <c:pt idx="43">
                  <c:v>1.8837014000000001</c:v>
                </c:pt>
                <c:pt idx="44">
                  <c:v>1.8829937000000001</c:v>
                </c:pt>
                <c:pt idx="45">
                  <c:v>1.8826772000000001</c:v>
                </c:pt>
                <c:pt idx="46">
                  <c:v>1.8809452</c:v>
                </c:pt>
                <c:pt idx="47">
                  <c:v>1.8791633999999999</c:v>
                </c:pt>
                <c:pt idx="48">
                  <c:v>1.8788235</c:v>
                </c:pt>
                <c:pt idx="49">
                  <c:v>1.8765668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5-43D3-BC63-254D2597717D}"/>
            </c:ext>
          </c:extLst>
        </c:ser>
        <c:ser>
          <c:idx val="1"/>
          <c:order val="1"/>
          <c:tx>
            <c:v>Testavimo nuostoliai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SmallLinearOnHUGE.v0!$E$1:$E$50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SmallLinearOnHUGE.v0!$G$1:$G$50</c:f>
              <c:numCache>
                <c:formatCode>General</c:formatCode>
                <c:ptCount val="50"/>
                <c:pt idx="0">
                  <c:v>2.35093</c:v>
                </c:pt>
                <c:pt idx="1">
                  <c:v>2.2992344</c:v>
                </c:pt>
                <c:pt idx="2">
                  <c:v>2.3055854</c:v>
                </c:pt>
                <c:pt idx="3">
                  <c:v>2.2695525000000001</c:v>
                </c:pt>
                <c:pt idx="4">
                  <c:v>2.2571876</c:v>
                </c:pt>
                <c:pt idx="5">
                  <c:v>2.2541470000000001</c:v>
                </c:pt>
                <c:pt idx="6">
                  <c:v>2.2452649999999998</c:v>
                </c:pt>
                <c:pt idx="7">
                  <c:v>2.2428631999999999</c:v>
                </c:pt>
                <c:pt idx="8">
                  <c:v>2.2043324000000002</c:v>
                </c:pt>
                <c:pt idx="9">
                  <c:v>2.2111350999999999</c:v>
                </c:pt>
                <c:pt idx="10">
                  <c:v>2.1946756999999999</c:v>
                </c:pt>
                <c:pt idx="11">
                  <c:v>2.1826398</c:v>
                </c:pt>
                <c:pt idx="12">
                  <c:v>2.1739885999999999</c:v>
                </c:pt>
                <c:pt idx="13">
                  <c:v>2.146798</c:v>
                </c:pt>
                <c:pt idx="14">
                  <c:v>2.1437423</c:v>
                </c:pt>
                <c:pt idx="15">
                  <c:v>2.1328179999999999</c:v>
                </c:pt>
                <c:pt idx="16">
                  <c:v>2.1532035</c:v>
                </c:pt>
                <c:pt idx="17">
                  <c:v>2.1709971000000001</c:v>
                </c:pt>
                <c:pt idx="18">
                  <c:v>2.1508600000000002</c:v>
                </c:pt>
                <c:pt idx="19">
                  <c:v>2.1642779999999999</c:v>
                </c:pt>
                <c:pt idx="20">
                  <c:v>2.1550446000000001</c:v>
                </c:pt>
                <c:pt idx="21">
                  <c:v>2.1747633999999998</c:v>
                </c:pt>
                <c:pt idx="22">
                  <c:v>2.1857755000000001</c:v>
                </c:pt>
                <c:pt idx="23">
                  <c:v>2.1893463</c:v>
                </c:pt>
                <c:pt idx="24">
                  <c:v>2.1691096000000001</c:v>
                </c:pt>
                <c:pt idx="25">
                  <c:v>2.1411783999999998</c:v>
                </c:pt>
                <c:pt idx="26">
                  <c:v>2.1543117000000001</c:v>
                </c:pt>
                <c:pt idx="27">
                  <c:v>2.1700354000000002</c:v>
                </c:pt>
                <c:pt idx="28">
                  <c:v>2.1650977</c:v>
                </c:pt>
                <c:pt idx="29">
                  <c:v>2.1765222999999998</c:v>
                </c:pt>
                <c:pt idx="30">
                  <c:v>2.1467196999999998</c:v>
                </c:pt>
                <c:pt idx="31">
                  <c:v>2.1887325999999998</c:v>
                </c:pt>
                <c:pt idx="32">
                  <c:v>2.187675</c:v>
                </c:pt>
                <c:pt idx="33">
                  <c:v>2.1799442999999998</c:v>
                </c:pt>
                <c:pt idx="34">
                  <c:v>2.1756372000000002</c:v>
                </c:pt>
                <c:pt idx="35">
                  <c:v>2.1990497000000002</c:v>
                </c:pt>
                <c:pt idx="36">
                  <c:v>2.1828574999999999</c:v>
                </c:pt>
                <c:pt idx="37">
                  <c:v>2.1990243999999999</c:v>
                </c:pt>
                <c:pt idx="38">
                  <c:v>2.1779193999999999</c:v>
                </c:pt>
                <c:pt idx="39">
                  <c:v>2.1824254999999999</c:v>
                </c:pt>
                <c:pt idx="40">
                  <c:v>2.2031567000000001</c:v>
                </c:pt>
                <c:pt idx="41">
                  <c:v>2.187182</c:v>
                </c:pt>
                <c:pt idx="42">
                  <c:v>2.1755363999999999</c:v>
                </c:pt>
                <c:pt idx="43">
                  <c:v>2.1723197000000001</c:v>
                </c:pt>
                <c:pt idx="44">
                  <c:v>2.1894936999999999</c:v>
                </c:pt>
                <c:pt idx="45">
                  <c:v>2.1871315999999998</c:v>
                </c:pt>
                <c:pt idx="46">
                  <c:v>2.1821988000000001</c:v>
                </c:pt>
                <c:pt idx="47">
                  <c:v>2.239557</c:v>
                </c:pt>
                <c:pt idx="48">
                  <c:v>2.1783814000000001</c:v>
                </c:pt>
                <c:pt idx="49">
                  <c:v>2.1837132000000001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5-43D3-BC63-254D2597717D}"/>
            </c:ext>
          </c:extLst>
        </c:ser>
        <c:ser>
          <c:idx val="2"/>
          <c:order val="2"/>
          <c:tx>
            <c:v>Minimumas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5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855-43D3-BC63-254D2597717D}"/>
              </c:ext>
            </c:extLst>
          </c:dPt>
          <c:dLbls>
            <c:dLbl>
              <c:idx val="15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55-43D3-BC63-254D2597717D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SmallLinearOnHUGE.v0!$E$1:$E$50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SmallLinearOnHUGE.v0!$H$1:$H$50</c:f>
              <c:numCache>
                <c:formatCode>General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2.1328179999999999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5-43D3-BC63-254D25977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272335"/>
        <c:axId val="1749267055"/>
      </c:lineChart>
      <c:catAx>
        <c:axId val="174927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67055"/>
        <c:crosses val="autoZero"/>
        <c:auto val="1"/>
        <c:lblAlgn val="ctr"/>
        <c:lblOffset val="100"/>
        <c:noMultiLvlLbl val="0"/>
      </c:catAx>
      <c:valAx>
        <c:axId val="1749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7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Mokymo nuostoliai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SmallLinearVallueOnHUGE.v0!$E$2:$E$51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SmallLinearVallueOnHUGE.v0!$F$2:$F$51</c:f>
              <c:numCache>
                <c:formatCode>General</c:formatCode>
                <c:ptCount val="50"/>
                <c:pt idx="0">
                  <c:v>0.73629767000000002</c:v>
                </c:pt>
                <c:pt idx="1">
                  <c:v>0.72778993999999997</c:v>
                </c:pt>
                <c:pt idx="2">
                  <c:v>0.71747830000000001</c:v>
                </c:pt>
                <c:pt idx="3">
                  <c:v>0.70636549999999998</c:v>
                </c:pt>
                <c:pt idx="4">
                  <c:v>0.69583470000000003</c:v>
                </c:pt>
                <c:pt idx="5">
                  <c:v>0.68607479999999998</c:v>
                </c:pt>
                <c:pt idx="6">
                  <c:v>0.67741006999999998</c:v>
                </c:pt>
                <c:pt idx="7">
                  <c:v>0.67073106999999998</c:v>
                </c:pt>
                <c:pt idx="8">
                  <c:v>0.66485289999999997</c:v>
                </c:pt>
                <c:pt idx="9">
                  <c:v>0.65993583</c:v>
                </c:pt>
                <c:pt idx="10">
                  <c:v>0.65527546000000003</c:v>
                </c:pt>
                <c:pt idx="11">
                  <c:v>0.65112776000000006</c:v>
                </c:pt>
                <c:pt idx="12">
                  <c:v>0.64749020000000002</c:v>
                </c:pt>
                <c:pt idx="13">
                  <c:v>0.64413580000000004</c:v>
                </c:pt>
                <c:pt idx="14">
                  <c:v>0.64122140000000005</c:v>
                </c:pt>
                <c:pt idx="15">
                  <c:v>0.63845719999999995</c:v>
                </c:pt>
                <c:pt idx="16">
                  <c:v>0.63593699999999997</c:v>
                </c:pt>
                <c:pt idx="17">
                  <c:v>0.63347169999999997</c:v>
                </c:pt>
                <c:pt idx="18">
                  <c:v>0.63121510000000003</c:v>
                </c:pt>
                <c:pt idx="19">
                  <c:v>0.62912559999999995</c:v>
                </c:pt>
                <c:pt idx="20">
                  <c:v>0.62729555000000004</c:v>
                </c:pt>
                <c:pt idx="21">
                  <c:v>0.62562430000000002</c:v>
                </c:pt>
                <c:pt idx="22">
                  <c:v>0.62354577</c:v>
                </c:pt>
                <c:pt idx="23">
                  <c:v>0.62218624</c:v>
                </c:pt>
                <c:pt idx="24">
                  <c:v>0.62054589999999998</c:v>
                </c:pt>
                <c:pt idx="25">
                  <c:v>0.61902040000000003</c:v>
                </c:pt>
                <c:pt idx="26">
                  <c:v>0.61782899999999996</c:v>
                </c:pt>
                <c:pt idx="27">
                  <c:v>0.61643915999999999</c:v>
                </c:pt>
                <c:pt idx="28">
                  <c:v>0.61514336000000003</c:v>
                </c:pt>
                <c:pt idx="29">
                  <c:v>0.61389910000000003</c:v>
                </c:pt>
                <c:pt idx="30">
                  <c:v>0.61301289999999997</c:v>
                </c:pt>
                <c:pt idx="31">
                  <c:v>0.61191666</c:v>
                </c:pt>
                <c:pt idx="32">
                  <c:v>0.61076140000000001</c:v>
                </c:pt>
                <c:pt idx="33">
                  <c:v>0.61013770000000001</c:v>
                </c:pt>
                <c:pt idx="34">
                  <c:v>0.60912270000000002</c:v>
                </c:pt>
                <c:pt idx="35">
                  <c:v>0.60823450000000001</c:v>
                </c:pt>
                <c:pt idx="36">
                  <c:v>0.60732275000000002</c:v>
                </c:pt>
                <c:pt idx="37">
                  <c:v>0.60640309999999997</c:v>
                </c:pt>
                <c:pt idx="38">
                  <c:v>0.60576593999999995</c:v>
                </c:pt>
                <c:pt idx="39">
                  <c:v>0.60474609999999995</c:v>
                </c:pt>
                <c:pt idx="40">
                  <c:v>0.60370049999999997</c:v>
                </c:pt>
                <c:pt idx="41">
                  <c:v>0.6028462</c:v>
                </c:pt>
                <c:pt idx="42">
                  <c:v>0.60211460000000006</c:v>
                </c:pt>
                <c:pt idx="43">
                  <c:v>0.6010913</c:v>
                </c:pt>
                <c:pt idx="44">
                  <c:v>0.60036623</c:v>
                </c:pt>
                <c:pt idx="45">
                  <c:v>0.59953064</c:v>
                </c:pt>
                <c:pt idx="46">
                  <c:v>0.59879965000000002</c:v>
                </c:pt>
                <c:pt idx="47">
                  <c:v>0.59825379999999995</c:v>
                </c:pt>
                <c:pt idx="48">
                  <c:v>0.59754865999999995</c:v>
                </c:pt>
                <c:pt idx="49">
                  <c:v>0.59672979999999998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3-424D-B9A1-1DAD9009385E}"/>
            </c:ext>
          </c:extLst>
        </c:ser>
        <c:ser>
          <c:idx val="1"/>
          <c:order val="1"/>
          <c:tx>
            <c:v>Testavimo nuostoliai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SmallLinearVallueOnHUGE.v0!$E$2:$E$51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SmallLinearVallueOnHUGE.v0!$G$2:$G$51</c:f>
              <c:numCache>
                <c:formatCode>General</c:formatCode>
                <c:ptCount val="50"/>
                <c:pt idx="0">
                  <c:v>0.75006249999999997</c:v>
                </c:pt>
                <c:pt idx="1">
                  <c:v>0.73345095000000005</c:v>
                </c:pt>
                <c:pt idx="2">
                  <c:v>0.7324427</c:v>
                </c:pt>
                <c:pt idx="3">
                  <c:v>0.71575599999999995</c:v>
                </c:pt>
                <c:pt idx="4">
                  <c:v>0.71865385999999998</c:v>
                </c:pt>
                <c:pt idx="5">
                  <c:v>0.71306800000000004</c:v>
                </c:pt>
                <c:pt idx="6">
                  <c:v>0.70506895000000003</c:v>
                </c:pt>
                <c:pt idx="7">
                  <c:v>0.70444720000000005</c:v>
                </c:pt>
                <c:pt idx="8">
                  <c:v>0.69153403999999996</c:v>
                </c:pt>
                <c:pt idx="9">
                  <c:v>0.69443809999999995</c:v>
                </c:pt>
                <c:pt idx="10">
                  <c:v>0.68959534</c:v>
                </c:pt>
                <c:pt idx="11">
                  <c:v>0.68585604</c:v>
                </c:pt>
                <c:pt idx="12">
                  <c:v>0.68750350000000005</c:v>
                </c:pt>
                <c:pt idx="13">
                  <c:v>0.68100959999999999</c:v>
                </c:pt>
                <c:pt idx="14">
                  <c:v>0.66967480000000001</c:v>
                </c:pt>
                <c:pt idx="15">
                  <c:v>0.67693882999999999</c:v>
                </c:pt>
                <c:pt idx="16">
                  <c:v>0.67404050000000004</c:v>
                </c:pt>
                <c:pt idx="17">
                  <c:v>0.67529576999999996</c:v>
                </c:pt>
                <c:pt idx="18">
                  <c:v>0.67492010000000002</c:v>
                </c:pt>
                <c:pt idx="19">
                  <c:v>0.66173552999999996</c:v>
                </c:pt>
                <c:pt idx="20">
                  <c:v>0.66140544000000001</c:v>
                </c:pt>
                <c:pt idx="21">
                  <c:v>0.66468775000000002</c:v>
                </c:pt>
                <c:pt idx="22">
                  <c:v>0.66626870000000005</c:v>
                </c:pt>
                <c:pt idx="23">
                  <c:v>0.66315900000000005</c:v>
                </c:pt>
                <c:pt idx="24">
                  <c:v>0.66558766000000003</c:v>
                </c:pt>
                <c:pt idx="25">
                  <c:v>0.66262065999999997</c:v>
                </c:pt>
                <c:pt idx="26">
                  <c:v>0.66282326000000003</c:v>
                </c:pt>
                <c:pt idx="27">
                  <c:v>0.66098760000000001</c:v>
                </c:pt>
                <c:pt idx="28">
                  <c:v>0.66324866000000005</c:v>
                </c:pt>
                <c:pt idx="29">
                  <c:v>0.65769949999999999</c:v>
                </c:pt>
                <c:pt idx="30">
                  <c:v>0.66293869999999999</c:v>
                </c:pt>
                <c:pt idx="31">
                  <c:v>0.65969489999999997</c:v>
                </c:pt>
                <c:pt idx="32">
                  <c:v>0.65439449999999999</c:v>
                </c:pt>
                <c:pt idx="33">
                  <c:v>0.6627497</c:v>
                </c:pt>
                <c:pt idx="34">
                  <c:v>0.66473185999999995</c:v>
                </c:pt>
                <c:pt idx="35">
                  <c:v>0.66102899999999998</c:v>
                </c:pt>
                <c:pt idx="36">
                  <c:v>0.66323876000000004</c:v>
                </c:pt>
                <c:pt idx="37">
                  <c:v>0.65685819999999995</c:v>
                </c:pt>
                <c:pt idx="38">
                  <c:v>0.65496279999999996</c:v>
                </c:pt>
                <c:pt idx="39">
                  <c:v>0.65718085000000004</c:v>
                </c:pt>
                <c:pt idx="40">
                  <c:v>0.65320265</c:v>
                </c:pt>
                <c:pt idx="41">
                  <c:v>0.65775819999999996</c:v>
                </c:pt>
                <c:pt idx="42">
                  <c:v>0.66115939999999995</c:v>
                </c:pt>
                <c:pt idx="43">
                  <c:v>0.65429914</c:v>
                </c:pt>
                <c:pt idx="44">
                  <c:v>0.66229420000000006</c:v>
                </c:pt>
                <c:pt idx="45">
                  <c:v>0.65304004999999998</c:v>
                </c:pt>
                <c:pt idx="46">
                  <c:v>0.66161597000000005</c:v>
                </c:pt>
                <c:pt idx="47">
                  <c:v>0.65396270000000001</c:v>
                </c:pt>
                <c:pt idx="48">
                  <c:v>0.64862640000000005</c:v>
                </c:pt>
                <c:pt idx="49">
                  <c:v>0.65382682999999997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3-424D-B9A1-1DAD9009385E}"/>
            </c:ext>
          </c:extLst>
        </c:ser>
        <c:ser>
          <c:idx val="2"/>
          <c:order val="2"/>
          <c:tx>
            <c:v>Minimumas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48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113-424D-B9A1-1DAD9009385E}"/>
              </c:ext>
            </c:extLst>
          </c:dPt>
          <c:dLbls>
            <c:dLbl>
              <c:idx val="48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13-424D-B9A1-1DAD9009385E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SmallLinearVallueOnHUGE.v0!$E$2:$E$51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SmallLinearVallueOnHUGE.v0!$H$2:$H$51</c:f>
              <c:numCache>
                <c:formatCode>General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0.64862640000000005</c:v>
                </c:pt>
                <c:pt idx="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13-424D-B9A1-1DAD90093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955231"/>
        <c:axId val="1508957151"/>
      </c:lineChart>
      <c:catAx>
        <c:axId val="150895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57151"/>
        <c:crosses val="autoZero"/>
        <c:auto val="1"/>
        <c:lblAlgn val="ctr"/>
        <c:lblOffset val="100"/>
        <c:noMultiLvlLbl val="0"/>
      </c:catAx>
      <c:valAx>
        <c:axId val="150895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5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Mokymo nuostoliai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FinalSmallLinearValueTraining.v!$E$2:$E$51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FinalSmallLinearValueTraining.v!$F$2:$F$51</c:f>
              <c:numCache>
                <c:formatCode>General</c:formatCode>
                <c:ptCount val="50"/>
                <c:pt idx="0">
                  <c:v>0.10321532999999999</c:v>
                </c:pt>
                <c:pt idx="1">
                  <c:v>9.1261480000000006E-2</c:v>
                </c:pt>
                <c:pt idx="2">
                  <c:v>8.6276859999999997E-2</c:v>
                </c:pt>
                <c:pt idx="3">
                  <c:v>8.2766220000000001E-2</c:v>
                </c:pt>
                <c:pt idx="4">
                  <c:v>8.0892119999999998E-2</c:v>
                </c:pt>
                <c:pt idx="5">
                  <c:v>7.9416139999999996E-2</c:v>
                </c:pt>
                <c:pt idx="6">
                  <c:v>7.8000959999999994E-2</c:v>
                </c:pt>
                <c:pt idx="7">
                  <c:v>7.6836450000000001E-2</c:v>
                </c:pt>
                <c:pt idx="8">
                  <c:v>7.5813160000000004E-2</c:v>
                </c:pt>
                <c:pt idx="9">
                  <c:v>7.4749549999999998E-2</c:v>
                </c:pt>
                <c:pt idx="10">
                  <c:v>7.3861635999999994E-2</c:v>
                </c:pt>
                <c:pt idx="11">
                  <c:v>7.3016990000000004E-2</c:v>
                </c:pt>
                <c:pt idx="12">
                  <c:v>7.2190835999999994E-2</c:v>
                </c:pt>
                <c:pt idx="13">
                  <c:v>7.1517120000000003E-2</c:v>
                </c:pt>
                <c:pt idx="14">
                  <c:v>7.0780969999999999E-2</c:v>
                </c:pt>
                <c:pt idx="15">
                  <c:v>7.0100350000000006E-2</c:v>
                </c:pt>
                <c:pt idx="16">
                  <c:v>6.9430169999999999E-2</c:v>
                </c:pt>
                <c:pt idx="17">
                  <c:v>6.8854399999999996E-2</c:v>
                </c:pt>
                <c:pt idx="18">
                  <c:v>6.8341799999999994E-2</c:v>
                </c:pt>
                <c:pt idx="19">
                  <c:v>6.7716986000000007E-2</c:v>
                </c:pt>
                <c:pt idx="20">
                  <c:v>6.7211460000000001E-2</c:v>
                </c:pt>
                <c:pt idx="21">
                  <c:v>6.6658966E-2</c:v>
                </c:pt>
                <c:pt idx="22">
                  <c:v>6.6338099999999997E-2</c:v>
                </c:pt>
                <c:pt idx="23">
                  <c:v>6.5798484000000004E-2</c:v>
                </c:pt>
                <c:pt idx="24">
                  <c:v>6.5320450000000002E-2</c:v>
                </c:pt>
                <c:pt idx="25">
                  <c:v>6.5011719999999995E-2</c:v>
                </c:pt>
                <c:pt idx="26">
                  <c:v>6.464164E-2</c:v>
                </c:pt>
                <c:pt idx="27">
                  <c:v>6.4276059999999996E-2</c:v>
                </c:pt>
                <c:pt idx="28">
                  <c:v>6.3928780000000004E-2</c:v>
                </c:pt>
                <c:pt idx="29">
                  <c:v>6.3607979999999995E-2</c:v>
                </c:pt>
                <c:pt idx="30">
                  <c:v>6.3315294999999994E-2</c:v>
                </c:pt>
                <c:pt idx="31">
                  <c:v>6.2986139999999996E-2</c:v>
                </c:pt>
                <c:pt idx="32">
                  <c:v>6.2813069999999999E-2</c:v>
                </c:pt>
                <c:pt idx="33">
                  <c:v>6.23972E-2</c:v>
                </c:pt>
                <c:pt idx="34">
                  <c:v>6.2161939999999999E-2</c:v>
                </c:pt>
                <c:pt idx="35">
                  <c:v>6.1927362999999999E-2</c:v>
                </c:pt>
                <c:pt idx="36">
                  <c:v>6.1684530000000001E-2</c:v>
                </c:pt>
                <c:pt idx="37">
                  <c:v>6.1373605999999997E-2</c:v>
                </c:pt>
                <c:pt idx="38">
                  <c:v>6.1244952999999998E-2</c:v>
                </c:pt>
                <c:pt idx="39">
                  <c:v>6.1044059999999997E-2</c:v>
                </c:pt>
                <c:pt idx="40">
                  <c:v>6.0778413000000003E-2</c:v>
                </c:pt>
                <c:pt idx="41">
                  <c:v>6.0521501999999998E-2</c:v>
                </c:pt>
                <c:pt idx="42">
                  <c:v>6.0358080000000001E-2</c:v>
                </c:pt>
                <c:pt idx="43">
                  <c:v>6.0158372000000002E-2</c:v>
                </c:pt>
                <c:pt idx="44">
                  <c:v>5.9863340000000001E-2</c:v>
                </c:pt>
                <c:pt idx="45">
                  <c:v>5.9739123999999998E-2</c:v>
                </c:pt>
                <c:pt idx="46">
                  <c:v>5.9621630000000002E-2</c:v>
                </c:pt>
                <c:pt idx="47">
                  <c:v>5.9331346E-2</c:v>
                </c:pt>
                <c:pt idx="48">
                  <c:v>5.9271496E-2</c:v>
                </c:pt>
                <c:pt idx="49">
                  <c:v>5.8931197999999997E-2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A-4342-BFC8-F9EBC586B22E}"/>
            </c:ext>
          </c:extLst>
        </c:ser>
        <c:ser>
          <c:idx val="1"/>
          <c:order val="1"/>
          <c:tx>
            <c:v>Testavimo nuostoliai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FinalSmallLinearValueTraining.v!$E$2:$E$51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FinalSmallLinearValueTraining.v!$G$2:$G$51</c:f>
              <c:numCache>
                <c:formatCode>General</c:formatCode>
                <c:ptCount val="50"/>
                <c:pt idx="0">
                  <c:v>0.10272829</c:v>
                </c:pt>
                <c:pt idx="1">
                  <c:v>9.6509664999999994E-2</c:v>
                </c:pt>
                <c:pt idx="2">
                  <c:v>9.0237423999999997E-2</c:v>
                </c:pt>
                <c:pt idx="3">
                  <c:v>8.7651090000000001E-2</c:v>
                </c:pt>
                <c:pt idx="4">
                  <c:v>8.7914400000000004E-2</c:v>
                </c:pt>
                <c:pt idx="5">
                  <c:v>8.5564479999999998E-2</c:v>
                </c:pt>
                <c:pt idx="6">
                  <c:v>8.4050879999999994E-2</c:v>
                </c:pt>
                <c:pt idx="7">
                  <c:v>8.7122925000000004E-2</c:v>
                </c:pt>
                <c:pt idx="8">
                  <c:v>8.5584900000000005E-2</c:v>
                </c:pt>
                <c:pt idx="9">
                  <c:v>8.457547E-2</c:v>
                </c:pt>
                <c:pt idx="10">
                  <c:v>8.5889645000000001E-2</c:v>
                </c:pt>
                <c:pt idx="11">
                  <c:v>8.3150760000000004E-2</c:v>
                </c:pt>
                <c:pt idx="12">
                  <c:v>8.3616460000000004E-2</c:v>
                </c:pt>
                <c:pt idx="13">
                  <c:v>8.3659109999999995E-2</c:v>
                </c:pt>
                <c:pt idx="14">
                  <c:v>8.2313960000000005E-2</c:v>
                </c:pt>
                <c:pt idx="15">
                  <c:v>8.2648550000000001E-2</c:v>
                </c:pt>
                <c:pt idx="16">
                  <c:v>8.3479529999999996E-2</c:v>
                </c:pt>
                <c:pt idx="17">
                  <c:v>8.3706000000000003E-2</c:v>
                </c:pt>
                <c:pt idx="18">
                  <c:v>8.0670069999999997E-2</c:v>
                </c:pt>
                <c:pt idx="19">
                  <c:v>7.8949876000000002E-2</c:v>
                </c:pt>
                <c:pt idx="20">
                  <c:v>8.1827209999999997E-2</c:v>
                </c:pt>
                <c:pt idx="21">
                  <c:v>8.1681660000000003E-2</c:v>
                </c:pt>
                <c:pt idx="22">
                  <c:v>8.0282986000000001E-2</c:v>
                </c:pt>
                <c:pt idx="23">
                  <c:v>7.9922010000000002E-2</c:v>
                </c:pt>
                <c:pt idx="24">
                  <c:v>8.2155329999999999E-2</c:v>
                </c:pt>
                <c:pt idx="25">
                  <c:v>8.1788260000000002E-2</c:v>
                </c:pt>
                <c:pt idx="26">
                  <c:v>8.3116399999999993E-2</c:v>
                </c:pt>
                <c:pt idx="27">
                  <c:v>8.1518259999999995E-2</c:v>
                </c:pt>
                <c:pt idx="28">
                  <c:v>8.1169344000000004E-2</c:v>
                </c:pt>
                <c:pt idx="29">
                  <c:v>8.2710919999999993E-2</c:v>
                </c:pt>
                <c:pt idx="30">
                  <c:v>8.3891540000000001E-2</c:v>
                </c:pt>
                <c:pt idx="31">
                  <c:v>7.9310240000000004E-2</c:v>
                </c:pt>
                <c:pt idx="32">
                  <c:v>8.1033999999999995E-2</c:v>
                </c:pt>
                <c:pt idx="33">
                  <c:v>7.9743414999999998E-2</c:v>
                </c:pt>
                <c:pt idx="34">
                  <c:v>8.2087859999999999E-2</c:v>
                </c:pt>
                <c:pt idx="35">
                  <c:v>8.2005999999999996E-2</c:v>
                </c:pt>
                <c:pt idx="36">
                  <c:v>8.0692799999999995E-2</c:v>
                </c:pt>
                <c:pt idx="37">
                  <c:v>7.9429360000000004E-2</c:v>
                </c:pt>
                <c:pt idx="38">
                  <c:v>8.1124245999999997E-2</c:v>
                </c:pt>
                <c:pt idx="39">
                  <c:v>8.1172279999999999E-2</c:v>
                </c:pt>
                <c:pt idx="40">
                  <c:v>8.2514636000000002E-2</c:v>
                </c:pt>
                <c:pt idx="41">
                  <c:v>7.8498999999999999E-2</c:v>
                </c:pt>
                <c:pt idx="42">
                  <c:v>8.0015816000000003E-2</c:v>
                </c:pt>
                <c:pt idx="43">
                  <c:v>8.2563444999999999E-2</c:v>
                </c:pt>
                <c:pt idx="44">
                  <c:v>8.0584379999999997E-2</c:v>
                </c:pt>
                <c:pt idx="45">
                  <c:v>8.4051534999999997E-2</c:v>
                </c:pt>
                <c:pt idx="46">
                  <c:v>7.9281240000000003E-2</c:v>
                </c:pt>
                <c:pt idx="47">
                  <c:v>8.0219805000000005E-2</c:v>
                </c:pt>
                <c:pt idx="48">
                  <c:v>8.0280185000000004E-2</c:v>
                </c:pt>
                <c:pt idx="49">
                  <c:v>8.2066535999999995E-2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A-4342-BFC8-F9EBC586B22E}"/>
            </c:ext>
          </c:extLst>
        </c:ser>
        <c:ser>
          <c:idx val="2"/>
          <c:order val="2"/>
          <c:tx>
            <c:v>Minimumas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41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50A-4342-BFC8-F9EBC586B22E}"/>
              </c:ext>
            </c:extLst>
          </c:dPt>
          <c:dLbls>
            <c:dLbl>
              <c:idx val="41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0A-4342-BFC8-F9EBC586B22E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FinalSmallLinearValueTraining.v!$E$2:$E$51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FinalSmallLinearValueTraining.v!$H$2:$H$51</c:f>
              <c:numCache>
                <c:formatCode>General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7.8498999999999999E-2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A-4342-BFC8-F9EBC586B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000591"/>
        <c:axId val="1419001071"/>
      </c:lineChart>
      <c:catAx>
        <c:axId val="141900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01071"/>
        <c:crosses val="autoZero"/>
        <c:auto val="1"/>
        <c:lblAlgn val="ctr"/>
        <c:lblOffset val="100"/>
        <c:noMultiLvlLbl val="0"/>
      </c:catAx>
      <c:valAx>
        <c:axId val="141900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00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0</xdr:row>
      <xdr:rowOff>95250</xdr:rowOff>
    </xdr:from>
    <xdr:to>
      <xdr:col>16</xdr:col>
      <xdr:colOff>312420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1A020-F75F-48CF-83A1-3BE4C53F0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49530</xdr:rowOff>
    </xdr:from>
    <xdr:to>
      <xdr:col>16</xdr:col>
      <xdr:colOff>304800</xdr:colOff>
      <xdr:row>15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26192-C987-06E4-0D1C-67600C7BF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0</xdr:row>
      <xdr:rowOff>34290</xdr:rowOff>
    </xdr:from>
    <xdr:to>
      <xdr:col>16</xdr:col>
      <xdr:colOff>320040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217CC-5CE9-D080-66AE-9500D1D20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16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5C458-681C-EDFB-CB65-82584CE14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</xdr:colOff>
      <xdr:row>1</xdr:row>
      <xdr:rowOff>7620</xdr:rowOff>
    </xdr:from>
    <xdr:to>
      <xdr:col>16</xdr:col>
      <xdr:colOff>308610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06453-D333-72E7-FD5E-E4FDF06EC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605790</xdr:colOff>
      <xdr:row>0</xdr:row>
      <xdr:rowOff>152400</xdr:rowOff>
    </xdr:from>
    <xdr:to>
      <xdr:col>16</xdr:col>
      <xdr:colOff>300990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33DF7-D106-CB80-967D-D9EB43CB3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4F3A-F3D7-414C-8A33-EBF028455EE1}">
  <dimension ref="A1:H50"/>
  <sheetViews>
    <sheetView topLeftCell="B1" workbookViewId="0">
      <selection activeCell="O20" sqref="O20"/>
    </sheetView>
  </sheetViews>
  <sheetFormatPr defaultRowHeight="14.4" x14ac:dyDescent="0.3"/>
  <cols>
    <col min="1" max="1" width="34" customWidth="1"/>
    <col min="2" max="2" width="23.44140625" customWidth="1"/>
    <col min="3" max="3" width="18.109375" customWidth="1"/>
  </cols>
  <sheetData>
    <row r="1" spans="1:8" x14ac:dyDescent="0.3">
      <c r="A1" t="s">
        <v>149</v>
      </c>
      <c r="B1" t="s">
        <v>148</v>
      </c>
      <c r="C1" t="s">
        <v>147</v>
      </c>
      <c r="E1">
        <v>1</v>
      </c>
      <c r="F1">
        <f t="shared" ref="F1:F32" si="0" xml:space="preserve"> _xlfn.NUMBERVALUE(RIGHT(B1, LEN(B1) - 12),".")</f>
        <v>2.4872065000000001</v>
      </c>
      <c r="G1">
        <f t="shared" ref="G1:G32" si="1" xml:space="preserve"> _xlfn.NUMBERVALUE(RIGHT(C1, LEN(C1) - 11),".")</f>
        <v>2.3734929999999999</v>
      </c>
      <c r="H1" t="e">
        <f t="shared" ref="H1:H32" si="2">IF(G1=MIN($G$1:$G$100),G1,NA())</f>
        <v>#N/A</v>
      </c>
    </row>
    <row r="2" spans="1:8" x14ac:dyDescent="0.3">
      <c r="A2" t="s">
        <v>146</v>
      </c>
      <c r="B2" t="s">
        <v>145</v>
      </c>
      <c r="C2" t="s">
        <v>144</v>
      </c>
      <c r="E2">
        <v>2</v>
      </c>
      <c r="F2">
        <f t="shared" si="0"/>
        <v>2.2388539999999999</v>
      </c>
      <c r="G2">
        <f t="shared" si="1"/>
        <v>2.2290885</v>
      </c>
      <c r="H2" t="e">
        <f t="shared" si="2"/>
        <v>#N/A</v>
      </c>
    </row>
    <row r="3" spans="1:8" x14ac:dyDescent="0.3">
      <c r="A3" t="s">
        <v>143</v>
      </c>
      <c r="B3" t="s">
        <v>142</v>
      </c>
      <c r="C3" t="s">
        <v>141</v>
      </c>
      <c r="E3">
        <v>3</v>
      </c>
      <c r="F3">
        <f t="shared" si="0"/>
        <v>2.1499898000000002</v>
      </c>
      <c r="G3">
        <f t="shared" si="1"/>
        <v>2.1962799999999998</v>
      </c>
      <c r="H3" t="e">
        <f t="shared" si="2"/>
        <v>#N/A</v>
      </c>
    </row>
    <row r="4" spans="1:8" x14ac:dyDescent="0.3">
      <c r="A4" t="s">
        <v>140</v>
      </c>
      <c r="B4" t="s">
        <v>139</v>
      </c>
      <c r="C4" t="s">
        <v>138</v>
      </c>
      <c r="E4">
        <v>4</v>
      </c>
      <c r="F4">
        <f t="shared" si="0"/>
        <v>2.1066536999999999</v>
      </c>
      <c r="G4">
        <f t="shared" si="1"/>
        <v>2.1597526</v>
      </c>
      <c r="H4" t="e">
        <f t="shared" si="2"/>
        <v>#N/A</v>
      </c>
    </row>
    <row r="5" spans="1:8" x14ac:dyDescent="0.3">
      <c r="A5" t="s">
        <v>137</v>
      </c>
      <c r="B5" t="s">
        <v>136</v>
      </c>
      <c r="C5" t="s">
        <v>135</v>
      </c>
      <c r="E5">
        <v>5</v>
      </c>
      <c r="F5">
        <f t="shared" si="0"/>
        <v>2.0864552999999999</v>
      </c>
      <c r="G5">
        <f t="shared" si="1"/>
        <v>2.1472560999999999</v>
      </c>
      <c r="H5" t="e">
        <f t="shared" si="2"/>
        <v>#N/A</v>
      </c>
    </row>
    <row r="6" spans="1:8" x14ac:dyDescent="0.3">
      <c r="A6" t="s">
        <v>134</v>
      </c>
      <c r="B6" t="s">
        <v>133</v>
      </c>
      <c r="C6" t="s">
        <v>132</v>
      </c>
      <c r="E6">
        <v>6</v>
      </c>
      <c r="F6">
        <f t="shared" si="0"/>
        <v>2.0727030000000002</v>
      </c>
      <c r="G6">
        <f t="shared" si="1"/>
        <v>2.1395632999999998</v>
      </c>
      <c r="H6" t="e">
        <f t="shared" si="2"/>
        <v>#N/A</v>
      </c>
    </row>
    <row r="7" spans="1:8" x14ac:dyDescent="0.3">
      <c r="A7" t="s">
        <v>131</v>
      </c>
      <c r="B7" t="s">
        <v>130</v>
      </c>
      <c r="C7" t="s">
        <v>129</v>
      </c>
      <c r="E7">
        <v>7</v>
      </c>
      <c r="F7">
        <f t="shared" si="0"/>
        <v>2.0618192999999998</v>
      </c>
      <c r="G7">
        <f t="shared" si="1"/>
        <v>2.1180743999999998</v>
      </c>
      <c r="H7" t="e">
        <f t="shared" si="2"/>
        <v>#N/A</v>
      </c>
    </row>
    <row r="8" spans="1:8" x14ac:dyDescent="0.3">
      <c r="A8" t="s">
        <v>128</v>
      </c>
      <c r="B8" t="s">
        <v>127</v>
      </c>
      <c r="C8" t="s">
        <v>126</v>
      </c>
      <c r="E8">
        <v>8</v>
      </c>
      <c r="F8">
        <f t="shared" si="0"/>
        <v>2.052502</v>
      </c>
      <c r="G8">
        <f t="shared" si="1"/>
        <v>2.1250249999999999</v>
      </c>
      <c r="H8" t="e">
        <f t="shared" si="2"/>
        <v>#N/A</v>
      </c>
    </row>
    <row r="9" spans="1:8" x14ac:dyDescent="0.3">
      <c r="A9" t="s">
        <v>125</v>
      </c>
      <c r="B9" t="s">
        <v>124</v>
      </c>
      <c r="C9" t="s">
        <v>123</v>
      </c>
      <c r="E9">
        <v>9</v>
      </c>
      <c r="F9">
        <f t="shared" si="0"/>
        <v>2.0431794999999999</v>
      </c>
      <c r="G9">
        <f t="shared" si="1"/>
        <v>2.1349287000000001</v>
      </c>
      <c r="H9" t="e">
        <f t="shared" si="2"/>
        <v>#N/A</v>
      </c>
    </row>
    <row r="10" spans="1:8" x14ac:dyDescent="0.3">
      <c r="A10" t="s">
        <v>122</v>
      </c>
      <c r="B10" t="s">
        <v>121</v>
      </c>
      <c r="C10" t="s">
        <v>120</v>
      </c>
      <c r="E10">
        <v>10</v>
      </c>
      <c r="F10">
        <f t="shared" si="0"/>
        <v>2.0354507000000002</v>
      </c>
      <c r="G10">
        <f t="shared" si="1"/>
        <v>2.135974</v>
      </c>
      <c r="H10" t="e">
        <f t="shared" si="2"/>
        <v>#N/A</v>
      </c>
    </row>
    <row r="11" spans="1:8" x14ac:dyDescent="0.3">
      <c r="A11" t="s">
        <v>119</v>
      </c>
      <c r="B11" t="s">
        <v>118</v>
      </c>
      <c r="C11" t="s">
        <v>117</v>
      </c>
      <c r="E11">
        <v>11</v>
      </c>
      <c r="F11">
        <f t="shared" si="0"/>
        <v>2.028349</v>
      </c>
      <c r="G11">
        <f t="shared" si="1"/>
        <v>2.1448383</v>
      </c>
      <c r="H11" t="e">
        <f t="shared" si="2"/>
        <v>#N/A</v>
      </c>
    </row>
    <row r="12" spans="1:8" x14ac:dyDescent="0.3">
      <c r="A12" t="s">
        <v>116</v>
      </c>
      <c r="B12" t="s">
        <v>115</v>
      </c>
      <c r="C12" t="s">
        <v>114</v>
      </c>
      <c r="E12">
        <v>12</v>
      </c>
      <c r="F12">
        <f t="shared" si="0"/>
        <v>2.0218579999999999</v>
      </c>
      <c r="G12">
        <f t="shared" si="1"/>
        <v>2.1229657999999998</v>
      </c>
      <c r="H12" t="e">
        <f t="shared" si="2"/>
        <v>#N/A</v>
      </c>
    </row>
    <row r="13" spans="1:8" x14ac:dyDescent="0.3">
      <c r="A13" t="s">
        <v>113</v>
      </c>
      <c r="B13" t="s">
        <v>112</v>
      </c>
      <c r="C13" t="s">
        <v>111</v>
      </c>
      <c r="E13">
        <v>13</v>
      </c>
      <c r="F13">
        <f t="shared" si="0"/>
        <v>2.0159476000000001</v>
      </c>
      <c r="G13">
        <f t="shared" si="1"/>
        <v>2.1338366999999998</v>
      </c>
      <c r="H13" t="e">
        <f t="shared" si="2"/>
        <v>#N/A</v>
      </c>
    </row>
    <row r="14" spans="1:8" x14ac:dyDescent="0.3">
      <c r="A14" t="s">
        <v>110</v>
      </c>
      <c r="B14" t="s">
        <v>109</v>
      </c>
      <c r="C14" t="s">
        <v>108</v>
      </c>
      <c r="E14">
        <v>14</v>
      </c>
      <c r="F14">
        <f t="shared" si="0"/>
        <v>2.0114033</v>
      </c>
      <c r="G14">
        <f t="shared" si="1"/>
        <v>2.1233293999999998</v>
      </c>
      <c r="H14" t="e">
        <f t="shared" si="2"/>
        <v>#N/A</v>
      </c>
    </row>
    <row r="15" spans="1:8" x14ac:dyDescent="0.3">
      <c r="A15" t="s">
        <v>107</v>
      </c>
      <c r="B15" t="s">
        <v>106</v>
      </c>
      <c r="C15" t="s">
        <v>105</v>
      </c>
      <c r="E15">
        <v>15</v>
      </c>
      <c r="F15">
        <f t="shared" si="0"/>
        <v>2.0053109999999998</v>
      </c>
      <c r="G15">
        <f t="shared" si="1"/>
        <v>2.1268587000000001</v>
      </c>
      <c r="H15" t="e">
        <f t="shared" si="2"/>
        <v>#N/A</v>
      </c>
    </row>
    <row r="16" spans="1:8" x14ac:dyDescent="0.3">
      <c r="A16" t="s">
        <v>104</v>
      </c>
      <c r="B16" t="s">
        <v>103</v>
      </c>
      <c r="C16" t="s">
        <v>102</v>
      </c>
      <c r="E16">
        <v>16</v>
      </c>
      <c r="F16">
        <f t="shared" si="0"/>
        <v>2.000553</v>
      </c>
      <c r="G16">
        <f t="shared" si="1"/>
        <v>2.1208193</v>
      </c>
      <c r="H16" t="e">
        <f t="shared" si="2"/>
        <v>#N/A</v>
      </c>
    </row>
    <row r="17" spans="1:8" x14ac:dyDescent="0.3">
      <c r="A17" t="s">
        <v>101</v>
      </c>
      <c r="B17" t="s">
        <v>100</v>
      </c>
      <c r="C17" t="s">
        <v>99</v>
      </c>
      <c r="E17">
        <v>17</v>
      </c>
      <c r="F17">
        <f t="shared" si="0"/>
        <v>1.9983059999999999</v>
      </c>
      <c r="G17">
        <f t="shared" si="1"/>
        <v>2.1104604999999999</v>
      </c>
      <c r="H17">
        <f t="shared" si="2"/>
        <v>2.1104604999999999</v>
      </c>
    </row>
    <row r="18" spans="1:8" x14ac:dyDescent="0.3">
      <c r="A18" t="s">
        <v>98</v>
      </c>
      <c r="B18" t="s">
        <v>97</v>
      </c>
      <c r="C18" t="s">
        <v>96</v>
      </c>
      <c r="E18">
        <v>18</v>
      </c>
      <c r="F18">
        <f t="shared" si="0"/>
        <v>1.9917222999999999</v>
      </c>
      <c r="G18">
        <f t="shared" si="1"/>
        <v>2.1179879000000001</v>
      </c>
      <c r="H18" t="e">
        <f t="shared" si="2"/>
        <v>#N/A</v>
      </c>
    </row>
    <row r="19" spans="1:8" x14ac:dyDescent="0.3">
      <c r="A19" t="s">
        <v>95</v>
      </c>
      <c r="B19" t="s">
        <v>94</v>
      </c>
      <c r="C19" t="s">
        <v>93</v>
      </c>
      <c r="E19">
        <v>19</v>
      </c>
      <c r="F19">
        <f t="shared" si="0"/>
        <v>1.9886353000000001</v>
      </c>
      <c r="G19">
        <f t="shared" si="1"/>
        <v>2.1515070000000001</v>
      </c>
      <c r="H19" t="e">
        <f t="shared" si="2"/>
        <v>#N/A</v>
      </c>
    </row>
    <row r="20" spans="1:8" x14ac:dyDescent="0.3">
      <c r="A20" t="s">
        <v>92</v>
      </c>
      <c r="B20" t="s">
        <v>91</v>
      </c>
      <c r="C20" t="s">
        <v>90</v>
      </c>
      <c r="E20">
        <v>20</v>
      </c>
      <c r="F20">
        <f t="shared" si="0"/>
        <v>1.9848608000000001</v>
      </c>
      <c r="G20">
        <f t="shared" si="1"/>
        <v>2.1327229999999999</v>
      </c>
      <c r="H20" t="e">
        <f t="shared" si="2"/>
        <v>#N/A</v>
      </c>
    </row>
    <row r="21" spans="1:8" x14ac:dyDescent="0.3">
      <c r="A21" t="s">
        <v>89</v>
      </c>
      <c r="B21" t="s">
        <v>88</v>
      </c>
      <c r="C21" t="s">
        <v>87</v>
      </c>
      <c r="E21">
        <v>21</v>
      </c>
      <c r="F21">
        <f t="shared" si="0"/>
        <v>1.9804638999999999</v>
      </c>
      <c r="G21">
        <f t="shared" si="1"/>
        <v>2.1244160000000001</v>
      </c>
      <c r="H21" t="e">
        <f t="shared" si="2"/>
        <v>#N/A</v>
      </c>
    </row>
    <row r="22" spans="1:8" x14ac:dyDescent="0.3">
      <c r="A22" t="s">
        <v>86</v>
      </c>
      <c r="B22" t="s">
        <v>85</v>
      </c>
      <c r="C22" t="s">
        <v>84</v>
      </c>
      <c r="E22">
        <v>22</v>
      </c>
      <c r="F22">
        <f t="shared" si="0"/>
        <v>1.979066</v>
      </c>
      <c r="G22">
        <f t="shared" si="1"/>
        <v>2.1477558999999999</v>
      </c>
      <c r="H22" t="e">
        <f t="shared" si="2"/>
        <v>#N/A</v>
      </c>
    </row>
    <row r="23" spans="1:8" x14ac:dyDescent="0.3">
      <c r="A23" t="s">
        <v>83</v>
      </c>
      <c r="B23" t="s">
        <v>82</v>
      </c>
      <c r="C23" t="s">
        <v>81</v>
      </c>
      <c r="E23">
        <v>23</v>
      </c>
      <c r="F23">
        <f t="shared" si="0"/>
        <v>1.9726347</v>
      </c>
      <c r="G23">
        <f t="shared" si="1"/>
        <v>2.1428707</v>
      </c>
      <c r="H23" t="e">
        <f t="shared" si="2"/>
        <v>#N/A</v>
      </c>
    </row>
    <row r="24" spans="1:8" x14ac:dyDescent="0.3">
      <c r="A24" t="s">
        <v>80</v>
      </c>
      <c r="B24" t="s">
        <v>79</v>
      </c>
      <c r="C24" t="s">
        <v>78</v>
      </c>
      <c r="E24">
        <v>24</v>
      </c>
      <c r="F24">
        <f t="shared" si="0"/>
        <v>1.9702603999999999</v>
      </c>
      <c r="G24">
        <f t="shared" si="1"/>
        <v>2.1308722000000002</v>
      </c>
      <c r="H24" t="e">
        <f t="shared" si="2"/>
        <v>#N/A</v>
      </c>
    </row>
    <row r="25" spans="1:8" x14ac:dyDescent="0.3">
      <c r="A25" t="s">
        <v>77</v>
      </c>
      <c r="B25" t="s">
        <v>76</v>
      </c>
      <c r="C25" t="s">
        <v>75</v>
      </c>
      <c r="E25">
        <v>25</v>
      </c>
      <c r="F25">
        <f t="shared" si="0"/>
        <v>1.9667634000000001</v>
      </c>
      <c r="G25">
        <f t="shared" si="1"/>
        <v>2.1411169999999999</v>
      </c>
      <c r="H25" t="e">
        <f t="shared" si="2"/>
        <v>#N/A</v>
      </c>
    </row>
    <row r="26" spans="1:8" x14ac:dyDescent="0.3">
      <c r="A26" t="s">
        <v>74</v>
      </c>
      <c r="B26" t="s">
        <v>73</v>
      </c>
      <c r="C26" t="s">
        <v>72</v>
      </c>
      <c r="E26">
        <v>26</v>
      </c>
      <c r="F26">
        <f t="shared" si="0"/>
        <v>1.963838</v>
      </c>
      <c r="G26">
        <f t="shared" si="1"/>
        <v>2.1569327999999999</v>
      </c>
      <c r="H26" t="e">
        <f t="shared" si="2"/>
        <v>#N/A</v>
      </c>
    </row>
    <row r="27" spans="1:8" x14ac:dyDescent="0.3">
      <c r="A27" t="s">
        <v>71</v>
      </c>
      <c r="B27" t="s">
        <v>70</v>
      </c>
      <c r="C27" t="s">
        <v>69</v>
      </c>
      <c r="E27">
        <v>27</v>
      </c>
      <c r="F27">
        <f t="shared" si="0"/>
        <v>1.9613773999999999</v>
      </c>
      <c r="G27">
        <f t="shared" si="1"/>
        <v>2.1395650000000002</v>
      </c>
      <c r="H27" t="e">
        <f t="shared" si="2"/>
        <v>#N/A</v>
      </c>
    </row>
    <row r="28" spans="1:8" x14ac:dyDescent="0.3">
      <c r="A28" t="s">
        <v>68</v>
      </c>
      <c r="B28" t="s">
        <v>67</v>
      </c>
      <c r="C28" t="s">
        <v>66</v>
      </c>
      <c r="E28">
        <v>28</v>
      </c>
      <c r="F28">
        <f t="shared" si="0"/>
        <v>1.9577310999999999</v>
      </c>
      <c r="G28">
        <f t="shared" si="1"/>
        <v>2.1891905999999999</v>
      </c>
      <c r="H28" t="e">
        <f t="shared" si="2"/>
        <v>#N/A</v>
      </c>
    </row>
    <row r="29" spans="1:8" x14ac:dyDescent="0.3">
      <c r="A29" t="s">
        <v>65</v>
      </c>
      <c r="B29" t="s">
        <v>64</v>
      </c>
      <c r="C29" t="s">
        <v>63</v>
      </c>
      <c r="E29">
        <v>29</v>
      </c>
      <c r="F29">
        <f t="shared" si="0"/>
        <v>1.9636966</v>
      </c>
      <c r="G29">
        <f t="shared" si="1"/>
        <v>2.1882055</v>
      </c>
      <c r="H29" t="e">
        <f t="shared" si="2"/>
        <v>#N/A</v>
      </c>
    </row>
    <row r="30" spans="1:8" x14ac:dyDescent="0.3">
      <c r="A30" t="s">
        <v>62</v>
      </c>
      <c r="B30" t="s">
        <v>61</v>
      </c>
      <c r="C30" t="s">
        <v>60</v>
      </c>
      <c r="E30">
        <v>30</v>
      </c>
      <c r="F30">
        <f t="shared" si="0"/>
        <v>1.9501999999999999</v>
      </c>
      <c r="G30">
        <f t="shared" si="1"/>
        <v>2.1914003000000002</v>
      </c>
      <c r="H30" t="e">
        <f t="shared" si="2"/>
        <v>#N/A</v>
      </c>
    </row>
    <row r="31" spans="1:8" x14ac:dyDescent="0.3">
      <c r="A31" t="s">
        <v>59</v>
      </c>
      <c r="B31" t="s">
        <v>58</v>
      </c>
      <c r="C31" t="s">
        <v>57</v>
      </c>
      <c r="E31">
        <v>31</v>
      </c>
      <c r="F31">
        <f t="shared" si="0"/>
        <v>1.9545003000000001</v>
      </c>
      <c r="G31">
        <f t="shared" si="1"/>
        <v>2.1502476000000001</v>
      </c>
      <c r="H31" t="e">
        <f t="shared" si="2"/>
        <v>#N/A</v>
      </c>
    </row>
    <row r="32" spans="1:8" x14ac:dyDescent="0.3">
      <c r="A32" t="s">
        <v>56</v>
      </c>
      <c r="B32" t="s">
        <v>55</v>
      </c>
      <c r="C32" t="s">
        <v>54</v>
      </c>
      <c r="E32">
        <v>32</v>
      </c>
      <c r="F32">
        <f t="shared" si="0"/>
        <v>1.9536353</v>
      </c>
      <c r="G32">
        <f t="shared" si="1"/>
        <v>2.1844733000000001</v>
      </c>
      <c r="H32" t="e">
        <f t="shared" si="2"/>
        <v>#N/A</v>
      </c>
    </row>
    <row r="33" spans="1:8" x14ac:dyDescent="0.3">
      <c r="A33" t="s">
        <v>53</v>
      </c>
      <c r="B33" t="s">
        <v>52</v>
      </c>
      <c r="C33" t="s">
        <v>51</v>
      </c>
      <c r="E33">
        <v>33</v>
      </c>
      <c r="F33">
        <f t="shared" ref="F33:F50" si="3" xml:space="preserve"> _xlfn.NUMBERVALUE(RIGHT(B33, LEN(B33) - 12),".")</f>
        <v>1.9444648</v>
      </c>
      <c r="G33">
        <f t="shared" ref="G33:G50" si="4" xml:space="preserve"> _xlfn.NUMBERVALUE(RIGHT(C33, LEN(C33) - 11),".")</f>
        <v>2.1730330000000002</v>
      </c>
      <c r="H33" t="e">
        <f t="shared" ref="H33:H64" si="5">IF(G33=MIN($G$1:$G$100),G33,NA())</f>
        <v>#N/A</v>
      </c>
    </row>
    <row r="34" spans="1:8" x14ac:dyDescent="0.3">
      <c r="A34" t="s">
        <v>50</v>
      </c>
      <c r="B34" t="s">
        <v>49</v>
      </c>
      <c r="C34" t="s">
        <v>48</v>
      </c>
      <c r="E34">
        <v>34</v>
      </c>
      <c r="F34">
        <f t="shared" si="3"/>
        <v>1.9438305</v>
      </c>
      <c r="G34">
        <f t="shared" si="4"/>
        <v>2.1690369999999999</v>
      </c>
      <c r="H34" t="e">
        <f t="shared" si="5"/>
        <v>#N/A</v>
      </c>
    </row>
    <row r="35" spans="1:8" x14ac:dyDescent="0.3">
      <c r="A35" t="s">
        <v>47</v>
      </c>
      <c r="B35" t="s">
        <v>46</v>
      </c>
      <c r="C35" t="s">
        <v>45</v>
      </c>
      <c r="E35">
        <v>35</v>
      </c>
      <c r="F35">
        <f t="shared" si="3"/>
        <v>1.9410704000000001</v>
      </c>
      <c r="G35">
        <f t="shared" si="4"/>
        <v>2.1692073000000001</v>
      </c>
      <c r="H35" t="e">
        <f t="shared" si="5"/>
        <v>#N/A</v>
      </c>
    </row>
    <row r="36" spans="1:8" x14ac:dyDescent="0.3">
      <c r="A36" t="s">
        <v>44</v>
      </c>
      <c r="B36" t="s">
        <v>43</v>
      </c>
      <c r="C36" t="s">
        <v>42</v>
      </c>
      <c r="E36">
        <v>36</v>
      </c>
      <c r="F36">
        <f t="shared" si="3"/>
        <v>1.9416517</v>
      </c>
      <c r="G36">
        <f t="shared" si="4"/>
        <v>2.2030403999999999</v>
      </c>
      <c r="H36" t="e">
        <f t="shared" si="5"/>
        <v>#N/A</v>
      </c>
    </row>
    <row r="37" spans="1:8" x14ac:dyDescent="0.3">
      <c r="A37" t="s">
        <v>41</v>
      </c>
      <c r="B37" t="s">
        <v>40</v>
      </c>
      <c r="C37" t="s">
        <v>39</v>
      </c>
      <c r="E37">
        <v>37</v>
      </c>
      <c r="F37">
        <f t="shared" si="3"/>
        <v>1.9463824999999999</v>
      </c>
      <c r="G37">
        <f t="shared" si="4"/>
        <v>2.1811888000000001</v>
      </c>
      <c r="H37" t="e">
        <f t="shared" si="5"/>
        <v>#N/A</v>
      </c>
    </row>
    <row r="38" spans="1:8" x14ac:dyDescent="0.3">
      <c r="A38" t="s">
        <v>38</v>
      </c>
      <c r="B38" t="s">
        <v>37</v>
      </c>
      <c r="C38" t="s">
        <v>36</v>
      </c>
      <c r="E38">
        <v>38</v>
      </c>
      <c r="F38">
        <f t="shared" si="3"/>
        <v>1.9306589000000001</v>
      </c>
      <c r="G38">
        <f t="shared" si="4"/>
        <v>2.2040999999999999</v>
      </c>
      <c r="H38" t="e">
        <f t="shared" si="5"/>
        <v>#N/A</v>
      </c>
    </row>
    <row r="39" spans="1:8" x14ac:dyDescent="0.3">
      <c r="A39" t="s">
        <v>35</v>
      </c>
      <c r="B39" t="s">
        <v>34</v>
      </c>
      <c r="C39" t="s">
        <v>33</v>
      </c>
      <c r="E39">
        <v>39</v>
      </c>
      <c r="F39">
        <f t="shared" si="3"/>
        <v>1.931764</v>
      </c>
      <c r="G39">
        <f t="shared" si="4"/>
        <v>2.1944336999999998</v>
      </c>
      <c r="H39" t="e">
        <f t="shared" si="5"/>
        <v>#N/A</v>
      </c>
    </row>
    <row r="40" spans="1:8" x14ac:dyDescent="0.3">
      <c r="A40" t="s">
        <v>32</v>
      </c>
      <c r="B40" t="s">
        <v>31</v>
      </c>
      <c r="C40" t="s">
        <v>30</v>
      </c>
      <c r="E40">
        <v>40</v>
      </c>
      <c r="F40">
        <f t="shared" si="3"/>
        <v>1.9319375999999999</v>
      </c>
      <c r="G40">
        <f t="shared" si="4"/>
        <v>2.2307155000000001</v>
      </c>
      <c r="H40" t="e">
        <f t="shared" si="5"/>
        <v>#N/A</v>
      </c>
    </row>
    <row r="41" spans="1:8" x14ac:dyDescent="0.3">
      <c r="A41" t="s">
        <v>29</v>
      </c>
      <c r="B41" t="s">
        <v>28</v>
      </c>
      <c r="C41" t="s">
        <v>27</v>
      </c>
      <c r="E41">
        <v>41</v>
      </c>
      <c r="F41">
        <f t="shared" si="3"/>
        <v>1.9276648999999999</v>
      </c>
      <c r="G41">
        <f t="shared" si="4"/>
        <v>2.2068512</v>
      </c>
      <c r="H41" t="e">
        <f t="shared" si="5"/>
        <v>#N/A</v>
      </c>
    </row>
    <row r="42" spans="1:8" x14ac:dyDescent="0.3">
      <c r="A42" t="s">
        <v>26</v>
      </c>
      <c r="B42" t="s">
        <v>25</v>
      </c>
      <c r="C42" t="s">
        <v>24</v>
      </c>
      <c r="E42">
        <v>42</v>
      </c>
      <c r="F42">
        <f t="shared" si="3"/>
        <v>1.9440470999999999</v>
      </c>
      <c r="G42">
        <f t="shared" si="4"/>
        <v>2.2208998000000002</v>
      </c>
      <c r="H42" t="e">
        <f t="shared" si="5"/>
        <v>#N/A</v>
      </c>
    </row>
    <row r="43" spans="1:8" x14ac:dyDescent="0.3">
      <c r="A43" t="s">
        <v>23</v>
      </c>
      <c r="B43" t="s">
        <v>22</v>
      </c>
      <c r="C43" t="s">
        <v>21</v>
      </c>
      <c r="E43">
        <v>43</v>
      </c>
      <c r="F43">
        <f t="shared" si="3"/>
        <v>1.9266173</v>
      </c>
      <c r="G43">
        <f t="shared" si="4"/>
        <v>2.2033532</v>
      </c>
      <c r="H43" t="e">
        <f t="shared" si="5"/>
        <v>#N/A</v>
      </c>
    </row>
    <row r="44" spans="1:8" x14ac:dyDescent="0.3">
      <c r="A44" t="s">
        <v>20</v>
      </c>
      <c r="B44" t="s">
        <v>19</v>
      </c>
      <c r="C44" t="s">
        <v>18</v>
      </c>
      <c r="E44">
        <v>44</v>
      </c>
      <c r="F44">
        <f t="shared" si="3"/>
        <v>1.9214922999999999</v>
      </c>
      <c r="G44">
        <f t="shared" si="4"/>
        <v>2.2447026000000001</v>
      </c>
      <c r="H44" t="e">
        <f t="shared" si="5"/>
        <v>#N/A</v>
      </c>
    </row>
    <row r="45" spans="1:8" x14ac:dyDescent="0.3">
      <c r="A45" t="s">
        <v>17</v>
      </c>
      <c r="B45" t="s">
        <v>16</v>
      </c>
      <c r="C45" t="s">
        <v>15</v>
      </c>
      <c r="E45">
        <v>45</v>
      </c>
      <c r="F45">
        <f t="shared" si="3"/>
        <v>1.9216048999999999</v>
      </c>
      <c r="G45">
        <f t="shared" si="4"/>
        <v>2.2329729</v>
      </c>
      <c r="H45" t="e">
        <f t="shared" si="5"/>
        <v>#N/A</v>
      </c>
    </row>
    <row r="46" spans="1:8" x14ac:dyDescent="0.3">
      <c r="A46" t="s">
        <v>14</v>
      </c>
      <c r="B46" t="s">
        <v>13</v>
      </c>
      <c r="C46" t="s">
        <v>12</v>
      </c>
      <c r="E46">
        <v>46</v>
      </c>
      <c r="F46">
        <f t="shared" si="3"/>
        <v>1.9205478</v>
      </c>
      <c r="G46">
        <f t="shared" si="4"/>
        <v>2.2422395000000002</v>
      </c>
      <c r="H46" t="e">
        <f t="shared" si="5"/>
        <v>#N/A</v>
      </c>
    </row>
    <row r="47" spans="1:8" x14ac:dyDescent="0.3">
      <c r="A47" t="s">
        <v>11</v>
      </c>
      <c r="B47" t="s">
        <v>10</v>
      </c>
      <c r="C47" t="s">
        <v>9</v>
      </c>
      <c r="E47">
        <v>47</v>
      </c>
      <c r="F47">
        <f t="shared" si="3"/>
        <v>1.9236367999999999</v>
      </c>
      <c r="G47">
        <f t="shared" si="4"/>
        <v>2.2038001999999999</v>
      </c>
      <c r="H47" t="e">
        <f t="shared" si="5"/>
        <v>#N/A</v>
      </c>
    </row>
    <row r="48" spans="1:8" x14ac:dyDescent="0.3">
      <c r="A48" t="s">
        <v>8</v>
      </c>
      <c r="B48" t="s">
        <v>7</v>
      </c>
      <c r="C48" t="s">
        <v>6</v>
      </c>
      <c r="E48">
        <v>48</v>
      </c>
      <c r="F48">
        <f t="shared" si="3"/>
        <v>1.9142001</v>
      </c>
      <c r="G48">
        <f t="shared" si="4"/>
        <v>2.2428802999999999</v>
      </c>
      <c r="H48" t="e">
        <f t="shared" si="5"/>
        <v>#N/A</v>
      </c>
    </row>
    <row r="49" spans="1:8" x14ac:dyDescent="0.3">
      <c r="A49" t="s">
        <v>5</v>
      </c>
      <c r="B49" t="s">
        <v>4</v>
      </c>
      <c r="C49" t="s">
        <v>3</v>
      </c>
      <c r="E49">
        <v>49</v>
      </c>
      <c r="F49">
        <f t="shared" si="3"/>
        <v>1.9237040000000001</v>
      </c>
      <c r="G49">
        <f t="shared" si="4"/>
        <v>2.2124293000000002</v>
      </c>
      <c r="H49" t="e">
        <f t="shared" si="5"/>
        <v>#N/A</v>
      </c>
    </row>
    <row r="50" spans="1:8" x14ac:dyDescent="0.3">
      <c r="A50" t="s">
        <v>2</v>
      </c>
      <c r="B50" t="s">
        <v>1</v>
      </c>
      <c r="C50" t="s">
        <v>0</v>
      </c>
      <c r="E50">
        <v>50</v>
      </c>
      <c r="F50">
        <f t="shared" si="3"/>
        <v>1.9607984000000001</v>
      </c>
      <c r="G50">
        <f t="shared" si="4"/>
        <v>2.1772152999999999</v>
      </c>
      <c r="H50" t="e">
        <f t="shared" si="5"/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DB8A-F909-4DAD-B28F-82DE1F0AFD20}">
  <dimension ref="A1:H50"/>
  <sheetViews>
    <sheetView topLeftCell="B1" workbookViewId="0">
      <selection activeCell="J18" sqref="J18"/>
    </sheetView>
  </sheetViews>
  <sheetFormatPr defaultRowHeight="14.4" x14ac:dyDescent="0.3"/>
  <cols>
    <col min="1" max="1" width="33.44140625" customWidth="1"/>
    <col min="2" max="2" width="22.5546875" customWidth="1"/>
    <col min="3" max="3" width="21.109375" customWidth="1"/>
  </cols>
  <sheetData>
    <row r="1" spans="1:8" x14ac:dyDescent="0.3">
      <c r="A1" t="s">
        <v>149</v>
      </c>
      <c r="B1" t="s">
        <v>261</v>
      </c>
      <c r="C1" t="s">
        <v>260</v>
      </c>
      <c r="E1">
        <v>1</v>
      </c>
      <c r="F1">
        <f xml:space="preserve"> _xlfn.NUMBERVALUE(RIGHT(B1, LEN(B1) - 12),".")</f>
        <v>2.4752779999999999</v>
      </c>
      <c r="G1">
        <f xml:space="preserve"> _xlfn.NUMBERVALUE(RIGHT(C1, LEN(C1) - 11),".")</f>
        <v>2.3080962</v>
      </c>
      <c r="H1" t="e">
        <f>IF(G1=MIN($G$1:$G$100),G1,NA())</f>
        <v>#N/A</v>
      </c>
    </row>
    <row r="2" spans="1:8" x14ac:dyDescent="0.3">
      <c r="A2" t="s">
        <v>146</v>
      </c>
      <c r="B2" t="s">
        <v>259</v>
      </c>
      <c r="C2" t="s">
        <v>258</v>
      </c>
      <c r="E2">
        <v>2</v>
      </c>
      <c r="F2">
        <f xml:space="preserve"> _xlfn.NUMBERVALUE(RIGHT(B2, LEN(B2) - 12),".")</f>
        <v>2.2402853999999999</v>
      </c>
      <c r="G2">
        <f xml:space="preserve"> _xlfn.NUMBERVALUE(RIGHT(C2, LEN(C2) - 11),".")</f>
        <v>2.2685697</v>
      </c>
      <c r="H2" t="e">
        <f>IF(G2=MIN($G$1:$G$100),G2,NA())</f>
        <v>#N/A</v>
      </c>
    </row>
    <row r="3" spans="1:8" x14ac:dyDescent="0.3">
      <c r="A3" t="s">
        <v>143</v>
      </c>
      <c r="B3" t="s">
        <v>257</v>
      </c>
      <c r="C3" t="s">
        <v>256</v>
      </c>
      <c r="E3">
        <v>3</v>
      </c>
      <c r="F3">
        <f t="shared" ref="F3:F50" si="0" xml:space="preserve"> _xlfn.NUMBERVALUE(RIGHT(B3, LEN(B3) - 12),".")</f>
        <v>2.1936146999999999</v>
      </c>
      <c r="G3">
        <f t="shared" ref="G3:G50" si="1" xml:space="preserve"> _xlfn.NUMBERVALUE(RIGHT(C3, LEN(C3) - 11),".")</f>
        <v>2.2381790000000001</v>
      </c>
      <c r="H3" t="e">
        <f t="shared" ref="H3:H50" si="2">IF(G3=MIN($G$1:$G$100),G3,NA())</f>
        <v>#N/A</v>
      </c>
    </row>
    <row r="4" spans="1:8" x14ac:dyDescent="0.3">
      <c r="A4" t="s">
        <v>140</v>
      </c>
      <c r="B4" t="s">
        <v>255</v>
      </c>
      <c r="C4" t="s">
        <v>254</v>
      </c>
      <c r="E4">
        <v>4</v>
      </c>
      <c r="F4">
        <f t="shared" si="0"/>
        <v>2.1643400000000002</v>
      </c>
      <c r="G4">
        <f t="shared" si="1"/>
        <v>2.2547193000000001</v>
      </c>
      <c r="H4" t="e">
        <f t="shared" si="2"/>
        <v>#N/A</v>
      </c>
    </row>
    <row r="5" spans="1:8" x14ac:dyDescent="0.3">
      <c r="A5" t="s">
        <v>253</v>
      </c>
      <c r="B5" t="s">
        <v>252</v>
      </c>
      <c r="C5" t="s">
        <v>251</v>
      </c>
      <c r="E5">
        <v>5</v>
      </c>
      <c r="F5">
        <f t="shared" si="0"/>
        <v>2.1407351000000001</v>
      </c>
      <c r="G5">
        <f t="shared" si="1"/>
        <v>2.2142496</v>
      </c>
      <c r="H5" t="e">
        <f t="shared" si="2"/>
        <v>#N/A</v>
      </c>
    </row>
    <row r="6" spans="1:8" x14ac:dyDescent="0.3">
      <c r="A6" t="s">
        <v>134</v>
      </c>
      <c r="B6" t="s">
        <v>250</v>
      </c>
      <c r="C6" t="s">
        <v>249</v>
      </c>
      <c r="E6">
        <v>6</v>
      </c>
      <c r="F6">
        <f t="shared" si="0"/>
        <v>2.1222525000000001</v>
      </c>
      <c r="G6">
        <f t="shared" si="1"/>
        <v>2.2006006</v>
      </c>
      <c r="H6" t="e">
        <f t="shared" si="2"/>
        <v>#N/A</v>
      </c>
    </row>
    <row r="7" spans="1:8" x14ac:dyDescent="0.3">
      <c r="A7" t="s">
        <v>131</v>
      </c>
      <c r="B7" t="s">
        <v>248</v>
      </c>
      <c r="C7" t="s">
        <v>247</v>
      </c>
      <c r="E7">
        <v>7</v>
      </c>
      <c r="F7">
        <f t="shared" si="0"/>
        <v>2.1071024</v>
      </c>
      <c r="G7">
        <f t="shared" si="1"/>
        <v>2.1860979</v>
      </c>
      <c r="H7" t="e">
        <f t="shared" si="2"/>
        <v>#N/A</v>
      </c>
    </row>
    <row r="8" spans="1:8" x14ac:dyDescent="0.3">
      <c r="A8" t="s">
        <v>128</v>
      </c>
      <c r="B8" t="s">
        <v>246</v>
      </c>
      <c r="C8" t="s">
        <v>245</v>
      </c>
      <c r="E8">
        <v>8</v>
      </c>
      <c r="F8">
        <f t="shared" si="0"/>
        <v>2.0941944000000001</v>
      </c>
      <c r="G8">
        <f t="shared" si="1"/>
        <v>2.1959658000000002</v>
      </c>
      <c r="H8" t="e">
        <f t="shared" si="2"/>
        <v>#N/A</v>
      </c>
    </row>
    <row r="9" spans="1:8" x14ac:dyDescent="0.3">
      <c r="A9" t="s">
        <v>125</v>
      </c>
      <c r="B9" t="s">
        <v>244</v>
      </c>
      <c r="C9" t="s">
        <v>243</v>
      </c>
      <c r="E9">
        <v>9</v>
      </c>
      <c r="F9">
        <f t="shared" si="0"/>
        <v>2.082557</v>
      </c>
      <c r="G9">
        <f t="shared" si="1"/>
        <v>2.1846554</v>
      </c>
      <c r="H9" t="e">
        <f t="shared" si="2"/>
        <v>#N/A</v>
      </c>
    </row>
    <row r="10" spans="1:8" x14ac:dyDescent="0.3">
      <c r="A10" t="s">
        <v>242</v>
      </c>
      <c r="B10" t="s">
        <v>241</v>
      </c>
      <c r="C10" t="s">
        <v>240</v>
      </c>
      <c r="E10">
        <v>10</v>
      </c>
      <c r="F10">
        <f t="shared" si="0"/>
        <v>2.0733752000000001</v>
      </c>
      <c r="G10">
        <f t="shared" si="1"/>
        <v>2.1799569999999999</v>
      </c>
      <c r="H10" t="e">
        <f t="shared" si="2"/>
        <v>#N/A</v>
      </c>
    </row>
    <row r="11" spans="1:8" x14ac:dyDescent="0.3">
      <c r="A11" t="s">
        <v>239</v>
      </c>
      <c r="B11" t="s">
        <v>238</v>
      </c>
      <c r="C11" t="s">
        <v>237</v>
      </c>
      <c r="E11">
        <v>11</v>
      </c>
      <c r="F11">
        <f t="shared" si="0"/>
        <v>2.064368</v>
      </c>
      <c r="G11">
        <f t="shared" si="1"/>
        <v>2.1764950000000001</v>
      </c>
      <c r="H11" t="e">
        <f t="shared" si="2"/>
        <v>#N/A</v>
      </c>
    </row>
    <row r="12" spans="1:8" x14ac:dyDescent="0.3">
      <c r="A12" t="s">
        <v>236</v>
      </c>
      <c r="B12" t="s">
        <v>235</v>
      </c>
      <c r="C12" t="s">
        <v>234</v>
      </c>
      <c r="E12">
        <v>12</v>
      </c>
      <c r="F12">
        <f t="shared" si="0"/>
        <v>2.0569899999999999</v>
      </c>
      <c r="G12">
        <f t="shared" si="1"/>
        <v>2.1852459999999998</v>
      </c>
      <c r="H12" t="e">
        <f t="shared" si="2"/>
        <v>#N/A</v>
      </c>
    </row>
    <row r="13" spans="1:8" x14ac:dyDescent="0.3">
      <c r="A13" t="s">
        <v>113</v>
      </c>
      <c r="B13" t="s">
        <v>233</v>
      </c>
      <c r="C13" t="s">
        <v>232</v>
      </c>
      <c r="E13">
        <v>13</v>
      </c>
      <c r="F13">
        <f t="shared" si="0"/>
        <v>2.0498604999999999</v>
      </c>
      <c r="G13">
        <f t="shared" si="1"/>
        <v>2.1661052999999999</v>
      </c>
      <c r="H13" t="e">
        <f t="shared" si="2"/>
        <v>#N/A</v>
      </c>
    </row>
    <row r="14" spans="1:8" x14ac:dyDescent="0.3">
      <c r="A14" t="s">
        <v>231</v>
      </c>
      <c r="B14" t="s">
        <v>230</v>
      </c>
      <c r="C14" t="s">
        <v>229</v>
      </c>
      <c r="E14">
        <v>14</v>
      </c>
      <c r="F14">
        <f t="shared" si="0"/>
        <v>2.0431428</v>
      </c>
      <c r="G14">
        <f t="shared" si="1"/>
        <v>2.1762670000000002</v>
      </c>
      <c r="H14" t="e">
        <f t="shared" si="2"/>
        <v>#N/A</v>
      </c>
    </row>
    <row r="15" spans="1:8" x14ac:dyDescent="0.3">
      <c r="A15" t="s">
        <v>107</v>
      </c>
      <c r="B15" t="s">
        <v>228</v>
      </c>
      <c r="C15" t="s">
        <v>227</v>
      </c>
      <c r="E15">
        <v>15</v>
      </c>
      <c r="F15">
        <f t="shared" si="0"/>
        <v>2.0377743000000001</v>
      </c>
      <c r="G15">
        <f t="shared" si="1"/>
        <v>2.1557750000000002</v>
      </c>
      <c r="H15" t="e">
        <f t="shared" si="2"/>
        <v>#N/A</v>
      </c>
    </row>
    <row r="16" spans="1:8" x14ac:dyDescent="0.3">
      <c r="A16" t="s">
        <v>226</v>
      </c>
      <c r="B16" t="s">
        <v>225</v>
      </c>
      <c r="C16" t="s">
        <v>224</v>
      </c>
      <c r="E16">
        <v>16</v>
      </c>
      <c r="F16">
        <f t="shared" si="0"/>
        <v>2.0322293999999999</v>
      </c>
      <c r="G16">
        <f t="shared" si="1"/>
        <v>2.1620720000000002</v>
      </c>
      <c r="H16" t="e">
        <f t="shared" si="2"/>
        <v>#N/A</v>
      </c>
    </row>
    <row r="17" spans="1:8" x14ac:dyDescent="0.3">
      <c r="A17" t="s">
        <v>101</v>
      </c>
      <c r="B17" t="s">
        <v>223</v>
      </c>
      <c r="C17" t="s">
        <v>222</v>
      </c>
      <c r="E17">
        <v>17</v>
      </c>
      <c r="F17">
        <f t="shared" si="0"/>
        <v>2.0271335000000001</v>
      </c>
      <c r="G17">
        <f t="shared" si="1"/>
        <v>2.1735679999999999</v>
      </c>
      <c r="H17" t="e">
        <f t="shared" si="2"/>
        <v>#N/A</v>
      </c>
    </row>
    <row r="18" spans="1:8" x14ac:dyDescent="0.3">
      <c r="A18" t="s">
        <v>221</v>
      </c>
      <c r="B18" t="s">
        <v>220</v>
      </c>
      <c r="C18" t="s">
        <v>219</v>
      </c>
      <c r="E18">
        <v>18</v>
      </c>
      <c r="F18">
        <f t="shared" si="0"/>
        <v>2.0226899999999999</v>
      </c>
      <c r="G18">
        <f t="shared" si="1"/>
        <v>2.1473026000000002</v>
      </c>
      <c r="H18" t="e">
        <f t="shared" si="2"/>
        <v>#N/A</v>
      </c>
    </row>
    <row r="19" spans="1:8" x14ac:dyDescent="0.3">
      <c r="A19" t="s">
        <v>218</v>
      </c>
      <c r="B19" t="s">
        <v>217</v>
      </c>
      <c r="C19" t="s">
        <v>216</v>
      </c>
      <c r="E19">
        <v>19</v>
      </c>
      <c r="F19">
        <f t="shared" si="0"/>
        <v>2.018659</v>
      </c>
      <c r="G19">
        <f t="shared" si="1"/>
        <v>2.1504276</v>
      </c>
      <c r="H19" t="e">
        <f t="shared" si="2"/>
        <v>#N/A</v>
      </c>
    </row>
    <row r="20" spans="1:8" x14ac:dyDescent="0.3">
      <c r="A20" t="s">
        <v>92</v>
      </c>
      <c r="B20" t="s">
        <v>215</v>
      </c>
      <c r="C20" t="s">
        <v>214</v>
      </c>
      <c r="E20">
        <v>20</v>
      </c>
      <c r="F20">
        <f t="shared" si="0"/>
        <v>2.0146782000000001</v>
      </c>
      <c r="G20">
        <f t="shared" si="1"/>
        <v>2.1701035000000002</v>
      </c>
      <c r="H20" t="e">
        <f t="shared" si="2"/>
        <v>#N/A</v>
      </c>
    </row>
    <row r="21" spans="1:8" x14ac:dyDescent="0.3">
      <c r="A21" t="s">
        <v>89</v>
      </c>
      <c r="B21" t="s">
        <v>213</v>
      </c>
      <c r="C21" t="s">
        <v>212</v>
      </c>
      <c r="E21">
        <v>21</v>
      </c>
      <c r="F21">
        <f t="shared" si="0"/>
        <v>2.0106483000000002</v>
      </c>
      <c r="G21">
        <f t="shared" si="1"/>
        <v>2.1422346000000001</v>
      </c>
      <c r="H21" t="e">
        <f t="shared" si="2"/>
        <v>#N/A</v>
      </c>
    </row>
    <row r="22" spans="1:8" x14ac:dyDescent="0.3">
      <c r="A22" t="s">
        <v>211</v>
      </c>
      <c r="B22" t="s">
        <v>210</v>
      </c>
      <c r="C22" t="s">
        <v>209</v>
      </c>
      <c r="E22">
        <v>22</v>
      </c>
      <c r="F22">
        <f t="shared" si="0"/>
        <v>2.0071186999999999</v>
      </c>
      <c r="G22">
        <f t="shared" si="1"/>
        <v>2.1442565999999998</v>
      </c>
      <c r="H22" t="e">
        <f t="shared" si="2"/>
        <v>#N/A</v>
      </c>
    </row>
    <row r="23" spans="1:8" x14ac:dyDescent="0.3">
      <c r="A23" t="s">
        <v>83</v>
      </c>
      <c r="B23" t="s">
        <v>208</v>
      </c>
      <c r="C23" t="s">
        <v>207</v>
      </c>
      <c r="E23">
        <v>23</v>
      </c>
      <c r="F23">
        <f t="shared" si="0"/>
        <v>2.0038455000000002</v>
      </c>
      <c r="G23">
        <f t="shared" si="1"/>
        <v>2.1503543999999999</v>
      </c>
      <c r="H23" t="e">
        <f t="shared" si="2"/>
        <v>#N/A</v>
      </c>
    </row>
    <row r="24" spans="1:8" x14ac:dyDescent="0.3">
      <c r="A24" t="s">
        <v>80</v>
      </c>
      <c r="B24" t="s">
        <v>206</v>
      </c>
      <c r="C24" t="s">
        <v>205</v>
      </c>
      <c r="E24">
        <v>24</v>
      </c>
      <c r="F24">
        <f t="shared" si="0"/>
        <v>2.0007261999999999</v>
      </c>
      <c r="G24">
        <f t="shared" si="1"/>
        <v>2.1539942999999999</v>
      </c>
      <c r="H24" t="e">
        <f t="shared" si="2"/>
        <v>#N/A</v>
      </c>
    </row>
    <row r="25" spans="1:8" x14ac:dyDescent="0.3">
      <c r="A25" t="s">
        <v>77</v>
      </c>
      <c r="B25" t="s">
        <v>204</v>
      </c>
      <c r="C25" t="s">
        <v>203</v>
      </c>
      <c r="E25">
        <v>25</v>
      </c>
      <c r="F25">
        <f t="shared" si="0"/>
        <v>1.9973942</v>
      </c>
      <c r="G25">
        <f t="shared" si="1"/>
        <v>2.1551445</v>
      </c>
      <c r="H25" t="e">
        <f t="shared" si="2"/>
        <v>#N/A</v>
      </c>
    </row>
    <row r="26" spans="1:8" x14ac:dyDescent="0.3">
      <c r="A26" t="s">
        <v>74</v>
      </c>
      <c r="B26" t="s">
        <v>202</v>
      </c>
      <c r="C26" t="s">
        <v>201</v>
      </c>
      <c r="E26">
        <v>26</v>
      </c>
      <c r="F26">
        <f t="shared" si="0"/>
        <v>1.9946140999999999</v>
      </c>
      <c r="G26">
        <f t="shared" si="1"/>
        <v>2.1379488000000002</v>
      </c>
      <c r="H26" t="e">
        <f t="shared" si="2"/>
        <v>#N/A</v>
      </c>
    </row>
    <row r="27" spans="1:8" x14ac:dyDescent="0.3">
      <c r="A27" t="s">
        <v>200</v>
      </c>
      <c r="B27" t="s">
        <v>199</v>
      </c>
      <c r="C27" t="s">
        <v>198</v>
      </c>
      <c r="E27">
        <v>27</v>
      </c>
      <c r="F27">
        <f t="shared" si="0"/>
        <v>1.9919902</v>
      </c>
      <c r="G27">
        <f t="shared" si="1"/>
        <v>2.1373932</v>
      </c>
      <c r="H27" t="e">
        <f t="shared" si="2"/>
        <v>#N/A</v>
      </c>
    </row>
    <row r="28" spans="1:8" x14ac:dyDescent="0.3">
      <c r="A28" t="s">
        <v>197</v>
      </c>
      <c r="B28" t="s">
        <v>196</v>
      </c>
      <c r="C28" t="s">
        <v>195</v>
      </c>
      <c r="E28">
        <v>28</v>
      </c>
      <c r="F28">
        <f t="shared" si="0"/>
        <v>1.9891239999999999</v>
      </c>
      <c r="G28">
        <f t="shared" si="1"/>
        <v>2.1291294000000001</v>
      </c>
      <c r="H28">
        <f t="shared" si="2"/>
        <v>2.1291294000000001</v>
      </c>
    </row>
    <row r="29" spans="1:8" x14ac:dyDescent="0.3">
      <c r="A29" t="s">
        <v>194</v>
      </c>
      <c r="B29" t="s">
        <v>193</v>
      </c>
      <c r="C29" t="s">
        <v>192</v>
      </c>
      <c r="E29">
        <v>29</v>
      </c>
      <c r="F29">
        <f t="shared" si="0"/>
        <v>1.9869721</v>
      </c>
      <c r="G29">
        <f t="shared" si="1"/>
        <v>2.1405542</v>
      </c>
      <c r="H29" t="e">
        <f t="shared" si="2"/>
        <v>#N/A</v>
      </c>
    </row>
    <row r="30" spans="1:8" x14ac:dyDescent="0.3">
      <c r="A30" t="s">
        <v>62</v>
      </c>
      <c r="B30" t="s">
        <v>191</v>
      </c>
      <c r="C30" t="s">
        <v>190</v>
      </c>
      <c r="E30">
        <v>30</v>
      </c>
      <c r="F30">
        <f t="shared" si="0"/>
        <v>1.9846119</v>
      </c>
      <c r="G30">
        <f t="shared" si="1"/>
        <v>2.1365660000000002</v>
      </c>
      <c r="H30" t="e">
        <f t="shared" si="2"/>
        <v>#N/A</v>
      </c>
    </row>
    <row r="31" spans="1:8" x14ac:dyDescent="0.3">
      <c r="A31" t="s">
        <v>59</v>
      </c>
      <c r="B31" t="s">
        <v>189</v>
      </c>
      <c r="C31" t="s">
        <v>188</v>
      </c>
      <c r="E31">
        <v>31</v>
      </c>
      <c r="F31">
        <f t="shared" si="0"/>
        <v>1.9825279</v>
      </c>
      <c r="G31">
        <f t="shared" si="1"/>
        <v>2.1517339999999998</v>
      </c>
      <c r="H31" t="e">
        <f t="shared" si="2"/>
        <v>#N/A</v>
      </c>
    </row>
    <row r="32" spans="1:8" x14ac:dyDescent="0.3">
      <c r="A32" t="s">
        <v>56</v>
      </c>
      <c r="B32" t="s">
        <v>187</v>
      </c>
      <c r="C32" t="s">
        <v>186</v>
      </c>
      <c r="E32">
        <v>32</v>
      </c>
      <c r="F32">
        <f t="shared" si="0"/>
        <v>1.9803618000000001</v>
      </c>
      <c r="G32">
        <f t="shared" si="1"/>
        <v>2.1606188</v>
      </c>
      <c r="H32" t="e">
        <f t="shared" si="2"/>
        <v>#N/A</v>
      </c>
    </row>
    <row r="33" spans="1:8" x14ac:dyDescent="0.3">
      <c r="A33" t="s">
        <v>53</v>
      </c>
      <c r="B33" t="s">
        <v>185</v>
      </c>
      <c r="C33" t="s">
        <v>184</v>
      </c>
      <c r="E33">
        <v>33</v>
      </c>
      <c r="F33">
        <f t="shared" si="0"/>
        <v>1.9781529</v>
      </c>
      <c r="G33">
        <f t="shared" si="1"/>
        <v>2.1567237000000001</v>
      </c>
      <c r="H33" t="e">
        <f t="shared" si="2"/>
        <v>#N/A</v>
      </c>
    </row>
    <row r="34" spans="1:8" x14ac:dyDescent="0.3">
      <c r="A34" t="s">
        <v>50</v>
      </c>
      <c r="B34" t="s">
        <v>183</v>
      </c>
      <c r="C34" t="s">
        <v>182</v>
      </c>
      <c r="E34">
        <v>34</v>
      </c>
      <c r="F34">
        <f t="shared" si="0"/>
        <v>1.9760131000000001</v>
      </c>
      <c r="G34">
        <f t="shared" si="1"/>
        <v>2.150687</v>
      </c>
      <c r="H34" t="e">
        <f t="shared" si="2"/>
        <v>#N/A</v>
      </c>
    </row>
    <row r="35" spans="1:8" x14ac:dyDescent="0.3">
      <c r="A35" t="s">
        <v>47</v>
      </c>
      <c r="B35" t="s">
        <v>181</v>
      </c>
      <c r="C35" t="s">
        <v>180</v>
      </c>
      <c r="E35">
        <v>35</v>
      </c>
      <c r="F35">
        <f t="shared" si="0"/>
        <v>1.9741285</v>
      </c>
      <c r="G35">
        <f t="shared" si="1"/>
        <v>2.150439</v>
      </c>
      <c r="H35" t="e">
        <f t="shared" si="2"/>
        <v>#N/A</v>
      </c>
    </row>
    <row r="36" spans="1:8" x14ac:dyDescent="0.3">
      <c r="A36" t="s">
        <v>44</v>
      </c>
      <c r="B36" t="s">
        <v>179</v>
      </c>
      <c r="C36" t="s">
        <v>178</v>
      </c>
      <c r="E36">
        <v>36</v>
      </c>
      <c r="F36">
        <f t="shared" si="0"/>
        <v>1.9716752</v>
      </c>
      <c r="G36">
        <f t="shared" si="1"/>
        <v>2.1387277</v>
      </c>
      <c r="H36" t="e">
        <f t="shared" si="2"/>
        <v>#N/A</v>
      </c>
    </row>
    <row r="37" spans="1:8" x14ac:dyDescent="0.3">
      <c r="A37" t="s">
        <v>41</v>
      </c>
      <c r="B37" t="s">
        <v>177</v>
      </c>
      <c r="C37" t="s">
        <v>176</v>
      </c>
      <c r="E37">
        <v>37</v>
      </c>
      <c r="F37">
        <f t="shared" si="0"/>
        <v>1.9700541</v>
      </c>
      <c r="G37">
        <f t="shared" si="1"/>
        <v>2.154264</v>
      </c>
      <c r="H37" t="e">
        <f t="shared" si="2"/>
        <v>#N/A</v>
      </c>
    </row>
    <row r="38" spans="1:8" x14ac:dyDescent="0.3">
      <c r="A38" t="s">
        <v>38</v>
      </c>
      <c r="B38" t="s">
        <v>175</v>
      </c>
      <c r="C38" t="s">
        <v>174</v>
      </c>
      <c r="E38">
        <v>38</v>
      </c>
      <c r="F38">
        <f t="shared" si="0"/>
        <v>1.9685702</v>
      </c>
      <c r="G38">
        <f t="shared" si="1"/>
        <v>2.1648990000000001</v>
      </c>
      <c r="H38" t="e">
        <f t="shared" si="2"/>
        <v>#N/A</v>
      </c>
    </row>
    <row r="39" spans="1:8" x14ac:dyDescent="0.3">
      <c r="A39" t="s">
        <v>35</v>
      </c>
      <c r="B39" t="s">
        <v>173</v>
      </c>
      <c r="C39" t="s">
        <v>172</v>
      </c>
      <c r="E39">
        <v>39</v>
      </c>
      <c r="F39">
        <f t="shared" si="0"/>
        <v>1.9669261</v>
      </c>
      <c r="G39">
        <f t="shared" si="1"/>
        <v>2.1425399999999999</v>
      </c>
      <c r="H39" t="e">
        <f t="shared" si="2"/>
        <v>#N/A</v>
      </c>
    </row>
    <row r="40" spans="1:8" x14ac:dyDescent="0.3">
      <c r="A40" t="s">
        <v>32</v>
      </c>
      <c r="B40" t="s">
        <v>171</v>
      </c>
      <c r="C40" t="s">
        <v>170</v>
      </c>
      <c r="E40">
        <v>40</v>
      </c>
      <c r="F40">
        <f t="shared" si="0"/>
        <v>1.9652479</v>
      </c>
      <c r="G40">
        <f t="shared" si="1"/>
        <v>2.1573465000000001</v>
      </c>
      <c r="H40" t="e">
        <f t="shared" si="2"/>
        <v>#N/A</v>
      </c>
    </row>
    <row r="41" spans="1:8" x14ac:dyDescent="0.3">
      <c r="A41" t="s">
        <v>29</v>
      </c>
      <c r="B41" t="s">
        <v>169</v>
      </c>
      <c r="C41" t="s">
        <v>168</v>
      </c>
      <c r="E41">
        <v>41</v>
      </c>
      <c r="F41">
        <f t="shared" si="0"/>
        <v>1.9633147</v>
      </c>
      <c r="G41">
        <f t="shared" si="1"/>
        <v>2.1385261999999998</v>
      </c>
      <c r="H41" t="e">
        <f t="shared" si="2"/>
        <v>#N/A</v>
      </c>
    </row>
    <row r="42" spans="1:8" x14ac:dyDescent="0.3">
      <c r="A42" t="s">
        <v>26</v>
      </c>
      <c r="B42" t="s">
        <v>167</v>
      </c>
      <c r="C42" t="s">
        <v>166</v>
      </c>
      <c r="E42">
        <v>42</v>
      </c>
      <c r="F42">
        <f t="shared" si="0"/>
        <v>1.9617808999999999</v>
      </c>
      <c r="G42">
        <f t="shared" si="1"/>
        <v>2.1539769999999998</v>
      </c>
      <c r="H42" t="e">
        <f t="shared" si="2"/>
        <v>#N/A</v>
      </c>
    </row>
    <row r="43" spans="1:8" x14ac:dyDescent="0.3">
      <c r="A43" t="s">
        <v>23</v>
      </c>
      <c r="B43" t="s">
        <v>165</v>
      </c>
      <c r="C43" t="s">
        <v>164</v>
      </c>
      <c r="E43">
        <v>43</v>
      </c>
      <c r="F43">
        <f t="shared" si="0"/>
        <v>1.9605845</v>
      </c>
      <c r="G43">
        <f t="shared" si="1"/>
        <v>2.1302457000000001</v>
      </c>
      <c r="H43" t="e">
        <f t="shared" si="2"/>
        <v>#N/A</v>
      </c>
    </row>
    <row r="44" spans="1:8" x14ac:dyDescent="0.3">
      <c r="A44" t="s">
        <v>20</v>
      </c>
      <c r="B44" t="s">
        <v>163</v>
      </c>
      <c r="C44" t="s">
        <v>162</v>
      </c>
      <c r="E44">
        <v>44</v>
      </c>
      <c r="F44">
        <f t="shared" si="0"/>
        <v>1.959139</v>
      </c>
      <c r="G44">
        <f t="shared" si="1"/>
        <v>2.1449528</v>
      </c>
      <c r="H44" t="e">
        <f t="shared" si="2"/>
        <v>#N/A</v>
      </c>
    </row>
    <row r="45" spans="1:8" x14ac:dyDescent="0.3">
      <c r="A45" t="s">
        <v>17</v>
      </c>
      <c r="B45" t="s">
        <v>161</v>
      </c>
      <c r="C45" t="s">
        <v>160</v>
      </c>
      <c r="E45">
        <v>45</v>
      </c>
      <c r="F45">
        <f t="shared" si="0"/>
        <v>1.9578707</v>
      </c>
      <c r="G45">
        <f t="shared" si="1"/>
        <v>2.1330707000000002</v>
      </c>
      <c r="H45" t="e">
        <f t="shared" si="2"/>
        <v>#N/A</v>
      </c>
    </row>
    <row r="46" spans="1:8" x14ac:dyDescent="0.3">
      <c r="A46" t="s">
        <v>14</v>
      </c>
      <c r="B46" t="s">
        <v>159</v>
      </c>
      <c r="C46" t="s">
        <v>158</v>
      </c>
      <c r="E46">
        <v>46</v>
      </c>
      <c r="F46">
        <f t="shared" si="0"/>
        <v>1.9565006</v>
      </c>
      <c r="G46">
        <f t="shared" si="1"/>
        <v>2.1389209999999999</v>
      </c>
      <c r="H46" t="e">
        <f t="shared" si="2"/>
        <v>#N/A</v>
      </c>
    </row>
    <row r="47" spans="1:8" x14ac:dyDescent="0.3">
      <c r="A47" t="s">
        <v>11</v>
      </c>
      <c r="B47" t="s">
        <v>157</v>
      </c>
      <c r="C47" t="s">
        <v>156</v>
      </c>
      <c r="E47">
        <v>47</v>
      </c>
      <c r="F47">
        <f t="shared" si="0"/>
        <v>1.9552039000000001</v>
      </c>
      <c r="G47">
        <f t="shared" si="1"/>
        <v>2.1403759999999998</v>
      </c>
      <c r="H47" t="e">
        <f t="shared" si="2"/>
        <v>#N/A</v>
      </c>
    </row>
    <row r="48" spans="1:8" x14ac:dyDescent="0.3">
      <c r="A48" t="s">
        <v>8</v>
      </c>
      <c r="B48" t="s">
        <v>155</v>
      </c>
      <c r="C48" t="s">
        <v>154</v>
      </c>
      <c r="E48">
        <v>48</v>
      </c>
      <c r="F48">
        <f t="shared" si="0"/>
        <v>1.9538279999999999</v>
      </c>
      <c r="G48">
        <f t="shared" si="1"/>
        <v>2.1484158</v>
      </c>
      <c r="H48" t="e">
        <f t="shared" si="2"/>
        <v>#N/A</v>
      </c>
    </row>
    <row r="49" spans="1:8" x14ac:dyDescent="0.3">
      <c r="A49" t="s">
        <v>5</v>
      </c>
      <c r="B49" t="s">
        <v>153</v>
      </c>
      <c r="C49" t="s">
        <v>152</v>
      </c>
      <c r="E49">
        <v>49</v>
      </c>
      <c r="F49">
        <f t="shared" si="0"/>
        <v>1.9524596000000001</v>
      </c>
      <c r="G49">
        <f t="shared" si="1"/>
        <v>2.1378089999999998</v>
      </c>
      <c r="H49" t="e">
        <f t="shared" si="2"/>
        <v>#N/A</v>
      </c>
    </row>
    <row r="50" spans="1:8" x14ac:dyDescent="0.3">
      <c r="A50" t="s">
        <v>2</v>
      </c>
      <c r="B50" t="s">
        <v>151</v>
      </c>
      <c r="C50" t="s">
        <v>150</v>
      </c>
      <c r="E50">
        <v>50</v>
      </c>
      <c r="F50">
        <f t="shared" si="0"/>
        <v>1.9514407</v>
      </c>
      <c r="G50">
        <f t="shared" si="1"/>
        <v>2.1490505</v>
      </c>
      <c r="H50" t="e">
        <f t="shared" si="2"/>
        <v>#N/A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CE66-A1DA-4EC4-B811-740CB3125B1C}">
  <dimension ref="A1:H50"/>
  <sheetViews>
    <sheetView workbookViewId="0">
      <selection activeCell="K20" sqref="K20"/>
    </sheetView>
  </sheetViews>
  <sheetFormatPr defaultRowHeight="14.4" x14ac:dyDescent="0.3"/>
  <cols>
    <col min="1" max="1" width="35.21875" customWidth="1"/>
    <col min="2" max="2" width="29.6640625" customWidth="1"/>
    <col min="3" max="3" width="25.5546875" customWidth="1"/>
  </cols>
  <sheetData>
    <row r="1" spans="1:8" x14ac:dyDescent="0.3">
      <c r="A1" t="s">
        <v>149</v>
      </c>
      <c r="B1" t="s">
        <v>364</v>
      </c>
      <c r="C1" t="s">
        <v>363</v>
      </c>
      <c r="E1">
        <v>1</v>
      </c>
      <c r="F1">
        <f xml:space="preserve"> _xlfn.NUMBERVALUE(RIGHT(B1, LEN(B1) - 12),".")</f>
        <v>2.4809934999999999</v>
      </c>
      <c r="G1">
        <f xml:space="preserve"> _xlfn.NUMBERVALUE(RIGHT(C1, LEN(C1) - 11),".")</f>
        <v>2.3462431000000001</v>
      </c>
      <c r="H1" t="e">
        <f>IF(G1=MIN($G$1:$G$100),G1,NA())</f>
        <v>#N/A</v>
      </c>
    </row>
    <row r="2" spans="1:8" x14ac:dyDescent="0.3">
      <c r="A2" t="s">
        <v>146</v>
      </c>
      <c r="B2" t="s">
        <v>362</v>
      </c>
      <c r="C2" t="s">
        <v>361</v>
      </c>
      <c r="E2">
        <v>2</v>
      </c>
      <c r="F2">
        <f xml:space="preserve"> _xlfn.NUMBERVALUE(RIGHT(B2, LEN(B2) - 12),".")</f>
        <v>2.2412493000000002</v>
      </c>
      <c r="G2">
        <f xml:space="preserve"> _xlfn.NUMBERVALUE(RIGHT(C2, LEN(C2) - 11),".")</f>
        <v>2.2947009</v>
      </c>
      <c r="H2" t="e">
        <f>IF(G2=MIN($G$1:$G$100),G2,NA())</f>
        <v>#N/A</v>
      </c>
    </row>
    <row r="3" spans="1:8" x14ac:dyDescent="0.3">
      <c r="A3" t="s">
        <v>143</v>
      </c>
      <c r="B3" t="s">
        <v>360</v>
      </c>
      <c r="C3" t="s">
        <v>359</v>
      </c>
      <c r="E3">
        <v>3</v>
      </c>
      <c r="F3">
        <f t="shared" ref="F3:F50" si="0" xml:space="preserve"> _xlfn.NUMBERVALUE(RIGHT(B3, LEN(B3) - 12),".")</f>
        <v>2.1933748999999998</v>
      </c>
      <c r="G3">
        <f t="shared" ref="G3:G50" si="1" xml:space="preserve"> _xlfn.NUMBERVALUE(RIGHT(C3, LEN(C3) - 11),".")</f>
        <v>2.2833853</v>
      </c>
      <c r="H3" t="e">
        <f>IF(G3=MIN($G$1:$G$100),G3,NA())</f>
        <v>#N/A</v>
      </c>
    </row>
    <row r="4" spans="1:8" x14ac:dyDescent="0.3">
      <c r="A4" t="s">
        <v>140</v>
      </c>
      <c r="B4" t="s">
        <v>358</v>
      </c>
      <c r="C4" t="s">
        <v>357</v>
      </c>
      <c r="E4">
        <v>4</v>
      </c>
      <c r="F4">
        <f t="shared" si="0"/>
        <v>2.1628210000000001</v>
      </c>
      <c r="G4">
        <f t="shared" si="1"/>
        <v>2.2662198999999998</v>
      </c>
      <c r="H4" t="e">
        <f>IF(G4=MIN($G$1:$G$100),G4,NA())</f>
        <v>#N/A</v>
      </c>
    </row>
    <row r="5" spans="1:8" x14ac:dyDescent="0.3">
      <c r="A5" t="s">
        <v>137</v>
      </c>
      <c r="B5" t="s">
        <v>356</v>
      </c>
      <c r="C5" t="s">
        <v>355</v>
      </c>
      <c r="E5">
        <v>5</v>
      </c>
      <c r="F5">
        <f t="shared" si="0"/>
        <v>2.1384911999999998</v>
      </c>
      <c r="G5">
        <f t="shared" si="1"/>
        <v>2.2287127999999998</v>
      </c>
      <c r="H5" t="e">
        <f t="shared" ref="H5:H50" si="2">IF(G5=MIN($G$1:$G$100),G5,NA())</f>
        <v>#N/A</v>
      </c>
    </row>
    <row r="6" spans="1:8" x14ac:dyDescent="0.3">
      <c r="A6" t="s">
        <v>134</v>
      </c>
      <c r="B6" t="s">
        <v>354</v>
      </c>
      <c r="C6" t="s">
        <v>353</v>
      </c>
      <c r="E6">
        <v>6</v>
      </c>
      <c r="F6">
        <f t="shared" si="0"/>
        <v>2.1209368999999998</v>
      </c>
      <c r="G6">
        <f t="shared" si="1"/>
        <v>2.2229486000000001</v>
      </c>
      <c r="H6" t="e">
        <f t="shared" si="2"/>
        <v>#N/A</v>
      </c>
    </row>
    <row r="7" spans="1:8" x14ac:dyDescent="0.3">
      <c r="A7" t="s">
        <v>131</v>
      </c>
      <c r="B7" t="s">
        <v>352</v>
      </c>
      <c r="C7" t="s">
        <v>351</v>
      </c>
      <c r="E7">
        <v>7</v>
      </c>
      <c r="F7">
        <f t="shared" si="0"/>
        <v>2.1046515000000001</v>
      </c>
      <c r="G7">
        <f t="shared" si="1"/>
        <v>2.2152314</v>
      </c>
      <c r="H7" t="e">
        <f t="shared" si="2"/>
        <v>#N/A</v>
      </c>
    </row>
    <row r="8" spans="1:8" x14ac:dyDescent="0.3">
      <c r="A8" t="s">
        <v>128</v>
      </c>
      <c r="B8" t="s">
        <v>350</v>
      </c>
      <c r="C8" t="s">
        <v>349</v>
      </c>
      <c r="E8">
        <v>8</v>
      </c>
      <c r="F8">
        <f t="shared" si="0"/>
        <v>2.0911461999999998</v>
      </c>
      <c r="G8">
        <f t="shared" si="1"/>
        <v>2.2095451000000002</v>
      </c>
      <c r="H8" t="e">
        <f t="shared" si="2"/>
        <v>#N/A</v>
      </c>
    </row>
    <row r="9" spans="1:8" x14ac:dyDescent="0.3">
      <c r="A9" t="s">
        <v>348</v>
      </c>
      <c r="B9" t="s">
        <v>347</v>
      </c>
      <c r="C9" t="s">
        <v>346</v>
      </c>
      <c r="E9">
        <v>9</v>
      </c>
      <c r="F9">
        <f t="shared" si="0"/>
        <v>2.0803962</v>
      </c>
      <c r="G9">
        <f t="shared" si="1"/>
        <v>2.205257</v>
      </c>
      <c r="H9" t="e">
        <f t="shared" si="2"/>
        <v>#N/A</v>
      </c>
    </row>
    <row r="10" spans="1:8" x14ac:dyDescent="0.3">
      <c r="A10" t="s">
        <v>242</v>
      </c>
      <c r="B10" t="s">
        <v>345</v>
      </c>
      <c r="C10" t="s">
        <v>344</v>
      </c>
      <c r="E10">
        <v>10</v>
      </c>
      <c r="F10">
        <f t="shared" si="0"/>
        <v>2.0705786000000002</v>
      </c>
      <c r="G10">
        <f t="shared" si="1"/>
        <v>2.1917892000000001</v>
      </c>
      <c r="H10" t="e">
        <f t="shared" si="2"/>
        <v>#N/A</v>
      </c>
    </row>
    <row r="11" spans="1:8" x14ac:dyDescent="0.3">
      <c r="A11" t="s">
        <v>239</v>
      </c>
      <c r="B11" t="s">
        <v>343</v>
      </c>
      <c r="C11" t="s">
        <v>342</v>
      </c>
      <c r="E11">
        <v>11</v>
      </c>
      <c r="F11">
        <f t="shared" si="0"/>
        <v>2.0618284</v>
      </c>
      <c r="G11">
        <f t="shared" si="1"/>
        <v>2.1987193</v>
      </c>
      <c r="H11" t="e">
        <f t="shared" si="2"/>
        <v>#N/A</v>
      </c>
    </row>
    <row r="12" spans="1:8" x14ac:dyDescent="0.3">
      <c r="A12" t="s">
        <v>116</v>
      </c>
      <c r="B12" t="s">
        <v>341</v>
      </c>
      <c r="C12" t="s">
        <v>340</v>
      </c>
      <c r="E12">
        <v>12</v>
      </c>
      <c r="F12">
        <f t="shared" si="0"/>
        <v>2.0533790000000001</v>
      </c>
      <c r="G12">
        <f t="shared" si="1"/>
        <v>2.1992959999999999</v>
      </c>
      <c r="H12" t="e">
        <f t="shared" si="2"/>
        <v>#N/A</v>
      </c>
    </row>
    <row r="13" spans="1:8" x14ac:dyDescent="0.3">
      <c r="A13" t="s">
        <v>113</v>
      </c>
      <c r="B13" t="s">
        <v>339</v>
      </c>
      <c r="C13" t="s">
        <v>338</v>
      </c>
      <c r="E13">
        <v>13</v>
      </c>
      <c r="F13">
        <f t="shared" si="0"/>
        <v>2.0470595</v>
      </c>
      <c r="G13">
        <f t="shared" si="1"/>
        <v>2.2006602000000002</v>
      </c>
      <c r="H13" t="e">
        <f t="shared" si="2"/>
        <v>#N/A</v>
      </c>
    </row>
    <row r="14" spans="1:8" x14ac:dyDescent="0.3">
      <c r="A14" t="s">
        <v>110</v>
      </c>
      <c r="B14" t="s">
        <v>337</v>
      </c>
      <c r="C14" t="s">
        <v>336</v>
      </c>
      <c r="E14">
        <v>14</v>
      </c>
      <c r="F14">
        <f t="shared" si="0"/>
        <v>2.0400333000000002</v>
      </c>
      <c r="G14">
        <f t="shared" si="1"/>
        <v>2.1958682999999999</v>
      </c>
      <c r="H14" t="e">
        <f t="shared" si="2"/>
        <v>#N/A</v>
      </c>
    </row>
    <row r="15" spans="1:8" x14ac:dyDescent="0.3">
      <c r="A15" t="s">
        <v>107</v>
      </c>
      <c r="B15" t="s">
        <v>335</v>
      </c>
      <c r="C15" t="s">
        <v>334</v>
      </c>
      <c r="E15">
        <v>15</v>
      </c>
      <c r="F15">
        <f t="shared" si="0"/>
        <v>2.0344152000000002</v>
      </c>
      <c r="G15">
        <f t="shared" si="1"/>
        <v>2.1900984999999999</v>
      </c>
      <c r="H15" t="e">
        <f t="shared" si="2"/>
        <v>#N/A</v>
      </c>
    </row>
    <row r="16" spans="1:8" x14ac:dyDescent="0.3">
      <c r="A16" t="s">
        <v>226</v>
      </c>
      <c r="B16" t="s">
        <v>333</v>
      </c>
      <c r="C16" t="s">
        <v>332</v>
      </c>
      <c r="E16">
        <v>16</v>
      </c>
      <c r="F16">
        <f t="shared" si="0"/>
        <v>2.029398</v>
      </c>
      <c r="G16">
        <f t="shared" si="1"/>
        <v>2.1970133999999999</v>
      </c>
      <c r="H16" t="e">
        <f t="shared" si="2"/>
        <v>#N/A</v>
      </c>
    </row>
    <row r="17" spans="1:8" x14ac:dyDescent="0.3">
      <c r="A17" t="s">
        <v>101</v>
      </c>
      <c r="B17" t="s">
        <v>331</v>
      </c>
      <c r="C17" t="s">
        <v>330</v>
      </c>
      <c r="E17">
        <v>17</v>
      </c>
      <c r="F17">
        <f t="shared" si="0"/>
        <v>2.0239975000000001</v>
      </c>
      <c r="G17">
        <f t="shared" si="1"/>
        <v>2.1932364</v>
      </c>
      <c r="H17" t="e">
        <f t="shared" si="2"/>
        <v>#N/A</v>
      </c>
    </row>
    <row r="18" spans="1:8" x14ac:dyDescent="0.3">
      <c r="A18" t="s">
        <v>221</v>
      </c>
      <c r="B18" t="s">
        <v>329</v>
      </c>
      <c r="C18" t="s">
        <v>328</v>
      </c>
      <c r="E18">
        <v>18</v>
      </c>
      <c r="F18">
        <f t="shared" si="0"/>
        <v>2.0192838000000002</v>
      </c>
      <c r="G18">
        <f t="shared" si="1"/>
        <v>2.2021804</v>
      </c>
      <c r="H18" t="e">
        <f t="shared" si="2"/>
        <v>#N/A</v>
      </c>
    </row>
    <row r="19" spans="1:8" x14ac:dyDescent="0.3">
      <c r="A19" t="s">
        <v>95</v>
      </c>
      <c r="B19" t="s">
        <v>327</v>
      </c>
      <c r="C19" t="s">
        <v>326</v>
      </c>
      <c r="E19">
        <v>19</v>
      </c>
      <c r="F19">
        <f t="shared" si="0"/>
        <v>2.0154239999999999</v>
      </c>
      <c r="G19">
        <f t="shared" si="1"/>
        <v>2.1934817</v>
      </c>
      <c r="H19" t="e">
        <f t="shared" si="2"/>
        <v>#N/A</v>
      </c>
    </row>
    <row r="20" spans="1:8" x14ac:dyDescent="0.3">
      <c r="A20" t="s">
        <v>92</v>
      </c>
      <c r="B20" t="s">
        <v>325</v>
      </c>
      <c r="C20" t="s">
        <v>324</v>
      </c>
      <c r="E20">
        <v>20</v>
      </c>
      <c r="F20">
        <f t="shared" si="0"/>
        <v>2.0108921999999998</v>
      </c>
      <c r="G20">
        <f t="shared" si="1"/>
        <v>2.1695156</v>
      </c>
      <c r="H20" t="e">
        <f t="shared" si="2"/>
        <v>#N/A</v>
      </c>
    </row>
    <row r="21" spans="1:8" x14ac:dyDescent="0.3">
      <c r="A21" t="s">
        <v>323</v>
      </c>
      <c r="B21" t="s">
        <v>322</v>
      </c>
      <c r="C21" t="s">
        <v>321</v>
      </c>
      <c r="E21">
        <v>21</v>
      </c>
      <c r="F21">
        <f t="shared" si="0"/>
        <v>2.006904</v>
      </c>
      <c r="G21">
        <f t="shared" si="1"/>
        <v>2.1835494</v>
      </c>
      <c r="H21" t="e">
        <f t="shared" si="2"/>
        <v>#N/A</v>
      </c>
    </row>
    <row r="22" spans="1:8" x14ac:dyDescent="0.3">
      <c r="A22" t="s">
        <v>86</v>
      </c>
      <c r="B22" t="s">
        <v>320</v>
      </c>
      <c r="C22" t="s">
        <v>319</v>
      </c>
      <c r="E22">
        <v>22</v>
      </c>
      <c r="F22">
        <f t="shared" si="0"/>
        <v>2.0036108000000001</v>
      </c>
      <c r="G22">
        <f t="shared" si="1"/>
        <v>2.1957586</v>
      </c>
      <c r="H22" t="e">
        <f t="shared" si="2"/>
        <v>#N/A</v>
      </c>
    </row>
    <row r="23" spans="1:8" x14ac:dyDescent="0.3">
      <c r="A23" t="s">
        <v>83</v>
      </c>
      <c r="B23" t="s">
        <v>318</v>
      </c>
      <c r="C23" t="s">
        <v>317</v>
      </c>
      <c r="E23">
        <v>23</v>
      </c>
      <c r="F23">
        <f t="shared" si="0"/>
        <v>1.9999948000000001</v>
      </c>
      <c r="G23">
        <f t="shared" si="1"/>
        <v>2.1962375999999999</v>
      </c>
      <c r="H23" t="e">
        <f t="shared" si="2"/>
        <v>#N/A</v>
      </c>
    </row>
    <row r="24" spans="1:8" x14ac:dyDescent="0.3">
      <c r="A24" t="s">
        <v>80</v>
      </c>
      <c r="B24" t="s">
        <v>316</v>
      </c>
      <c r="C24" t="s">
        <v>315</v>
      </c>
      <c r="E24">
        <v>24</v>
      </c>
      <c r="F24">
        <f t="shared" si="0"/>
        <v>1.9967788</v>
      </c>
      <c r="G24">
        <f t="shared" si="1"/>
        <v>2.1787086000000002</v>
      </c>
      <c r="H24" t="e">
        <f t="shared" si="2"/>
        <v>#N/A</v>
      </c>
    </row>
    <row r="25" spans="1:8" x14ac:dyDescent="0.3">
      <c r="A25" t="s">
        <v>77</v>
      </c>
      <c r="B25" t="s">
        <v>314</v>
      </c>
      <c r="C25" t="s">
        <v>313</v>
      </c>
      <c r="E25">
        <v>25</v>
      </c>
      <c r="F25">
        <f t="shared" si="0"/>
        <v>1.9937750000000001</v>
      </c>
      <c r="G25">
        <f t="shared" si="1"/>
        <v>2.1659806000000001</v>
      </c>
      <c r="H25" t="e">
        <f t="shared" si="2"/>
        <v>#N/A</v>
      </c>
    </row>
    <row r="26" spans="1:8" x14ac:dyDescent="0.3">
      <c r="A26" t="s">
        <v>312</v>
      </c>
      <c r="B26" t="s">
        <v>311</v>
      </c>
      <c r="C26" t="s">
        <v>310</v>
      </c>
      <c r="E26">
        <v>26</v>
      </c>
      <c r="F26">
        <f t="shared" si="0"/>
        <v>1.9904685</v>
      </c>
      <c r="G26">
        <f t="shared" si="1"/>
        <v>2.1989939999999999</v>
      </c>
      <c r="H26" t="e">
        <f t="shared" si="2"/>
        <v>#N/A</v>
      </c>
    </row>
    <row r="27" spans="1:8" x14ac:dyDescent="0.3">
      <c r="A27" t="s">
        <v>71</v>
      </c>
      <c r="B27" t="s">
        <v>309</v>
      </c>
      <c r="C27" t="s">
        <v>308</v>
      </c>
      <c r="E27">
        <v>27</v>
      </c>
      <c r="F27">
        <f t="shared" si="0"/>
        <v>1.9879442000000001</v>
      </c>
      <c r="G27">
        <f t="shared" si="1"/>
        <v>2.1679208000000001</v>
      </c>
      <c r="H27" t="e">
        <f t="shared" si="2"/>
        <v>#N/A</v>
      </c>
    </row>
    <row r="28" spans="1:8" x14ac:dyDescent="0.3">
      <c r="A28" t="s">
        <v>68</v>
      </c>
      <c r="B28" t="s">
        <v>307</v>
      </c>
      <c r="C28" t="s">
        <v>306</v>
      </c>
      <c r="E28">
        <v>28</v>
      </c>
      <c r="F28">
        <f t="shared" si="0"/>
        <v>1.9849412</v>
      </c>
      <c r="G28">
        <f t="shared" si="1"/>
        <v>2.1539723999999998</v>
      </c>
      <c r="H28">
        <f t="shared" si="2"/>
        <v>2.1539723999999998</v>
      </c>
    </row>
    <row r="29" spans="1:8" x14ac:dyDescent="0.3">
      <c r="A29" t="s">
        <v>194</v>
      </c>
      <c r="B29" t="s">
        <v>305</v>
      </c>
      <c r="C29" t="s">
        <v>304</v>
      </c>
      <c r="E29">
        <v>29</v>
      </c>
      <c r="F29">
        <f t="shared" si="0"/>
        <v>1.9821427</v>
      </c>
      <c r="G29">
        <f t="shared" si="1"/>
        <v>2.1935066999999999</v>
      </c>
      <c r="H29" t="e">
        <f t="shared" si="2"/>
        <v>#N/A</v>
      </c>
    </row>
    <row r="30" spans="1:8" x14ac:dyDescent="0.3">
      <c r="A30" t="s">
        <v>62</v>
      </c>
      <c r="B30" t="s">
        <v>303</v>
      </c>
      <c r="C30" t="s">
        <v>302</v>
      </c>
      <c r="E30">
        <v>30</v>
      </c>
      <c r="F30">
        <f t="shared" si="0"/>
        <v>1.9802344000000001</v>
      </c>
      <c r="G30">
        <f t="shared" si="1"/>
        <v>2.1939742999999998</v>
      </c>
      <c r="H30" t="e">
        <f t="shared" si="2"/>
        <v>#N/A</v>
      </c>
    </row>
    <row r="31" spans="1:8" x14ac:dyDescent="0.3">
      <c r="A31" t="s">
        <v>59</v>
      </c>
      <c r="B31" t="s">
        <v>301</v>
      </c>
      <c r="C31" t="s">
        <v>300</v>
      </c>
      <c r="E31">
        <v>31</v>
      </c>
      <c r="F31">
        <f t="shared" si="0"/>
        <v>1.9777075</v>
      </c>
      <c r="G31">
        <f t="shared" si="1"/>
        <v>2.1718945999999999</v>
      </c>
      <c r="H31" t="e">
        <f t="shared" si="2"/>
        <v>#N/A</v>
      </c>
    </row>
    <row r="32" spans="1:8" x14ac:dyDescent="0.3">
      <c r="A32" t="s">
        <v>56</v>
      </c>
      <c r="B32" t="s">
        <v>299</v>
      </c>
      <c r="C32" t="s">
        <v>298</v>
      </c>
      <c r="E32">
        <v>32</v>
      </c>
      <c r="F32">
        <f t="shared" si="0"/>
        <v>1.9757977</v>
      </c>
      <c r="G32">
        <f t="shared" si="1"/>
        <v>2.1726475000000001</v>
      </c>
      <c r="H32" t="e">
        <f t="shared" si="2"/>
        <v>#N/A</v>
      </c>
    </row>
    <row r="33" spans="1:8" x14ac:dyDescent="0.3">
      <c r="A33" t="s">
        <v>53</v>
      </c>
      <c r="B33" t="s">
        <v>297</v>
      </c>
      <c r="C33" t="s">
        <v>296</v>
      </c>
      <c r="E33">
        <v>33</v>
      </c>
      <c r="F33">
        <f t="shared" si="0"/>
        <v>1.9735602000000001</v>
      </c>
      <c r="G33">
        <f t="shared" si="1"/>
        <v>2.1818270000000002</v>
      </c>
      <c r="H33" t="e">
        <f t="shared" si="2"/>
        <v>#N/A</v>
      </c>
    </row>
    <row r="34" spans="1:8" x14ac:dyDescent="0.3">
      <c r="A34" t="s">
        <v>50</v>
      </c>
      <c r="B34" t="s">
        <v>295</v>
      </c>
      <c r="C34" t="s">
        <v>294</v>
      </c>
      <c r="E34">
        <v>34</v>
      </c>
      <c r="F34">
        <f t="shared" si="0"/>
        <v>1.9715328000000001</v>
      </c>
      <c r="G34">
        <f t="shared" si="1"/>
        <v>2.1815956000000001</v>
      </c>
      <c r="H34" t="e">
        <f t="shared" si="2"/>
        <v>#N/A</v>
      </c>
    </row>
    <row r="35" spans="1:8" x14ac:dyDescent="0.3">
      <c r="A35" t="s">
        <v>47</v>
      </c>
      <c r="B35" t="s">
        <v>293</v>
      </c>
      <c r="C35" t="s">
        <v>292</v>
      </c>
      <c r="E35">
        <v>35</v>
      </c>
      <c r="F35">
        <f t="shared" si="0"/>
        <v>1.9692807999999999</v>
      </c>
      <c r="G35">
        <f t="shared" si="1"/>
        <v>2.1875460000000002</v>
      </c>
      <c r="H35" t="e">
        <f t="shared" si="2"/>
        <v>#N/A</v>
      </c>
    </row>
    <row r="36" spans="1:8" x14ac:dyDescent="0.3">
      <c r="A36" t="s">
        <v>44</v>
      </c>
      <c r="B36" t="s">
        <v>291</v>
      </c>
      <c r="C36" t="s">
        <v>290</v>
      </c>
      <c r="E36">
        <v>36</v>
      </c>
      <c r="F36">
        <f t="shared" si="0"/>
        <v>1.9675001000000001</v>
      </c>
      <c r="G36">
        <f t="shared" si="1"/>
        <v>2.1859727000000002</v>
      </c>
      <c r="H36" t="e">
        <f t="shared" si="2"/>
        <v>#N/A</v>
      </c>
    </row>
    <row r="37" spans="1:8" x14ac:dyDescent="0.3">
      <c r="A37" t="s">
        <v>41</v>
      </c>
      <c r="B37" t="s">
        <v>289</v>
      </c>
      <c r="C37" t="s">
        <v>288</v>
      </c>
      <c r="E37">
        <v>37</v>
      </c>
      <c r="F37">
        <f t="shared" si="0"/>
        <v>1.9655777000000001</v>
      </c>
      <c r="G37">
        <f t="shared" si="1"/>
        <v>2.1715621999999999</v>
      </c>
      <c r="H37" t="e">
        <f t="shared" si="2"/>
        <v>#N/A</v>
      </c>
    </row>
    <row r="38" spans="1:8" x14ac:dyDescent="0.3">
      <c r="A38" t="s">
        <v>38</v>
      </c>
      <c r="B38" t="s">
        <v>287</v>
      </c>
      <c r="C38" t="s">
        <v>286</v>
      </c>
      <c r="E38">
        <v>38</v>
      </c>
      <c r="F38">
        <f t="shared" si="0"/>
        <v>1.9636388</v>
      </c>
      <c r="G38">
        <f t="shared" si="1"/>
        <v>2.1800811000000002</v>
      </c>
      <c r="H38" t="e">
        <f t="shared" si="2"/>
        <v>#N/A</v>
      </c>
    </row>
    <row r="39" spans="1:8" x14ac:dyDescent="0.3">
      <c r="A39" t="s">
        <v>35</v>
      </c>
      <c r="B39" t="s">
        <v>285</v>
      </c>
      <c r="C39" t="s">
        <v>284</v>
      </c>
      <c r="E39">
        <v>39</v>
      </c>
      <c r="F39">
        <f t="shared" si="0"/>
        <v>1.9619671999999999</v>
      </c>
      <c r="G39">
        <f t="shared" si="1"/>
        <v>2.1698434</v>
      </c>
      <c r="H39" t="e">
        <f t="shared" si="2"/>
        <v>#N/A</v>
      </c>
    </row>
    <row r="40" spans="1:8" x14ac:dyDescent="0.3">
      <c r="A40" t="s">
        <v>32</v>
      </c>
      <c r="B40" t="s">
        <v>283</v>
      </c>
      <c r="C40" t="s">
        <v>282</v>
      </c>
      <c r="E40">
        <v>40</v>
      </c>
      <c r="F40">
        <f t="shared" si="0"/>
        <v>1.9606923999999999</v>
      </c>
      <c r="G40">
        <f t="shared" si="1"/>
        <v>2.1900089</v>
      </c>
      <c r="H40" t="e">
        <f t="shared" si="2"/>
        <v>#N/A</v>
      </c>
    </row>
    <row r="41" spans="1:8" x14ac:dyDescent="0.3">
      <c r="A41" t="s">
        <v>29</v>
      </c>
      <c r="B41" t="s">
        <v>281</v>
      </c>
      <c r="C41" t="s">
        <v>280</v>
      </c>
      <c r="E41">
        <v>41</v>
      </c>
      <c r="F41">
        <f t="shared" si="0"/>
        <v>1.9583775000000001</v>
      </c>
      <c r="G41">
        <f t="shared" si="1"/>
        <v>2.1737324999999998</v>
      </c>
      <c r="H41" t="e">
        <f t="shared" si="2"/>
        <v>#N/A</v>
      </c>
    </row>
    <row r="42" spans="1:8" x14ac:dyDescent="0.3">
      <c r="A42" t="s">
        <v>26</v>
      </c>
      <c r="B42" t="s">
        <v>279</v>
      </c>
      <c r="C42" t="s">
        <v>278</v>
      </c>
      <c r="E42">
        <v>42</v>
      </c>
      <c r="F42">
        <f t="shared" si="0"/>
        <v>1.956701</v>
      </c>
      <c r="G42">
        <f t="shared" si="1"/>
        <v>2.1717610000000001</v>
      </c>
      <c r="H42" t="e">
        <f t="shared" si="2"/>
        <v>#N/A</v>
      </c>
    </row>
    <row r="43" spans="1:8" x14ac:dyDescent="0.3">
      <c r="A43" t="s">
        <v>23</v>
      </c>
      <c r="B43" t="s">
        <v>277</v>
      </c>
      <c r="C43" t="s">
        <v>276</v>
      </c>
      <c r="E43">
        <v>43</v>
      </c>
      <c r="F43">
        <f t="shared" si="0"/>
        <v>1.9554507000000001</v>
      </c>
      <c r="G43">
        <f t="shared" si="1"/>
        <v>2.1853012999999999</v>
      </c>
      <c r="H43" t="e">
        <f t="shared" si="2"/>
        <v>#N/A</v>
      </c>
    </row>
    <row r="44" spans="1:8" x14ac:dyDescent="0.3">
      <c r="A44" t="s">
        <v>20</v>
      </c>
      <c r="B44" t="s">
        <v>275</v>
      </c>
      <c r="C44" t="s">
        <v>274</v>
      </c>
      <c r="E44">
        <v>44</v>
      </c>
      <c r="F44">
        <f t="shared" si="0"/>
        <v>1.954075</v>
      </c>
      <c r="G44">
        <f t="shared" si="1"/>
        <v>2.1618971999999999</v>
      </c>
      <c r="H44" t="e">
        <f t="shared" si="2"/>
        <v>#N/A</v>
      </c>
    </row>
    <row r="45" spans="1:8" x14ac:dyDescent="0.3">
      <c r="A45" t="s">
        <v>17</v>
      </c>
      <c r="B45" t="s">
        <v>273</v>
      </c>
      <c r="C45" t="s">
        <v>272</v>
      </c>
      <c r="E45">
        <v>45</v>
      </c>
      <c r="F45">
        <f t="shared" si="0"/>
        <v>1.9523492</v>
      </c>
      <c r="G45">
        <f t="shared" si="1"/>
        <v>2.1842505999999999</v>
      </c>
      <c r="H45" t="e">
        <f t="shared" si="2"/>
        <v>#N/A</v>
      </c>
    </row>
    <row r="46" spans="1:8" x14ac:dyDescent="0.3">
      <c r="A46" t="s">
        <v>14</v>
      </c>
      <c r="B46" t="s">
        <v>271</v>
      </c>
      <c r="C46" t="s">
        <v>270</v>
      </c>
      <c r="E46">
        <v>46</v>
      </c>
      <c r="F46">
        <f t="shared" si="0"/>
        <v>1.9509609000000001</v>
      </c>
      <c r="G46">
        <f t="shared" si="1"/>
        <v>2.1797867000000002</v>
      </c>
      <c r="H46" t="e">
        <f t="shared" si="2"/>
        <v>#N/A</v>
      </c>
    </row>
    <row r="47" spans="1:8" x14ac:dyDescent="0.3">
      <c r="A47" t="s">
        <v>11</v>
      </c>
      <c r="B47" t="s">
        <v>269</v>
      </c>
      <c r="C47" t="s">
        <v>268</v>
      </c>
      <c r="E47">
        <v>47</v>
      </c>
      <c r="F47">
        <f t="shared" si="0"/>
        <v>1.9496589</v>
      </c>
      <c r="G47">
        <f t="shared" si="1"/>
        <v>2.1845740999999999</v>
      </c>
      <c r="H47" t="e">
        <f t="shared" si="2"/>
        <v>#N/A</v>
      </c>
    </row>
    <row r="48" spans="1:8" x14ac:dyDescent="0.3">
      <c r="A48" t="s">
        <v>8</v>
      </c>
      <c r="B48" t="s">
        <v>267</v>
      </c>
      <c r="C48" t="s">
        <v>266</v>
      </c>
      <c r="E48">
        <v>48</v>
      </c>
      <c r="F48">
        <f t="shared" si="0"/>
        <v>1.9483467000000001</v>
      </c>
      <c r="G48">
        <f t="shared" si="1"/>
        <v>2.1718035000000002</v>
      </c>
      <c r="H48" t="e">
        <f t="shared" si="2"/>
        <v>#N/A</v>
      </c>
    </row>
    <row r="49" spans="1:8" x14ac:dyDescent="0.3">
      <c r="A49" t="s">
        <v>5</v>
      </c>
      <c r="B49" t="s">
        <v>265</v>
      </c>
      <c r="C49" t="s">
        <v>264</v>
      </c>
      <c r="E49">
        <v>49</v>
      </c>
      <c r="F49">
        <f t="shared" si="0"/>
        <v>1.9473505</v>
      </c>
      <c r="G49">
        <f t="shared" si="1"/>
        <v>2.1783351999999998</v>
      </c>
      <c r="H49" t="e">
        <f t="shared" si="2"/>
        <v>#N/A</v>
      </c>
    </row>
    <row r="50" spans="1:8" x14ac:dyDescent="0.3">
      <c r="A50" t="s">
        <v>2</v>
      </c>
      <c r="B50" t="s">
        <v>263</v>
      </c>
      <c r="C50" t="s">
        <v>262</v>
      </c>
      <c r="E50">
        <v>50</v>
      </c>
      <c r="F50">
        <f t="shared" si="0"/>
        <v>1.9459394000000001</v>
      </c>
      <c r="G50">
        <f t="shared" si="1"/>
        <v>2.1673124000000001</v>
      </c>
      <c r="H50" t="e">
        <f t="shared" si="2"/>
        <v>#N/A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BAEE-6DEB-44DE-A942-488FD9814DC9}">
  <dimension ref="A1:H50"/>
  <sheetViews>
    <sheetView workbookViewId="0">
      <selection activeCell="E1" sqref="E1:H2"/>
    </sheetView>
  </sheetViews>
  <sheetFormatPr defaultRowHeight="14.4" x14ac:dyDescent="0.3"/>
  <cols>
    <col min="1" max="1" width="33.6640625" customWidth="1"/>
    <col min="2" max="2" width="25.33203125" customWidth="1"/>
    <col min="3" max="3" width="23.33203125" customWidth="1"/>
  </cols>
  <sheetData>
    <row r="1" spans="1:8" x14ac:dyDescent="0.3">
      <c r="A1" t="s">
        <v>149</v>
      </c>
      <c r="B1" t="s">
        <v>468</v>
      </c>
      <c r="C1" t="s">
        <v>467</v>
      </c>
      <c r="E1">
        <v>1</v>
      </c>
      <c r="F1">
        <f xml:space="preserve"> _xlfn.NUMBERVALUE(RIGHT(B1, LEN(B1) - 12),".")</f>
        <v>2.4558632</v>
      </c>
      <c r="G1">
        <f xml:space="preserve"> _xlfn.NUMBERVALUE(RIGHT(C1, LEN(C1) - 11),".")</f>
        <v>2.35093</v>
      </c>
      <c r="H1" t="e">
        <f>IF(G1=MIN($G$1:$G$100),G1,NA())</f>
        <v>#N/A</v>
      </c>
    </row>
    <row r="2" spans="1:8" x14ac:dyDescent="0.3">
      <c r="A2" t="s">
        <v>146</v>
      </c>
      <c r="B2" t="s">
        <v>466</v>
      </c>
      <c r="C2" t="s">
        <v>465</v>
      </c>
      <c r="E2">
        <v>2</v>
      </c>
      <c r="F2">
        <f xml:space="preserve"> _xlfn.NUMBERVALUE(RIGHT(B2, LEN(B2) - 12),".")</f>
        <v>2.2285275000000002</v>
      </c>
      <c r="G2">
        <f xml:space="preserve"> _xlfn.NUMBERVALUE(RIGHT(C2, LEN(C2) - 11),".")</f>
        <v>2.2992344</v>
      </c>
      <c r="H2" t="e">
        <f>IF(G2=MIN($G$1:$G$100),G2,NA())</f>
        <v>#N/A</v>
      </c>
    </row>
    <row r="3" spans="1:8" x14ac:dyDescent="0.3">
      <c r="A3" t="s">
        <v>143</v>
      </c>
      <c r="B3" t="s">
        <v>464</v>
      </c>
      <c r="C3" t="s">
        <v>463</v>
      </c>
      <c r="E3">
        <v>3</v>
      </c>
      <c r="F3">
        <f t="shared" ref="F3:F50" si="0" xml:space="preserve"> _xlfn.NUMBERVALUE(RIGHT(B3, LEN(B3) - 12),".")</f>
        <v>2.1837339999999998</v>
      </c>
      <c r="G3">
        <f t="shared" ref="G3:G50" si="1" xml:space="preserve"> _xlfn.NUMBERVALUE(RIGHT(C3, LEN(C3) - 11),".")</f>
        <v>2.3055854</v>
      </c>
      <c r="H3" t="e">
        <f t="shared" ref="H3:H50" si="2">IF(G3=MIN($G$1:$G$100),G3,NA())</f>
        <v>#N/A</v>
      </c>
    </row>
    <row r="4" spans="1:8" x14ac:dyDescent="0.3">
      <c r="A4" t="s">
        <v>462</v>
      </c>
      <c r="B4" t="s">
        <v>461</v>
      </c>
      <c r="C4" t="s">
        <v>460</v>
      </c>
      <c r="E4">
        <v>4</v>
      </c>
      <c r="F4">
        <f t="shared" si="0"/>
        <v>2.1534835999999999</v>
      </c>
      <c r="G4">
        <f t="shared" si="1"/>
        <v>2.2695525000000001</v>
      </c>
      <c r="H4" t="e">
        <f t="shared" si="2"/>
        <v>#N/A</v>
      </c>
    </row>
    <row r="5" spans="1:8" x14ac:dyDescent="0.3">
      <c r="A5" t="s">
        <v>137</v>
      </c>
      <c r="B5" t="s">
        <v>459</v>
      </c>
      <c r="C5" t="s">
        <v>458</v>
      </c>
      <c r="E5">
        <v>5</v>
      </c>
      <c r="F5">
        <f t="shared" si="0"/>
        <v>2.1301765000000001</v>
      </c>
      <c r="G5">
        <f t="shared" si="1"/>
        <v>2.2571876</v>
      </c>
      <c r="H5" t="e">
        <f t="shared" si="2"/>
        <v>#N/A</v>
      </c>
    </row>
    <row r="6" spans="1:8" x14ac:dyDescent="0.3">
      <c r="A6" t="s">
        <v>134</v>
      </c>
      <c r="B6" t="s">
        <v>457</v>
      </c>
      <c r="C6" t="s">
        <v>456</v>
      </c>
      <c r="E6">
        <v>6</v>
      </c>
      <c r="F6">
        <f t="shared" si="0"/>
        <v>2.1079029999999999</v>
      </c>
      <c r="G6">
        <f t="shared" si="1"/>
        <v>2.2541470000000001</v>
      </c>
      <c r="H6" t="e">
        <f t="shared" si="2"/>
        <v>#N/A</v>
      </c>
    </row>
    <row r="7" spans="1:8" x14ac:dyDescent="0.3">
      <c r="A7" t="s">
        <v>131</v>
      </c>
      <c r="B7" t="s">
        <v>455</v>
      </c>
      <c r="C7" t="s">
        <v>454</v>
      </c>
      <c r="E7">
        <v>7</v>
      </c>
      <c r="F7">
        <f t="shared" si="0"/>
        <v>2.0874454999999998</v>
      </c>
      <c r="G7">
        <f t="shared" si="1"/>
        <v>2.2452649999999998</v>
      </c>
      <c r="H7" t="e">
        <f>IF(G7=MIN($G$1:$G$100),G7,NA())</f>
        <v>#N/A</v>
      </c>
    </row>
    <row r="8" spans="1:8" x14ac:dyDescent="0.3">
      <c r="A8" t="s">
        <v>128</v>
      </c>
      <c r="B8" t="s">
        <v>453</v>
      </c>
      <c r="C8" t="s">
        <v>452</v>
      </c>
      <c r="E8">
        <v>8</v>
      </c>
      <c r="F8">
        <f t="shared" si="0"/>
        <v>2.0699459999999998</v>
      </c>
      <c r="G8">
        <f t="shared" si="1"/>
        <v>2.2428631999999999</v>
      </c>
      <c r="H8" t="e">
        <f>IF(G8=MIN($G$1:$G$100),G8,NA())</f>
        <v>#N/A</v>
      </c>
    </row>
    <row r="9" spans="1:8" x14ac:dyDescent="0.3">
      <c r="A9" t="s">
        <v>348</v>
      </c>
      <c r="B9" t="s">
        <v>451</v>
      </c>
      <c r="C9" t="s">
        <v>450</v>
      </c>
      <c r="E9">
        <v>9</v>
      </c>
      <c r="F9">
        <f t="shared" si="0"/>
        <v>2.0519392000000001</v>
      </c>
      <c r="G9">
        <f t="shared" si="1"/>
        <v>2.2043324000000002</v>
      </c>
      <c r="H9" t="e">
        <f t="shared" si="2"/>
        <v>#N/A</v>
      </c>
    </row>
    <row r="10" spans="1:8" x14ac:dyDescent="0.3">
      <c r="A10" t="s">
        <v>242</v>
      </c>
      <c r="B10" t="s">
        <v>449</v>
      </c>
      <c r="C10" t="s">
        <v>448</v>
      </c>
      <c r="E10">
        <v>10</v>
      </c>
      <c r="F10">
        <f t="shared" si="0"/>
        <v>2.0357485</v>
      </c>
      <c r="G10">
        <f t="shared" si="1"/>
        <v>2.2111350999999999</v>
      </c>
      <c r="H10" t="e">
        <f t="shared" si="2"/>
        <v>#N/A</v>
      </c>
    </row>
    <row r="11" spans="1:8" x14ac:dyDescent="0.3">
      <c r="A11" t="s">
        <v>119</v>
      </c>
      <c r="B11" t="s">
        <v>447</v>
      </c>
      <c r="C11" t="s">
        <v>446</v>
      </c>
      <c r="E11">
        <v>11</v>
      </c>
      <c r="F11">
        <f t="shared" si="0"/>
        <v>2.0203842999999999</v>
      </c>
      <c r="G11">
        <f t="shared" si="1"/>
        <v>2.1946756999999999</v>
      </c>
      <c r="H11" t="e">
        <f t="shared" si="2"/>
        <v>#N/A</v>
      </c>
    </row>
    <row r="12" spans="1:8" x14ac:dyDescent="0.3">
      <c r="A12" t="s">
        <v>236</v>
      </c>
      <c r="B12" t="s">
        <v>445</v>
      </c>
      <c r="C12" t="s">
        <v>444</v>
      </c>
      <c r="E12">
        <v>12</v>
      </c>
      <c r="F12">
        <f t="shared" si="0"/>
        <v>2.0069520000000001</v>
      </c>
      <c r="G12">
        <f t="shared" si="1"/>
        <v>2.1826398</v>
      </c>
      <c r="H12" t="e">
        <f t="shared" si="2"/>
        <v>#N/A</v>
      </c>
    </row>
    <row r="13" spans="1:8" x14ac:dyDescent="0.3">
      <c r="A13" t="s">
        <v>443</v>
      </c>
      <c r="B13" t="s">
        <v>442</v>
      </c>
      <c r="C13" t="s">
        <v>441</v>
      </c>
      <c r="E13">
        <v>13</v>
      </c>
      <c r="F13">
        <f t="shared" si="0"/>
        <v>1.9971764999999999</v>
      </c>
      <c r="G13">
        <f t="shared" si="1"/>
        <v>2.1739885999999999</v>
      </c>
      <c r="H13" t="e">
        <f t="shared" si="2"/>
        <v>#N/A</v>
      </c>
    </row>
    <row r="14" spans="1:8" x14ac:dyDescent="0.3">
      <c r="A14" t="s">
        <v>231</v>
      </c>
      <c r="B14" t="s">
        <v>440</v>
      </c>
      <c r="C14" t="s">
        <v>439</v>
      </c>
      <c r="E14">
        <v>14</v>
      </c>
      <c r="F14">
        <f t="shared" si="0"/>
        <v>1.9875274000000001</v>
      </c>
      <c r="G14">
        <f t="shared" si="1"/>
        <v>2.146798</v>
      </c>
      <c r="H14" t="e">
        <f t="shared" si="2"/>
        <v>#N/A</v>
      </c>
    </row>
    <row r="15" spans="1:8" x14ac:dyDescent="0.3">
      <c r="A15" t="s">
        <v>438</v>
      </c>
      <c r="B15" t="s">
        <v>437</v>
      </c>
      <c r="C15" t="s">
        <v>436</v>
      </c>
      <c r="E15">
        <v>15</v>
      </c>
      <c r="F15">
        <f t="shared" si="0"/>
        <v>1.9795156</v>
      </c>
      <c r="G15">
        <f t="shared" si="1"/>
        <v>2.1437423</v>
      </c>
      <c r="H15" t="e">
        <f t="shared" si="2"/>
        <v>#N/A</v>
      </c>
    </row>
    <row r="16" spans="1:8" x14ac:dyDescent="0.3">
      <c r="A16" t="s">
        <v>226</v>
      </c>
      <c r="B16" t="s">
        <v>435</v>
      </c>
      <c r="C16" t="s">
        <v>434</v>
      </c>
      <c r="E16">
        <v>16</v>
      </c>
      <c r="F16">
        <f t="shared" si="0"/>
        <v>1.9718034</v>
      </c>
      <c r="G16">
        <f t="shared" si="1"/>
        <v>2.1328179999999999</v>
      </c>
      <c r="H16">
        <f t="shared" si="2"/>
        <v>2.1328179999999999</v>
      </c>
    </row>
    <row r="17" spans="1:8" x14ac:dyDescent="0.3">
      <c r="A17" t="s">
        <v>433</v>
      </c>
      <c r="B17" t="s">
        <v>432</v>
      </c>
      <c r="C17" t="s">
        <v>431</v>
      </c>
      <c r="E17">
        <v>17</v>
      </c>
      <c r="F17">
        <f t="shared" si="0"/>
        <v>1.9653906999999999</v>
      </c>
      <c r="G17">
        <f t="shared" si="1"/>
        <v>2.1532035</v>
      </c>
      <c r="H17" t="e">
        <f t="shared" si="2"/>
        <v>#N/A</v>
      </c>
    </row>
    <row r="18" spans="1:8" x14ac:dyDescent="0.3">
      <c r="A18" t="s">
        <v>221</v>
      </c>
      <c r="B18" t="s">
        <v>430</v>
      </c>
      <c r="C18" t="s">
        <v>429</v>
      </c>
      <c r="E18">
        <v>18</v>
      </c>
      <c r="F18">
        <f t="shared" si="0"/>
        <v>1.9588239999999999</v>
      </c>
      <c r="G18">
        <f t="shared" si="1"/>
        <v>2.1709971000000001</v>
      </c>
      <c r="H18" t="e">
        <f t="shared" si="2"/>
        <v>#N/A</v>
      </c>
    </row>
    <row r="19" spans="1:8" x14ac:dyDescent="0.3">
      <c r="A19" t="s">
        <v>95</v>
      </c>
      <c r="B19" t="s">
        <v>428</v>
      </c>
      <c r="C19" t="s">
        <v>427</v>
      </c>
      <c r="E19">
        <v>19</v>
      </c>
      <c r="F19">
        <f t="shared" si="0"/>
        <v>1.9527401</v>
      </c>
      <c r="G19">
        <f t="shared" si="1"/>
        <v>2.1508600000000002</v>
      </c>
      <c r="H19" t="e">
        <f t="shared" si="2"/>
        <v>#N/A</v>
      </c>
    </row>
    <row r="20" spans="1:8" x14ac:dyDescent="0.3">
      <c r="A20" t="s">
        <v>92</v>
      </c>
      <c r="B20" t="s">
        <v>426</v>
      </c>
      <c r="C20" t="s">
        <v>425</v>
      </c>
      <c r="E20">
        <v>20</v>
      </c>
      <c r="F20">
        <f t="shared" si="0"/>
        <v>1.9475073000000001</v>
      </c>
      <c r="G20">
        <f t="shared" si="1"/>
        <v>2.1642779999999999</v>
      </c>
      <c r="H20" t="e">
        <f t="shared" si="2"/>
        <v>#N/A</v>
      </c>
    </row>
    <row r="21" spans="1:8" x14ac:dyDescent="0.3">
      <c r="A21" t="s">
        <v>89</v>
      </c>
      <c r="B21" t="s">
        <v>424</v>
      </c>
      <c r="C21" t="s">
        <v>423</v>
      </c>
      <c r="E21">
        <v>21</v>
      </c>
      <c r="F21">
        <f t="shared" si="0"/>
        <v>1.9425684999999999</v>
      </c>
      <c r="G21">
        <f t="shared" si="1"/>
        <v>2.1550446000000001</v>
      </c>
      <c r="H21" t="e">
        <f t="shared" si="2"/>
        <v>#N/A</v>
      </c>
    </row>
    <row r="22" spans="1:8" x14ac:dyDescent="0.3">
      <c r="A22" t="s">
        <v>86</v>
      </c>
      <c r="B22" t="s">
        <v>422</v>
      </c>
      <c r="C22" t="s">
        <v>421</v>
      </c>
      <c r="E22">
        <v>22</v>
      </c>
      <c r="F22">
        <f t="shared" si="0"/>
        <v>1.9377546000000001</v>
      </c>
      <c r="G22">
        <f t="shared" si="1"/>
        <v>2.1747633999999998</v>
      </c>
      <c r="H22" t="e">
        <f t="shared" si="2"/>
        <v>#N/A</v>
      </c>
    </row>
    <row r="23" spans="1:8" x14ac:dyDescent="0.3">
      <c r="A23" t="s">
        <v>83</v>
      </c>
      <c r="B23" t="s">
        <v>420</v>
      </c>
      <c r="C23" t="s">
        <v>419</v>
      </c>
      <c r="E23">
        <v>23</v>
      </c>
      <c r="F23">
        <f t="shared" si="0"/>
        <v>1.9336157</v>
      </c>
      <c r="G23">
        <f t="shared" si="1"/>
        <v>2.1857755000000001</v>
      </c>
      <c r="H23" t="e">
        <f t="shared" si="2"/>
        <v>#N/A</v>
      </c>
    </row>
    <row r="24" spans="1:8" x14ac:dyDescent="0.3">
      <c r="A24" t="s">
        <v>80</v>
      </c>
      <c r="B24" t="s">
        <v>418</v>
      </c>
      <c r="C24" t="s">
        <v>417</v>
      </c>
      <c r="E24">
        <v>24</v>
      </c>
      <c r="F24">
        <f t="shared" si="0"/>
        <v>1.9299675999999999</v>
      </c>
      <c r="G24">
        <f t="shared" si="1"/>
        <v>2.1893463</v>
      </c>
      <c r="H24" t="e">
        <f t="shared" si="2"/>
        <v>#N/A</v>
      </c>
    </row>
    <row r="25" spans="1:8" x14ac:dyDescent="0.3">
      <c r="A25" t="s">
        <v>77</v>
      </c>
      <c r="B25" t="s">
        <v>416</v>
      </c>
      <c r="C25" t="s">
        <v>415</v>
      </c>
      <c r="E25">
        <v>25</v>
      </c>
      <c r="F25">
        <f t="shared" si="0"/>
        <v>1.9270334</v>
      </c>
      <c r="G25">
        <f t="shared" si="1"/>
        <v>2.1691096000000001</v>
      </c>
      <c r="H25" t="e">
        <f t="shared" si="2"/>
        <v>#N/A</v>
      </c>
    </row>
    <row r="26" spans="1:8" x14ac:dyDescent="0.3">
      <c r="A26" t="s">
        <v>74</v>
      </c>
      <c r="B26" t="s">
        <v>414</v>
      </c>
      <c r="C26" t="s">
        <v>413</v>
      </c>
      <c r="E26">
        <v>26</v>
      </c>
      <c r="F26">
        <f t="shared" si="0"/>
        <v>1.9229072</v>
      </c>
      <c r="G26">
        <f t="shared" si="1"/>
        <v>2.1411783999999998</v>
      </c>
      <c r="H26" t="e">
        <f t="shared" si="2"/>
        <v>#N/A</v>
      </c>
    </row>
    <row r="27" spans="1:8" x14ac:dyDescent="0.3">
      <c r="A27" t="s">
        <v>71</v>
      </c>
      <c r="B27" t="s">
        <v>412</v>
      </c>
      <c r="C27" t="s">
        <v>411</v>
      </c>
      <c r="E27">
        <v>27</v>
      </c>
      <c r="F27">
        <f t="shared" si="0"/>
        <v>1.9215472</v>
      </c>
      <c r="G27">
        <f t="shared" si="1"/>
        <v>2.1543117000000001</v>
      </c>
      <c r="H27" t="e">
        <f t="shared" si="2"/>
        <v>#N/A</v>
      </c>
    </row>
    <row r="28" spans="1:8" x14ac:dyDescent="0.3">
      <c r="A28" t="s">
        <v>68</v>
      </c>
      <c r="B28" t="s">
        <v>410</v>
      </c>
      <c r="C28" t="s">
        <v>409</v>
      </c>
      <c r="E28">
        <v>28</v>
      </c>
      <c r="F28">
        <f t="shared" si="0"/>
        <v>1.9168035999999999</v>
      </c>
      <c r="G28">
        <f t="shared" si="1"/>
        <v>2.1700354000000002</v>
      </c>
      <c r="H28" t="e">
        <f t="shared" si="2"/>
        <v>#N/A</v>
      </c>
    </row>
    <row r="29" spans="1:8" x14ac:dyDescent="0.3">
      <c r="A29" t="s">
        <v>65</v>
      </c>
      <c r="B29" t="s">
        <v>408</v>
      </c>
      <c r="C29" t="s">
        <v>407</v>
      </c>
      <c r="E29">
        <v>29</v>
      </c>
      <c r="F29">
        <f t="shared" si="0"/>
        <v>1.9138333000000001</v>
      </c>
      <c r="G29">
        <f t="shared" si="1"/>
        <v>2.1650977</v>
      </c>
      <c r="H29" t="e">
        <f t="shared" si="2"/>
        <v>#N/A</v>
      </c>
    </row>
    <row r="30" spans="1:8" x14ac:dyDescent="0.3">
      <c r="A30" t="s">
        <v>62</v>
      </c>
      <c r="B30" t="s">
        <v>406</v>
      </c>
      <c r="C30" t="s">
        <v>405</v>
      </c>
      <c r="E30">
        <v>30</v>
      </c>
      <c r="F30">
        <f t="shared" si="0"/>
        <v>1.9103315999999999</v>
      </c>
      <c r="G30">
        <f t="shared" si="1"/>
        <v>2.1765222999999998</v>
      </c>
      <c r="H30" t="e">
        <f t="shared" si="2"/>
        <v>#N/A</v>
      </c>
    </row>
    <row r="31" spans="1:8" x14ac:dyDescent="0.3">
      <c r="A31" t="s">
        <v>59</v>
      </c>
      <c r="B31" t="s">
        <v>404</v>
      </c>
      <c r="C31" t="s">
        <v>403</v>
      </c>
      <c r="E31">
        <v>31</v>
      </c>
      <c r="F31">
        <f t="shared" si="0"/>
        <v>1.9079134</v>
      </c>
      <c r="G31">
        <f t="shared" si="1"/>
        <v>2.1467196999999998</v>
      </c>
      <c r="H31" t="e">
        <f t="shared" si="2"/>
        <v>#N/A</v>
      </c>
    </row>
    <row r="32" spans="1:8" x14ac:dyDescent="0.3">
      <c r="A32" t="s">
        <v>56</v>
      </c>
      <c r="B32" t="s">
        <v>402</v>
      </c>
      <c r="C32" t="s">
        <v>401</v>
      </c>
      <c r="E32">
        <v>32</v>
      </c>
      <c r="F32">
        <f t="shared" si="0"/>
        <v>1.9061399999999999</v>
      </c>
      <c r="G32">
        <f t="shared" si="1"/>
        <v>2.1887325999999998</v>
      </c>
      <c r="H32" t="e">
        <f t="shared" si="2"/>
        <v>#N/A</v>
      </c>
    </row>
    <row r="33" spans="1:8" x14ac:dyDescent="0.3">
      <c r="A33" t="s">
        <v>53</v>
      </c>
      <c r="B33" t="s">
        <v>400</v>
      </c>
      <c r="C33" t="s">
        <v>399</v>
      </c>
      <c r="E33">
        <v>33</v>
      </c>
      <c r="F33">
        <f t="shared" si="0"/>
        <v>1.9035435999999999</v>
      </c>
      <c r="G33">
        <f t="shared" si="1"/>
        <v>2.187675</v>
      </c>
      <c r="H33" t="e">
        <f t="shared" si="2"/>
        <v>#N/A</v>
      </c>
    </row>
    <row r="34" spans="1:8" x14ac:dyDescent="0.3">
      <c r="A34" t="s">
        <v>50</v>
      </c>
      <c r="B34" t="s">
        <v>398</v>
      </c>
      <c r="C34" t="s">
        <v>397</v>
      </c>
      <c r="E34">
        <v>34</v>
      </c>
      <c r="F34">
        <f t="shared" si="0"/>
        <v>1.9008654</v>
      </c>
      <c r="G34">
        <f t="shared" si="1"/>
        <v>2.1799442999999998</v>
      </c>
      <c r="H34" t="e">
        <f t="shared" si="2"/>
        <v>#N/A</v>
      </c>
    </row>
    <row r="35" spans="1:8" x14ac:dyDescent="0.3">
      <c r="A35" t="s">
        <v>47</v>
      </c>
      <c r="B35" t="s">
        <v>396</v>
      </c>
      <c r="C35" t="s">
        <v>395</v>
      </c>
      <c r="E35">
        <v>35</v>
      </c>
      <c r="F35">
        <f t="shared" si="0"/>
        <v>1.8986531</v>
      </c>
      <c r="G35">
        <f t="shared" si="1"/>
        <v>2.1756372000000002</v>
      </c>
      <c r="H35" t="e">
        <f t="shared" si="2"/>
        <v>#N/A</v>
      </c>
    </row>
    <row r="36" spans="1:8" x14ac:dyDescent="0.3">
      <c r="A36" t="s">
        <v>44</v>
      </c>
      <c r="B36" t="s">
        <v>394</v>
      </c>
      <c r="C36" t="s">
        <v>393</v>
      </c>
      <c r="E36">
        <v>36</v>
      </c>
      <c r="F36">
        <f t="shared" si="0"/>
        <v>1.8973362</v>
      </c>
      <c r="G36">
        <f t="shared" si="1"/>
        <v>2.1990497000000002</v>
      </c>
      <c r="H36" t="e">
        <f t="shared" si="2"/>
        <v>#N/A</v>
      </c>
    </row>
    <row r="37" spans="1:8" x14ac:dyDescent="0.3">
      <c r="A37" t="s">
        <v>41</v>
      </c>
      <c r="B37" t="s">
        <v>392</v>
      </c>
      <c r="C37" t="s">
        <v>391</v>
      </c>
      <c r="E37">
        <v>37</v>
      </c>
      <c r="F37">
        <f t="shared" si="0"/>
        <v>1.8948821</v>
      </c>
      <c r="G37">
        <f t="shared" si="1"/>
        <v>2.1828574999999999</v>
      </c>
      <c r="H37" t="e">
        <f t="shared" si="2"/>
        <v>#N/A</v>
      </c>
    </row>
    <row r="38" spans="1:8" x14ac:dyDescent="0.3">
      <c r="A38" t="s">
        <v>38</v>
      </c>
      <c r="B38" t="s">
        <v>390</v>
      </c>
      <c r="C38" t="s">
        <v>389</v>
      </c>
      <c r="E38">
        <v>38</v>
      </c>
      <c r="F38">
        <f t="shared" si="0"/>
        <v>1.8934530999999999</v>
      </c>
      <c r="G38">
        <f t="shared" si="1"/>
        <v>2.1990243999999999</v>
      </c>
      <c r="H38" t="e">
        <f t="shared" si="2"/>
        <v>#N/A</v>
      </c>
    </row>
    <row r="39" spans="1:8" x14ac:dyDescent="0.3">
      <c r="A39" t="s">
        <v>35</v>
      </c>
      <c r="B39" t="s">
        <v>388</v>
      </c>
      <c r="C39" t="s">
        <v>387</v>
      </c>
      <c r="E39">
        <v>39</v>
      </c>
      <c r="F39">
        <f t="shared" si="0"/>
        <v>1.8910625000000001</v>
      </c>
      <c r="G39">
        <f t="shared" si="1"/>
        <v>2.1779193999999999</v>
      </c>
      <c r="H39" t="e">
        <f t="shared" si="2"/>
        <v>#N/A</v>
      </c>
    </row>
    <row r="40" spans="1:8" x14ac:dyDescent="0.3">
      <c r="A40" t="s">
        <v>32</v>
      </c>
      <c r="B40" t="s">
        <v>386</v>
      </c>
      <c r="C40" t="s">
        <v>385</v>
      </c>
      <c r="E40">
        <v>40</v>
      </c>
      <c r="F40">
        <f t="shared" si="0"/>
        <v>1.8889313999999999</v>
      </c>
      <c r="G40">
        <f t="shared" si="1"/>
        <v>2.1824254999999999</v>
      </c>
      <c r="H40" t="e">
        <f t="shared" si="2"/>
        <v>#N/A</v>
      </c>
    </row>
    <row r="41" spans="1:8" x14ac:dyDescent="0.3">
      <c r="A41" t="s">
        <v>29</v>
      </c>
      <c r="B41" t="s">
        <v>384</v>
      </c>
      <c r="C41" t="s">
        <v>383</v>
      </c>
      <c r="E41">
        <v>41</v>
      </c>
      <c r="F41">
        <f t="shared" si="0"/>
        <v>1.88812</v>
      </c>
      <c r="G41">
        <f t="shared" si="1"/>
        <v>2.2031567000000001</v>
      </c>
      <c r="H41" t="e">
        <f t="shared" si="2"/>
        <v>#N/A</v>
      </c>
    </row>
    <row r="42" spans="1:8" x14ac:dyDescent="0.3">
      <c r="A42" t="s">
        <v>26</v>
      </c>
      <c r="B42" t="s">
        <v>382</v>
      </c>
      <c r="C42" t="s">
        <v>381</v>
      </c>
      <c r="E42">
        <v>42</v>
      </c>
      <c r="F42">
        <f t="shared" si="0"/>
        <v>1.8871912</v>
      </c>
      <c r="G42">
        <f t="shared" si="1"/>
        <v>2.187182</v>
      </c>
      <c r="H42" t="e">
        <f t="shared" si="2"/>
        <v>#N/A</v>
      </c>
    </row>
    <row r="43" spans="1:8" x14ac:dyDescent="0.3">
      <c r="A43" t="s">
        <v>23</v>
      </c>
      <c r="B43" t="s">
        <v>380</v>
      </c>
      <c r="C43" t="s">
        <v>379</v>
      </c>
      <c r="E43">
        <v>43</v>
      </c>
      <c r="F43">
        <f t="shared" si="0"/>
        <v>1.8861209000000001</v>
      </c>
      <c r="G43">
        <f t="shared" si="1"/>
        <v>2.1755363999999999</v>
      </c>
      <c r="H43" t="e">
        <f t="shared" si="2"/>
        <v>#N/A</v>
      </c>
    </row>
    <row r="44" spans="1:8" x14ac:dyDescent="0.3">
      <c r="A44" t="s">
        <v>20</v>
      </c>
      <c r="B44" t="s">
        <v>378</v>
      </c>
      <c r="C44" t="s">
        <v>377</v>
      </c>
      <c r="E44">
        <v>44</v>
      </c>
      <c r="F44">
        <f t="shared" si="0"/>
        <v>1.8837014000000001</v>
      </c>
      <c r="G44">
        <f t="shared" si="1"/>
        <v>2.1723197000000001</v>
      </c>
      <c r="H44" t="e">
        <f t="shared" si="2"/>
        <v>#N/A</v>
      </c>
    </row>
    <row r="45" spans="1:8" x14ac:dyDescent="0.3">
      <c r="A45" t="s">
        <v>17</v>
      </c>
      <c r="B45" t="s">
        <v>376</v>
      </c>
      <c r="C45" t="s">
        <v>375</v>
      </c>
      <c r="E45">
        <v>45</v>
      </c>
      <c r="F45">
        <f t="shared" si="0"/>
        <v>1.8829937000000001</v>
      </c>
      <c r="G45">
        <f t="shared" si="1"/>
        <v>2.1894936999999999</v>
      </c>
      <c r="H45" t="e">
        <f t="shared" si="2"/>
        <v>#N/A</v>
      </c>
    </row>
    <row r="46" spans="1:8" x14ac:dyDescent="0.3">
      <c r="A46" t="s">
        <v>14</v>
      </c>
      <c r="B46" t="s">
        <v>374</v>
      </c>
      <c r="C46" t="s">
        <v>373</v>
      </c>
      <c r="E46">
        <v>46</v>
      </c>
      <c r="F46">
        <f t="shared" si="0"/>
        <v>1.8826772000000001</v>
      </c>
      <c r="G46">
        <f t="shared" si="1"/>
        <v>2.1871315999999998</v>
      </c>
      <c r="H46" t="e">
        <f t="shared" si="2"/>
        <v>#N/A</v>
      </c>
    </row>
    <row r="47" spans="1:8" x14ac:dyDescent="0.3">
      <c r="A47" t="s">
        <v>11</v>
      </c>
      <c r="B47" t="s">
        <v>372</v>
      </c>
      <c r="C47" t="s">
        <v>371</v>
      </c>
      <c r="E47">
        <v>47</v>
      </c>
      <c r="F47">
        <f t="shared" si="0"/>
        <v>1.8809452</v>
      </c>
      <c r="G47">
        <f t="shared" si="1"/>
        <v>2.1821988000000001</v>
      </c>
      <c r="H47" t="e">
        <f t="shared" si="2"/>
        <v>#N/A</v>
      </c>
    </row>
    <row r="48" spans="1:8" x14ac:dyDescent="0.3">
      <c r="A48" t="s">
        <v>8</v>
      </c>
      <c r="B48" t="s">
        <v>370</v>
      </c>
      <c r="C48" t="s">
        <v>369</v>
      </c>
      <c r="E48">
        <v>48</v>
      </c>
      <c r="F48">
        <f t="shared" si="0"/>
        <v>1.8791633999999999</v>
      </c>
      <c r="G48">
        <f t="shared" si="1"/>
        <v>2.239557</v>
      </c>
      <c r="H48" t="e">
        <f t="shared" si="2"/>
        <v>#N/A</v>
      </c>
    </row>
    <row r="49" spans="1:8" x14ac:dyDescent="0.3">
      <c r="A49" t="s">
        <v>5</v>
      </c>
      <c r="B49" t="s">
        <v>368</v>
      </c>
      <c r="C49" t="s">
        <v>367</v>
      </c>
      <c r="E49">
        <v>49</v>
      </c>
      <c r="F49">
        <f t="shared" si="0"/>
        <v>1.8788235</v>
      </c>
      <c r="G49">
        <f t="shared" si="1"/>
        <v>2.1783814000000001</v>
      </c>
      <c r="H49" t="e">
        <f t="shared" si="2"/>
        <v>#N/A</v>
      </c>
    </row>
    <row r="50" spans="1:8" x14ac:dyDescent="0.3">
      <c r="A50" t="s">
        <v>2</v>
      </c>
      <c r="B50" t="s">
        <v>366</v>
      </c>
      <c r="C50" t="s">
        <v>365</v>
      </c>
      <c r="E50">
        <v>50</v>
      </c>
      <c r="F50">
        <f t="shared" si="0"/>
        <v>1.8765668</v>
      </c>
      <c r="G50">
        <f t="shared" si="1"/>
        <v>2.1837132000000001</v>
      </c>
      <c r="H50" t="e">
        <f t="shared" si="2"/>
        <v>#N/A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F7AE-666B-444A-A10A-85312A8CD46A}">
  <dimension ref="A1:H51"/>
  <sheetViews>
    <sheetView workbookViewId="0">
      <selection activeCell="E2" sqref="E2:H3"/>
    </sheetView>
  </sheetViews>
  <sheetFormatPr defaultRowHeight="14.4" x14ac:dyDescent="0.3"/>
  <cols>
    <col min="1" max="1" width="31.88671875" customWidth="1"/>
    <col min="2" max="2" width="20.33203125" customWidth="1"/>
    <col min="3" max="3" width="20" customWidth="1"/>
  </cols>
  <sheetData>
    <row r="1" spans="1:8" x14ac:dyDescent="0.3">
      <c r="A1" t="s">
        <v>575</v>
      </c>
    </row>
    <row r="2" spans="1:8" x14ac:dyDescent="0.3">
      <c r="A2" t="s">
        <v>149</v>
      </c>
      <c r="B2" t="s">
        <v>574</v>
      </c>
      <c r="C2" t="s">
        <v>573</v>
      </c>
      <c r="E2">
        <v>1</v>
      </c>
      <c r="F2">
        <f xml:space="preserve"> _xlfn.NUMBERVALUE(RIGHT(B2, LEN(B2) - 12),".")</f>
        <v>0.73629767000000002</v>
      </c>
      <c r="G2">
        <f xml:space="preserve"> _xlfn.NUMBERVALUE(RIGHT(C2, LEN(C2) - 11),".")</f>
        <v>0.75006249999999997</v>
      </c>
      <c r="H2" t="e">
        <f>IF(G2=MIN($G$1:$G$100),G2,NA())</f>
        <v>#N/A</v>
      </c>
    </row>
    <row r="3" spans="1:8" x14ac:dyDescent="0.3">
      <c r="A3" t="s">
        <v>146</v>
      </c>
      <c r="B3" t="s">
        <v>572</v>
      </c>
      <c r="C3" t="s">
        <v>571</v>
      </c>
      <c r="E3">
        <v>2</v>
      </c>
      <c r="F3">
        <f xml:space="preserve"> _xlfn.NUMBERVALUE(RIGHT(B3, LEN(B3) - 12),".")</f>
        <v>0.72778993999999997</v>
      </c>
      <c r="G3">
        <f xml:space="preserve"> _xlfn.NUMBERVALUE(RIGHT(C3, LEN(C3) - 11),".")</f>
        <v>0.73345095000000005</v>
      </c>
      <c r="H3" t="e">
        <f>IF(G3=MIN($G$1:$G$100),G3,NA())</f>
        <v>#N/A</v>
      </c>
    </row>
    <row r="4" spans="1:8" x14ac:dyDescent="0.3">
      <c r="A4" t="s">
        <v>143</v>
      </c>
      <c r="B4" t="s">
        <v>570</v>
      </c>
      <c r="C4" t="s">
        <v>569</v>
      </c>
      <c r="E4">
        <v>3</v>
      </c>
      <c r="F4">
        <f t="shared" ref="F4:F51" si="0" xml:space="preserve"> _xlfn.NUMBERVALUE(RIGHT(B4, LEN(B4) - 12),".")</f>
        <v>0.71747830000000001</v>
      </c>
      <c r="G4">
        <f t="shared" ref="G4:G51" si="1" xml:space="preserve"> _xlfn.NUMBERVALUE(RIGHT(C4, LEN(C4) - 11),".")</f>
        <v>0.7324427</v>
      </c>
      <c r="H4" t="e">
        <f>IF(G4=MIN($G$1:$G$100),G4,NA())</f>
        <v>#N/A</v>
      </c>
    </row>
    <row r="5" spans="1:8" x14ac:dyDescent="0.3">
      <c r="A5" t="s">
        <v>140</v>
      </c>
      <c r="B5" t="s">
        <v>568</v>
      </c>
      <c r="C5" t="s">
        <v>567</v>
      </c>
      <c r="E5">
        <v>4</v>
      </c>
      <c r="F5">
        <f t="shared" si="0"/>
        <v>0.70636549999999998</v>
      </c>
      <c r="G5">
        <f t="shared" si="1"/>
        <v>0.71575599999999995</v>
      </c>
      <c r="H5" t="e">
        <f t="shared" ref="H4:H51" si="2">IF(G5=MIN($G$1:$G$100),G5,NA())</f>
        <v>#N/A</v>
      </c>
    </row>
    <row r="6" spans="1:8" x14ac:dyDescent="0.3">
      <c r="A6" t="s">
        <v>137</v>
      </c>
      <c r="B6" t="s">
        <v>566</v>
      </c>
      <c r="C6" t="s">
        <v>565</v>
      </c>
      <c r="E6">
        <v>5</v>
      </c>
      <c r="F6">
        <f t="shared" si="0"/>
        <v>0.69583470000000003</v>
      </c>
      <c r="G6">
        <f t="shared" si="1"/>
        <v>0.71865385999999998</v>
      </c>
      <c r="H6" t="e">
        <f t="shared" si="2"/>
        <v>#N/A</v>
      </c>
    </row>
    <row r="7" spans="1:8" x14ac:dyDescent="0.3">
      <c r="A7" t="s">
        <v>564</v>
      </c>
      <c r="B7" t="s">
        <v>563</v>
      </c>
      <c r="C7" t="s">
        <v>562</v>
      </c>
      <c r="E7">
        <v>6</v>
      </c>
      <c r="F7">
        <f t="shared" si="0"/>
        <v>0.68607479999999998</v>
      </c>
      <c r="G7">
        <f t="shared" si="1"/>
        <v>0.71306800000000004</v>
      </c>
      <c r="H7" t="e">
        <f t="shared" si="2"/>
        <v>#N/A</v>
      </c>
    </row>
    <row r="8" spans="1:8" x14ac:dyDescent="0.3">
      <c r="A8" t="s">
        <v>131</v>
      </c>
      <c r="B8" t="s">
        <v>561</v>
      </c>
      <c r="C8" t="s">
        <v>560</v>
      </c>
      <c r="E8">
        <v>7</v>
      </c>
      <c r="F8">
        <f t="shared" si="0"/>
        <v>0.67741006999999998</v>
      </c>
      <c r="G8">
        <f t="shared" si="1"/>
        <v>0.70506895000000003</v>
      </c>
      <c r="H8" t="e">
        <f t="shared" si="2"/>
        <v>#N/A</v>
      </c>
    </row>
    <row r="9" spans="1:8" x14ac:dyDescent="0.3">
      <c r="A9" t="s">
        <v>128</v>
      </c>
      <c r="B9" t="s">
        <v>559</v>
      </c>
      <c r="C9" t="s">
        <v>558</v>
      </c>
      <c r="E9">
        <v>8</v>
      </c>
      <c r="F9">
        <f t="shared" si="0"/>
        <v>0.67073106999999998</v>
      </c>
      <c r="G9">
        <f t="shared" si="1"/>
        <v>0.70444720000000005</v>
      </c>
      <c r="H9" t="e">
        <f t="shared" si="2"/>
        <v>#N/A</v>
      </c>
    </row>
    <row r="10" spans="1:8" x14ac:dyDescent="0.3">
      <c r="A10" t="s">
        <v>348</v>
      </c>
      <c r="B10" t="s">
        <v>557</v>
      </c>
      <c r="C10" t="s">
        <v>556</v>
      </c>
      <c r="E10">
        <v>9</v>
      </c>
      <c r="F10">
        <f t="shared" si="0"/>
        <v>0.66485289999999997</v>
      </c>
      <c r="G10">
        <f t="shared" si="1"/>
        <v>0.69153403999999996</v>
      </c>
      <c r="H10" t="e">
        <f t="shared" si="2"/>
        <v>#N/A</v>
      </c>
    </row>
    <row r="11" spans="1:8" x14ac:dyDescent="0.3">
      <c r="A11" t="s">
        <v>242</v>
      </c>
      <c r="B11" t="s">
        <v>555</v>
      </c>
      <c r="C11" t="s">
        <v>554</v>
      </c>
      <c r="E11">
        <v>10</v>
      </c>
      <c r="F11">
        <f t="shared" si="0"/>
        <v>0.65993583</v>
      </c>
      <c r="G11">
        <f t="shared" si="1"/>
        <v>0.69443809999999995</v>
      </c>
      <c r="H11" t="e">
        <f t="shared" si="2"/>
        <v>#N/A</v>
      </c>
    </row>
    <row r="12" spans="1:8" x14ac:dyDescent="0.3">
      <c r="A12" t="s">
        <v>119</v>
      </c>
      <c r="B12" t="s">
        <v>553</v>
      </c>
      <c r="C12" t="s">
        <v>552</v>
      </c>
      <c r="E12">
        <v>11</v>
      </c>
      <c r="F12">
        <f t="shared" si="0"/>
        <v>0.65527546000000003</v>
      </c>
      <c r="G12">
        <f t="shared" si="1"/>
        <v>0.68959534</v>
      </c>
      <c r="H12" t="e">
        <f t="shared" si="2"/>
        <v>#N/A</v>
      </c>
    </row>
    <row r="13" spans="1:8" x14ac:dyDescent="0.3">
      <c r="A13" t="s">
        <v>236</v>
      </c>
      <c r="B13" t="s">
        <v>551</v>
      </c>
      <c r="C13" t="s">
        <v>550</v>
      </c>
      <c r="E13">
        <v>12</v>
      </c>
      <c r="F13">
        <f t="shared" si="0"/>
        <v>0.65112776000000006</v>
      </c>
      <c r="G13">
        <f t="shared" si="1"/>
        <v>0.68585604</v>
      </c>
      <c r="H13" t="e">
        <f t="shared" si="2"/>
        <v>#N/A</v>
      </c>
    </row>
    <row r="14" spans="1:8" x14ac:dyDescent="0.3">
      <c r="A14" t="s">
        <v>443</v>
      </c>
      <c r="B14" t="s">
        <v>549</v>
      </c>
      <c r="C14" t="s">
        <v>548</v>
      </c>
      <c r="E14">
        <v>13</v>
      </c>
      <c r="F14">
        <f t="shared" si="0"/>
        <v>0.64749020000000002</v>
      </c>
      <c r="G14">
        <f t="shared" si="1"/>
        <v>0.68750350000000005</v>
      </c>
      <c r="H14" t="e">
        <f t="shared" si="2"/>
        <v>#N/A</v>
      </c>
    </row>
    <row r="15" spans="1:8" x14ac:dyDescent="0.3">
      <c r="A15" t="s">
        <v>110</v>
      </c>
      <c r="B15" t="s">
        <v>547</v>
      </c>
      <c r="C15" t="s">
        <v>546</v>
      </c>
      <c r="E15">
        <v>14</v>
      </c>
      <c r="F15">
        <f t="shared" si="0"/>
        <v>0.64413580000000004</v>
      </c>
      <c r="G15">
        <f t="shared" si="1"/>
        <v>0.68100959999999999</v>
      </c>
      <c r="H15" t="e">
        <f t="shared" si="2"/>
        <v>#N/A</v>
      </c>
    </row>
    <row r="16" spans="1:8" x14ac:dyDescent="0.3">
      <c r="A16" t="s">
        <v>438</v>
      </c>
      <c r="B16" t="s">
        <v>545</v>
      </c>
      <c r="C16" t="s">
        <v>544</v>
      </c>
      <c r="E16">
        <v>15</v>
      </c>
      <c r="F16">
        <f t="shared" si="0"/>
        <v>0.64122140000000005</v>
      </c>
      <c r="G16">
        <f t="shared" si="1"/>
        <v>0.66967480000000001</v>
      </c>
      <c r="H16" t="e">
        <f t="shared" si="2"/>
        <v>#N/A</v>
      </c>
    </row>
    <row r="17" spans="1:8" x14ac:dyDescent="0.3">
      <c r="A17" t="s">
        <v>226</v>
      </c>
      <c r="B17" t="s">
        <v>543</v>
      </c>
      <c r="C17" t="s">
        <v>542</v>
      </c>
      <c r="E17">
        <v>16</v>
      </c>
      <c r="F17">
        <f t="shared" si="0"/>
        <v>0.63845719999999995</v>
      </c>
      <c r="G17">
        <f t="shared" si="1"/>
        <v>0.67693882999999999</v>
      </c>
      <c r="H17" t="e">
        <f t="shared" si="2"/>
        <v>#N/A</v>
      </c>
    </row>
    <row r="18" spans="1:8" x14ac:dyDescent="0.3">
      <c r="A18" t="s">
        <v>101</v>
      </c>
      <c r="B18" t="s">
        <v>541</v>
      </c>
      <c r="C18" t="s">
        <v>540</v>
      </c>
      <c r="E18">
        <v>17</v>
      </c>
      <c r="F18">
        <f t="shared" si="0"/>
        <v>0.63593699999999997</v>
      </c>
      <c r="G18">
        <f t="shared" si="1"/>
        <v>0.67404050000000004</v>
      </c>
      <c r="H18" t="e">
        <f t="shared" si="2"/>
        <v>#N/A</v>
      </c>
    </row>
    <row r="19" spans="1:8" x14ac:dyDescent="0.3">
      <c r="A19" t="s">
        <v>221</v>
      </c>
      <c r="B19" t="s">
        <v>539</v>
      </c>
      <c r="C19" t="s">
        <v>538</v>
      </c>
      <c r="E19">
        <v>18</v>
      </c>
      <c r="F19">
        <f t="shared" si="0"/>
        <v>0.63347169999999997</v>
      </c>
      <c r="G19">
        <f t="shared" si="1"/>
        <v>0.67529576999999996</v>
      </c>
      <c r="H19" t="e">
        <f t="shared" si="2"/>
        <v>#N/A</v>
      </c>
    </row>
    <row r="20" spans="1:8" x14ac:dyDescent="0.3">
      <c r="A20" t="s">
        <v>95</v>
      </c>
      <c r="B20" t="s">
        <v>537</v>
      </c>
      <c r="C20" t="s">
        <v>536</v>
      </c>
      <c r="E20">
        <v>19</v>
      </c>
      <c r="F20">
        <f t="shared" si="0"/>
        <v>0.63121510000000003</v>
      </c>
      <c r="G20">
        <f t="shared" si="1"/>
        <v>0.67492010000000002</v>
      </c>
      <c r="H20" t="e">
        <f t="shared" si="2"/>
        <v>#N/A</v>
      </c>
    </row>
    <row r="21" spans="1:8" x14ac:dyDescent="0.3">
      <c r="A21" t="s">
        <v>92</v>
      </c>
      <c r="B21" t="s">
        <v>535</v>
      </c>
      <c r="C21" t="s">
        <v>534</v>
      </c>
      <c r="E21">
        <v>20</v>
      </c>
      <c r="F21">
        <f t="shared" si="0"/>
        <v>0.62912559999999995</v>
      </c>
      <c r="G21">
        <f t="shared" si="1"/>
        <v>0.66173552999999996</v>
      </c>
      <c r="H21" t="e">
        <f t="shared" si="2"/>
        <v>#N/A</v>
      </c>
    </row>
    <row r="22" spans="1:8" x14ac:dyDescent="0.3">
      <c r="A22" t="s">
        <v>323</v>
      </c>
      <c r="B22" t="s">
        <v>533</v>
      </c>
      <c r="C22" t="s">
        <v>532</v>
      </c>
      <c r="E22">
        <v>21</v>
      </c>
      <c r="F22">
        <f t="shared" si="0"/>
        <v>0.62729555000000004</v>
      </c>
      <c r="G22">
        <f t="shared" si="1"/>
        <v>0.66140544000000001</v>
      </c>
      <c r="H22" t="e">
        <f t="shared" si="2"/>
        <v>#N/A</v>
      </c>
    </row>
    <row r="23" spans="1:8" x14ac:dyDescent="0.3">
      <c r="A23" t="s">
        <v>211</v>
      </c>
      <c r="B23" t="s">
        <v>531</v>
      </c>
      <c r="C23" t="s">
        <v>530</v>
      </c>
      <c r="E23">
        <v>22</v>
      </c>
      <c r="F23">
        <f t="shared" si="0"/>
        <v>0.62562430000000002</v>
      </c>
      <c r="G23">
        <f t="shared" si="1"/>
        <v>0.66468775000000002</v>
      </c>
      <c r="H23" t="e">
        <f t="shared" si="2"/>
        <v>#N/A</v>
      </c>
    </row>
    <row r="24" spans="1:8" x14ac:dyDescent="0.3">
      <c r="A24" t="s">
        <v>83</v>
      </c>
      <c r="B24" t="s">
        <v>529</v>
      </c>
      <c r="C24" t="s">
        <v>528</v>
      </c>
      <c r="E24">
        <v>23</v>
      </c>
      <c r="F24">
        <f t="shared" si="0"/>
        <v>0.62354577</v>
      </c>
      <c r="G24">
        <f t="shared" si="1"/>
        <v>0.66626870000000005</v>
      </c>
      <c r="H24" t="e">
        <f t="shared" si="2"/>
        <v>#N/A</v>
      </c>
    </row>
    <row r="25" spans="1:8" x14ac:dyDescent="0.3">
      <c r="A25" t="s">
        <v>80</v>
      </c>
      <c r="B25" t="s">
        <v>527</v>
      </c>
      <c r="C25" t="s">
        <v>526</v>
      </c>
      <c r="E25">
        <v>24</v>
      </c>
      <c r="F25">
        <f t="shared" si="0"/>
        <v>0.62218624</v>
      </c>
      <c r="G25">
        <f t="shared" si="1"/>
        <v>0.66315900000000005</v>
      </c>
      <c r="H25" t="e">
        <f t="shared" si="2"/>
        <v>#N/A</v>
      </c>
    </row>
    <row r="26" spans="1:8" x14ac:dyDescent="0.3">
      <c r="A26" t="s">
        <v>77</v>
      </c>
      <c r="B26" t="s">
        <v>525</v>
      </c>
      <c r="C26" t="s">
        <v>524</v>
      </c>
      <c r="E26">
        <v>25</v>
      </c>
      <c r="F26">
        <f t="shared" si="0"/>
        <v>0.62054589999999998</v>
      </c>
      <c r="G26">
        <f t="shared" si="1"/>
        <v>0.66558766000000003</v>
      </c>
      <c r="H26" t="e">
        <f t="shared" si="2"/>
        <v>#N/A</v>
      </c>
    </row>
    <row r="27" spans="1:8" x14ac:dyDescent="0.3">
      <c r="A27" t="s">
        <v>74</v>
      </c>
      <c r="B27" t="s">
        <v>523</v>
      </c>
      <c r="C27" t="s">
        <v>522</v>
      </c>
      <c r="E27">
        <v>26</v>
      </c>
      <c r="F27">
        <f t="shared" si="0"/>
        <v>0.61902040000000003</v>
      </c>
      <c r="G27">
        <f t="shared" si="1"/>
        <v>0.66262065999999997</v>
      </c>
      <c r="H27" t="e">
        <f t="shared" si="2"/>
        <v>#N/A</v>
      </c>
    </row>
    <row r="28" spans="1:8" x14ac:dyDescent="0.3">
      <c r="A28" t="s">
        <v>71</v>
      </c>
      <c r="B28" t="s">
        <v>521</v>
      </c>
      <c r="C28" t="s">
        <v>520</v>
      </c>
      <c r="E28">
        <v>27</v>
      </c>
      <c r="F28">
        <f t="shared" si="0"/>
        <v>0.61782899999999996</v>
      </c>
      <c r="G28">
        <f t="shared" si="1"/>
        <v>0.66282326000000003</v>
      </c>
      <c r="H28" t="e">
        <f t="shared" si="2"/>
        <v>#N/A</v>
      </c>
    </row>
    <row r="29" spans="1:8" x14ac:dyDescent="0.3">
      <c r="A29" t="s">
        <v>68</v>
      </c>
      <c r="B29" t="s">
        <v>519</v>
      </c>
      <c r="C29" t="s">
        <v>518</v>
      </c>
      <c r="E29">
        <v>28</v>
      </c>
      <c r="F29">
        <f t="shared" si="0"/>
        <v>0.61643915999999999</v>
      </c>
      <c r="G29">
        <f t="shared" si="1"/>
        <v>0.66098760000000001</v>
      </c>
      <c r="H29" t="e">
        <f t="shared" si="2"/>
        <v>#N/A</v>
      </c>
    </row>
    <row r="30" spans="1:8" x14ac:dyDescent="0.3">
      <c r="A30" t="s">
        <v>194</v>
      </c>
      <c r="B30" t="s">
        <v>517</v>
      </c>
      <c r="C30" t="s">
        <v>516</v>
      </c>
      <c r="E30">
        <v>29</v>
      </c>
      <c r="F30">
        <f t="shared" si="0"/>
        <v>0.61514336000000003</v>
      </c>
      <c r="G30">
        <f t="shared" si="1"/>
        <v>0.66324866000000005</v>
      </c>
      <c r="H30" t="e">
        <f t="shared" si="2"/>
        <v>#N/A</v>
      </c>
    </row>
    <row r="31" spans="1:8" x14ac:dyDescent="0.3">
      <c r="A31" t="s">
        <v>62</v>
      </c>
      <c r="B31" t="s">
        <v>515</v>
      </c>
      <c r="C31" t="s">
        <v>514</v>
      </c>
      <c r="E31">
        <v>30</v>
      </c>
      <c r="F31">
        <f t="shared" si="0"/>
        <v>0.61389910000000003</v>
      </c>
      <c r="G31">
        <f t="shared" si="1"/>
        <v>0.65769949999999999</v>
      </c>
      <c r="H31" t="e">
        <f t="shared" si="2"/>
        <v>#N/A</v>
      </c>
    </row>
    <row r="32" spans="1:8" x14ac:dyDescent="0.3">
      <c r="A32" t="s">
        <v>513</v>
      </c>
      <c r="B32" t="s">
        <v>512</v>
      </c>
      <c r="C32" t="s">
        <v>511</v>
      </c>
      <c r="E32">
        <v>31</v>
      </c>
      <c r="F32">
        <f t="shared" si="0"/>
        <v>0.61301289999999997</v>
      </c>
      <c r="G32">
        <f t="shared" si="1"/>
        <v>0.66293869999999999</v>
      </c>
      <c r="H32" t="e">
        <f t="shared" si="2"/>
        <v>#N/A</v>
      </c>
    </row>
    <row r="33" spans="1:8" x14ac:dyDescent="0.3">
      <c r="A33" t="s">
        <v>56</v>
      </c>
      <c r="B33" t="s">
        <v>510</v>
      </c>
      <c r="C33" t="s">
        <v>509</v>
      </c>
      <c r="E33">
        <v>32</v>
      </c>
      <c r="F33">
        <f t="shared" si="0"/>
        <v>0.61191666</v>
      </c>
      <c r="G33">
        <f t="shared" si="1"/>
        <v>0.65969489999999997</v>
      </c>
      <c r="H33" t="e">
        <f t="shared" si="2"/>
        <v>#N/A</v>
      </c>
    </row>
    <row r="34" spans="1:8" x14ac:dyDescent="0.3">
      <c r="A34" t="s">
        <v>53</v>
      </c>
      <c r="B34" t="s">
        <v>508</v>
      </c>
      <c r="C34" t="s">
        <v>507</v>
      </c>
      <c r="E34">
        <v>33</v>
      </c>
      <c r="F34">
        <f t="shared" si="0"/>
        <v>0.61076140000000001</v>
      </c>
      <c r="G34">
        <f t="shared" si="1"/>
        <v>0.65439449999999999</v>
      </c>
      <c r="H34" t="e">
        <f t="shared" si="2"/>
        <v>#N/A</v>
      </c>
    </row>
    <row r="35" spans="1:8" x14ac:dyDescent="0.3">
      <c r="A35" t="s">
        <v>506</v>
      </c>
      <c r="B35" t="s">
        <v>505</v>
      </c>
      <c r="C35" t="s">
        <v>504</v>
      </c>
      <c r="E35">
        <v>34</v>
      </c>
      <c r="F35">
        <f t="shared" si="0"/>
        <v>0.61013770000000001</v>
      </c>
      <c r="G35">
        <f t="shared" si="1"/>
        <v>0.6627497</v>
      </c>
      <c r="H35" t="e">
        <f t="shared" si="2"/>
        <v>#N/A</v>
      </c>
    </row>
    <row r="36" spans="1:8" x14ac:dyDescent="0.3">
      <c r="A36" t="s">
        <v>47</v>
      </c>
      <c r="B36" t="s">
        <v>503</v>
      </c>
      <c r="C36" t="s">
        <v>502</v>
      </c>
      <c r="E36">
        <v>35</v>
      </c>
      <c r="F36">
        <f t="shared" si="0"/>
        <v>0.60912270000000002</v>
      </c>
      <c r="G36">
        <f t="shared" si="1"/>
        <v>0.66473185999999995</v>
      </c>
      <c r="H36" t="e">
        <f t="shared" si="2"/>
        <v>#N/A</v>
      </c>
    </row>
    <row r="37" spans="1:8" x14ac:dyDescent="0.3">
      <c r="A37" t="s">
        <v>44</v>
      </c>
      <c r="B37" t="s">
        <v>501</v>
      </c>
      <c r="C37" t="s">
        <v>500</v>
      </c>
      <c r="E37">
        <v>36</v>
      </c>
      <c r="F37">
        <f t="shared" si="0"/>
        <v>0.60823450000000001</v>
      </c>
      <c r="G37">
        <f t="shared" si="1"/>
        <v>0.66102899999999998</v>
      </c>
      <c r="H37" t="e">
        <f t="shared" si="2"/>
        <v>#N/A</v>
      </c>
    </row>
    <row r="38" spans="1:8" x14ac:dyDescent="0.3">
      <c r="A38" t="s">
        <v>41</v>
      </c>
      <c r="B38" t="s">
        <v>499</v>
      </c>
      <c r="C38" t="s">
        <v>498</v>
      </c>
      <c r="E38">
        <v>37</v>
      </c>
      <c r="F38">
        <f t="shared" si="0"/>
        <v>0.60732275000000002</v>
      </c>
      <c r="G38">
        <f t="shared" si="1"/>
        <v>0.66323876000000004</v>
      </c>
      <c r="H38" t="e">
        <f t="shared" si="2"/>
        <v>#N/A</v>
      </c>
    </row>
    <row r="39" spans="1:8" x14ac:dyDescent="0.3">
      <c r="A39" t="s">
        <v>38</v>
      </c>
      <c r="B39" t="s">
        <v>497</v>
      </c>
      <c r="C39" t="s">
        <v>496</v>
      </c>
      <c r="E39">
        <v>38</v>
      </c>
      <c r="F39">
        <f t="shared" si="0"/>
        <v>0.60640309999999997</v>
      </c>
      <c r="G39">
        <f t="shared" si="1"/>
        <v>0.65685819999999995</v>
      </c>
      <c r="H39" t="e">
        <f t="shared" si="2"/>
        <v>#N/A</v>
      </c>
    </row>
    <row r="40" spans="1:8" x14ac:dyDescent="0.3">
      <c r="A40" t="s">
        <v>35</v>
      </c>
      <c r="B40" t="s">
        <v>495</v>
      </c>
      <c r="C40" t="s">
        <v>494</v>
      </c>
      <c r="E40">
        <v>39</v>
      </c>
      <c r="F40">
        <f t="shared" si="0"/>
        <v>0.60576593999999995</v>
      </c>
      <c r="G40">
        <f t="shared" si="1"/>
        <v>0.65496279999999996</v>
      </c>
      <c r="H40" t="e">
        <f t="shared" si="2"/>
        <v>#N/A</v>
      </c>
    </row>
    <row r="41" spans="1:8" x14ac:dyDescent="0.3">
      <c r="A41" t="s">
        <v>32</v>
      </c>
      <c r="B41" t="s">
        <v>493</v>
      </c>
      <c r="C41" t="s">
        <v>492</v>
      </c>
      <c r="E41">
        <v>40</v>
      </c>
      <c r="F41">
        <f t="shared" si="0"/>
        <v>0.60474609999999995</v>
      </c>
      <c r="G41">
        <f t="shared" si="1"/>
        <v>0.65718085000000004</v>
      </c>
      <c r="H41" t="e">
        <f t="shared" si="2"/>
        <v>#N/A</v>
      </c>
    </row>
    <row r="42" spans="1:8" x14ac:dyDescent="0.3">
      <c r="A42" t="s">
        <v>29</v>
      </c>
      <c r="B42" t="s">
        <v>491</v>
      </c>
      <c r="C42" t="s">
        <v>490</v>
      </c>
      <c r="E42">
        <v>41</v>
      </c>
      <c r="F42">
        <f t="shared" si="0"/>
        <v>0.60370049999999997</v>
      </c>
      <c r="G42">
        <f t="shared" si="1"/>
        <v>0.65320265</v>
      </c>
      <c r="H42" t="e">
        <f t="shared" si="2"/>
        <v>#N/A</v>
      </c>
    </row>
    <row r="43" spans="1:8" x14ac:dyDescent="0.3">
      <c r="A43" t="s">
        <v>489</v>
      </c>
      <c r="B43" t="s">
        <v>488</v>
      </c>
      <c r="C43" t="s">
        <v>487</v>
      </c>
      <c r="E43">
        <v>42</v>
      </c>
      <c r="F43">
        <f t="shared" si="0"/>
        <v>0.6028462</v>
      </c>
      <c r="G43">
        <f t="shared" si="1"/>
        <v>0.65775819999999996</v>
      </c>
      <c r="H43" t="e">
        <f t="shared" si="2"/>
        <v>#N/A</v>
      </c>
    </row>
    <row r="44" spans="1:8" x14ac:dyDescent="0.3">
      <c r="A44" t="s">
        <v>23</v>
      </c>
      <c r="B44" t="s">
        <v>486</v>
      </c>
      <c r="C44" t="s">
        <v>485</v>
      </c>
      <c r="E44">
        <v>43</v>
      </c>
      <c r="F44">
        <f t="shared" si="0"/>
        <v>0.60211460000000006</v>
      </c>
      <c r="G44">
        <f t="shared" si="1"/>
        <v>0.66115939999999995</v>
      </c>
      <c r="H44" t="e">
        <f t="shared" si="2"/>
        <v>#N/A</v>
      </c>
    </row>
    <row r="45" spans="1:8" x14ac:dyDescent="0.3">
      <c r="A45" t="s">
        <v>20</v>
      </c>
      <c r="B45" t="s">
        <v>484</v>
      </c>
      <c r="C45" t="s">
        <v>483</v>
      </c>
      <c r="E45">
        <v>44</v>
      </c>
      <c r="F45">
        <f t="shared" si="0"/>
        <v>0.6010913</v>
      </c>
      <c r="G45">
        <f t="shared" si="1"/>
        <v>0.65429914</v>
      </c>
      <c r="H45" t="e">
        <f t="shared" si="2"/>
        <v>#N/A</v>
      </c>
    </row>
    <row r="46" spans="1:8" x14ac:dyDescent="0.3">
      <c r="A46" t="s">
        <v>17</v>
      </c>
      <c r="B46" t="s">
        <v>482</v>
      </c>
      <c r="C46" t="s">
        <v>481</v>
      </c>
      <c r="E46">
        <v>45</v>
      </c>
      <c r="F46">
        <f t="shared" si="0"/>
        <v>0.60036623</v>
      </c>
      <c r="G46">
        <f t="shared" si="1"/>
        <v>0.66229420000000006</v>
      </c>
      <c r="H46" t="e">
        <f t="shared" si="2"/>
        <v>#N/A</v>
      </c>
    </row>
    <row r="47" spans="1:8" x14ac:dyDescent="0.3">
      <c r="A47" t="s">
        <v>14</v>
      </c>
      <c r="B47" t="s">
        <v>480</v>
      </c>
      <c r="C47" t="s">
        <v>479</v>
      </c>
      <c r="E47">
        <v>46</v>
      </c>
      <c r="F47">
        <f t="shared" si="0"/>
        <v>0.59953064</v>
      </c>
      <c r="G47">
        <f t="shared" si="1"/>
        <v>0.65304004999999998</v>
      </c>
      <c r="H47" t="e">
        <f t="shared" si="2"/>
        <v>#N/A</v>
      </c>
    </row>
    <row r="48" spans="1:8" x14ac:dyDescent="0.3">
      <c r="A48" t="s">
        <v>478</v>
      </c>
      <c r="B48" t="s">
        <v>477</v>
      </c>
      <c r="C48" t="s">
        <v>476</v>
      </c>
      <c r="E48">
        <v>47</v>
      </c>
      <c r="F48">
        <f t="shared" si="0"/>
        <v>0.59879965000000002</v>
      </c>
      <c r="G48">
        <f t="shared" si="1"/>
        <v>0.66161597000000005</v>
      </c>
      <c r="H48" t="e">
        <f t="shared" si="2"/>
        <v>#N/A</v>
      </c>
    </row>
    <row r="49" spans="1:8" x14ac:dyDescent="0.3">
      <c r="A49" t="s">
        <v>8</v>
      </c>
      <c r="B49" t="s">
        <v>475</v>
      </c>
      <c r="C49" t="s">
        <v>474</v>
      </c>
      <c r="E49">
        <v>48</v>
      </c>
      <c r="F49">
        <f t="shared" si="0"/>
        <v>0.59825379999999995</v>
      </c>
      <c r="G49">
        <f t="shared" si="1"/>
        <v>0.65396270000000001</v>
      </c>
      <c r="H49" t="e">
        <f t="shared" si="2"/>
        <v>#N/A</v>
      </c>
    </row>
    <row r="50" spans="1:8" x14ac:dyDescent="0.3">
      <c r="A50" t="s">
        <v>5</v>
      </c>
      <c r="B50" t="s">
        <v>473</v>
      </c>
      <c r="C50" t="s">
        <v>472</v>
      </c>
      <c r="E50">
        <v>49</v>
      </c>
      <c r="F50">
        <f t="shared" si="0"/>
        <v>0.59754865999999995</v>
      </c>
      <c r="G50">
        <f t="shared" si="1"/>
        <v>0.64862640000000005</v>
      </c>
      <c r="H50">
        <f t="shared" si="2"/>
        <v>0.64862640000000005</v>
      </c>
    </row>
    <row r="51" spans="1:8" x14ac:dyDescent="0.3">
      <c r="A51" t="s">
        <v>471</v>
      </c>
      <c r="B51" t="s">
        <v>470</v>
      </c>
      <c r="C51" t="s">
        <v>469</v>
      </c>
      <c r="E51">
        <v>50</v>
      </c>
      <c r="F51">
        <f t="shared" si="0"/>
        <v>0.59672979999999998</v>
      </c>
      <c r="G51">
        <f t="shared" si="1"/>
        <v>0.65382682999999997</v>
      </c>
      <c r="H51" t="e">
        <f t="shared" si="2"/>
        <v>#N/A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6F10-81AB-4397-A774-B159FCD10C38}">
  <dimension ref="A1:H51"/>
  <sheetViews>
    <sheetView tabSelected="1" workbookViewId="0">
      <selection activeCell="L21" sqref="L21"/>
    </sheetView>
  </sheetViews>
  <sheetFormatPr defaultRowHeight="14.4" x14ac:dyDescent="0.3"/>
  <cols>
    <col min="1" max="1" width="32.77734375" customWidth="1"/>
    <col min="2" max="2" width="25.33203125" customWidth="1"/>
    <col min="3" max="3" width="20.77734375" customWidth="1"/>
  </cols>
  <sheetData>
    <row r="1" spans="1:8" x14ac:dyDescent="0.3">
      <c r="A1" t="s">
        <v>575</v>
      </c>
    </row>
    <row r="2" spans="1:8" x14ac:dyDescent="0.3">
      <c r="A2" t="s">
        <v>149</v>
      </c>
      <c r="B2" t="s">
        <v>677</v>
      </c>
      <c r="C2" t="s">
        <v>676</v>
      </c>
      <c r="E2">
        <v>1</v>
      </c>
      <c r="F2">
        <f xml:space="preserve"> _xlfn.NUMBERVALUE(RIGHT(B2, LEN(B2) - 12),".")</f>
        <v>0.10321532999999999</v>
      </c>
      <c r="G2">
        <f xml:space="preserve"> _xlfn.NUMBERVALUE(RIGHT(C2, LEN(C2) - 11),".")</f>
        <v>0.10272829</v>
      </c>
      <c r="H2" t="e">
        <f>IF(G2=MIN($G$1:$G$100),G2,NA())</f>
        <v>#N/A</v>
      </c>
    </row>
    <row r="3" spans="1:8" x14ac:dyDescent="0.3">
      <c r="A3" t="s">
        <v>146</v>
      </c>
      <c r="B3" t="s">
        <v>675</v>
      </c>
      <c r="C3" t="s">
        <v>674</v>
      </c>
      <c r="E3">
        <v>2</v>
      </c>
      <c r="F3">
        <f xml:space="preserve"> _xlfn.NUMBERVALUE(RIGHT(B3, LEN(B3) - 12),".")</f>
        <v>9.1261480000000006E-2</v>
      </c>
      <c r="G3">
        <f xml:space="preserve"> _xlfn.NUMBERVALUE(RIGHT(C3, LEN(C3) - 11),".")</f>
        <v>9.6509664999999994E-2</v>
      </c>
      <c r="H3" t="e">
        <f>IF(G3=MIN($G$1:$G$100),G3,NA())</f>
        <v>#N/A</v>
      </c>
    </row>
    <row r="4" spans="1:8" x14ac:dyDescent="0.3">
      <c r="A4" t="s">
        <v>143</v>
      </c>
      <c r="B4" t="s">
        <v>673</v>
      </c>
      <c r="C4" t="s">
        <v>672</v>
      </c>
      <c r="E4">
        <v>3</v>
      </c>
      <c r="F4">
        <f t="shared" ref="F4:F51" si="0" xml:space="preserve"> _xlfn.NUMBERVALUE(RIGHT(B4, LEN(B4) - 12),".")</f>
        <v>8.6276859999999997E-2</v>
      </c>
      <c r="G4">
        <f t="shared" ref="G4:G51" si="1" xml:space="preserve"> _xlfn.NUMBERVALUE(RIGHT(C4, LEN(C4) - 11),".")</f>
        <v>9.0237423999999997E-2</v>
      </c>
      <c r="H4" t="e">
        <f t="shared" ref="H4:H51" si="2">IF(G4=MIN($G$1:$G$100),G4,NA())</f>
        <v>#N/A</v>
      </c>
    </row>
    <row r="5" spans="1:8" x14ac:dyDescent="0.3">
      <c r="A5" t="s">
        <v>140</v>
      </c>
      <c r="B5" t="s">
        <v>671</v>
      </c>
      <c r="C5" t="s">
        <v>670</v>
      </c>
      <c r="E5">
        <v>4</v>
      </c>
      <c r="F5">
        <f t="shared" si="0"/>
        <v>8.2766220000000001E-2</v>
      </c>
      <c r="G5">
        <f t="shared" si="1"/>
        <v>8.7651090000000001E-2</v>
      </c>
      <c r="H5" t="e">
        <f t="shared" si="2"/>
        <v>#N/A</v>
      </c>
    </row>
    <row r="6" spans="1:8" x14ac:dyDescent="0.3">
      <c r="A6" t="s">
        <v>137</v>
      </c>
      <c r="B6" t="s">
        <v>669</v>
      </c>
      <c r="C6" t="s">
        <v>668</v>
      </c>
      <c r="E6">
        <v>5</v>
      </c>
      <c r="F6">
        <f t="shared" si="0"/>
        <v>8.0892119999999998E-2</v>
      </c>
      <c r="G6">
        <f t="shared" si="1"/>
        <v>8.7914400000000004E-2</v>
      </c>
      <c r="H6" t="e">
        <f t="shared" si="2"/>
        <v>#N/A</v>
      </c>
    </row>
    <row r="7" spans="1:8" x14ac:dyDescent="0.3">
      <c r="A7" t="s">
        <v>564</v>
      </c>
      <c r="B7" t="s">
        <v>667</v>
      </c>
      <c r="C7" t="s">
        <v>666</v>
      </c>
      <c r="E7">
        <v>6</v>
      </c>
      <c r="F7">
        <f t="shared" si="0"/>
        <v>7.9416139999999996E-2</v>
      </c>
      <c r="G7">
        <f t="shared" si="1"/>
        <v>8.5564479999999998E-2</v>
      </c>
      <c r="H7" t="e">
        <f t="shared" si="2"/>
        <v>#N/A</v>
      </c>
    </row>
    <row r="8" spans="1:8" x14ac:dyDescent="0.3">
      <c r="A8" t="s">
        <v>131</v>
      </c>
      <c r="B8" t="s">
        <v>665</v>
      </c>
      <c r="C8" t="s">
        <v>664</v>
      </c>
      <c r="E8">
        <v>7</v>
      </c>
      <c r="F8">
        <f t="shared" si="0"/>
        <v>7.8000959999999994E-2</v>
      </c>
      <c r="G8">
        <f t="shared" si="1"/>
        <v>8.4050879999999994E-2</v>
      </c>
      <c r="H8" t="e">
        <f t="shared" si="2"/>
        <v>#N/A</v>
      </c>
    </row>
    <row r="9" spans="1:8" x14ac:dyDescent="0.3">
      <c r="A9" t="s">
        <v>128</v>
      </c>
      <c r="B9" t="s">
        <v>663</v>
      </c>
      <c r="C9" t="s">
        <v>662</v>
      </c>
      <c r="E9">
        <v>8</v>
      </c>
      <c r="F9">
        <f t="shared" si="0"/>
        <v>7.6836450000000001E-2</v>
      </c>
      <c r="G9">
        <f t="shared" si="1"/>
        <v>8.7122925000000004E-2</v>
      </c>
      <c r="H9" t="e">
        <f t="shared" si="2"/>
        <v>#N/A</v>
      </c>
    </row>
    <row r="10" spans="1:8" x14ac:dyDescent="0.3">
      <c r="A10" t="s">
        <v>125</v>
      </c>
      <c r="B10" t="s">
        <v>661</v>
      </c>
      <c r="C10" t="s">
        <v>660</v>
      </c>
      <c r="E10">
        <v>9</v>
      </c>
      <c r="F10">
        <f t="shared" si="0"/>
        <v>7.5813160000000004E-2</v>
      </c>
      <c r="G10">
        <f t="shared" si="1"/>
        <v>8.5584900000000005E-2</v>
      </c>
      <c r="H10" t="e">
        <f t="shared" si="2"/>
        <v>#N/A</v>
      </c>
    </row>
    <row r="11" spans="1:8" x14ac:dyDescent="0.3">
      <c r="A11" t="s">
        <v>122</v>
      </c>
      <c r="B11" t="s">
        <v>659</v>
      </c>
      <c r="C11" t="s">
        <v>658</v>
      </c>
      <c r="E11">
        <v>10</v>
      </c>
      <c r="F11">
        <f t="shared" si="0"/>
        <v>7.4749549999999998E-2</v>
      </c>
      <c r="G11">
        <f t="shared" si="1"/>
        <v>8.457547E-2</v>
      </c>
      <c r="H11" t="e">
        <f t="shared" si="2"/>
        <v>#N/A</v>
      </c>
    </row>
    <row r="12" spans="1:8" x14ac:dyDescent="0.3">
      <c r="A12" t="s">
        <v>119</v>
      </c>
      <c r="B12" t="s">
        <v>657</v>
      </c>
      <c r="C12" t="s">
        <v>656</v>
      </c>
      <c r="E12">
        <v>11</v>
      </c>
      <c r="F12">
        <f t="shared" si="0"/>
        <v>7.3861635999999994E-2</v>
      </c>
      <c r="G12">
        <f t="shared" si="1"/>
        <v>8.5889645000000001E-2</v>
      </c>
      <c r="H12" t="e">
        <f t="shared" si="2"/>
        <v>#N/A</v>
      </c>
    </row>
    <row r="13" spans="1:8" x14ac:dyDescent="0.3">
      <c r="A13" t="s">
        <v>116</v>
      </c>
      <c r="B13" t="s">
        <v>655</v>
      </c>
      <c r="C13" t="s">
        <v>654</v>
      </c>
      <c r="E13">
        <v>12</v>
      </c>
      <c r="F13">
        <f t="shared" si="0"/>
        <v>7.3016990000000004E-2</v>
      </c>
      <c r="G13">
        <f t="shared" si="1"/>
        <v>8.3150760000000004E-2</v>
      </c>
      <c r="H13" t="e">
        <f t="shared" si="2"/>
        <v>#N/A</v>
      </c>
    </row>
    <row r="14" spans="1:8" x14ac:dyDescent="0.3">
      <c r="A14" t="s">
        <v>443</v>
      </c>
      <c r="B14" t="s">
        <v>653</v>
      </c>
      <c r="C14" t="s">
        <v>652</v>
      </c>
      <c r="E14">
        <v>13</v>
      </c>
      <c r="F14">
        <f t="shared" si="0"/>
        <v>7.2190835999999994E-2</v>
      </c>
      <c r="G14">
        <f t="shared" si="1"/>
        <v>8.3616460000000004E-2</v>
      </c>
      <c r="H14" t="e">
        <f t="shared" si="2"/>
        <v>#N/A</v>
      </c>
    </row>
    <row r="15" spans="1:8" x14ac:dyDescent="0.3">
      <c r="A15" t="s">
        <v>110</v>
      </c>
      <c r="B15" t="s">
        <v>651</v>
      </c>
      <c r="C15" t="s">
        <v>650</v>
      </c>
      <c r="E15">
        <v>14</v>
      </c>
      <c r="F15">
        <f t="shared" si="0"/>
        <v>7.1517120000000003E-2</v>
      </c>
      <c r="G15">
        <f t="shared" si="1"/>
        <v>8.3659109999999995E-2</v>
      </c>
      <c r="H15" t="e">
        <f t="shared" si="2"/>
        <v>#N/A</v>
      </c>
    </row>
    <row r="16" spans="1:8" x14ac:dyDescent="0.3">
      <c r="A16" t="s">
        <v>107</v>
      </c>
      <c r="B16" t="s">
        <v>649</v>
      </c>
      <c r="C16" t="s">
        <v>648</v>
      </c>
      <c r="E16">
        <v>15</v>
      </c>
      <c r="F16">
        <f t="shared" si="0"/>
        <v>7.0780969999999999E-2</v>
      </c>
      <c r="G16">
        <f t="shared" si="1"/>
        <v>8.2313960000000005E-2</v>
      </c>
      <c r="H16" t="e">
        <f t="shared" si="2"/>
        <v>#N/A</v>
      </c>
    </row>
    <row r="17" spans="1:8" x14ac:dyDescent="0.3">
      <c r="A17" t="s">
        <v>226</v>
      </c>
      <c r="B17" t="s">
        <v>647</v>
      </c>
      <c r="C17" t="s">
        <v>646</v>
      </c>
      <c r="E17">
        <v>16</v>
      </c>
      <c r="F17">
        <f t="shared" si="0"/>
        <v>7.0100350000000006E-2</v>
      </c>
      <c r="G17">
        <f t="shared" si="1"/>
        <v>8.2648550000000001E-2</v>
      </c>
      <c r="H17" t="e">
        <f t="shared" si="2"/>
        <v>#N/A</v>
      </c>
    </row>
    <row r="18" spans="1:8" x14ac:dyDescent="0.3">
      <c r="A18" t="s">
        <v>101</v>
      </c>
      <c r="B18" t="s">
        <v>645</v>
      </c>
      <c r="C18" t="s">
        <v>644</v>
      </c>
      <c r="E18">
        <v>17</v>
      </c>
      <c r="F18">
        <f t="shared" si="0"/>
        <v>6.9430169999999999E-2</v>
      </c>
      <c r="G18">
        <f t="shared" si="1"/>
        <v>8.3479529999999996E-2</v>
      </c>
      <c r="H18" t="e">
        <f t="shared" si="2"/>
        <v>#N/A</v>
      </c>
    </row>
    <row r="19" spans="1:8" x14ac:dyDescent="0.3">
      <c r="A19" t="s">
        <v>221</v>
      </c>
      <c r="B19" t="s">
        <v>643</v>
      </c>
      <c r="C19" t="s">
        <v>642</v>
      </c>
      <c r="E19">
        <v>18</v>
      </c>
      <c r="F19">
        <f t="shared" si="0"/>
        <v>6.8854399999999996E-2</v>
      </c>
      <c r="G19">
        <f t="shared" si="1"/>
        <v>8.3706000000000003E-2</v>
      </c>
      <c r="H19" t="e">
        <f t="shared" si="2"/>
        <v>#N/A</v>
      </c>
    </row>
    <row r="20" spans="1:8" x14ac:dyDescent="0.3">
      <c r="A20" t="s">
        <v>95</v>
      </c>
      <c r="B20" t="s">
        <v>641</v>
      </c>
      <c r="C20" t="s">
        <v>640</v>
      </c>
      <c r="E20">
        <v>19</v>
      </c>
      <c r="F20">
        <f t="shared" si="0"/>
        <v>6.8341799999999994E-2</v>
      </c>
      <c r="G20">
        <f t="shared" si="1"/>
        <v>8.0670069999999997E-2</v>
      </c>
      <c r="H20" t="e">
        <f t="shared" si="2"/>
        <v>#N/A</v>
      </c>
    </row>
    <row r="21" spans="1:8" x14ac:dyDescent="0.3">
      <c r="A21" t="s">
        <v>639</v>
      </c>
      <c r="B21" t="s">
        <v>638</v>
      </c>
      <c r="C21" t="s">
        <v>637</v>
      </c>
      <c r="E21">
        <v>20</v>
      </c>
      <c r="F21">
        <f t="shared" si="0"/>
        <v>6.7716986000000007E-2</v>
      </c>
      <c r="G21">
        <f t="shared" si="1"/>
        <v>7.8949876000000002E-2</v>
      </c>
      <c r="H21" t="e">
        <f t="shared" si="2"/>
        <v>#N/A</v>
      </c>
    </row>
    <row r="22" spans="1:8" x14ac:dyDescent="0.3">
      <c r="A22" t="s">
        <v>323</v>
      </c>
      <c r="B22" t="s">
        <v>636</v>
      </c>
      <c r="C22" t="s">
        <v>635</v>
      </c>
      <c r="E22">
        <v>21</v>
      </c>
      <c r="F22">
        <f t="shared" si="0"/>
        <v>6.7211460000000001E-2</v>
      </c>
      <c r="G22">
        <f t="shared" si="1"/>
        <v>8.1827209999999997E-2</v>
      </c>
      <c r="H22" t="e">
        <f t="shared" si="2"/>
        <v>#N/A</v>
      </c>
    </row>
    <row r="23" spans="1:8" x14ac:dyDescent="0.3">
      <c r="A23" t="s">
        <v>86</v>
      </c>
      <c r="B23" t="s">
        <v>634</v>
      </c>
      <c r="C23" t="s">
        <v>633</v>
      </c>
      <c r="E23">
        <v>22</v>
      </c>
      <c r="F23">
        <f t="shared" si="0"/>
        <v>6.6658966E-2</v>
      </c>
      <c r="G23">
        <f t="shared" si="1"/>
        <v>8.1681660000000003E-2</v>
      </c>
      <c r="H23" t="e">
        <f t="shared" si="2"/>
        <v>#N/A</v>
      </c>
    </row>
    <row r="24" spans="1:8" x14ac:dyDescent="0.3">
      <c r="A24" t="s">
        <v>83</v>
      </c>
      <c r="B24" t="s">
        <v>632</v>
      </c>
      <c r="C24" t="s">
        <v>631</v>
      </c>
      <c r="E24">
        <v>23</v>
      </c>
      <c r="F24">
        <f t="shared" si="0"/>
        <v>6.6338099999999997E-2</v>
      </c>
      <c r="G24">
        <f t="shared" si="1"/>
        <v>8.0282986000000001E-2</v>
      </c>
      <c r="H24" t="e">
        <f t="shared" si="2"/>
        <v>#N/A</v>
      </c>
    </row>
    <row r="25" spans="1:8" x14ac:dyDescent="0.3">
      <c r="A25" t="s">
        <v>80</v>
      </c>
      <c r="B25" t="s">
        <v>630</v>
      </c>
      <c r="C25" t="s">
        <v>629</v>
      </c>
      <c r="E25">
        <v>24</v>
      </c>
      <c r="F25">
        <f t="shared" si="0"/>
        <v>6.5798484000000004E-2</v>
      </c>
      <c r="G25">
        <f t="shared" si="1"/>
        <v>7.9922010000000002E-2</v>
      </c>
      <c r="H25" t="e">
        <f t="shared" si="2"/>
        <v>#N/A</v>
      </c>
    </row>
    <row r="26" spans="1:8" x14ac:dyDescent="0.3">
      <c r="A26" t="s">
        <v>77</v>
      </c>
      <c r="B26" t="s">
        <v>628</v>
      </c>
      <c r="C26" t="s">
        <v>627</v>
      </c>
      <c r="E26">
        <v>25</v>
      </c>
      <c r="F26">
        <f t="shared" si="0"/>
        <v>6.5320450000000002E-2</v>
      </c>
      <c r="G26">
        <f t="shared" si="1"/>
        <v>8.2155329999999999E-2</v>
      </c>
      <c r="H26" t="e">
        <f t="shared" si="2"/>
        <v>#N/A</v>
      </c>
    </row>
    <row r="27" spans="1:8" x14ac:dyDescent="0.3">
      <c r="A27" t="s">
        <v>74</v>
      </c>
      <c r="B27" t="s">
        <v>626</v>
      </c>
      <c r="C27" t="s">
        <v>625</v>
      </c>
      <c r="E27">
        <v>26</v>
      </c>
      <c r="F27">
        <f t="shared" si="0"/>
        <v>6.5011719999999995E-2</v>
      </c>
      <c r="G27">
        <f t="shared" si="1"/>
        <v>8.1788260000000002E-2</v>
      </c>
      <c r="H27" t="e">
        <f t="shared" si="2"/>
        <v>#N/A</v>
      </c>
    </row>
    <row r="28" spans="1:8" x14ac:dyDescent="0.3">
      <c r="A28" t="s">
        <v>71</v>
      </c>
      <c r="B28" t="s">
        <v>624</v>
      </c>
      <c r="C28" t="s">
        <v>623</v>
      </c>
      <c r="E28">
        <v>27</v>
      </c>
      <c r="F28">
        <f t="shared" si="0"/>
        <v>6.464164E-2</v>
      </c>
      <c r="G28">
        <f t="shared" si="1"/>
        <v>8.3116399999999993E-2</v>
      </c>
      <c r="H28" t="e">
        <f t="shared" si="2"/>
        <v>#N/A</v>
      </c>
    </row>
    <row r="29" spans="1:8" x14ac:dyDescent="0.3">
      <c r="A29" t="s">
        <v>68</v>
      </c>
      <c r="B29" t="s">
        <v>622</v>
      </c>
      <c r="C29" t="s">
        <v>621</v>
      </c>
      <c r="E29">
        <v>28</v>
      </c>
      <c r="F29">
        <f t="shared" si="0"/>
        <v>6.4276059999999996E-2</v>
      </c>
      <c r="G29">
        <f t="shared" si="1"/>
        <v>8.1518259999999995E-2</v>
      </c>
      <c r="H29" t="e">
        <f t="shared" si="2"/>
        <v>#N/A</v>
      </c>
    </row>
    <row r="30" spans="1:8" x14ac:dyDescent="0.3">
      <c r="A30" t="s">
        <v>65</v>
      </c>
      <c r="B30" t="s">
        <v>620</v>
      </c>
      <c r="C30" t="s">
        <v>619</v>
      </c>
      <c r="E30">
        <v>29</v>
      </c>
      <c r="F30">
        <f t="shared" si="0"/>
        <v>6.3928780000000004E-2</v>
      </c>
      <c r="G30">
        <f t="shared" si="1"/>
        <v>8.1169344000000004E-2</v>
      </c>
      <c r="H30" t="e">
        <f t="shared" si="2"/>
        <v>#N/A</v>
      </c>
    </row>
    <row r="31" spans="1:8" x14ac:dyDescent="0.3">
      <c r="A31" t="s">
        <v>62</v>
      </c>
      <c r="B31" t="s">
        <v>618</v>
      </c>
      <c r="C31" t="s">
        <v>617</v>
      </c>
      <c r="E31">
        <v>30</v>
      </c>
      <c r="F31">
        <f t="shared" si="0"/>
        <v>6.3607979999999995E-2</v>
      </c>
      <c r="G31">
        <f t="shared" si="1"/>
        <v>8.2710919999999993E-2</v>
      </c>
      <c r="H31" t="e">
        <f t="shared" si="2"/>
        <v>#N/A</v>
      </c>
    </row>
    <row r="32" spans="1:8" x14ac:dyDescent="0.3">
      <c r="A32" t="s">
        <v>59</v>
      </c>
      <c r="B32" t="s">
        <v>616</v>
      </c>
      <c r="C32" t="s">
        <v>615</v>
      </c>
      <c r="E32">
        <v>31</v>
      </c>
      <c r="F32">
        <f t="shared" si="0"/>
        <v>6.3315294999999994E-2</v>
      </c>
      <c r="G32">
        <f t="shared" si="1"/>
        <v>8.3891540000000001E-2</v>
      </c>
      <c r="H32" t="e">
        <f t="shared" si="2"/>
        <v>#N/A</v>
      </c>
    </row>
    <row r="33" spans="1:8" x14ac:dyDescent="0.3">
      <c r="A33" t="s">
        <v>56</v>
      </c>
      <c r="B33" t="s">
        <v>614</v>
      </c>
      <c r="C33" t="s">
        <v>613</v>
      </c>
      <c r="E33">
        <v>32</v>
      </c>
      <c r="F33">
        <f t="shared" si="0"/>
        <v>6.2986139999999996E-2</v>
      </c>
      <c r="G33">
        <f t="shared" si="1"/>
        <v>7.9310240000000004E-2</v>
      </c>
      <c r="H33" t="e">
        <f t="shared" si="2"/>
        <v>#N/A</v>
      </c>
    </row>
    <row r="34" spans="1:8" x14ac:dyDescent="0.3">
      <c r="A34" t="s">
        <v>53</v>
      </c>
      <c r="B34" t="s">
        <v>612</v>
      </c>
      <c r="C34" t="s">
        <v>611</v>
      </c>
      <c r="E34">
        <v>33</v>
      </c>
      <c r="F34">
        <f t="shared" si="0"/>
        <v>6.2813069999999999E-2</v>
      </c>
      <c r="G34">
        <f t="shared" si="1"/>
        <v>8.1033999999999995E-2</v>
      </c>
      <c r="H34" t="e">
        <f t="shared" si="2"/>
        <v>#N/A</v>
      </c>
    </row>
    <row r="35" spans="1:8" x14ac:dyDescent="0.3">
      <c r="A35" t="s">
        <v>50</v>
      </c>
      <c r="B35" t="s">
        <v>610</v>
      </c>
      <c r="C35" t="s">
        <v>609</v>
      </c>
      <c r="E35">
        <v>34</v>
      </c>
      <c r="F35">
        <f t="shared" si="0"/>
        <v>6.23972E-2</v>
      </c>
      <c r="G35">
        <f t="shared" si="1"/>
        <v>7.9743414999999998E-2</v>
      </c>
      <c r="H35" t="e">
        <f t="shared" si="2"/>
        <v>#N/A</v>
      </c>
    </row>
    <row r="36" spans="1:8" x14ac:dyDescent="0.3">
      <c r="A36" t="s">
        <v>47</v>
      </c>
      <c r="B36" t="s">
        <v>608</v>
      </c>
      <c r="C36" t="s">
        <v>607</v>
      </c>
      <c r="E36">
        <v>35</v>
      </c>
      <c r="F36">
        <f t="shared" si="0"/>
        <v>6.2161939999999999E-2</v>
      </c>
      <c r="G36">
        <f t="shared" si="1"/>
        <v>8.2087859999999999E-2</v>
      </c>
      <c r="H36" t="e">
        <f t="shared" si="2"/>
        <v>#N/A</v>
      </c>
    </row>
    <row r="37" spans="1:8" x14ac:dyDescent="0.3">
      <c r="A37" t="s">
        <v>44</v>
      </c>
      <c r="B37" t="s">
        <v>606</v>
      </c>
      <c r="C37" t="s">
        <v>605</v>
      </c>
      <c r="E37">
        <v>36</v>
      </c>
      <c r="F37">
        <f t="shared" si="0"/>
        <v>6.1927362999999999E-2</v>
      </c>
      <c r="G37">
        <f t="shared" si="1"/>
        <v>8.2005999999999996E-2</v>
      </c>
      <c r="H37" t="e">
        <f t="shared" si="2"/>
        <v>#N/A</v>
      </c>
    </row>
    <row r="38" spans="1:8" x14ac:dyDescent="0.3">
      <c r="A38" t="s">
        <v>41</v>
      </c>
      <c r="B38" t="s">
        <v>604</v>
      </c>
      <c r="C38" t="s">
        <v>603</v>
      </c>
      <c r="E38">
        <v>37</v>
      </c>
      <c r="F38">
        <f t="shared" si="0"/>
        <v>6.1684530000000001E-2</v>
      </c>
      <c r="G38">
        <f t="shared" si="1"/>
        <v>8.0692799999999995E-2</v>
      </c>
      <c r="H38" t="e">
        <f t="shared" si="2"/>
        <v>#N/A</v>
      </c>
    </row>
    <row r="39" spans="1:8" x14ac:dyDescent="0.3">
      <c r="A39" t="s">
        <v>38</v>
      </c>
      <c r="B39" t="s">
        <v>602</v>
      </c>
      <c r="C39" t="s">
        <v>601</v>
      </c>
      <c r="E39">
        <v>38</v>
      </c>
      <c r="F39">
        <f t="shared" si="0"/>
        <v>6.1373605999999997E-2</v>
      </c>
      <c r="G39">
        <f t="shared" si="1"/>
        <v>7.9429360000000004E-2</v>
      </c>
      <c r="H39" t="e">
        <f t="shared" si="2"/>
        <v>#N/A</v>
      </c>
    </row>
    <row r="40" spans="1:8" x14ac:dyDescent="0.3">
      <c r="A40" t="s">
        <v>35</v>
      </c>
      <c r="B40" t="s">
        <v>600</v>
      </c>
      <c r="C40" t="s">
        <v>599</v>
      </c>
      <c r="E40">
        <v>39</v>
      </c>
      <c r="F40">
        <f t="shared" si="0"/>
        <v>6.1244952999999998E-2</v>
      </c>
      <c r="G40">
        <f t="shared" si="1"/>
        <v>8.1124245999999997E-2</v>
      </c>
      <c r="H40" t="e">
        <f t="shared" si="2"/>
        <v>#N/A</v>
      </c>
    </row>
    <row r="41" spans="1:8" x14ac:dyDescent="0.3">
      <c r="A41" t="s">
        <v>32</v>
      </c>
      <c r="B41" t="s">
        <v>598</v>
      </c>
      <c r="C41" t="s">
        <v>597</v>
      </c>
      <c r="E41">
        <v>40</v>
      </c>
      <c r="F41">
        <f t="shared" si="0"/>
        <v>6.1044059999999997E-2</v>
      </c>
      <c r="G41">
        <f t="shared" si="1"/>
        <v>8.1172279999999999E-2</v>
      </c>
      <c r="H41" t="e">
        <f t="shared" si="2"/>
        <v>#N/A</v>
      </c>
    </row>
    <row r="42" spans="1:8" x14ac:dyDescent="0.3">
      <c r="A42" t="s">
        <v>29</v>
      </c>
      <c r="B42" t="s">
        <v>596</v>
      </c>
      <c r="C42" t="s">
        <v>595</v>
      </c>
      <c r="E42">
        <v>41</v>
      </c>
      <c r="F42">
        <f t="shared" si="0"/>
        <v>6.0778413000000003E-2</v>
      </c>
      <c r="G42">
        <f t="shared" si="1"/>
        <v>8.2514636000000002E-2</v>
      </c>
      <c r="H42" t="e">
        <f t="shared" si="2"/>
        <v>#N/A</v>
      </c>
    </row>
    <row r="43" spans="1:8" x14ac:dyDescent="0.3">
      <c r="A43" t="s">
        <v>26</v>
      </c>
      <c r="B43" t="s">
        <v>594</v>
      </c>
      <c r="C43" t="s">
        <v>593</v>
      </c>
      <c r="E43">
        <v>42</v>
      </c>
      <c r="F43">
        <f t="shared" si="0"/>
        <v>6.0521501999999998E-2</v>
      </c>
      <c r="G43">
        <f t="shared" si="1"/>
        <v>7.8498999999999999E-2</v>
      </c>
      <c r="H43">
        <f t="shared" si="2"/>
        <v>7.8498999999999999E-2</v>
      </c>
    </row>
    <row r="44" spans="1:8" x14ac:dyDescent="0.3">
      <c r="A44" t="s">
        <v>592</v>
      </c>
      <c r="B44" t="s">
        <v>591</v>
      </c>
      <c r="C44" t="s">
        <v>590</v>
      </c>
      <c r="E44">
        <v>43</v>
      </c>
      <c r="F44">
        <f t="shared" si="0"/>
        <v>6.0358080000000001E-2</v>
      </c>
      <c r="G44">
        <f t="shared" si="1"/>
        <v>8.0015816000000003E-2</v>
      </c>
      <c r="H44" t="e">
        <f t="shared" si="2"/>
        <v>#N/A</v>
      </c>
    </row>
    <row r="45" spans="1:8" x14ac:dyDescent="0.3">
      <c r="A45" t="s">
        <v>20</v>
      </c>
      <c r="B45" t="s">
        <v>589</v>
      </c>
      <c r="C45" t="s">
        <v>588</v>
      </c>
      <c r="E45">
        <v>44</v>
      </c>
      <c r="F45">
        <f t="shared" si="0"/>
        <v>6.0158372000000002E-2</v>
      </c>
      <c r="G45">
        <f t="shared" si="1"/>
        <v>8.2563444999999999E-2</v>
      </c>
      <c r="H45" t="e">
        <f t="shared" si="2"/>
        <v>#N/A</v>
      </c>
    </row>
    <row r="46" spans="1:8" x14ac:dyDescent="0.3">
      <c r="A46" t="s">
        <v>17</v>
      </c>
      <c r="B46" t="s">
        <v>587</v>
      </c>
      <c r="C46" t="s">
        <v>586</v>
      </c>
      <c r="E46">
        <v>45</v>
      </c>
      <c r="F46">
        <f t="shared" si="0"/>
        <v>5.9863340000000001E-2</v>
      </c>
      <c r="G46">
        <f t="shared" si="1"/>
        <v>8.0584379999999997E-2</v>
      </c>
      <c r="H46" t="e">
        <f t="shared" si="2"/>
        <v>#N/A</v>
      </c>
    </row>
    <row r="47" spans="1:8" x14ac:dyDescent="0.3">
      <c r="A47" t="s">
        <v>14</v>
      </c>
      <c r="B47" t="s">
        <v>585</v>
      </c>
      <c r="C47" t="s">
        <v>584</v>
      </c>
      <c r="E47">
        <v>46</v>
      </c>
      <c r="F47">
        <f t="shared" si="0"/>
        <v>5.9739123999999998E-2</v>
      </c>
      <c r="G47">
        <f t="shared" si="1"/>
        <v>8.4051534999999997E-2</v>
      </c>
      <c r="H47" t="e">
        <f t="shared" si="2"/>
        <v>#N/A</v>
      </c>
    </row>
    <row r="48" spans="1:8" x14ac:dyDescent="0.3">
      <c r="A48" t="s">
        <v>11</v>
      </c>
      <c r="B48" t="s">
        <v>583</v>
      </c>
      <c r="C48" t="s">
        <v>582</v>
      </c>
      <c r="E48">
        <v>47</v>
      </c>
      <c r="F48">
        <f t="shared" si="0"/>
        <v>5.9621630000000002E-2</v>
      </c>
      <c r="G48">
        <f t="shared" si="1"/>
        <v>7.9281240000000003E-2</v>
      </c>
      <c r="H48" t="e">
        <f t="shared" si="2"/>
        <v>#N/A</v>
      </c>
    </row>
    <row r="49" spans="1:8" x14ac:dyDescent="0.3">
      <c r="A49" t="s">
        <v>8</v>
      </c>
      <c r="B49" t="s">
        <v>581</v>
      </c>
      <c r="C49" t="s">
        <v>580</v>
      </c>
      <c r="E49">
        <v>48</v>
      </c>
      <c r="F49">
        <f t="shared" si="0"/>
        <v>5.9331346E-2</v>
      </c>
      <c r="G49">
        <f t="shared" si="1"/>
        <v>8.0219805000000005E-2</v>
      </c>
      <c r="H49" t="e">
        <f t="shared" si="2"/>
        <v>#N/A</v>
      </c>
    </row>
    <row r="50" spans="1:8" x14ac:dyDescent="0.3">
      <c r="A50" t="s">
        <v>5</v>
      </c>
      <c r="B50" t="s">
        <v>579</v>
      </c>
      <c r="C50" t="s">
        <v>578</v>
      </c>
      <c r="E50">
        <v>49</v>
      </c>
      <c r="F50">
        <f t="shared" si="0"/>
        <v>5.9271496E-2</v>
      </c>
      <c r="G50">
        <f t="shared" si="1"/>
        <v>8.0280185000000004E-2</v>
      </c>
      <c r="H50" t="e">
        <f t="shared" si="2"/>
        <v>#N/A</v>
      </c>
    </row>
    <row r="51" spans="1:8" x14ac:dyDescent="0.3">
      <c r="A51" t="s">
        <v>2</v>
      </c>
      <c r="B51" t="s">
        <v>577</v>
      </c>
      <c r="C51" t="s">
        <v>576</v>
      </c>
      <c r="E51">
        <v>50</v>
      </c>
      <c r="F51">
        <f t="shared" si="0"/>
        <v>5.8931197999999997E-2</v>
      </c>
      <c r="G51">
        <f t="shared" si="1"/>
        <v>8.2066535999999995E-2</v>
      </c>
      <c r="H51" t="e">
        <f t="shared" si="2"/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BigLinearOnHUGE.v1</vt:lpstr>
      <vt:lpstr>BigConvOnHUGE.v0</vt:lpstr>
      <vt:lpstr>SmallConvOnHUGE.v1</vt:lpstr>
      <vt:lpstr>SmallLinearOnHUGE.v0</vt:lpstr>
      <vt:lpstr>SmallLinearVallueOnHUGE.v0</vt:lpstr>
      <vt:lpstr>FinalSmallLinearValueTraining.v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2026-05-15T10:56:41Z</dcterms:created>
  <dcterms:modified xsi:type="dcterms:W3CDTF">2026-05-23T12:31:24Z</dcterms:modified>
</cp:coreProperties>
</file>
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arau\Downloads\StrategyTests\StrategyTests\"/>
    </mc:Choice>
  </mc:AlternateContent>
  <xr:revisionPtr revIDLastSave="0" documentId="13_ncr:1_{DC10A86C-A6E2-40C0-B59B-847739089A62}" xr6:coauthVersionLast="47" xr6:coauthVersionMax="47" xr10:uidLastSave="{00000000-0000-0000-0000-000000000000}"/>
  <bookViews>
    <workbookView xWindow="-108" yWindow="-108" windowWidth="23256" windowHeight="12456" firstSheet="17" activeTab="18" xr2:uid="{00000000-000D-0000-FFFF-FFFF00000000}"/>
  </bookViews>
  <sheets>
    <sheet name="HeuristicVSMCTSnCustomEval" sheetId="2" r:id="rId1"/>
    <sheet name="HeuristicVSMCTSnNNAI" sheetId="3" r:id="rId2"/>
    <sheet name="HeuristicVSMCTSnPolicy" sheetId="4" r:id="rId3"/>
    <sheet name="HeuristicVSPolicyOnly" sheetId="5" r:id="rId4"/>
    <sheet name="MCTSnCustomEvalVSMCTSAIScoreDif" sheetId="6" r:id="rId5"/>
    <sheet name="MCTSnCustomEvalVSMCTSnNNAI" sheetId="7" r:id="rId6"/>
    <sheet name="MCTSnCustomEvalVSMinimaxAI" sheetId="8" r:id="rId7"/>
    <sheet name="MCTSnCustomEvalVSPolicyNetwork" sheetId="9" r:id="rId8"/>
    <sheet name="MCTSnNNAIVSMCTSAIScoreDiffAvg" sheetId="10" r:id="rId9"/>
    <sheet name="MCTSnNNAIVSMinimaxAI" sheetId="11" r:id="rId10"/>
    <sheet name="MCTSnPolicyVSMCTSAIScoreDiffAvg" sheetId="12" r:id="rId11"/>
    <sheet name="MCTSnPolicyVSMCTSnCustomEval" sheetId="13" r:id="rId12"/>
    <sheet name="MCTSnPolicyVSMCTSnNNAI" sheetId="14" r:id="rId13"/>
    <sheet name="MCTSnPolicyVSMinimaxAI" sheetId="15" r:id="rId14"/>
    <sheet name="MCTSnPolicyVSPolicyOnly" sheetId="16" r:id="rId15"/>
    <sheet name="PolicyAIVSMCTSAIScoreDiffAvg" sheetId="17" r:id="rId16"/>
    <sheet name="PolicyAIVSMinimaxAI" sheetId="18" r:id="rId17"/>
    <sheet name="PolicyOnlyVSMCTSnNNAI" sheetId="19" r:id="rId18"/>
    <sheet name="MCTSAIScoreDiffAvgVSMinimaxAI" sheetId="21" r:id="rId19"/>
    <sheet name="HeuristicVSMinimaxAI" sheetId="20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2" l="1"/>
  <c r="O14" i="2" a="1"/>
  <c r="M14" i="2" a="1"/>
  <c r="M14" i="2" s="1"/>
  <c r="K14" i="2"/>
  <c r="K14" i="2" a="1"/>
  <c r="O12" i="2" a="1"/>
  <c r="O12" i="2" s="1"/>
  <c r="M12" i="2"/>
  <c r="M12" i="2" a="1"/>
  <c r="K12" i="2"/>
  <c r="O10" i="2" a="1"/>
  <c r="O10" i="2" s="1"/>
  <c r="M10" i="2"/>
  <c r="M10" i="2" a="1"/>
  <c r="K10" i="2"/>
  <c r="O5" i="2"/>
  <c r="M5" i="2"/>
  <c r="K5" i="2"/>
  <c r="Q3" i="2" a="1"/>
  <c r="Q3" i="2" s="1"/>
  <c r="O3" i="2"/>
  <c r="M3" i="2"/>
  <c r="K3" i="2"/>
  <c r="O14" i="3" a="1"/>
  <c r="O14" i="3" s="1"/>
  <c r="M14" i="3" a="1"/>
  <c r="M14" i="3" s="1"/>
  <c r="K14" i="3" a="1"/>
  <c r="K14" i="3" s="1"/>
  <c r="O12" i="3" a="1"/>
  <c r="O12" i="3" s="1"/>
  <c r="M12" i="3" a="1"/>
  <c r="M12" i="3" s="1"/>
  <c r="K12" i="3"/>
  <c r="O10" i="3" a="1"/>
  <c r="O10" i="3" s="1"/>
  <c r="M10" i="3"/>
  <c r="M10" i="3" a="1"/>
  <c r="K10" i="3"/>
  <c r="O5" i="3"/>
  <c r="M5" i="3"/>
  <c r="K5" i="3"/>
  <c r="Q3" i="3" a="1"/>
  <c r="Q3" i="3" s="1"/>
  <c r="O3" i="3"/>
  <c r="M3" i="3"/>
  <c r="K3" i="3"/>
  <c r="O14" i="4" a="1"/>
  <c r="O14" i="4" s="1"/>
  <c r="M14" i="4" a="1"/>
  <c r="M14" i="4" s="1"/>
  <c r="K14" i="4"/>
  <c r="K14" i="4" a="1"/>
  <c r="O12" i="4" a="1"/>
  <c r="O12" i="4" s="1"/>
  <c r="M12" i="4" a="1"/>
  <c r="M12" i="4" s="1"/>
  <c r="K12" i="4"/>
  <c r="O10" i="4" a="1"/>
  <c r="O10" i="4" s="1"/>
  <c r="M10" i="4"/>
  <c r="M10" i="4" a="1"/>
  <c r="K10" i="4"/>
  <c r="O5" i="4"/>
  <c r="M5" i="4"/>
  <c r="K5" i="4"/>
  <c r="Q3" i="4" a="1"/>
  <c r="Q3" i="4" s="1"/>
  <c r="O3" i="4"/>
  <c r="M3" i="4"/>
  <c r="K3" i="4"/>
  <c r="O14" i="5"/>
  <c r="O14" i="5" a="1"/>
  <c r="M14" i="5" a="1"/>
  <c r="M14" i="5" s="1"/>
  <c r="K14" i="5" a="1"/>
  <c r="K14" i="5" s="1"/>
  <c r="O12" i="5" a="1"/>
  <c r="O12" i="5" s="1"/>
  <c r="M12" i="5"/>
  <c r="M12" i="5" a="1"/>
  <c r="K12" i="5"/>
  <c r="O10" i="5"/>
  <c r="O10" i="5" a="1"/>
  <c r="M10" i="5"/>
  <c r="M10" i="5" a="1"/>
  <c r="K10" i="5"/>
  <c r="O5" i="5"/>
  <c r="M5" i="5"/>
  <c r="K5" i="5"/>
  <c r="Q3" i="5" a="1"/>
  <c r="Q3" i="5" s="1"/>
  <c r="O3" i="5"/>
  <c r="M3" i="5"/>
  <c r="K3" i="5"/>
  <c r="O14" i="6" a="1"/>
  <c r="O14" i="6" s="1"/>
  <c r="M14" i="6" a="1"/>
  <c r="M14" i="6" s="1"/>
  <c r="K14" i="6" a="1"/>
  <c r="K14" i="6" s="1"/>
  <c r="O12" i="6" a="1"/>
  <c r="O12" i="6" s="1"/>
  <c r="M12" i="6" a="1"/>
  <c r="M12" i="6" s="1"/>
  <c r="K12" i="6"/>
  <c r="O10" i="6" a="1"/>
  <c r="O10" i="6" s="1"/>
  <c r="M10" i="6"/>
  <c r="M10" i="6" a="1"/>
  <c r="K10" i="6"/>
  <c r="O5" i="6"/>
  <c r="M5" i="6"/>
  <c r="K5" i="6"/>
  <c r="Q3" i="6" a="1"/>
  <c r="Q3" i="6" s="1"/>
  <c r="O3" i="6"/>
  <c r="M3" i="6"/>
  <c r="K3" i="6"/>
  <c r="O14" i="7" a="1"/>
  <c r="O14" i="7" s="1"/>
  <c r="M14" i="7" a="1"/>
  <c r="M14" i="7" s="1"/>
  <c r="K14" i="7" a="1"/>
  <c r="K14" i="7" s="1"/>
  <c r="O12" i="7" a="1"/>
  <c r="O12" i="7" s="1"/>
  <c r="M12" i="7" a="1"/>
  <c r="M12" i="7" s="1"/>
  <c r="K12" i="7"/>
  <c r="O10" i="7" a="1"/>
  <c r="O10" i="7" s="1"/>
  <c r="M10" i="7"/>
  <c r="M10" i="7" a="1"/>
  <c r="K10" i="7"/>
  <c r="O5" i="7"/>
  <c r="M5" i="7"/>
  <c r="K5" i="7"/>
  <c r="Q3" i="7" a="1"/>
  <c r="Q3" i="7" s="1"/>
  <c r="O3" i="7"/>
  <c r="M3" i="7"/>
  <c r="K3" i="7"/>
  <c r="O14" i="8" a="1"/>
  <c r="O14" i="8" s="1"/>
  <c r="M14" i="8" a="1"/>
  <c r="M14" i="8" s="1"/>
  <c r="K14" i="8" a="1"/>
  <c r="K14" i="8" s="1"/>
  <c r="O12" i="8" a="1"/>
  <c r="O12" i="8" s="1"/>
  <c r="M12" i="8" a="1"/>
  <c r="M12" i="8" s="1"/>
  <c r="K12" i="8"/>
  <c r="O10" i="8"/>
  <c r="O10" i="8" a="1"/>
  <c r="M10" i="8"/>
  <c r="M10" i="8" a="1"/>
  <c r="K10" i="8"/>
  <c r="O5" i="8"/>
  <c r="M5" i="8"/>
  <c r="K5" i="8"/>
  <c r="Q3" i="8"/>
  <c r="Q3" i="8" a="1"/>
  <c r="O3" i="8"/>
  <c r="M3" i="8"/>
  <c r="K3" i="8"/>
  <c r="O14" i="9" a="1"/>
  <c r="O14" i="9" s="1"/>
  <c r="M14" i="9" a="1"/>
  <c r="M14" i="9" s="1"/>
  <c r="K14" i="9" a="1"/>
  <c r="K14" i="9" s="1"/>
  <c r="O12" i="9" a="1"/>
  <c r="O12" i="9" s="1"/>
  <c r="M12" i="9" a="1"/>
  <c r="M12" i="9" s="1"/>
  <c r="K12" i="9"/>
  <c r="O10" i="9" a="1"/>
  <c r="O10" i="9" s="1"/>
  <c r="M10" i="9" a="1"/>
  <c r="M10" i="9" s="1"/>
  <c r="K10" i="9"/>
  <c r="O5" i="9"/>
  <c r="M5" i="9"/>
  <c r="K5" i="9"/>
  <c r="Q3" i="9" a="1"/>
  <c r="Q3" i="9" s="1"/>
  <c r="O3" i="9"/>
  <c r="M3" i="9"/>
  <c r="K3" i="9"/>
  <c r="O14" i="10" a="1"/>
  <c r="O14" i="10" s="1"/>
  <c r="M14" i="10" a="1"/>
  <c r="M14" i="10" s="1"/>
  <c r="K14" i="10" a="1"/>
  <c r="K14" i="10" s="1"/>
  <c r="O12" i="10" a="1"/>
  <c r="O12" i="10" s="1"/>
  <c r="M12" i="10" a="1"/>
  <c r="M12" i="10" s="1"/>
  <c r="K12" i="10"/>
  <c r="O10" i="10" a="1"/>
  <c r="O10" i="10" s="1"/>
  <c r="M10" i="10" a="1"/>
  <c r="M10" i="10" s="1"/>
  <c r="K10" i="10"/>
  <c r="O5" i="10"/>
  <c r="M5" i="10"/>
  <c r="K5" i="10"/>
  <c r="Q3" i="10" a="1"/>
  <c r="Q3" i="10" s="1"/>
  <c r="O3" i="10"/>
  <c r="M3" i="10"/>
  <c r="K3" i="10"/>
  <c r="O14" i="11"/>
  <c r="O14" i="11" a="1"/>
  <c r="M14" i="11" a="1"/>
  <c r="M14" i="11" s="1"/>
  <c r="K14" i="11" a="1"/>
  <c r="K14" i="11" s="1"/>
  <c r="O12" i="11" a="1"/>
  <c r="O12" i="11" s="1"/>
  <c r="M12" i="11"/>
  <c r="M12" i="11" a="1"/>
  <c r="K12" i="11"/>
  <c r="O10" i="11" a="1"/>
  <c r="O10" i="11" s="1"/>
  <c r="M10" i="11"/>
  <c r="M10" i="11" a="1"/>
  <c r="K10" i="11"/>
  <c r="O5" i="11"/>
  <c r="M5" i="11"/>
  <c r="K5" i="11"/>
  <c r="Q3" i="11" a="1"/>
  <c r="Q3" i="11" s="1"/>
  <c r="O3" i="11"/>
  <c r="M3" i="11"/>
  <c r="K3" i="11"/>
  <c r="O14" i="12" a="1"/>
  <c r="O14" i="12" s="1"/>
  <c r="M14" i="12" a="1"/>
  <c r="M14" i="12" s="1"/>
  <c r="K14" i="12" a="1"/>
  <c r="K14" i="12" s="1"/>
  <c r="O12" i="12" a="1"/>
  <c r="O12" i="12" s="1"/>
  <c r="M12" i="12" a="1"/>
  <c r="M12" i="12" s="1"/>
  <c r="K12" i="12"/>
  <c r="O10" i="12"/>
  <c r="O10" i="12" a="1"/>
  <c r="M10" i="12"/>
  <c r="M10" i="12" a="1"/>
  <c r="K10" i="12"/>
  <c r="O5" i="12"/>
  <c r="M5" i="12"/>
  <c r="K5" i="12"/>
  <c r="Q3" i="12" a="1"/>
  <c r="Q3" i="12" s="1"/>
  <c r="O3" i="12"/>
  <c r="M3" i="12"/>
  <c r="K3" i="12"/>
  <c r="O14" i="13"/>
  <c r="O14" i="13" a="1"/>
  <c r="M14" i="13" a="1"/>
  <c r="M14" i="13" s="1"/>
  <c r="K14" i="13" a="1"/>
  <c r="K14" i="13" s="1"/>
  <c r="O12" i="13" a="1"/>
  <c r="O12" i="13" s="1"/>
  <c r="M12" i="13"/>
  <c r="M12" i="13" a="1"/>
  <c r="K12" i="13"/>
  <c r="O10" i="13" a="1"/>
  <c r="O10" i="13" s="1"/>
  <c r="M10" i="13"/>
  <c r="M10" i="13" a="1"/>
  <c r="K10" i="13"/>
  <c r="O5" i="13"/>
  <c r="M5" i="13"/>
  <c r="K5" i="13"/>
  <c r="Q3" i="13" a="1"/>
  <c r="Q3" i="13" s="1"/>
  <c r="O3" i="13"/>
  <c r="M3" i="13"/>
  <c r="K3" i="13"/>
  <c r="O14" i="14" a="1"/>
  <c r="O14" i="14" s="1"/>
  <c r="M14" i="14" a="1"/>
  <c r="M14" i="14" s="1"/>
  <c r="K14" i="14" a="1"/>
  <c r="K14" i="14" s="1"/>
  <c r="O12" i="14" a="1"/>
  <c r="O12" i="14" s="1"/>
  <c r="M12" i="14" a="1"/>
  <c r="M12" i="14" s="1"/>
  <c r="K12" i="14"/>
  <c r="O10" i="14"/>
  <c r="O10" i="14" a="1"/>
  <c r="M10" i="14" a="1"/>
  <c r="M10" i="14" s="1"/>
  <c r="K10" i="14"/>
  <c r="O5" i="14"/>
  <c r="M5" i="14"/>
  <c r="K5" i="14"/>
  <c r="Q3" i="14"/>
  <c r="Q3" i="14" a="1"/>
  <c r="O3" i="14"/>
  <c r="M3" i="14"/>
  <c r="K3" i="14"/>
  <c r="O14" i="15" a="1"/>
  <c r="O14" i="15" s="1"/>
  <c r="M14" i="15" a="1"/>
  <c r="M14" i="15" s="1"/>
  <c r="K14" i="15" a="1"/>
  <c r="K14" i="15" s="1"/>
  <c r="O12" i="15" a="1"/>
  <c r="O12" i="15" s="1"/>
  <c r="M12" i="15" a="1"/>
  <c r="M12" i="15" s="1"/>
  <c r="K12" i="15"/>
  <c r="O10" i="15" a="1"/>
  <c r="O10" i="15" s="1"/>
  <c r="M10" i="15" a="1"/>
  <c r="M10" i="15" s="1"/>
  <c r="K10" i="15"/>
  <c r="O5" i="15"/>
  <c r="M5" i="15"/>
  <c r="K5" i="15"/>
  <c r="Q3" i="15" a="1"/>
  <c r="Q3" i="15" s="1"/>
  <c r="O3" i="15"/>
  <c r="M3" i="15"/>
  <c r="K3" i="15"/>
  <c r="O14" i="16" a="1"/>
  <c r="O14" i="16" s="1"/>
  <c r="M14" i="16" a="1"/>
  <c r="M14" i="16" s="1"/>
  <c r="K14" i="16" a="1"/>
  <c r="K14" i="16" s="1"/>
  <c r="O12" i="16" a="1"/>
  <c r="O12" i="16" s="1"/>
  <c r="M12" i="16" a="1"/>
  <c r="M12" i="16" s="1"/>
  <c r="K12" i="16"/>
  <c r="O10" i="16" a="1"/>
  <c r="O10" i="16" s="1"/>
  <c r="M10" i="16"/>
  <c r="M10" i="16" a="1"/>
  <c r="K10" i="16"/>
  <c r="O5" i="16"/>
  <c r="M5" i="16"/>
  <c r="K5" i="16"/>
  <c r="Q3" i="16" a="1"/>
  <c r="Q3" i="16" s="1"/>
  <c r="O3" i="16"/>
  <c r="M3" i="16"/>
  <c r="K3" i="16"/>
  <c r="O14" i="17" a="1"/>
  <c r="O14" i="17" s="1"/>
  <c r="M14" i="17"/>
  <c r="M14" i="17" a="1"/>
  <c r="K14" i="17"/>
  <c r="K14" i="17" a="1"/>
  <c r="O12" i="17" a="1"/>
  <c r="O12" i="17" s="1"/>
  <c r="M12" i="17" a="1"/>
  <c r="M12" i="17" s="1"/>
  <c r="K12" i="17"/>
  <c r="O10" i="17" a="1"/>
  <c r="O10" i="17" s="1"/>
  <c r="M10" i="17"/>
  <c r="M10" i="17" a="1"/>
  <c r="K10" i="17"/>
  <c r="O5" i="17"/>
  <c r="M5" i="17"/>
  <c r="K5" i="17"/>
  <c r="Q3" i="17" a="1"/>
  <c r="Q3" i="17" s="1"/>
  <c r="O3" i="17"/>
  <c r="M3" i="17"/>
  <c r="K3" i="17"/>
  <c r="O14" i="18" a="1"/>
  <c r="O14" i="18" s="1"/>
  <c r="M14" i="18" a="1"/>
  <c r="M14" i="18" s="1"/>
  <c r="K14" i="18" a="1"/>
  <c r="K14" i="18" s="1"/>
  <c r="O12" i="18" a="1"/>
  <c r="O12" i="18" s="1"/>
  <c r="M12" i="18" a="1"/>
  <c r="M12" i="18" s="1"/>
  <c r="K12" i="18"/>
  <c r="O10" i="18" a="1"/>
  <c r="O10" i="18" s="1"/>
  <c r="M10" i="18"/>
  <c r="M10" i="18" a="1"/>
  <c r="K10" i="18"/>
  <c r="O5" i="18"/>
  <c r="M5" i="18"/>
  <c r="K5" i="18"/>
  <c r="Q3" i="18" a="1"/>
  <c r="Q3" i="18" s="1"/>
  <c r="O3" i="18"/>
  <c r="M3" i="18"/>
  <c r="K3" i="18"/>
  <c r="O14" i="19" a="1"/>
  <c r="O14" i="19" s="1"/>
  <c r="M14" i="19" a="1"/>
  <c r="M14" i="19" s="1"/>
  <c r="K14" i="19" a="1"/>
  <c r="K14" i="19" s="1"/>
  <c r="O12" i="19" a="1"/>
  <c r="O12" i="19" s="1"/>
  <c r="M12" i="19" a="1"/>
  <c r="M12" i="19" s="1"/>
  <c r="K12" i="19"/>
  <c r="O10" i="19" a="1"/>
  <c r="O10" i="19" s="1"/>
  <c r="M10" i="19"/>
  <c r="M10" i="19" a="1"/>
  <c r="K10" i="19"/>
  <c r="O5" i="19"/>
  <c r="M5" i="19"/>
  <c r="K5" i="19"/>
  <c r="Q3" i="19" a="1"/>
  <c r="Q3" i="19" s="1"/>
  <c r="O3" i="19"/>
  <c r="M3" i="19"/>
  <c r="K3" i="19"/>
  <c r="O14" i="20" a="1"/>
  <c r="O14" i="20" s="1"/>
  <c r="M14" i="20" a="1"/>
  <c r="M14" i="20" s="1"/>
  <c r="K14" i="20"/>
  <c r="K14" i="20" a="1"/>
  <c r="O12" i="20" a="1"/>
  <c r="O12" i="20" s="1"/>
  <c r="M12" i="20" a="1"/>
  <c r="M12" i="20" s="1"/>
  <c r="K12" i="20"/>
  <c r="O10" i="20" a="1"/>
  <c r="O10" i="20" s="1"/>
  <c r="M10" i="20"/>
  <c r="M10" i="20" a="1"/>
  <c r="K10" i="20"/>
  <c r="O5" i="20"/>
  <c r="M5" i="20"/>
  <c r="K5" i="20"/>
  <c r="Q3" i="20" a="1"/>
  <c r="Q3" i="20" s="1"/>
  <c r="O3" i="20"/>
  <c r="M3" i="20"/>
  <c r="K3" i="20"/>
  <c r="O14" i="21" a="1"/>
  <c r="O14" i="21" s="1"/>
  <c r="M14" i="21" a="1"/>
  <c r="M14" i="21" s="1"/>
  <c r="K14" i="21" a="1"/>
  <c r="K14" i="21" s="1"/>
  <c r="O12" i="21" a="1"/>
  <c r="O12" i="21" s="1"/>
  <c r="M12" i="21" a="1"/>
  <c r="M12" i="21" s="1"/>
  <c r="K12" i="21"/>
  <c r="O10" i="21" a="1"/>
  <c r="O10" i="21" s="1"/>
  <c r="M10" i="21" a="1"/>
  <c r="M10" i="21" s="1"/>
  <c r="K10" i="21"/>
  <c r="O5" i="21"/>
  <c r="M5" i="21"/>
  <c r="K5" i="21"/>
  <c r="Q3" i="21" a="1"/>
  <c r="Q3" i="21" s="1"/>
  <c r="O3" i="21"/>
  <c r="M3" i="21"/>
  <c r="K3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<sst xmlns="http://schemas.openxmlformats.org/spreadsheetml/2006/main" count="4240" uniqueCount="18">
  <si>
    <t xml:space="preserve"> AzulAIAndGameState.Players.MCTS_NN.MCTSnCustomEval</t>
  </si>
  <si>
    <t xml:space="preserve"> AzulBoardGame.Players.HeuristicAI</t>
  </si>
  <si>
    <t xml:space="preserve"> AzulAIAndGameState.Players.MCTS_NN.MCTSnNNAI</t>
  </si>
  <si>
    <t xml:space="preserve"> AzulAIAndGameState.Players.MCTS_NN.MCTSnPolicy</t>
  </si>
  <si>
    <t xml:space="preserve"> AzulAIAndGameState.Players.MCTS_CNN.PolicyNetworkAI</t>
  </si>
  <si>
    <t xml:space="preserve"> AzulBoardGame.Players.MCTS.MCTSVariants.MCTSAIScoreDiffAvg</t>
  </si>
  <si>
    <t xml:space="preserve"> AzulAIAndGameState.Players.MiniMax.MinimaxAI</t>
  </si>
  <si>
    <t>Bendru atveju</t>
  </si>
  <si>
    <t>Kai pradeda pirmas žaidėjas</t>
  </si>
  <si>
    <t>Kai pradeda antras žaidėjas</t>
  </si>
  <si>
    <t>Lygu</t>
  </si>
  <si>
    <t>Pirmo žaidėjo pergalių skaičius</t>
  </si>
  <si>
    <t>Antro žaidėjo pergalių skaičius</t>
  </si>
  <si>
    <t>Pirmo žaidėjo pergalės atveju</t>
  </si>
  <si>
    <t>Antro žaidėjo pergalės atveju</t>
  </si>
  <si>
    <t>Pirmo žaidėjo taškų vidurkis</t>
  </si>
  <si>
    <t>Antro žaidėjo taškų vidurkis</t>
  </si>
  <si>
    <t>Vidutinė pirmo žaidėjo taškų persvara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</si>
</sst>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1" fillId="0" borderId="0" xfId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/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/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2">
    <cellStyle name="Normal" xfId="0" builtinId="0"/>
    <cellStyle name="Normal 2" xfId="1" xr:uid="{0B33F4EB-5717-4340-BE45-518FB707E0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3B431-198D-4FB3-ACC5-AEA56AAACF70}">
  <dimension ref="A1:Q100"/>
  <sheetViews>
    <sheetView topLeftCell="G1" workbookViewId="0">
      <selection activeCell="V22" sqref="V22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1</v>
      </c>
      <c r="D1" s="1">
        <v>12</v>
      </c>
      <c r="E1" s="1" t="s">
        <v>0</v>
      </c>
      <c r="F1" s="1">
        <v>33</v>
      </c>
      <c r="G1" s="1">
        <v>1</v>
      </c>
      <c r="I1" s="2"/>
      <c r="J1" s="3"/>
      <c r="K1" s="4" t="s">
        <v>7</v>
      </c>
      <c r="L1" s="4"/>
      <c r="M1" s="5" t="s">
        <v>8</v>
      </c>
      <c r="N1" s="5"/>
      <c r="O1" s="5" t="s">
        <v>9</v>
      </c>
      <c r="P1" s="5"/>
      <c r="Q1"/>
    </row>
    <row r="2" spans="1:17" x14ac:dyDescent="0.3">
      <c r="A2" s="1">
        <v>2</v>
      </c>
      <c r="B2" s="1">
        <v>0</v>
      </c>
      <c r="C2" s="1" t="s">
        <v>1</v>
      </c>
      <c r="D2" s="1">
        <v>0</v>
      </c>
      <c r="E2" s="1" t="s">
        <v>0</v>
      </c>
      <c r="F2" s="1">
        <v>18</v>
      </c>
      <c r="G2" s="1">
        <v>1</v>
      </c>
      <c r="I2" s="6"/>
      <c r="J2" s="7"/>
      <c r="K2" s="4"/>
      <c r="L2" s="4"/>
      <c r="M2" s="5"/>
      <c r="N2" s="5"/>
      <c r="O2" s="5"/>
      <c r="P2" s="5"/>
      <c r="Q2" s="8" t="s">
        <v>10</v>
      </c>
    </row>
    <row r="3" spans="1:17" x14ac:dyDescent="0.3">
      <c r="A3" s="1">
        <v>2</v>
      </c>
      <c r="B3" s="1">
        <v>0</v>
      </c>
      <c r="C3" s="1" t="s">
        <v>1</v>
      </c>
      <c r="D3" s="1">
        <v>16</v>
      </c>
      <c r="E3" s="1" t="s">
        <v>0</v>
      </c>
      <c r="F3" s="1">
        <v>19</v>
      </c>
      <c r="G3" s="1">
        <v>1</v>
      </c>
      <c r="I3" s="5" t="s">
        <v>11</v>
      </c>
      <c r="J3" s="5"/>
      <c r="K3" s="9">
        <f>COUNTIF($G$1:$G$100, 0)</f>
        <v>14</v>
      </c>
      <c r="L3" s="9"/>
      <c r="M3" s="9">
        <f>COUNTIFS($G$1:$G$100, 0, $B$1:$B$100, 0)</f>
        <v>7</v>
      </c>
      <c r="N3" s="9"/>
      <c r="O3" s="10">
        <f>COUNTIFS($G$1:$G$100, 0, $B$1:$B$100, 1)</f>
        <v>7</v>
      </c>
      <c r="P3" s="11"/>
      <c r="Q3" s="12" cm="1">
        <f t="array" ref="Q3">SUMPRODUCT(--($D$1:$D$100=$G$1:$G$100))</f>
        <v>1</v>
      </c>
    </row>
    <row r="4" spans="1:17" x14ac:dyDescent="0.3">
      <c r="A4" s="1">
        <v>2</v>
      </c>
      <c r="B4" s="1">
        <v>0</v>
      </c>
      <c r="C4" s="1" t="s">
        <v>1</v>
      </c>
      <c r="D4" s="1">
        <v>16</v>
      </c>
      <c r="E4" s="1" t="s">
        <v>0</v>
      </c>
      <c r="F4" s="1">
        <v>26</v>
      </c>
      <c r="G4" s="1">
        <v>1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1</v>
      </c>
      <c r="D5" s="1">
        <v>31</v>
      </c>
      <c r="E5" s="1" t="s">
        <v>0</v>
      </c>
      <c r="F5" s="1">
        <v>27</v>
      </c>
      <c r="G5" s="1">
        <v>0</v>
      </c>
      <c r="I5" s="5" t="s">
        <v>12</v>
      </c>
      <c r="J5" s="5"/>
      <c r="K5" s="14">
        <f>COUNTIF($G$1:$G$100, 1)</f>
        <v>86</v>
      </c>
      <c r="L5" s="9"/>
      <c r="M5" s="9">
        <f>COUNTIFS($G$1:$G$100, 1, $B$1:$B$100, 0)</f>
        <v>43</v>
      </c>
      <c r="N5" s="9"/>
      <c r="O5" s="9">
        <f>COUNTIFS($G$1:$G$100, 1, $B$1:$B$100, 1)</f>
        <v>43</v>
      </c>
      <c r="P5" s="13"/>
      <c r="Q5"/>
    </row>
    <row r="6" spans="1:17" x14ac:dyDescent="0.3">
      <c r="A6" s="1">
        <v>2</v>
      </c>
      <c r="B6" s="1">
        <v>0</v>
      </c>
      <c r="C6" s="1" t="s">
        <v>1</v>
      </c>
      <c r="D6" s="1">
        <v>2</v>
      </c>
      <c r="E6" s="1" t="s">
        <v>0</v>
      </c>
      <c r="F6" s="1">
        <v>37</v>
      </c>
      <c r="G6" s="1">
        <v>1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1</v>
      </c>
      <c r="D7" s="1">
        <v>0</v>
      </c>
      <c r="E7" s="1" t="s">
        <v>0</v>
      </c>
      <c r="F7" s="1">
        <v>27</v>
      </c>
      <c r="G7" s="1">
        <v>1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1</v>
      </c>
      <c r="D8" s="1">
        <v>15</v>
      </c>
      <c r="E8" s="1" t="s">
        <v>0</v>
      </c>
      <c r="F8" s="1">
        <v>23</v>
      </c>
      <c r="G8" s="1">
        <v>1</v>
      </c>
      <c r="I8" s="19"/>
      <c r="J8" s="20"/>
      <c r="K8" s="21" t="s">
        <v>7</v>
      </c>
      <c r="L8" s="21"/>
      <c r="M8" s="21" t="s">
        <v>13</v>
      </c>
      <c r="N8" s="21"/>
      <c r="O8" s="21" t="s">
        <v>14</v>
      </c>
      <c r="P8" s="21"/>
      <c r="Q8"/>
    </row>
    <row r="9" spans="1:17" x14ac:dyDescent="0.3">
      <c r="A9" s="1">
        <v>2</v>
      </c>
      <c r="B9" s="1">
        <v>0</v>
      </c>
      <c r="C9" s="1" t="s">
        <v>1</v>
      </c>
      <c r="D9" s="1">
        <v>24</v>
      </c>
      <c r="E9" s="1" t="s">
        <v>0</v>
      </c>
      <c r="F9" s="1">
        <v>37</v>
      </c>
      <c r="G9" s="1">
        <v>1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1</v>
      </c>
      <c r="D10" s="1">
        <v>16</v>
      </c>
      <c r="E10" s="1" t="s">
        <v>0</v>
      </c>
      <c r="F10" s="1">
        <v>25</v>
      </c>
      <c r="G10" s="1">
        <v>1</v>
      </c>
      <c r="I10" s="5" t="s">
        <v>15</v>
      </c>
      <c r="J10" s="5"/>
      <c r="K10" s="9">
        <f>AVERAGE($D$1:$D$100,)</f>
        <v>12.623762376237623</v>
      </c>
      <c r="L10" s="9"/>
      <c r="M10" s="9" cm="1">
        <f t="array" ref="M10">AVERAGE(_xlfn._xlws.FILTER($D$1:$D$100,$G$1:$G$100 = 0))</f>
        <v>29.642857142857142</v>
      </c>
      <c r="N10" s="9"/>
      <c r="O10" s="10" cm="1">
        <f t="array" ref="O10">AVERAGE(_xlfn._xlws.FILTER($D$1:$D$100,$G$1:$G$100 = 1))</f>
        <v>10</v>
      </c>
      <c r="P10" s="11"/>
      <c r="Q10"/>
    </row>
    <row r="11" spans="1:17" x14ac:dyDescent="0.3">
      <c r="A11" s="1">
        <v>2</v>
      </c>
      <c r="B11" s="1">
        <v>0</v>
      </c>
      <c r="C11" s="1" t="s">
        <v>1</v>
      </c>
      <c r="D11" s="1">
        <v>9</v>
      </c>
      <c r="E11" s="1" t="s">
        <v>0</v>
      </c>
      <c r="F11" s="1">
        <v>48</v>
      </c>
      <c r="G11" s="1">
        <v>1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1</v>
      </c>
      <c r="D12" s="1">
        <v>9</v>
      </c>
      <c r="E12" s="1" t="s">
        <v>0</v>
      </c>
      <c r="F12" s="1">
        <v>38</v>
      </c>
      <c r="G12" s="1">
        <v>1</v>
      </c>
      <c r="I12" s="5" t="s">
        <v>16</v>
      </c>
      <c r="J12" s="5"/>
      <c r="K12" s="9">
        <f>AVERAGE($F$1:$F$100,)</f>
        <v>32.316831683168317</v>
      </c>
      <c r="L12" s="9"/>
      <c r="M12" s="9" cm="1">
        <f t="array" ref="M12">AVERAGE(_xlfn._xlws.FILTER($F$1:$F$100,$G$1:$G$100 = 0))</f>
        <v>23.5</v>
      </c>
      <c r="N12" s="9"/>
      <c r="O12" s="9" cm="1">
        <f t="array" ref="O12">AVERAGE(_xlfn._xlws.FILTER($F$1:$F$100,$G$1:$G$100 = 1))</f>
        <v>34.127906976744185</v>
      </c>
      <c r="P12" s="13"/>
      <c r="Q12"/>
    </row>
    <row r="13" spans="1:17" x14ac:dyDescent="0.3">
      <c r="A13" s="1">
        <v>2</v>
      </c>
      <c r="B13" s="1">
        <v>0</v>
      </c>
      <c r="C13" s="1" t="s">
        <v>1</v>
      </c>
      <c r="D13" s="1">
        <v>0</v>
      </c>
      <c r="E13" s="1" t="s">
        <v>0</v>
      </c>
      <c r="F13" s="1">
        <v>19</v>
      </c>
      <c r="G13" s="1">
        <v>1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1</v>
      </c>
      <c r="D14" s="1">
        <v>0</v>
      </c>
      <c r="E14" s="1" t="s">
        <v>0</v>
      </c>
      <c r="F14" s="1">
        <v>30</v>
      </c>
      <c r="G14" s="1">
        <v>1</v>
      </c>
      <c r="I14" s="22" t="s">
        <v>17</v>
      </c>
      <c r="J14" s="11"/>
      <c r="K14" s="23" cm="1">
        <f t="array" ref="K14">AVERAGE($D$1:$D$100 - $F$1:$F$100)</f>
        <v>-19.89</v>
      </c>
      <c r="L14" s="23"/>
      <c r="M14" s="23" cm="1">
        <f t="array" ref="M14">AVERAGE(_xlfn._xlws.FILTER($D$1:$D$100 - $F$1:$F$100, G$1:G$100 = 0))</f>
        <v>6.1428571428571432</v>
      </c>
      <c r="N14" s="23"/>
      <c r="O14" s="23" cm="1">
        <f t="array" ref="O14">AVERAGE(_xlfn._xlws.FILTER($D$1:$D$100 - $F$1:$F$100, G$1:G$100 = 1))</f>
        <v>-24.127906976744185</v>
      </c>
      <c r="P14" s="24"/>
      <c r="Q14"/>
    </row>
    <row r="15" spans="1:17" x14ac:dyDescent="0.3">
      <c r="A15" s="1">
        <v>2</v>
      </c>
      <c r="B15" s="1">
        <v>0</v>
      </c>
      <c r="C15" s="1" t="s">
        <v>1</v>
      </c>
      <c r="D15" s="1">
        <v>40</v>
      </c>
      <c r="E15" s="1" t="s">
        <v>0</v>
      </c>
      <c r="F15" s="1">
        <v>32</v>
      </c>
      <c r="G15" s="1">
        <v>0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1</v>
      </c>
      <c r="D16" s="1">
        <v>27</v>
      </c>
      <c r="E16" s="1" t="s">
        <v>0</v>
      </c>
      <c r="F16" s="1">
        <v>27</v>
      </c>
      <c r="G16" s="1">
        <v>0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1</v>
      </c>
      <c r="D17" s="1">
        <v>0</v>
      </c>
      <c r="E17" s="1" t="s">
        <v>0</v>
      </c>
      <c r="F17" s="1">
        <v>46</v>
      </c>
      <c r="G17" s="1">
        <v>1</v>
      </c>
    </row>
    <row r="18" spans="1:7" x14ac:dyDescent="0.3">
      <c r="A18" s="1">
        <v>2</v>
      </c>
      <c r="B18" s="1">
        <v>0</v>
      </c>
      <c r="C18" s="1" t="s">
        <v>1</v>
      </c>
      <c r="D18" s="1">
        <v>15</v>
      </c>
      <c r="E18" s="1" t="s">
        <v>0</v>
      </c>
      <c r="F18" s="1">
        <v>35</v>
      </c>
      <c r="G18" s="1">
        <v>1</v>
      </c>
    </row>
    <row r="19" spans="1:7" x14ac:dyDescent="0.3">
      <c r="A19" s="1">
        <v>2</v>
      </c>
      <c r="B19" s="1">
        <v>0</v>
      </c>
      <c r="C19" s="1" t="s">
        <v>1</v>
      </c>
      <c r="D19" s="1">
        <v>13</v>
      </c>
      <c r="E19" s="1" t="s">
        <v>0</v>
      </c>
      <c r="F19" s="1">
        <v>59</v>
      </c>
      <c r="G19" s="1">
        <v>1</v>
      </c>
    </row>
    <row r="20" spans="1:7" x14ac:dyDescent="0.3">
      <c r="A20" s="1">
        <v>2</v>
      </c>
      <c r="B20" s="1">
        <v>0</v>
      </c>
      <c r="C20" s="1" t="s">
        <v>1</v>
      </c>
      <c r="D20" s="1">
        <v>0</v>
      </c>
      <c r="E20" s="1" t="s">
        <v>0</v>
      </c>
      <c r="F20" s="1">
        <v>48</v>
      </c>
      <c r="G20" s="1">
        <v>1</v>
      </c>
    </row>
    <row r="21" spans="1:7" x14ac:dyDescent="0.3">
      <c r="A21" s="1">
        <v>2</v>
      </c>
      <c r="B21" s="1">
        <v>0</v>
      </c>
      <c r="C21" s="1" t="s">
        <v>1</v>
      </c>
      <c r="D21" s="1">
        <v>29</v>
      </c>
      <c r="E21" s="1" t="s">
        <v>0</v>
      </c>
      <c r="F21" s="1">
        <v>29</v>
      </c>
      <c r="G21" s="1">
        <v>0</v>
      </c>
    </row>
    <row r="22" spans="1:7" x14ac:dyDescent="0.3">
      <c r="A22" s="1">
        <v>2</v>
      </c>
      <c r="B22" s="1">
        <v>0</v>
      </c>
      <c r="C22" s="1" t="s">
        <v>1</v>
      </c>
      <c r="D22" s="1">
        <v>0</v>
      </c>
      <c r="E22" s="1" t="s">
        <v>0</v>
      </c>
      <c r="F22" s="1">
        <v>66</v>
      </c>
      <c r="G22" s="1">
        <v>1</v>
      </c>
    </row>
    <row r="23" spans="1:7" x14ac:dyDescent="0.3">
      <c r="A23" s="1">
        <v>2</v>
      </c>
      <c r="B23" s="1">
        <v>0</v>
      </c>
      <c r="C23" s="1" t="s">
        <v>1</v>
      </c>
      <c r="D23" s="1">
        <v>0</v>
      </c>
      <c r="E23" s="1" t="s">
        <v>0</v>
      </c>
      <c r="F23" s="1">
        <v>29</v>
      </c>
      <c r="G23" s="1">
        <v>1</v>
      </c>
    </row>
    <row r="24" spans="1:7" x14ac:dyDescent="0.3">
      <c r="A24" s="1">
        <v>2</v>
      </c>
      <c r="B24" s="1">
        <v>0</v>
      </c>
      <c r="C24" s="1" t="s">
        <v>1</v>
      </c>
      <c r="D24" s="1">
        <v>0</v>
      </c>
      <c r="E24" s="1" t="s">
        <v>0</v>
      </c>
      <c r="F24" s="1">
        <v>37</v>
      </c>
      <c r="G24" s="1">
        <v>1</v>
      </c>
    </row>
    <row r="25" spans="1:7" x14ac:dyDescent="0.3">
      <c r="A25" s="1">
        <v>2</v>
      </c>
      <c r="B25" s="1">
        <v>0</v>
      </c>
      <c r="C25" s="1" t="s">
        <v>1</v>
      </c>
      <c r="D25" s="1">
        <v>0</v>
      </c>
      <c r="E25" s="1" t="s">
        <v>0</v>
      </c>
      <c r="F25" s="1">
        <v>26</v>
      </c>
      <c r="G25" s="1">
        <v>1</v>
      </c>
    </row>
    <row r="26" spans="1:7" x14ac:dyDescent="0.3">
      <c r="A26" s="1">
        <v>2</v>
      </c>
      <c r="B26" s="1">
        <v>0</v>
      </c>
      <c r="C26" s="1" t="s">
        <v>1</v>
      </c>
      <c r="D26" s="1">
        <v>7</v>
      </c>
      <c r="E26" s="1" t="s">
        <v>0</v>
      </c>
      <c r="F26" s="1">
        <v>54</v>
      </c>
      <c r="G26" s="1">
        <v>1</v>
      </c>
    </row>
    <row r="27" spans="1:7" x14ac:dyDescent="0.3">
      <c r="A27" s="1">
        <v>2</v>
      </c>
      <c r="B27" s="1">
        <v>0</v>
      </c>
      <c r="C27" s="1" t="s">
        <v>1</v>
      </c>
      <c r="D27" s="1">
        <v>23</v>
      </c>
      <c r="E27" s="1" t="s">
        <v>0</v>
      </c>
      <c r="F27" s="1">
        <v>30</v>
      </c>
      <c r="G27" s="1">
        <v>1</v>
      </c>
    </row>
    <row r="28" spans="1:7" x14ac:dyDescent="0.3">
      <c r="A28" s="1">
        <v>2</v>
      </c>
      <c r="B28" s="1">
        <v>0</v>
      </c>
      <c r="C28" s="1" t="s">
        <v>1</v>
      </c>
      <c r="D28" s="1">
        <v>0</v>
      </c>
      <c r="E28" s="1" t="s">
        <v>0</v>
      </c>
      <c r="F28" s="1">
        <v>27</v>
      </c>
      <c r="G28" s="1">
        <v>1</v>
      </c>
    </row>
    <row r="29" spans="1:7" x14ac:dyDescent="0.3">
      <c r="A29" s="1">
        <v>2</v>
      </c>
      <c r="B29" s="1">
        <v>0</v>
      </c>
      <c r="C29" s="1" t="s">
        <v>1</v>
      </c>
      <c r="D29" s="1">
        <v>9</v>
      </c>
      <c r="E29" s="1" t="s">
        <v>0</v>
      </c>
      <c r="F29" s="1">
        <v>23</v>
      </c>
      <c r="G29" s="1">
        <v>1</v>
      </c>
    </row>
    <row r="30" spans="1:7" x14ac:dyDescent="0.3">
      <c r="A30" s="1">
        <v>2</v>
      </c>
      <c r="B30" s="1">
        <v>0</v>
      </c>
      <c r="C30" s="1" t="s">
        <v>1</v>
      </c>
      <c r="D30" s="1">
        <v>11</v>
      </c>
      <c r="E30" s="1" t="s">
        <v>0</v>
      </c>
      <c r="F30" s="1">
        <v>25</v>
      </c>
      <c r="G30" s="1">
        <v>1</v>
      </c>
    </row>
    <row r="31" spans="1:7" x14ac:dyDescent="0.3">
      <c r="A31" s="1">
        <v>2</v>
      </c>
      <c r="B31" s="1">
        <v>0</v>
      </c>
      <c r="C31" s="1" t="s">
        <v>1</v>
      </c>
      <c r="D31" s="1">
        <v>2</v>
      </c>
      <c r="E31" s="1" t="s">
        <v>0</v>
      </c>
      <c r="F31" s="1">
        <v>18</v>
      </c>
      <c r="G31" s="1">
        <v>1</v>
      </c>
    </row>
    <row r="32" spans="1:7" x14ac:dyDescent="0.3">
      <c r="A32" s="1">
        <v>2</v>
      </c>
      <c r="B32" s="1">
        <v>0</v>
      </c>
      <c r="C32" s="1" t="s">
        <v>1</v>
      </c>
      <c r="D32" s="1">
        <v>8</v>
      </c>
      <c r="E32" s="1" t="s">
        <v>0</v>
      </c>
      <c r="F32" s="1">
        <v>19</v>
      </c>
      <c r="G32" s="1">
        <v>1</v>
      </c>
    </row>
    <row r="33" spans="1:7" x14ac:dyDescent="0.3">
      <c r="A33" s="1">
        <v>2</v>
      </c>
      <c r="B33" s="1">
        <v>0</v>
      </c>
      <c r="C33" s="1" t="s">
        <v>1</v>
      </c>
      <c r="D33" s="1">
        <v>11</v>
      </c>
      <c r="E33" s="1" t="s">
        <v>0</v>
      </c>
      <c r="F33" s="1">
        <v>66</v>
      </c>
      <c r="G33" s="1">
        <v>1</v>
      </c>
    </row>
    <row r="34" spans="1:7" x14ac:dyDescent="0.3">
      <c r="A34" s="1">
        <v>2</v>
      </c>
      <c r="B34" s="1">
        <v>0</v>
      </c>
      <c r="C34" s="1" t="s">
        <v>1</v>
      </c>
      <c r="D34" s="1">
        <v>10</v>
      </c>
      <c r="E34" s="1" t="s">
        <v>0</v>
      </c>
      <c r="F34" s="1">
        <v>75</v>
      </c>
      <c r="G34" s="1">
        <v>1</v>
      </c>
    </row>
    <row r="35" spans="1:7" x14ac:dyDescent="0.3">
      <c r="A35" s="1">
        <v>2</v>
      </c>
      <c r="B35" s="1">
        <v>0</v>
      </c>
      <c r="C35" s="1" t="s">
        <v>1</v>
      </c>
      <c r="D35" s="1">
        <v>0</v>
      </c>
      <c r="E35" s="1" t="s">
        <v>0</v>
      </c>
      <c r="F35" s="1">
        <v>23</v>
      </c>
      <c r="G35" s="1">
        <v>1</v>
      </c>
    </row>
    <row r="36" spans="1:7" x14ac:dyDescent="0.3">
      <c r="A36" s="1">
        <v>2</v>
      </c>
      <c r="B36" s="1">
        <v>0</v>
      </c>
      <c r="C36" s="1" t="s">
        <v>1</v>
      </c>
      <c r="D36" s="1">
        <v>23</v>
      </c>
      <c r="E36" s="1" t="s">
        <v>0</v>
      </c>
      <c r="F36" s="1">
        <v>21</v>
      </c>
      <c r="G36" s="1">
        <v>0</v>
      </c>
    </row>
    <row r="37" spans="1:7" x14ac:dyDescent="0.3">
      <c r="A37" s="1">
        <v>2</v>
      </c>
      <c r="B37" s="1">
        <v>0</v>
      </c>
      <c r="C37" s="1" t="s">
        <v>1</v>
      </c>
      <c r="D37" s="1">
        <v>11</v>
      </c>
      <c r="E37" s="1" t="s">
        <v>0</v>
      </c>
      <c r="F37" s="1">
        <v>15</v>
      </c>
      <c r="G37" s="1">
        <v>1</v>
      </c>
    </row>
    <row r="38" spans="1:7" x14ac:dyDescent="0.3">
      <c r="A38" s="1">
        <v>2</v>
      </c>
      <c r="B38" s="1">
        <v>0</v>
      </c>
      <c r="C38" s="1" t="s">
        <v>1</v>
      </c>
      <c r="D38" s="1">
        <v>0</v>
      </c>
      <c r="E38" s="1" t="s">
        <v>0</v>
      </c>
      <c r="F38" s="1">
        <v>19</v>
      </c>
      <c r="G38" s="1">
        <v>1</v>
      </c>
    </row>
    <row r="39" spans="1:7" x14ac:dyDescent="0.3">
      <c r="A39" s="1">
        <v>2</v>
      </c>
      <c r="B39" s="1">
        <v>0</v>
      </c>
      <c r="C39" s="1" t="s">
        <v>1</v>
      </c>
      <c r="D39" s="1">
        <v>19</v>
      </c>
      <c r="E39" s="1" t="s">
        <v>0</v>
      </c>
      <c r="F39" s="1">
        <v>14</v>
      </c>
      <c r="G39" s="1">
        <v>0</v>
      </c>
    </row>
    <row r="40" spans="1:7" x14ac:dyDescent="0.3">
      <c r="A40" s="1">
        <v>2</v>
      </c>
      <c r="B40" s="1">
        <v>0</v>
      </c>
      <c r="C40" s="1" t="s">
        <v>1</v>
      </c>
      <c r="D40" s="1">
        <v>26</v>
      </c>
      <c r="E40" s="1" t="s">
        <v>0</v>
      </c>
      <c r="F40" s="1">
        <v>51</v>
      </c>
      <c r="G40" s="1">
        <v>1</v>
      </c>
    </row>
    <row r="41" spans="1:7" x14ac:dyDescent="0.3">
      <c r="A41" s="1">
        <v>2</v>
      </c>
      <c r="B41" s="1">
        <v>0</v>
      </c>
      <c r="C41" s="1" t="s">
        <v>1</v>
      </c>
      <c r="D41" s="1">
        <v>13</v>
      </c>
      <c r="E41" s="1" t="s">
        <v>0</v>
      </c>
      <c r="F41" s="1">
        <v>32</v>
      </c>
      <c r="G41" s="1">
        <v>1</v>
      </c>
    </row>
    <row r="42" spans="1:7" x14ac:dyDescent="0.3">
      <c r="A42" s="1">
        <v>2</v>
      </c>
      <c r="B42" s="1">
        <v>0</v>
      </c>
      <c r="C42" s="1" t="s">
        <v>1</v>
      </c>
      <c r="D42" s="1">
        <v>29</v>
      </c>
      <c r="E42" s="1" t="s">
        <v>0</v>
      </c>
      <c r="F42" s="1">
        <v>41</v>
      </c>
      <c r="G42" s="1">
        <v>1</v>
      </c>
    </row>
    <row r="43" spans="1:7" x14ac:dyDescent="0.3">
      <c r="A43" s="1">
        <v>2</v>
      </c>
      <c r="B43" s="1">
        <v>0</v>
      </c>
      <c r="C43" s="1" t="s">
        <v>1</v>
      </c>
      <c r="D43" s="1">
        <v>4</v>
      </c>
      <c r="E43" s="1" t="s">
        <v>0</v>
      </c>
      <c r="F43" s="1">
        <v>16</v>
      </c>
      <c r="G43" s="1">
        <v>1</v>
      </c>
    </row>
    <row r="44" spans="1:7" x14ac:dyDescent="0.3">
      <c r="A44" s="1">
        <v>2</v>
      </c>
      <c r="B44" s="1">
        <v>0</v>
      </c>
      <c r="C44" s="1" t="s">
        <v>1</v>
      </c>
      <c r="D44" s="1">
        <v>6</v>
      </c>
      <c r="E44" s="1" t="s">
        <v>0</v>
      </c>
      <c r="F44" s="1">
        <v>28</v>
      </c>
      <c r="G44" s="1">
        <v>1</v>
      </c>
    </row>
    <row r="45" spans="1:7" x14ac:dyDescent="0.3">
      <c r="A45" s="1">
        <v>2</v>
      </c>
      <c r="B45" s="1">
        <v>0</v>
      </c>
      <c r="C45" s="1" t="s">
        <v>1</v>
      </c>
      <c r="D45" s="1">
        <v>13</v>
      </c>
      <c r="E45" s="1" t="s">
        <v>0</v>
      </c>
      <c r="F45" s="1">
        <v>32</v>
      </c>
      <c r="G45" s="1">
        <v>1</v>
      </c>
    </row>
    <row r="46" spans="1:7" x14ac:dyDescent="0.3">
      <c r="A46" s="1">
        <v>2</v>
      </c>
      <c r="B46" s="1">
        <v>0</v>
      </c>
      <c r="C46" s="1" t="s">
        <v>1</v>
      </c>
      <c r="D46" s="1">
        <v>10</v>
      </c>
      <c r="E46" s="1" t="s">
        <v>0</v>
      </c>
      <c r="F46" s="1">
        <v>44</v>
      </c>
      <c r="G46" s="1">
        <v>1</v>
      </c>
    </row>
    <row r="47" spans="1:7" x14ac:dyDescent="0.3">
      <c r="A47" s="1">
        <v>2</v>
      </c>
      <c r="B47" s="1">
        <v>0</v>
      </c>
      <c r="C47" s="1" t="s">
        <v>1</v>
      </c>
      <c r="D47" s="1">
        <v>13</v>
      </c>
      <c r="E47" s="1" t="s">
        <v>0</v>
      </c>
      <c r="F47" s="1">
        <v>35</v>
      </c>
      <c r="G47" s="1">
        <v>1</v>
      </c>
    </row>
    <row r="48" spans="1:7" x14ac:dyDescent="0.3">
      <c r="A48" s="1">
        <v>2</v>
      </c>
      <c r="B48" s="1">
        <v>0</v>
      </c>
      <c r="C48" s="1" t="s">
        <v>1</v>
      </c>
      <c r="D48" s="1">
        <v>61</v>
      </c>
      <c r="E48" s="1" t="s">
        <v>0</v>
      </c>
      <c r="F48" s="1">
        <v>21</v>
      </c>
      <c r="G48" s="1">
        <v>0</v>
      </c>
    </row>
    <row r="49" spans="1:7" x14ac:dyDescent="0.3">
      <c r="A49" s="1">
        <v>2</v>
      </c>
      <c r="B49" s="1">
        <v>0</v>
      </c>
      <c r="C49" s="1" t="s">
        <v>1</v>
      </c>
      <c r="D49" s="1">
        <v>12</v>
      </c>
      <c r="E49" s="1" t="s">
        <v>0</v>
      </c>
      <c r="F49" s="1">
        <v>26</v>
      </c>
      <c r="G49" s="1">
        <v>1</v>
      </c>
    </row>
    <row r="50" spans="1:7" x14ac:dyDescent="0.3">
      <c r="A50" s="1">
        <v>2</v>
      </c>
      <c r="B50" s="1">
        <v>0</v>
      </c>
      <c r="C50" s="1" t="s">
        <v>1</v>
      </c>
      <c r="D50" s="1">
        <v>4</v>
      </c>
      <c r="E50" s="1" t="s">
        <v>0</v>
      </c>
      <c r="F50" s="1">
        <v>14</v>
      </c>
      <c r="G50" s="1">
        <v>1</v>
      </c>
    </row>
    <row r="51" spans="1:7" x14ac:dyDescent="0.3">
      <c r="A51" s="1">
        <v>2</v>
      </c>
      <c r="B51" s="1">
        <v>1</v>
      </c>
      <c r="C51" s="1" t="s">
        <v>1</v>
      </c>
      <c r="D51" s="1">
        <v>10</v>
      </c>
      <c r="E51" s="1" t="s">
        <v>0</v>
      </c>
      <c r="F51" s="1">
        <v>45</v>
      </c>
      <c r="G51" s="1">
        <v>1</v>
      </c>
    </row>
    <row r="52" spans="1:7" x14ac:dyDescent="0.3">
      <c r="A52" s="1">
        <v>2</v>
      </c>
      <c r="B52" s="1">
        <v>1</v>
      </c>
      <c r="C52" s="1" t="s">
        <v>1</v>
      </c>
      <c r="D52" s="1">
        <v>11</v>
      </c>
      <c r="E52" s="1" t="s">
        <v>0</v>
      </c>
      <c r="F52" s="1">
        <v>50</v>
      </c>
      <c r="G52" s="1">
        <v>1</v>
      </c>
    </row>
    <row r="53" spans="1:7" x14ac:dyDescent="0.3">
      <c r="A53" s="1">
        <v>2</v>
      </c>
      <c r="B53" s="1">
        <v>1</v>
      </c>
      <c r="C53" s="1" t="s">
        <v>1</v>
      </c>
      <c r="D53" s="1">
        <v>33</v>
      </c>
      <c r="E53" s="1" t="s">
        <v>0</v>
      </c>
      <c r="F53" s="1">
        <v>31</v>
      </c>
      <c r="G53" s="1">
        <v>0</v>
      </c>
    </row>
    <row r="54" spans="1:7" x14ac:dyDescent="0.3">
      <c r="A54" s="1">
        <v>2</v>
      </c>
      <c r="B54" s="1">
        <v>1</v>
      </c>
      <c r="C54" s="1" t="s">
        <v>1</v>
      </c>
      <c r="D54" s="1">
        <v>12</v>
      </c>
      <c r="E54" s="1" t="s">
        <v>0</v>
      </c>
      <c r="F54" s="1">
        <v>42</v>
      </c>
      <c r="G54" s="1">
        <v>1</v>
      </c>
    </row>
    <row r="55" spans="1:7" x14ac:dyDescent="0.3">
      <c r="A55" s="1">
        <v>2</v>
      </c>
      <c r="B55" s="1">
        <v>1</v>
      </c>
      <c r="C55" s="1" t="s">
        <v>1</v>
      </c>
      <c r="D55" s="1">
        <v>23</v>
      </c>
      <c r="E55" s="1" t="s">
        <v>0</v>
      </c>
      <c r="F55" s="1">
        <v>32</v>
      </c>
      <c r="G55" s="1">
        <v>1</v>
      </c>
    </row>
    <row r="56" spans="1:7" x14ac:dyDescent="0.3">
      <c r="A56" s="1">
        <v>2</v>
      </c>
      <c r="B56" s="1">
        <v>1</v>
      </c>
      <c r="C56" s="1" t="s">
        <v>1</v>
      </c>
      <c r="D56" s="1">
        <v>0</v>
      </c>
      <c r="E56" s="1" t="s">
        <v>0</v>
      </c>
      <c r="F56" s="1">
        <v>12</v>
      </c>
      <c r="G56" s="1">
        <v>1</v>
      </c>
    </row>
    <row r="57" spans="1:7" x14ac:dyDescent="0.3">
      <c r="A57" s="1">
        <v>2</v>
      </c>
      <c r="B57" s="1">
        <v>1</v>
      </c>
      <c r="C57" s="1" t="s">
        <v>1</v>
      </c>
      <c r="D57" s="1">
        <v>16</v>
      </c>
      <c r="E57" s="1" t="s">
        <v>0</v>
      </c>
      <c r="F57" s="1">
        <v>54</v>
      </c>
      <c r="G57" s="1">
        <v>1</v>
      </c>
    </row>
    <row r="58" spans="1:7" x14ac:dyDescent="0.3">
      <c r="A58" s="1">
        <v>2</v>
      </c>
      <c r="B58" s="1">
        <v>1</v>
      </c>
      <c r="C58" s="1" t="s">
        <v>1</v>
      </c>
      <c r="D58" s="1">
        <v>14</v>
      </c>
      <c r="E58" s="1" t="s">
        <v>0</v>
      </c>
      <c r="F58" s="1">
        <v>11</v>
      </c>
      <c r="G58" s="1">
        <v>0</v>
      </c>
    </row>
    <row r="59" spans="1:7" x14ac:dyDescent="0.3">
      <c r="A59" s="1">
        <v>2</v>
      </c>
      <c r="B59" s="1">
        <v>1</v>
      </c>
      <c r="C59" s="1" t="s">
        <v>1</v>
      </c>
      <c r="D59" s="1">
        <v>18</v>
      </c>
      <c r="E59" s="1" t="s">
        <v>0</v>
      </c>
      <c r="F59" s="1">
        <v>47</v>
      </c>
      <c r="G59" s="1">
        <v>1</v>
      </c>
    </row>
    <row r="60" spans="1:7" x14ac:dyDescent="0.3">
      <c r="A60" s="1">
        <v>2</v>
      </c>
      <c r="B60" s="1">
        <v>1</v>
      </c>
      <c r="C60" s="1" t="s">
        <v>1</v>
      </c>
      <c r="D60" s="1">
        <v>29</v>
      </c>
      <c r="E60" s="1" t="s">
        <v>0</v>
      </c>
      <c r="F60" s="1">
        <v>31</v>
      </c>
      <c r="G60" s="1">
        <v>1</v>
      </c>
    </row>
    <row r="61" spans="1:7" x14ac:dyDescent="0.3">
      <c r="A61" s="1">
        <v>2</v>
      </c>
      <c r="B61" s="1">
        <v>1</v>
      </c>
      <c r="C61" s="1" t="s">
        <v>1</v>
      </c>
      <c r="D61" s="1">
        <v>23</v>
      </c>
      <c r="E61" s="1" t="s">
        <v>0</v>
      </c>
      <c r="F61" s="1">
        <v>38</v>
      </c>
      <c r="G61" s="1">
        <v>1</v>
      </c>
    </row>
    <row r="62" spans="1:7" x14ac:dyDescent="0.3">
      <c r="A62" s="1">
        <v>2</v>
      </c>
      <c r="B62" s="1">
        <v>1</v>
      </c>
      <c r="C62" s="1" t="s">
        <v>1</v>
      </c>
      <c r="D62" s="1">
        <v>11</v>
      </c>
      <c r="E62" s="1" t="s">
        <v>0</v>
      </c>
      <c r="F62" s="1">
        <v>47</v>
      </c>
      <c r="G62" s="1">
        <v>1</v>
      </c>
    </row>
    <row r="63" spans="1:7" x14ac:dyDescent="0.3">
      <c r="A63" s="1">
        <v>2</v>
      </c>
      <c r="B63" s="1">
        <v>1</v>
      </c>
      <c r="C63" s="1" t="s">
        <v>1</v>
      </c>
      <c r="D63" s="1">
        <v>4</v>
      </c>
      <c r="E63" s="1" t="s">
        <v>0</v>
      </c>
      <c r="F63" s="1">
        <v>38</v>
      </c>
      <c r="G63" s="1">
        <v>1</v>
      </c>
    </row>
    <row r="64" spans="1:7" x14ac:dyDescent="0.3">
      <c r="A64" s="1">
        <v>2</v>
      </c>
      <c r="B64" s="1">
        <v>1</v>
      </c>
      <c r="C64" s="1" t="s">
        <v>1</v>
      </c>
      <c r="D64" s="1">
        <v>24</v>
      </c>
      <c r="E64" s="1" t="s">
        <v>0</v>
      </c>
      <c r="F64" s="1">
        <v>55</v>
      </c>
      <c r="G64" s="1">
        <v>1</v>
      </c>
    </row>
    <row r="65" spans="1:7" x14ac:dyDescent="0.3">
      <c r="A65" s="1">
        <v>2</v>
      </c>
      <c r="B65" s="1">
        <v>1</v>
      </c>
      <c r="C65" s="1" t="s">
        <v>1</v>
      </c>
      <c r="D65" s="1">
        <v>23</v>
      </c>
      <c r="E65" s="1" t="s">
        <v>0</v>
      </c>
      <c r="F65" s="1">
        <v>40</v>
      </c>
      <c r="G65" s="1">
        <v>1</v>
      </c>
    </row>
    <row r="66" spans="1:7" x14ac:dyDescent="0.3">
      <c r="A66" s="1">
        <v>2</v>
      </c>
      <c r="B66" s="1">
        <v>1</v>
      </c>
      <c r="C66" s="1" t="s">
        <v>1</v>
      </c>
      <c r="D66" s="1">
        <v>0</v>
      </c>
      <c r="E66" s="1" t="s">
        <v>0</v>
      </c>
      <c r="F66" s="1">
        <v>36</v>
      </c>
      <c r="G66" s="1">
        <v>1</v>
      </c>
    </row>
    <row r="67" spans="1:7" x14ac:dyDescent="0.3">
      <c r="A67" s="1">
        <v>2</v>
      </c>
      <c r="B67" s="1">
        <v>1</v>
      </c>
      <c r="C67" s="1" t="s">
        <v>1</v>
      </c>
      <c r="D67" s="1">
        <v>9</v>
      </c>
      <c r="E67" s="1" t="s">
        <v>0</v>
      </c>
      <c r="F67" s="1">
        <v>19</v>
      </c>
      <c r="G67" s="1">
        <v>1</v>
      </c>
    </row>
    <row r="68" spans="1:7" x14ac:dyDescent="0.3">
      <c r="A68" s="1">
        <v>2</v>
      </c>
      <c r="B68" s="1">
        <v>1</v>
      </c>
      <c r="C68" s="1" t="s">
        <v>1</v>
      </c>
      <c r="D68" s="1">
        <v>36</v>
      </c>
      <c r="E68" s="1" t="s">
        <v>0</v>
      </c>
      <c r="F68" s="1">
        <v>37</v>
      </c>
      <c r="G68" s="1">
        <v>1</v>
      </c>
    </row>
    <row r="69" spans="1:7" x14ac:dyDescent="0.3">
      <c r="A69" s="1">
        <v>2</v>
      </c>
      <c r="B69" s="1">
        <v>1</v>
      </c>
      <c r="C69" s="1" t="s">
        <v>1</v>
      </c>
      <c r="D69" s="1">
        <v>9</v>
      </c>
      <c r="E69" s="1" t="s">
        <v>0</v>
      </c>
      <c r="F69" s="1">
        <v>43</v>
      </c>
      <c r="G69" s="1">
        <v>1</v>
      </c>
    </row>
    <row r="70" spans="1:7" x14ac:dyDescent="0.3">
      <c r="A70" s="1">
        <v>2</v>
      </c>
      <c r="B70" s="1">
        <v>1</v>
      </c>
      <c r="C70" s="1" t="s">
        <v>1</v>
      </c>
      <c r="D70" s="1">
        <v>6</v>
      </c>
      <c r="E70" s="1" t="s">
        <v>0</v>
      </c>
      <c r="F70" s="1">
        <v>18</v>
      </c>
      <c r="G70" s="1">
        <v>1</v>
      </c>
    </row>
    <row r="71" spans="1:7" x14ac:dyDescent="0.3">
      <c r="A71" s="1">
        <v>2</v>
      </c>
      <c r="B71" s="1">
        <v>1</v>
      </c>
      <c r="C71" s="1" t="s">
        <v>1</v>
      </c>
      <c r="D71" s="1">
        <v>12</v>
      </c>
      <c r="E71" s="1" t="s">
        <v>0</v>
      </c>
      <c r="F71" s="1">
        <v>40</v>
      </c>
      <c r="G71" s="1">
        <v>1</v>
      </c>
    </row>
    <row r="72" spans="1:7" x14ac:dyDescent="0.3">
      <c r="A72" s="1">
        <v>2</v>
      </c>
      <c r="B72" s="1">
        <v>1</v>
      </c>
      <c r="C72" s="1" t="s">
        <v>1</v>
      </c>
      <c r="D72" s="1">
        <v>10</v>
      </c>
      <c r="E72" s="1" t="s">
        <v>0</v>
      </c>
      <c r="F72" s="1">
        <v>38</v>
      </c>
      <c r="G72" s="1">
        <v>1</v>
      </c>
    </row>
    <row r="73" spans="1:7" x14ac:dyDescent="0.3">
      <c r="A73" s="1">
        <v>2</v>
      </c>
      <c r="B73" s="1">
        <v>1</v>
      </c>
      <c r="C73" s="1" t="s">
        <v>1</v>
      </c>
      <c r="D73" s="1">
        <v>30</v>
      </c>
      <c r="E73" s="1" t="s">
        <v>0</v>
      </c>
      <c r="F73" s="1">
        <v>26</v>
      </c>
      <c r="G73" s="1">
        <v>0</v>
      </c>
    </row>
    <row r="74" spans="1:7" x14ac:dyDescent="0.3">
      <c r="A74" s="1">
        <v>2</v>
      </c>
      <c r="B74" s="1">
        <v>1</v>
      </c>
      <c r="C74" s="1" t="s">
        <v>1</v>
      </c>
      <c r="D74" s="1">
        <v>7</v>
      </c>
      <c r="E74" s="1" t="s">
        <v>0</v>
      </c>
      <c r="F74" s="1">
        <v>25</v>
      </c>
      <c r="G74" s="1">
        <v>1</v>
      </c>
    </row>
    <row r="75" spans="1:7" x14ac:dyDescent="0.3">
      <c r="A75" s="1">
        <v>2</v>
      </c>
      <c r="B75" s="1">
        <v>1</v>
      </c>
      <c r="C75" s="1" t="s">
        <v>1</v>
      </c>
      <c r="D75" s="1">
        <v>24</v>
      </c>
      <c r="E75" s="1" t="s">
        <v>0</v>
      </c>
      <c r="F75" s="1">
        <v>29</v>
      </c>
      <c r="G75" s="1">
        <v>1</v>
      </c>
    </row>
    <row r="76" spans="1:7" x14ac:dyDescent="0.3">
      <c r="A76" s="1">
        <v>2</v>
      </c>
      <c r="B76" s="1">
        <v>1</v>
      </c>
      <c r="C76" s="1" t="s">
        <v>1</v>
      </c>
      <c r="D76" s="1">
        <v>12</v>
      </c>
      <c r="E76" s="1" t="s">
        <v>0</v>
      </c>
      <c r="F76" s="1">
        <v>32</v>
      </c>
      <c r="G76" s="1">
        <v>1</v>
      </c>
    </row>
    <row r="77" spans="1:7" x14ac:dyDescent="0.3">
      <c r="A77" s="1">
        <v>2</v>
      </c>
      <c r="B77" s="1">
        <v>1</v>
      </c>
      <c r="C77" s="1" t="s">
        <v>1</v>
      </c>
      <c r="D77" s="1">
        <v>19</v>
      </c>
      <c r="E77" s="1" t="s">
        <v>0</v>
      </c>
      <c r="F77" s="1">
        <v>10</v>
      </c>
      <c r="G77" s="1">
        <v>0</v>
      </c>
    </row>
    <row r="78" spans="1:7" x14ac:dyDescent="0.3">
      <c r="A78" s="1">
        <v>2</v>
      </c>
      <c r="B78" s="1">
        <v>1</v>
      </c>
      <c r="C78" s="1" t="s">
        <v>1</v>
      </c>
      <c r="D78" s="1">
        <v>2</v>
      </c>
      <c r="E78" s="1" t="s">
        <v>0</v>
      </c>
      <c r="F78" s="1">
        <v>35</v>
      </c>
      <c r="G78" s="1">
        <v>1</v>
      </c>
    </row>
    <row r="79" spans="1:7" x14ac:dyDescent="0.3">
      <c r="A79" s="1">
        <v>2</v>
      </c>
      <c r="B79" s="1">
        <v>1</v>
      </c>
      <c r="C79" s="1" t="s">
        <v>1</v>
      </c>
      <c r="D79" s="1">
        <v>27</v>
      </c>
      <c r="E79" s="1" t="s">
        <v>0</v>
      </c>
      <c r="F79" s="1">
        <v>27</v>
      </c>
      <c r="G79" s="1">
        <v>0</v>
      </c>
    </row>
    <row r="80" spans="1:7" x14ac:dyDescent="0.3">
      <c r="A80" s="1">
        <v>2</v>
      </c>
      <c r="B80" s="1">
        <v>1</v>
      </c>
      <c r="C80" s="1" t="s">
        <v>1</v>
      </c>
      <c r="D80" s="1">
        <v>0</v>
      </c>
      <c r="E80" s="1" t="s">
        <v>0</v>
      </c>
      <c r="F80" s="1">
        <v>39</v>
      </c>
      <c r="G80" s="1">
        <v>1</v>
      </c>
    </row>
    <row r="81" spans="1:7" x14ac:dyDescent="0.3">
      <c r="A81" s="1">
        <v>2</v>
      </c>
      <c r="B81" s="1">
        <v>1</v>
      </c>
      <c r="C81" s="1" t="s">
        <v>1</v>
      </c>
      <c r="D81" s="1">
        <v>1</v>
      </c>
      <c r="E81" s="1" t="s">
        <v>0</v>
      </c>
      <c r="F81" s="1">
        <v>44</v>
      </c>
      <c r="G81" s="1">
        <v>1</v>
      </c>
    </row>
    <row r="82" spans="1:7" x14ac:dyDescent="0.3">
      <c r="A82" s="1">
        <v>2</v>
      </c>
      <c r="B82" s="1">
        <v>1</v>
      </c>
      <c r="C82" s="1" t="s">
        <v>1</v>
      </c>
      <c r="D82" s="1">
        <v>0</v>
      </c>
      <c r="E82" s="1" t="s">
        <v>0</v>
      </c>
      <c r="F82" s="1">
        <v>14</v>
      </c>
      <c r="G82" s="1">
        <v>1</v>
      </c>
    </row>
    <row r="83" spans="1:7" x14ac:dyDescent="0.3">
      <c r="A83" s="1">
        <v>2</v>
      </c>
      <c r="B83" s="1">
        <v>1</v>
      </c>
      <c r="C83" s="1" t="s">
        <v>1</v>
      </c>
      <c r="D83" s="1">
        <v>31</v>
      </c>
      <c r="E83" s="1" t="s">
        <v>0</v>
      </c>
      <c r="F83" s="1">
        <v>42</v>
      </c>
      <c r="G83" s="1">
        <v>1</v>
      </c>
    </row>
    <row r="84" spans="1:7" x14ac:dyDescent="0.3">
      <c r="A84" s="1">
        <v>2</v>
      </c>
      <c r="B84" s="1">
        <v>1</v>
      </c>
      <c r="C84" s="1" t="s">
        <v>1</v>
      </c>
      <c r="D84" s="1">
        <v>27</v>
      </c>
      <c r="E84" s="1" t="s">
        <v>0</v>
      </c>
      <c r="F84" s="1">
        <v>21</v>
      </c>
      <c r="G84" s="1">
        <v>0</v>
      </c>
    </row>
    <row r="85" spans="1:7" x14ac:dyDescent="0.3">
      <c r="A85" s="1">
        <v>2</v>
      </c>
      <c r="B85" s="1">
        <v>1</v>
      </c>
      <c r="C85" s="1" t="s">
        <v>1</v>
      </c>
      <c r="D85" s="1">
        <v>4</v>
      </c>
      <c r="E85" s="1" t="s">
        <v>0</v>
      </c>
      <c r="F85" s="1">
        <v>16</v>
      </c>
      <c r="G85" s="1">
        <v>1</v>
      </c>
    </row>
    <row r="86" spans="1:7" x14ac:dyDescent="0.3">
      <c r="A86" s="1">
        <v>2</v>
      </c>
      <c r="B86" s="1">
        <v>1</v>
      </c>
      <c r="C86" s="1" t="s">
        <v>1</v>
      </c>
      <c r="D86" s="1">
        <v>0</v>
      </c>
      <c r="E86" s="1" t="s">
        <v>0</v>
      </c>
      <c r="F86" s="1">
        <v>39</v>
      </c>
      <c r="G86" s="1">
        <v>1</v>
      </c>
    </row>
    <row r="87" spans="1:7" x14ac:dyDescent="0.3">
      <c r="A87" s="1">
        <v>2</v>
      </c>
      <c r="B87" s="1">
        <v>1</v>
      </c>
      <c r="C87" s="1" t="s">
        <v>1</v>
      </c>
      <c r="D87" s="1">
        <v>17</v>
      </c>
      <c r="E87" s="1" t="s">
        <v>0</v>
      </c>
      <c r="F87" s="1">
        <v>37</v>
      </c>
      <c r="G87" s="1">
        <v>1</v>
      </c>
    </row>
    <row r="88" spans="1:7" x14ac:dyDescent="0.3">
      <c r="A88" s="1">
        <v>2</v>
      </c>
      <c r="B88" s="1">
        <v>1</v>
      </c>
      <c r="C88" s="1" t="s">
        <v>1</v>
      </c>
      <c r="D88" s="1">
        <v>6</v>
      </c>
      <c r="E88" s="1" t="s">
        <v>0</v>
      </c>
      <c r="F88" s="1">
        <v>25</v>
      </c>
      <c r="G88" s="1">
        <v>1</v>
      </c>
    </row>
    <row r="89" spans="1:7" x14ac:dyDescent="0.3">
      <c r="A89" s="1">
        <v>2</v>
      </c>
      <c r="B89" s="1">
        <v>1</v>
      </c>
      <c r="C89" s="1" t="s">
        <v>1</v>
      </c>
      <c r="D89" s="1">
        <v>11</v>
      </c>
      <c r="E89" s="1" t="s">
        <v>0</v>
      </c>
      <c r="F89" s="1">
        <v>27</v>
      </c>
      <c r="G89" s="1">
        <v>1</v>
      </c>
    </row>
    <row r="90" spans="1:7" x14ac:dyDescent="0.3">
      <c r="A90" s="1">
        <v>2</v>
      </c>
      <c r="B90" s="1">
        <v>1</v>
      </c>
      <c r="C90" s="1" t="s">
        <v>1</v>
      </c>
      <c r="D90" s="1">
        <v>29</v>
      </c>
      <c r="E90" s="1" t="s">
        <v>0</v>
      </c>
      <c r="F90" s="1">
        <v>44</v>
      </c>
      <c r="G90" s="1">
        <v>1</v>
      </c>
    </row>
    <row r="91" spans="1:7" x14ac:dyDescent="0.3">
      <c r="A91" s="1">
        <v>2</v>
      </c>
      <c r="B91" s="1">
        <v>1</v>
      </c>
      <c r="C91" s="1" t="s">
        <v>1</v>
      </c>
      <c r="D91" s="1">
        <v>12</v>
      </c>
      <c r="E91" s="1" t="s">
        <v>0</v>
      </c>
      <c r="F91" s="1">
        <v>40</v>
      </c>
      <c r="G91" s="1">
        <v>1</v>
      </c>
    </row>
    <row r="92" spans="1:7" x14ac:dyDescent="0.3">
      <c r="A92" s="1">
        <v>2</v>
      </c>
      <c r="B92" s="1">
        <v>1</v>
      </c>
      <c r="C92" s="1" t="s">
        <v>1</v>
      </c>
      <c r="D92" s="1">
        <v>16</v>
      </c>
      <c r="E92" s="1" t="s">
        <v>0</v>
      </c>
      <c r="F92" s="1">
        <v>24</v>
      </c>
      <c r="G92" s="1">
        <v>1</v>
      </c>
    </row>
    <row r="93" spans="1:7" x14ac:dyDescent="0.3">
      <c r="A93" s="1">
        <v>2</v>
      </c>
      <c r="B93" s="1">
        <v>1</v>
      </c>
      <c r="C93" s="1" t="s">
        <v>1</v>
      </c>
      <c r="D93" s="1">
        <v>18</v>
      </c>
      <c r="E93" s="1" t="s">
        <v>0</v>
      </c>
      <c r="F93" s="1">
        <v>40</v>
      </c>
      <c r="G93" s="1">
        <v>1</v>
      </c>
    </row>
    <row r="94" spans="1:7" x14ac:dyDescent="0.3">
      <c r="A94" s="1">
        <v>2</v>
      </c>
      <c r="B94" s="1">
        <v>1</v>
      </c>
      <c r="C94" s="1" t="s">
        <v>1</v>
      </c>
      <c r="D94" s="1">
        <v>0</v>
      </c>
      <c r="E94" s="1" t="s">
        <v>0</v>
      </c>
      <c r="F94" s="1">
        <v>32</v>
      </c>
      <c r="G94" s="1">
        <v>1</v>
      </c>
    </row>
    <row r="95" spans="1:7" x14ac:dyDescent="0.3">
      <c r="A95" s="1">
        <v>2</v>
      </c>
      <c r="B95" s="1">
        <v>1</v>
      </c>
      <c r="C95" s="1" t="s">
        <v>1</v>
      </c>
      <c r="D95" s="1">
        <v>5</v>
      </c>
      <c r="E95" s="1" t="s">
        <v>0</v>
      </c>
      <c r="F95" s="1">
        <v>30</v>
      </c>
      <c r="G95" s="1">
        <v>1</v>
      </c>
    </row>
    <row r="96" spans="1:7" x14ac:dyDescent="0.3">
      <c r="A96" s="1">
        <v>2</v>
      </c>
      <c r="B96" s="1">
        <v>1</v>
      </c>
      <c r="C96" s="1" t="s">
        <v>1</v>
      </c>
      <c r="D96" s="1">
        <v>3</v>
      </c>
      <c r="E96" s="1" t="s">
        <v>0</v>
      </c>
      <c r="F96" s="1">
        <v>25</v>
      </c>
      <c r="G96" s="1">
        <v>1</v>
      </c>
    </row>
    <row r="97" spans="1:7" x14ac:dyDescent="0.3">
      <c r="A97" s="1">
        <v>2</v>
      </c>
      <c r="B97" s="1">
        <v>1</v>
      </c>
      <c r="C97" s="1" t="s">
        <v>1</v>
      </c>
      <c r="D97" s="1">
        <v>2</v>
      </c>
      <c r="E97" s="1" t="s">
        <v>0</v>
      </c>
      <c r="F97" s="1">
        <v>33</v>
      </c>
      <c r="G97" s="1">
        <v>1</v>
      </c>
    </row>
    <row r="98" spans="1:7" x14ac:dyDescent="0.3">
      <c r="A98" s="1">
        <v>2</v>
      </c>
      <c r="B98" s="1">
        <v>1</v>
      </c>
      <c r="C98" s="1" t="s">
        <v>1</v>
      </c>
      <c r="D98" s="1">
        <v>0</v>
      </c>
      <c r="E98" s="1" t="s">
        <v>0</v>
      </c>
      <c r="F98" s="1">
        <v>40</v>
      </c>
      <c r="G98" s="1">
        <v>1</v>
      </c>
    </row>
    <row r="99" spans="1:7" x14ac:dyDescent="0.3">
      <c r="A99" s="1">
        <v>2</v>
      </c>
      <c r="B99" s="1">
        <v>1</v>
      </c>
      <c r="C99" s="1" t="s">
        <v>1</v>
      </c>
      <c r="D99" s="1">
        <v>5</v>
      </c>
      <c r="E99" s="1" t="s">
        <v>0</v>
      </c>
      <c r="F99" s="1">
        <v>22</v>
      </c>
      <c r="G99" s="1">
        <v>1</v>
      </c>
    </row>
    <row r="100" spans="1:7" x14ac:dyDescent="0.3">
      <c r="A100" s="1">
        <v>2</v>
      </c>
      <c r="B100" s="1">
        <v>1</v>
      </c>
      <c r="C100" s="1" t="s">
        <v>1</v>
      </c>
      <c r="D100" s="1">
        <v>35</v>
      </c>
      <c r="E100" s="1" t="s">
        <v>0</v>
      </c>
      <c r="F100" s="1">
        <v>32</v>
      </c>
      <c r="G100" s="1">
        <v>0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35E96-0D94-407C-BD5E-111D31E50DFB}">
  <dimension ref="A1:Q100"/>
  <sheetViews>
    <sheetView topLeftCell="G1" workbookViewId="0">
      <selection activeCell="K3" sqref="K3:L4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1</v>
      </c>
      <c r="D1" s="1">
        <v>29</v>
      </c>
      <c r="E1" s="1" t="s">
        <v>2</v>
      </c>
      <c r="F1" s="1">
        <v>41</v>
      </c>
      <c r="G1" s="1">
        <v>1</v>
      </c>
      <c r="I1" s="2"/>
      <c r="J1" s="3"/>
      <c r="K1" s="4" t="s">
        <v>7</v>
      </c>
      <c r="L1" s="4"/>
      <c r="M1" s="5" t="s">
        <v>8</v>
      </c>
      <c r="N1" s="5"/>
      <c r="O1" s="5" t="s">
        <v>9</v>
      </c>
      <c r="P1" s="5"/>
      <c r="Q1"/>
    </row>
    <row r="2" spans="1:17" x14ac:dyDescent="0.3">
      <c r="A2" s="1">
        <v>2</v>
      </c>
      <c r="B2" s="1">
        <v>0</v>
      </c>
      <c r="C2" s="1" t="s">
        <v>1</v>
      </c>
      <c r="D2" s="1">
        <v>13</v>
      </c>
      <c r="E2" s="1" t="s">
        <v>2</v>
      </c>
      <c r="F2" s="1">
        <v>2</v>
      </c>
      <c r="G2" s="1">
        <v>0</v>
      </c>
      <c r="I2" s="6"/>
      <c r="J2" s="7"/>
      <c r="K2" s="4"/>
      <c r="L2" s="4"/>
      <c r="M2" s="5"/>
      <c r="N2" s="5"/>
      <c r="O2" s="5"/>
      <c r="P2" s="5"/>
      <c r="Q2" s="8" t="s">
        <v>10</v>
      </c>
    </row>
    <row r="3" spans="1:17" x14ac:dyDescent="0.3">
      <c r="A3" s="1">
        <v>2</v>
      </c>
      <c r="B3" s="1">
        <v>0</v>
      </c>
      <c r="C3" s="1" t="s">
        <v>1</v>
      </c>
      <c r="D3" s="1">
        <v>12</v>
      </c>
      <c r="E3" s="1" t="s">
        <v>2</v>
      </c>
      <c r="F3" s="1">
        <v>34</v>
      </c>
      <c r="G3" s="1">
        <v>1</v>
      </c>
      <c r="I3" s="5" t="s">
        <v>11</v>
      </c>
      <c r="J3" s="5"/>
      <c r="K3" s="9">
        <f>COUNTIF($G$1:$G$100, 0)</f>
        <v>53</v>
      </c>
      <c r="L3" s="9"/>
      <c r="M3" s="9">
        <f>COUNTIFS($G$1:$G$100, 0, $B$1:$B$100, 0)</f>
        <v>25</v>
      </c>
      <c r="N3" s="9"/>
      <c r="O3" s="10">
        <f>COUNTIFS($G$1:$G$100, 0, $B$1:$B$100, 1)</f>
        <v>28</v>
      </c>
      <c r="P3" s="11"/>
      <c r="Q3" s="12" cm="1">
        <f t="array" ref="Q3">SUMPRODUCT(--($D$1:$D$100=$G$1:$G$100))</f>
        <v>3</v>
      </c>
    </row>
    <row r="4" spans="1:17" x14ac:dyDescent="0.3">
      <c r="A4" s="1">
        <v>2</v>
      </c>
      <c r="B4" s="1">
        <v>0</v>
      </c>
      <c r="C4" s="1" t="s">
        <v>1</v>
      </c>
      <c r="D4" s="1">
        <v>53</v>
      </c>
      <c r="E4" s="1" t="s">
        <v>2</v>
      </c>
      <c r="F4" s="1">
        <v>21</v>
      </c>
      <c r="G4" s="1">
        <v>0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1</v>
      </c>
      <c r="D5" s="1">
        <v>6</v>
      </c>
      <c r="E5" s="1" t="s">
        <v>2</v>
      </c>
      <c r="F5" s="1">
        <v>31</v>
      </c>
      <c r="G5" s="1">
        <v>1</v>
      </c>
      <c r="I5" s="5" t="s">
        <v>12</v>
      </c>
      <c r="J5" s="5"/>
      <c r="K5" s="14">
        <f>COUNTIF($G$1:$G$100, 1)</f>
        <v>47</v>
      </c>
      <c r="L5" s="9"/>
      <c r="M5" s="9">
        <f>COUNTIFS($G$1:$G$100, 1, $B$1:$B$100, 0)</f>
        <v>25</v>
      </c>
      <c r="N5" s="9"/>
      <c r="O5" s="9">
        <f>COUNTIFS($G$1:$G$100, 1, $B$1:$B$100, 1)</f>
        <v>22</v>
      </c>
      <c r="P5" s="13"/>
      <c r="Q5"/>
    </row>
    <row r="6" spans="1:17" x14ac:dyDescent="0.3">
      <c r="A6" s="1">
        <v>2</v>
      </c>
      <c r="B6" s="1">
        <v>0</v>
      </c>
      <c r="C6" s="1" t="s">
        <v>1</v>
      </c>
      <c r="D6" s="1">
        <v>31</v>
      </c>
      <c r="E6" s="1" t="s">
        <v>2</v>
      </c>
      <c r="F6" s="1">
        <v>4</v>
      </c>
      <c r="G6" s="1">
        <v>0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1</v>
      </c>
      <c r="D7" s="1">
        <v>8</v>
      </c>
      <c r="E7" s="1" t="s">
        <v>2</v>
      </c>
      <c r="F7" s="1">
        <v>9</v>
      </c>
      <c r="G7" s="1">
        <v>1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1</v>
      </c>
      <c r="D8" s="1">
        <v>30</v>
      </c>
      <c r="E8" s="1" t="s">
        <v>2</v>
      </c>
      <c r="F8" s="1">
        <v>18</v>
      </c>
      <c r="G8" s="1">
        <v>0</v>
      </c>
      <c r="I8" s="19"/>
      <c r="J8" s="20"/>
      <c r="K8" s="21" t="s">
        <v>7</v>
      </c>
      <c r="L8" s="21"/>
      <c r="M8" s="21" t="s">
        <v>13</v>
      </c>
      <c r="N8" s="21"/>
      <c r="O8" s="21" t="s">
        <v>14</v>
      </c>
      <c r="P8" s="21"/>
      <c r="Q8"/>
    </row>
    <row r="9" spans="1:17" x14ac:dyDescent="0.3">
      <c r="A9" s="1">
        <v>2</v>
      </c>
      <c r="B9" s="1">
        <v>0</v>
      </c>
      <c r="C9" s="1" t="s">
        <v>1</v>
      </c>
      <c r="D9" s="1">
        <v>1</v>
      </c>
      <c r="E9" s="1" t="s">
        <v>2</v>
      </c>
      <c r="F9" s="1">
        <v>27</v>
      </c>
      <c r="G9" s="1">
        <v>1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1</v>
      </c>
      <c r="D10" s="1">
        <v>21</v>
      </c>
      <c r="E10" s="1" t="s">
        <v>2</v>
      </c>
      <c r="F10" s="1">
        <v>13</v>
      </c>
      <c r="G10" s="1">
        <v>0</v>
      </c>
      <c r="I10" s="5" t="s">
        <v>15</v>
      </c>
      <c r="J10" s="5"/>
      <c r="K10" s="9">
        <f>AVERAGE($D$1:$D$100,)</f>
        <v>20.643564356435643</v>
      </c>
      <c r="L10" s="9"/>
      <c r="M10" s="9" cm="1">
        <f t="array" ref="M10">AVERAGE(_xlfn._xlws.FILTER($D$1:$D$100,$G$1:$G$100 = 0))</f>
        <v>28.962264150943398</v>
      </c>
      <c r="N10" s="9"/>
      <c r="O10" s="10" cm="1">
        <f t="array" ref="O10">AVERAGE(_xlfn._xlws.FILTER($D$1:$D$100,$G$1:$G$100 = 1))</f>
        <v>11.702127659574469</v>
      </c>
      <c r="P10" s="11"/>
      <c r="Q10"/>
    </row>
    <row r="11" spans="1:17" x14ac:dyDescent="0.3">
      <c r="A11" s="1">
        <v>2</v>
      </c>
      <c r="B11" s="1">
        <v>0</v>
      </c>
      <c r="C11" s="1" t="s">
        <v>1</v>
      </c>
      <c r="D11" s="1">
        <v>41</v>
      </c>
      <c r="E11" s="1" t="s">
        <v>2</v>
      </c>
      <c r="F11" s="1">
        <v>38</v>
      </c>
      <c r="G11" s="1">
        <v>0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1</v>
      </c>
      <c r="D12" s="1">
        <v>15</v>
      </c>
      <c r="E12" s="1" t="s">
        <v>2</v>
      </c>
      <c r="F12" s="1">
        <v>9</v>
      </c>
      <c r="G12" s="1">
        <v>0</v>
      </c>
      <c r="I12" s="5" t="s">
        <v>16</v>
      </c>
      <c r="J12" s="5"/>
      <c r="K12" s="9">
        <f>AVERAGE($F$1:$F$100,)</f>
        <v>17.257425742574256</v>
      </c>
      <c r="L12" s="9"/>
      <c r="M12" s="9" cm="1">
        <f t="array" ref="M12">AVERAGE(_xlfn._xlws.FILTER($F$1:$F$100,$G$1:$G$100 = 0))</f>
        <v>11.622641509433961</v>
      </c>
      <c r="N12" s="9"/>
      <c r="O12" s="9" cm="1">
        <f t="array" ref="O12">AVERAGE(_xlfn._xlws.FILTER($F$1:$F$100,$G$1:$G$100 = 1))</f>
        <v>23.978723404255319</v>
      </c>
      <c r="P12" s="13"/>
      <c r="Q12"/>
    </row>
    <row r="13" spans="1:17" x14ac:dyDescent="0.3">
      <c r="A13" s="1">
        <v>2</v>
      </c>
      <c r="B13" s="1">
        <v>0</v>
      </c>
      <c r="C13" s="1" t="s">
        <v>1</v>
      </c>
      <c r="D13" s="1">
        <v>31</v>
      </c>
      <c r="E13" s="1" t="s">
        <v>2</v>
      </c>
      <c r="F13" s="1">
        <v>7</v>
      </c>
      <c r="G13" s="1">
        <v>0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1</v>
      </c>
      <c r="D14" s="1">
        <v>28</v>
      </c>
      <c r="E14" s="1" t="s">
        <v>2</v>
      </c>
      <c r="F14" s="1">
        <v>24</v>
      </c>
      <c r="G14" s="1">
        <v>0</v>
      </c>
      <c r="I14" s="22" t="s">
        <v>17</v>
      </c>
      <c r="J14" s="11"/>
      <c r="K14" s="23" cm="1">
        <f t="array" ref="K14">AVERAGE($D$1:$D$100 - $F$1:$F$100)</f>
        <v>3.42</v>
      </c>
      <c r="L14" s="23"/>
      <c r="M14" s="23" cm="1">
        <f t="array" ref="M14">AVERAGE(_xlfn._xlws.FILTER($D$1:$D$100 - $F$1:$F$100, G$1:G$100 = 0))</f>
        <v>17.339622641509433</v>
      </c>
      <c r="N14" s="23"/>
      <c r="O14" s="23" cm="1">
        <f t="array" ref="O14">AVERAGE(_xlfn._xlws.FILTER($D$1:$D$100 - $F$1:$F$100, G$1:G$100 = 1))</f>
        <v>-12.276595744680851</v>
      </c>
      <c r="P14" s="24"/>
      <c r="Q14"/>
    </row>
    <row r="15" spans="1:17" x14ac:dyDescent="0.3">
      <c r="A15" s="1">
        <v>2</v>
      </c>
      <c r="B15" s="1">
        <v>0</v>
      </c>
      <c r="C15" s="1" t="s">
        <v>1</v>
      </c>
      <c r="D15" s="1">
        <v>19</v>
      </c>
      <c r="E15" s="1" t="s">
        <v>2</v>
      </c>
      <c r="F15" s="1">
        <v>24</v>
      </c>
      <c r="G15" s="1">
        <v>1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1</v>
      </c>
      <c r="D16" s="1">
        <v>23</v>
      </c>
      <c r="E16" s="1" t="s">
        <v>2</v>
      </c>
      <c r="F16" s="1">
        <v>25</v>
      </c>
      <c r="G16" s="1">
        <v>1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1</v>
      </c>
      <c r="D17" s="1">
        <v>29</v>
      </c>
      <c r="E17" s="1" t="s">
        <v>2</v>
      </c>
      <c r="F17" s="1">
        <v>23</v>
      </c>
      <c r="G17" s="1">
        <v>0</v>
      </c>
    </row>
    <row r="18" spans="1:7" x14ac:dyDescent="0.3">
      <c r="A18" s="1">
        <v>2</v>
      </c>
      <c r="B18" s="1">
        <v>0</v>
      </c>
      <c r="C18" s="1" t="s">
        <v>1</v>
      </c>
      <c r="D18" s="1">
        <v>32</v>
      </c>
      <c r="E18" s="1" t="s">
        <v>2</v>
      </c>
      <c r="F18" s="1">
        <v>27</v>
      </c>
      <c r="G18" s="1">
        <v>0</v>
      </c>
    </row>
    <row r="19" spans="1:7" x14ac:dyDescent="0.3">
      <c r="A19" s="1">
        <v>2</v>
      </c>
      <c r="B19" s="1">
        <v>0</v>
      </c>
      <c r="C19" s="1" t="s">
        <v>1</v>
      </c>
      <c r="D19" s="1">
        <v>12</v>
      </c>
      <c r="E19" s="1" t="s">
        <v>2</v>
      </c>
      <c r="F19" s="1">
        <v>10</v>
      </c>
      <c r="G19" s="1">
        <v>0</v>
      </c>
    </row>
    <row r="20" spans="1:7" x14ac:dyDescent="0.3">
      <c r="A20" s="1">
        <v>2</v>
      </c>
      <c r="B20" s="1">
        <v>0</v>
      </c>
      <c r="C20" s="1" t="s">
        <v>1</v>
      </c>
      <c r="D20" s="1">
        <v>8</v>
      </c>
      <c r="E20" s="1" t="s">
        <v>2</v>
      </c>
      <c r="F20" s="1">
        <v>22</v>
      </c>
      <c r="G20" s="1">
        <v>1</v>
      </c>
    </row>
    <row r="21" spans="1:7" x14ac:dyDescent="0.3">
      <c r="A21" s="1">
        <v>2</v>
      </c>
      <c r="B21" s="1">
        <v>0</v>
      </c>
      <c r="C21" s="1" t="s">
        <v>1</v>
      </c>
      <c r="D21" s="1">
        <v>2</v>
      </c>
      <c r="E21" s="1" t="s">
        <v>2</v>
      </c>
      <c r="F21" s="1">
        <v>35</v>
      </c>
      <c r="G21" s="1">
        <v>1</v>
      </c>
    </row>
    <row r="22" spans="1:7" x14ac:dyDescent="0.3">
      <c r="A22" s="1">
        <v>2</v>
      </c>
      <c r="B22" s="1">
        <v>0</v>
      </c>
      <c r="C22" s="1" t="s">
        <v>1</v>
      </c>
      <c r="D22" s="1">
        <v>1</v>
      </c>
      <c r="E22" s="1" t="s">
        <v>2</v>
      </c>
      <c r="F22" s="1">
        <v>12</v>
      </c>
      <c r="G22" s="1">
        <v>1</v>
      </c>
    </row>
    <row r="23" spans="1:7" x14ac:dyDescent="0.3">
      <c r="A23" s="1">
        <v>2</v>
      </c>
      <c r="B23" s="1">
        <v>0</v>
      </c>
      <c r="C23" s="1" t="s">
        <v>1</v>
      </c>
      <c r="D23" s="1">
        <v>9</v>
      </c>
      <c r="E23" s="1" t="s">
        <v>2</v>
      </c>
      <c r="F23" s="1">
        <v>27</v>
      </c>
      <c r="G23" s="1">
        <v>1</v>
      </c>
    </row>
    <row r="24" spans="1:7" x14ac:dyDescent="0.3">
      <c r="A24" s="1">
        <v>2</v>
      </c>
      <c r="B24" s="1">
        <v>0</v>
      </c>
      <c r="C24" s="1" t="s">
        <v>1</v>
      </c>
      <c r="D24" s="1">
        <v>36</v>
      </c>
      <c r="E24" s="1" t="s">
        <v>2</v>
      </c>
      <c r="F24" s="1">
        <v>44</v>
      </c>
      <c r="G24" s="1">
        <v>1</v>
      </c>
    </row>
    <row r="25" spans="1:7" x14ac:dyDescent="0.3">
      <c r="A25" s="1">
        <v>2</v>
      </c>
      <c r="B25" s="1">
        <v>0</v>
      </c>
      <c r="C25" s="1" t="s">
        <v>1</v>
      </c>
      <c r="D25" s="1">
        <v>11</v>
      </c>
      <c r="E25" s="1" t="s">
        <v>2</v>
      </c>
      <c r="F25" s="1">
        <v>4</v>
      </c>
      <c r="G25" s="1">
        <v>0</v>
      </c>
    </row>
    <row r="26" spans="1:7" x14ac:dyDescent="0.3">
      <c r="A26" s="1">
        <v>2</v>
      </c>
      <c r="B26" s="1">
        <v>0</v>
      </c>
      <c r="C26" s="1" t="s">
        <v>1</v>
      </c>
      <c r="D26" s="1">
        <v>38</v>
      </c>
      <c r="E26" s="1" t="s">
        <v>2</v>
      </c>
      <c r="F26" s="1">
        <v>8</v>
      </c>
      <c r="G26" s="1">
        <v>0</v>
      </c>
    </row>
    <row r="27" spans="1:7" x14ac:dyDescent="0.3">
      <c r="A27" s="1">
        <v>2</v>
      </c>
      <c r="B27" s="1">
        <v>0</v>
      </c>
      <c r="C27" s="1" t="s">
        <v>1</v>
      </c>
      <c r="D27" s="1">
        <v>9</v>
      </c>
      <c r="E27" s="1" t="s">
        <v>2</v>
      </c>
      <c r="F27" s="1">
        <v>16</v>
      </c>
      <c r="G27" s="1">
        <v>1</v>
      </c>
    </row>
    <row r="28" spans="1:7" x14ac:dyDescent="0.3">
      <c r="A28" s="1">
        <v>2</v>
      </c>
      <c r="B28" s="1">
        <v>0</v>
      </c>
      <c r="C28" s="1" t="s">
        <v>1</v>
      </c>
      <c r="D28" s="1">
        <v>8</v>
      </c>
      <c r="E28" s="1" t="s">
        <v>2</v>
      </c>
      <c r="F28" s="1">
        <v>15</v>
      </c>
      <c r="G28" s="1">
        <v>1</v>
      </c>
    </row>
    <row r="29" spans="1:7" x14ac:dyDescent="0.3">
      <c r="A29" s="1">
        <v>2</v>
      </c>
      <c r="B29" s="1">
        <v>0</v>
      </c>
      <c r="C29" s="1" t="s">
        <v>1</v>
      </c>
      <c r="D29" s="1">
        <v>24</v>
      </c>
      <c r="E29" s="1" t="s">
        <v>2</v>
      </c>
      <c r="F29" s="1">
        <v>13</v>
      </c>
      <c r="G29" s="1">
        <v>0</v>
      </c>
    </row>
    <row r="30" spans="1:7" x14ac:dyDescent="0.3">
      <c r="A30" s="1">
        <v>2</v>
      </c>
      <c r="B30" s="1">
        <v>0</v>
      </c>
      <c r="C30" s="1" t="s">
        <v>1</v>
      </c>
      <c r="D30" s="1">
        <v>9</v>
      </c>
      <c r="E30" s="1" t="s">
        <v>2</v>
      </c>
      <c r="F30" s="1">
        <v>11</v>
      </c>
      <c r="G30" s="1">
        <v>1</v>
      </c>
    </row>
    <row r="31" spans="1:7" x14ac:dyDescent="0.3">
      <c r="A31" s="1">
        <v>2</v>
      </c>
      <c r="B31" s="1">
        <v>0</v>
      </c>
      <c r="C31" s="1" t="s">
        <v>1</v>
      </c>
      <c r="D31" s="1">
        <v>13</v>
      </c>
      <c r="E31" s="1" t="s">
        <v>2</v>
      </c>
      <c r="F31" s="1">
        <v>16</v>
      </c>
      <c r="G31" s="1">
        <v>1</v>
      </c>
    </row>
    <row r="32" spans="1:7" x14ac:dyDescent="0.3">
      <c r="A32" s="1">
        <v>2</v>
      </c>
      <c r="B32" s="1">
        <v>0</v>
      </c>
      <c r="C32" s="1" t="s">
        <v>1</v>
      </c>
      <c r="D32" s="1">
        <v>13</v>
      </c>
      <c r="E32" s="1" t="s">
        <v>2</v>
      </c>
      <c r="F32" s="1">
        <v>3</v>
      </c>
      <c r="G32" s="1">
        <v>0</v>
      </c>
    </row>
    <row r="33" spans="1:7" x14ac:dyDescent="0.3">
      <c r="A33" s="1">
        <v>2</v>
      </c>
      <c r="B33" s="1">
        <v>0</v>
      </c>
      <c r="C33" s="1" t="s">
        <v>1</v>
      </c>
      <c r="D33" s="1">
        <v>13</v>
      </c>
      <c r="E33" s="1" t="s">
        <v>2</v>
      </c>
      <c r="F33" s="1">
        <v>34</v>
      </c>
      <c r="G33" s="1">
        <v>1</v>
      </c>
    </row>
    <row r="34" spans="1:7" x14ac:dyDescent="0.3">
      <c r="A34" s="1">
        <v>2</v>
      </c>
      <c r="B34" s="1">
        <v>0</v>
      </c>
      <c r="C34" s="1" t="s">
        <v>1</v>
      </c>
      <c r="D34" s="1">
        <v>9</v>
      </c>
      <c r="E34" s="1" t="s">
        <v>2</v>
      </c>
      <c r="F34" s="1">
        <v>8</v>
      </c>
      <c r="G34" s="1">
        <v>0</v>
      </c>
    </row>
    <row r="35" spans="1:7" x14ac:dyDescent="0.3">
      <c r="A35" s="1">
        <v>2</v>
      </c>
      <c r="B35" s="1">
        <v>0</v>
      </c>
      <c r="C35" s="1" t="s">
        <v>1</v>
      </c>
      <c r="D35" s="1">
        <v>13</v>
      </c>
      <c r="E35" s="1" t="s">
        <v>2</v>
      </c>
      <c r="F35" s="1">
        <v>27</v>
      </c>
      <c r="G35" s="1">
        <v>1</v>
      </c>
    </row>
    <row r="36" spans="1:7" x14ac:dyDescent="0.3">
      <c r="A36" s="1">
        <v>2</v>
      </c>
      <c r="B36" s="1">
        <v>0</v>
      </c>
      <c r="C36" s="1" t="s">
        <v>1</v>
      </c>
      <c r="D36" s="1">
        <v>23</v>
      </c>
      <c r="E36" s="1" t="s">
        <v>2</v>
      </c>
      <c r="F36" s="1">
        <v>6</v>
      </c>
      <c r="G36" s="1">
        <v>0</v>
      </c>
    </row>
    <row r="37" spans="1:7" x14ac:dyDescent="0.3">
      <c r="A37" s="1">
        <v>2</v>
      </c>
      <c r="B37" s="1">
        <v>0</v>
      </c>
      <c r="C37" s="1" t="s">
        <v>1</v>
      </c>
      <c r="D37" s="1">
        <v>35</v>
      </c>
      <c r="E37" s="1" t="s">
        <v>2</v>
      </c>
      <c r="F37" s="1">
        <v>21</v>
      </c>
      <c r="G37" s="1">
        <v>0</v>
      </c>
    </row>
    <row r="38" spans="1:7" x14ac:dyDescent="0.3">
      <c r="A38" s="1">
        <v>2</v>
      </c>
      <c r="B38" s="1">
        <v>0</v>
      </c>
      <c r="C38" s="1" t="s">
        <v>1</v>
      </c>
      <c r="D38" s="1">
        <v>16</v>
      </c>
      <c r="E38" s="1" t="s">
        <v>2</v>
      </c>
      <c r="F38" s="1">
        <v>26</v>
      </c>
      <c r="G38" s="1">
        <v>1</v>
      </c>
    </row>
    <row r="39" spans="1:7" x14ac:dyDescent="0.3">
      <c r="A39" s="1">
        <v>2</v>
      </c>
      <c r="B39" s="1">
        <v>0</v>
      </c>
      <c r="C39" s="1" t="s">
        <v>1</v>
      </c>
      <c r="D39" s="1">
        <v>16</v>
      </c>
      <c r="E39" s="1" t="s">
        <v>2</v>
      </c>
      <c r="F39" s="1">
        <v>31</v>
      </c>
      <c r="G39" s="1">
        <v>1</v>
      </c>
    </row>
    <row r="40" spans="1:7" x14ac:dyDescent="0.3">
      <c r="A40" s="1">
        <v>2</v>
      </c>
      <c r="B40" s="1">
        <v>0</v>
      </c>
      <c r="C40" s="1" t="s">
        <v>1</v>
      </c>
      <c r="D40" s="1">
        <v>5</v>
      </c>
      <c r="E40" s="1" t="s">
        <v>2</v>
      </c>
      <c r="F40" s="1">
        <v>28</v>
      </c>
      <c r="G40" s="1">
        <v>1</v>
      </c>
    </row>
    <row r="41" spans="1:7" x14ac:dyDescent="0.3">
      <c r="A41" s="1">
        <v>2</v>
      </c>
      <c r="B41" s="1">
        <v>0</v>
      </c>
      <c r="C41" s="1" t="s">
        <v>1</v>
      </c>
      <c r="D41" s="1">
        <v>7</v>
      </c>
      <c r="E41" s="1" t="s">
        <v>2</v>
      </c>
      <c r="F41" s="1">
        <v>25</v>
      </c>
      <c r="G41" s="1">
        <v>1</v>
      </c>
    </row>
    <row r="42" spans="1:7" x14ac:dyDescent="0.3">
      <c r="A42" s="1">
        <v>2</v>
      </c>
      <c r="B42" s="1">
        <v>0</v>
      </c>
      <c r="C42" s="1" t="s">
        <v>1</v>
      </c>
      <c r="D42" s="1">
        <v>0</v>
      </c>
      <c r="E42" s="1" t="s">
        <v>2</v>
      </c>
      <c r="F42" s="1">
        <v>5</v>
      </c>
      <c r="G42" s="1">
        <v>1</v>
      </c>
    </row>
    <row r="43" spans="1:7" x14ac:dyDescent="0.3">
      <c r="A43" s="1">
        <v>2</v>
      </c>
      <c r="B43" s="1">
        <v>0</v>
      </c>
      <c r="C43" s="1" t="s">
        <v>1</v>
      </c>
      <c r="D43" s="1">
        <v>32</v>
      </c>
      <c r="E43" s="1" t="s">
        <v>2</v>
      </c>
      <c r="F43" s="1">
        <v>12</v>
      </c>
      <c r="G43" s="1">
        <v>0</v>
      </c>
    </row>
    <row r="44" spans="1:7" x14ac:dyDescent="0.3">
      <c r="A44" s="1">
        <v>2</v>
      </c>
      <c r="B44" s="1">
        <v>0</v>
      </c>
      <c r="C44" s="1" t="s">
        <v>1</v>
      </c>
      <c r="D44" s="1">
        <v>19</v>
      </c>
      <c r="E44" s="1" t="s">
        <v>2</v>
      </c>
      <c r="F44" s="1">
        <v>24</v>
      </c>
      <c r="G44" s="1">
        <v>1</v>
      </c>
    </row>
    <row r="45" spans="1:7" x14ac:dyDescent="0.3">
      <c r="A45" s="1">
        <v>2</v>
      </c>
      <c r="B45" s="1">
        <v>0</v>
      </c>
      <c r="C45" s="1" t="s">
        <v>1</v>
      </c>
      <c r="D45" s="1">
        <v>22</v>
      </c>
      <c r="E45" s="1" t="s">
        <v>2</v>
      </c>
      <c r="F45" s="1">
        <v>29</v>
      </c>
      <c r="G45" s="1">
        <v>1</v>
      </c>
    </row>
    <row r="46" spans="1:7" x14ac:dyDescent="0.3">
      <c r="A46" s="1">
        <v>2</v>
      </c>
      <c r="B46" s="1">
        <v>0</v>
      </c>
      <c r="C46" s="1" t="s">
        <v>1</v>
      </c>
      <c r="D46" s="1">
        <v>30</v>
      </c>
      <c r="E46" s="1" t="s">
        <v>2</v>
      </c>
      <c r="F46" s="1">
        <v>27</v>
      </c>
      <c r="G46" s="1">
        <v>0</v>
      </c>
    </row>
    <row r="47" spans="1:7" x14ac:dyDescent="0.3">
      <c r="A47" s="1">
        <v>2</v>
      </c>
      <c r="B47" s="1">
        <v>0</v>
      </c>
      <c r="C47" s="1" t="s">
        <v>1</v>
      </c>
      <c r="D47" s="1">
        <v>43</v>
      </c>
      <c r="E47" s="1" t="s">
        <v>2</v>
      </c>
      <c r="F47" s="1">
        <v>21</v>
      </c>
      <c r="G47" s="1">
        <v>0</v>
      </c>
    </row>
    <row r="48" spans="1:7" x14ac:dyDescent="0.3">
      <c r="A48" s="1">
        <v>2</v>
      </c>
      <c r="B48" s="1">
        <v>0</v>
      </c>
      <c r="C48" s="1" t="s">
        <v>1</v>
      </c>
      <c r="D48" s="1">
        <v>54</v>
      </c>
      <c r="E48" s="1" t="s">
        <v>2</v>
      </c>
      <c r="F48" s="1">
        <v>16</v>
      </c>
      <c r="G48" s="1">
        <v>0</v>
      </c>
    </row>
    <row r="49" spans="1:7" x14ac:dyDescent="0.3">
      <c r="A49" s="1">
        <v>2</v>
      </c>
      <c r="B49" s="1">
        <v>0</v>
      </c>
      <c r="C49" s="1" t="s">
        <v>1</v>
      </c>
      <c r="D49" s="1">
        <v>31</v>
      </c>
      <c r="E49" s="1" t="s">
        <v>2</v>
      </c>
      <c r="F49" s="1">
        <v>0</v>
      </c>
      <c r="G49" s="1">
        <v>0</v>
      </c>
    </row>
    <row r="50" spans="1:7" x14ac:dyDescent="0.3">
      <c r="A50" s="1">
        <v>2</v>
      </c>
      <c r="B50" s="1">
        <v>0</v>
      </c>
      <c r="C50" s="1" t="s">
        <v>1</v>
      </c>
      <c r="D50" s="1">
        <v>59</v>
      </c>
      <c r="E50" s="1" t="s">
        <v>2</v>
      </c>
      <c r="F50" s="1">
        <v>2</v>
      </c>
      <c r="G50" s="1">
        <v>0</v>
      </c>
    </row>
    <row r="51" spans="1:7" x14ac:dyDescent="0.3">
      <c r="A51" s="1">
        <v>2</v>
      </c>
      <c r="B51" s="1">
        <v>1</v>
      </c>
      <c r="C51" s="1" t="s">
        <v>1</v>
      </c>
      <c r="D51" s="1">
        <v>0</v>
      </c>
      <c r="E51" s="1" t="s">
        <v>2</v>
      </c>
      <c r="F51" s="1">
        <v>18</v>
      </c>
      <c r="G51" s="1">
        <v>1</v>
      </c>
    </row>
    <row r="52" spans="1:7" x14ac:dyDescent="0.3">
      <c r="A52" s="1">
        <v>2</v>
      </c>
      <c r="B52" s="1">
        <v>1</v>
      </c>
      <c r="C52" s="1" t="s">
        <v>1</v>
      </c>
      <c r="D52" s="1">
        <v>23</v>
      </c>
      <c r="E52" s="1" t="s">
        <v>2</v>
      </c>
      <c r="F52" s="1">
        <v>20</v>
      </c>
      <c r="G52" s="1">
        <v>0</v>
      </c>
    </row>
    <row r="53" spans="1:7" x14ac:dyDescent="0.3">
      <c r="A53" s="1">
        <v>2</v>
      </c>
      <c r="B53" s="1">
        <v>1</v>
      </c>
      <c r="C53" s="1" t="s">
        <v>1</v>
      </c>
      <c r="D53" s="1">
        <v>61</v>
      </c>
      <c r="E53" s="1" t="s">
        <v>2</v>
      </c>
      <c r="F53" s="1">
        <v>0</v>
      </c>
      <c r="G53" s="1">
        <v>0</v>
      </c>
    </row>
    <row r="54" spans="1:7" x14ac:dyDescent="0.3">
      <c r="A54" s="1">
        <v>2</v>
      </c>
      <c r="B54" s="1">
        <v>1</v>
      </c>
      <c r="C54" s="1" t="s">
        <v>1</v>
      </c>
      <c r="D54" s="1">
        <v>13</v>
      </c>
      <c r="E54" s="1" t="s">
        <v>2</v>
      </c>
      <c r="F54" s="1">
        <v>18</v>
      </c>
      <c r="G54" s="1">
        <v>1</v>
      </c>
    </row>
    <row r="55" spans="1:7" x14ac:dyDescent="0.3">
      <c r="A55" s="1">
        <v>2</v>
      </c>
      <c r="B55" s="1">
        <v>1</v>
      </c>
      <c r="C55" s="1" t="s">
        <v>1</v>
      </c>
      <c r="D55" s="1">
        <v>11</v>
      </c>
      <c r="E55" s="1" t="s">
        <v>2</v>
      </c>
      <c r="F55" s="1">
        <v>19</v>
      </c>
      <c r="G55" s="1">
        <v>1</v>
      </c>
    </row>
    <row r="56" spans="1:7" x14ac:dyDescent="0.3">
      <c r="A56" s="1">
        <v>2</v>
      </c>
      <c r="B56" s="1">
        <v>1</v>
      </c>
      <c r="C56" s="1" t="s">
        <v>1</v>
      </c>
      <c r="D56" s="1">
        <v>15</v>
      </c>
      <c r="E56" s="1" t="s">
        <v>2</v>
      </c>
      <c r="F56" s="1">
        <v>14</v>
      </c>
      <c r="G56" s="1">
        <v>0</v>
      </c>
    </row>
    <row r="57" spans="1:7" x14ac:dyDescent="0.3">
      <c r="A57" s="1">
        <v>2</v>
      </c>
      <c r="B57" s="1">
        <v>1</v>
      </c>
      <c r="C57" s="1" t="s">
        <v>1</v>
      </c>
      <c r="D57" s="1">
        <v>13</v>
      </c>
      <c r="E57" s="1" t="s">
        <v>2</v>
      </c>
      <c r="F57" s="1">
        <v>21</v>
      </c>
      <c r="G57" s="1">
        <v>1</v>
      </c>
    </row>
    <row r="58" spans="1:7" x14ac:dyDescent="0.3">
      <c r="A58" s="1">
        <v>2</v>
      </c>
      <c r="B58" s="1">
        <v>1</v>
      </c>
      <c r="C58" s="1" t="s">
        <v>1</v>
      </c>
      <c r="D58" s="1">
        <v>14</v>
      </c>
      <c r="E58" s="1" t="s">
        <v>2</v>
      </c>
      <c r="F58" s="1">
        <v>11</v>
      </c>
      <c r="G58" s="1">
        <v>0</v>
      </c>
    </row>
    <row r="59" spans="1:7" x14ac:dyDescent="0.3">
      <c r="A59" s="1">
        <v>2</v>
      </c>
      <c r="B59" s="1">
        <v>1</v>
      </c>
      <c r="C59" s="1" t="s">
        <v>1</v>
      </c>
      <c r="D59" s="1">
        <v>35</v>
      </c>
      <c r="E59" s="1" t="s">
        <v>2</v>
      </c>
      <c r="F59" s="1">
        <v>2</v>
      </c>
      <c r="G59" s="1">
        <v>0</v>
      </c>
    </row>
    <row r="60" spans="1:7" x14ac:dyDescent="0.3">
      <c r="A60" s="1">
        <v>2</v>
      </c>
      <c r="B60" s="1">
        <v>1</v>
      </c>
      <c r="C60" s="1" t="s">
        <v>1</v>
      </c>
      <c r="D60" s="1">
        <v>38</v>
      </c>
      <c r="E60" s="1" t="s">
        <v>2</v>
      </c>
      <c r="F60" s="1">
        <v>31</v>
      </c>
      <c r="G60" s="1">
        <v>0</v>
      </c>
    </row>
    <row r="61" spans="1:7" x14ac:dyDescent="0.3">
      <c r="A61" s="1">
        <v>2</v>
      </c>
      <c r="B61" s="1">
        <v>1</v>
      </c>
      <c r="C61" s="1" t="s">
        <v>1</v>
      </c>
      <c r="D61" s="1">
        <v>41</v>
      </c>
      <c r="E61" s="1" t="s">
        <v>2</v>
      </c>
      <c r="F61" s="1">
        <v>11</v>
      </c>
      <c r="G61" s="1">
        <v>0</v>
      </c>
    </row>
    <row r="62" spans="1:7" x14ac:dyDescent="0.3">
      <c r="A62" s="1">
        <v>2</v>
      </c>
      <c r="B62" s="1">
        <v>1</v>
      </c>
      <c r="C62" s="1" t="s">
        <v>1</v>
      </c>
      <c r="D62" s="1">
        <v>26</v>
      </c>
      <c r="E62" s="1" t="s">
        <v>2</v>
      </c>
      <c r="F62" s="1">
        <v>2</v>
      </c>
      <c r="G62" s="1">
        <v>0</v>
      </c>
    </row>
    <row r="63" spans="1:7" x14ac:dyDescent="0.3">
      <c r="A63" s="1">
        <v>2</v>
      </c>
      <c r="B63" s="1">
        <v>1</v>
      </c>
      <c r="C63" s="1" t="s">
        <v>1</v>
      </c>
      <c r="D63" s="1">
        <v>2</v>
      </c>
      <c r="E63" s="1" t="s">
        <v>2</v>
      </c>
      <c r="F63" s="1">
        <v>11</v>
      </c>
      <c r="G63" s="1">
        <v>1</v>
      </c>
    </row>
    <row r="64" spans="1:7" x14ac:dyDescent="0.3">
      <c r="A64" s="1">
        <v>2</v>
      </c>
      <c r="B64" s="1">
        <v>1</v>
      </c>
      <c r="C64" s="1" t="s">
        <v>1</v>
      </c>
      <c r="D64" s="1">
        <v>1</v>
      </c>
      <c r="E64" s="1" t="s">
        <v>2</v>
      </c>
      <c r="F64" s="1">
        <v>18</v>
      </c>
      <c r="G64" s="1">
        <v>1</v>
      </c>
    </row>
    <row r="65" spans="1:7" x14ac:dyDescent="0.3">
      <c r="A65" s="1">
        <v>2</v>
      </c>
      <c r="B65" s="1">
        <v>1</v>
      </c>
      <c r="C65" s="1" t="s">
        <v>1</v>
      </c>
      <c r="D65" s="1">
        <v>10</v>
      </c>
      <c r="E65" s="1" t="s">
        <v>2</v>
      </c>
      <c r="F65" s="1">
        <v>15</v>
      </c>
      <c r="G65" s="1">
        <v>1</v>
      </c>
    </row>
    <row r="66" spans="1:7" x14ac:dyDescent="0.3">
      <c r="A66" s="1">
        <v>2</v>
      </c>
      <c r="B66" s="1">
        <v>1</v>
      </c>
      <c r="C66" s="1" t="s">
        <v>1</v>
      </c>
      <c r="D66" s="1">
        <v>24</v>
      </c>
      <c r="E66" s="1" t="s">
        <v>2</v>
      </c>
      <c r="F66" s="1">
        <v>4</v>
      </c>
      <c r="G66" s="1">
        <v>0</v>
      </c>
    </row>
    <row r="67" spans="1:7" x14ac:dyDescent="0.3">
      <c r="A67" s="1">
        <v>2</v>
      </c>
      <c r="B67" s="1">
        <v>1</v>
      </c>
      <c r="C67" s="1" t="s">
        <v>1</v>
      </c>
      <c r="D67" s="1">
        <v>14</v>
      </c>
      <c r="E67" s="1" t="s">
        <v>2</v>
      </c>
      <c r="F67" s="1">
        <v>28</v>
      </c>
      <c r="G67" s="1">
        <v>1</v>
      </c>
    </row>
    <row r="68" spans="1:7" x14ac:dyDescent="0.3">
      <c r="A68" s="1">
        <v>2</v>
      </c>
      <c r="B68" s="1">
        <v>1</v>
      </c>
      <c r="C68" s="1" t="s">
        <v>1</v>
      </c>
      <c r="D68" s="1">
        <v>25</v>
      </c>
      <c r="E68" s="1" t="s">
        <v>2</v>
      </c>
      <c r="F68" s="1">
        <v>35</v>
      </c>
      <c r="G68" s="1">
        <v>1</v>
      </c>
    </row>
    <row r="69" spans="1:7" x14ac:dyDescent="0.3">
      <c r="A69" s="1">
        <v>2</v>
      </c>
      <c r="B69" s="1">
        <v>1</v>
      </c>
      <c r="C69" s="1" t="s">
        <v>1</v>
      </c>
      <c r="D69" s="1">
        <v>12</v>
      </c>
      <c r="E69" s="1" t="s">
        <v>2</v>
      </c>
      <c r="F69" s="1">
        <v>18</v>
      </c>
      <c r="G69" s="1">
        <v>1</v>
      </c>
    </row>
    <row r="70" spans="1:7" x14ac:dyDescent="0.3">
      <c r="A70" s="1">
        <v>2</v>
      </c>
      <c r="B70" s="1">
        <v>1</v>
      </c>
      <c r="C70" s="1" t="s">
        <v>1</v>
      </c>
      <c r="D70" s="1">
        <v>27</v>
      </c>
      <c r="E70" s="1" t="s">
        <v>2</v>
      </c>
      <c r="F70" s="1">
        <v>22</v>
      </c>
      <c r="G70" s="1">
        <v>0</v>
      </c>
    </row>
    <row r="71" spans="1:7" x14ac:dyDescent="0.3">
      <c r="A71" s="1">
        <v>2</v>
      </c>
      <c r="B71" s="1">
        <v>1</v>
      </c>
      <c r="C71" s="1" t="s">
        <v>1</v>
      </c>
      <c r="D71" s="1">
        <v>23</v>
      </c>
      <c r="E71" s="1" t="s">
        <v>2</v>
      </c>
      <c r="F71" s="1">
        <v>34</v>
      </c>
      <c r="G71" s="1">
        <v>1</v>
      </c>
    </row>
    <row r="72" spans="1:7" x14ac:dyDescent="0.3">
      <c r="A72" s="1">
        <v>2</v>
      </c>
      <c r="B72" s="1">
        <v>1</v>
      </c>
      <c r="C72" s="1" t="s">
        <v>1</v>
      </c>
      <c r="D72" s="1">
        <v>19</v>
      </c>
      <c r="E72" s="1" t="s">
        <v>2</v>
      </c>
      <c r="F72" s="1">
        <v>18</v>
      </c>
      <c r="G72" s="1">
        <v>0</v>
      </c>
    </row>
    <row r="73" spans="1:7" x14ac:dyDescent="0.3">
      <c r="A73" s="1">
        <v>2</v>
      </c>
      <c r="B73" s="1">
        <v>1</v>
      </c>
      <c r="C73" s="1" t="s">
        <v>1</v>
      </c>
      <c r="D73" s="1">
        <v>4</v>
      </c>
      <c r="E73" s="1" t="s">
        <v>2</v>
      </c>
      <c r="F73" s="1">
        <v>2</v>
      </c>
      <c r="G73" s="1">
        <v>0</v>
      </c>
    </row>
    <row r="74" spans="1:7" x14ac:dyDescent="0.3">
      <c r="A74" s="1">
        <v>2</v>
      </c>
      <c r="B74" s="1">
        <v>1</v>
      </c>
      <c r="C74" s="1" t="s">
        <v>1</v>
      </c>
      <c r="D74" s="1">
        <v>9</v>
      </c>
      <c r="E74" s="1" t="s">
        <v>2</v>
      </c>
      <c r="F74" s="1">
        <v>22</v>
      </c>
      <c r="G74" s="1">
        <v>1</v>
      </c>
    </row>
    <row r="75" spans="1:7" x14ac:dyDescent="0.3">
      <c r="A75" s="1">
        <v>2</v>
      </c>
      <c r="B75" s="1">
        <v>1</v>
      </c>
      <c r="C75" s="1" t="s">
        <v>1</v>
      </c>
      <c r="D75" s="1">
        <v>0</v>
      </c>
      <c r="E75" s="1" t="s">
        <v>2</v>
      </c>
      <c r="F75" s="1">
        <v>8</v>
      </c>
      <c r="G75" s="1">
        <v>1</v>
      </c>
    </row>
    <row r="76" spans="1:7" x14ac:dyDescent="0.3">
      <c r="A76" s="1">
        <v>2</v>
      </c>
      <c r="B76" s="1">
        <v>1</v>
      </c>
      <c r="C76" s="1" t="s">
        <v>1</v>
      </c>
      <c r="D76" s="1">
        <v>24</v>
      </c>
      <c r="E76" s="1" t="s">
        <v>2</v>
      </c>
      <c r="F76" s="1">
        <v>9</v>
      </c>
      <c r="G76" s="1">
        <v>0</v>
      </c>
    </row>
    <row r="77" spans="1:7" x14ac:dyDescent="0.3">
      <c r="A77" s="1">
        <v>2</v>
      </c>
      <c r="B77" s="1">
        <v>1</v>
      </c>
      <c r="C77" s="1" t="s">
        <v>1</v>
      </c>
      <c r="D77" s="1">
        <v>8</v>
      </c>
      <c r="E77" s="1" t="s">
        <v>2</v>
      </c>
      <c r="F77" s="1">
        <v>20</v>
      </c>
      <c r="G77" s="1">
        <v>1</v>
      </c>
    </row>
    <row r="78" spans="1:7" x14ac:dyDescent="0.3">
      <c r="A78" s="1">
        <v>2</v>
      </c>
      <c r="B78" s="1">
        <v>1</v>
      </c>
      <c r="C78" s="1" t="s">
        <v>1</v>
      </c>
      <c r="D78" s="1">
        <v>24</v>
      </c>
      <c r="E78" s="1" t="s">
        <v>2</v>
      </c>
      <c r="F78" s="1">
        <v>0</v>
      </c>
      <c r="G78" s="1">
        <v>0</v>
      </c>
    </row>
    <row r="79" spans="1:7" x14ac:dyDescent="0.3">
      <c r="A79" s="1">
        <v>2</v>
      </c>
      <c r="B79" s="1">
        <v>1</v>
      </c>
      <c r="C79" s="1" t="s">
        <v>1</v>
      </c>
      <c r="D79" s="1">
        <v>17</v>
      </c>
      <c r="E79" s="1" t="s">
        <v>2</v>
      </c>
      <c r="F79" s="1">
        <v>6</v>
      </c>
      <c r="G79" s="1">
        <v>0</v>
      </c>
    </row>
    <row r="80" spans="1:7" x14ac:dyDescent="0.3">
      <c r="A80" s="1">
        <v>2</v>
      </c>
      <c r="B80" s="1">
        <v>1</v>
      </c>
      <c r="C80" s="1" t="s">
        <v>1</v>
      </c>
      <c r="D80" s="1">
        <v>12</v>
      </c>
      <c r="E80" s="1" t="s">
        <v>2</v>
      </c>
      <c r="F80" s="1">
        <v>30</v>
      </c>
      <c r="G80" s="1">
        <v>1</v>
      </c>
    </row>
    <row r="81" spans="1:7" x14ac:dyDescent="0.3">
      <c r="A81" s="1">
        <v>2</v>
      </c>
      <c r="B81" s="1">
        <v>1</v>
      </c>
      <c r="C81" s="1" t="s">
        <v>1</v>
      </c>
      <c r="D81" s="1">
        <v>24</v>
      </c>
      <c r="E81" s="1" t="s">
        <v>2</v>
      </c>
      <c r="F81" s="1">
        <v>35</v>
      </c>
      <c r="G81" s="1">
        <v>1</v>
      </c>
    </row>
    <row r="82" spans="1:7" x14ac:dyDescent="0.3">
      <c r="A82" s="1">
        <v>2</v>
      </c>
      <c r="B82" s="1">
        <v>1</v>
      </c>
      <c r="C82" s="1" t="s">
        <v>1</v>
      </c>
      <c r="D82" s="1">
        <v>34</v>
      </c>
      <c r="E82" s="1" t="s">
        <v>2</v>
      </c>
      <c r="F82" s="1">
        <v>2</v>
      </c>
      <c r="G82" s="1">
        <v>0</v>
      </c>
    </row>
    <row r="83" spans="1:7" x14ac:dyDescent="0.3">
      <c r="A83" s="1">
        <v>2</v>
      </c>
      <c r="B83" s="1">
        <v>1</v>
      </c>
      <c r="C83" s="1" t="s">
        <v>1</v>
      </c>
      <c r="D83" s="1">
        <v>38</v>
      </c>
      <c r="E83" s="1" t="s">
        <v>2</v>
      </c>
      <c r="F83" s="1">
        <v>12</v>
      </c>
      <c r="G83" s="1">
        <v>0</v>
      </c>
    </row>
    <row r="84" spans="1:7" x14ac:dyDescent="0.3">
      <c r="A84" s="1">
        <v>2</v>
      </c>
      <c r="B84" s="1">
        <v>1</v>
      </c>
      <c r="C84" s="1" t="s">
        <v>1</v>
      </c>
      <c r="D84" s="1">
        <v>8</v>
      </c>
      <c r="E84" s="1" t="s">
        <v>2</v>
      </c>
      <c r="F84" s="1">
        <v>41</v>
      </c>
      <c r="G84" s="1">
        <v>1</v>
      </c>
    </row>
    <row r="85" spans="1:7" x14ac:dyDescent="0.3">
      <c r="A85" s="1">
        <v>2</v>
      </c>
      <c r="B85" s="1">
        <v>1</v>
      </c>
      <c r="C85" s="1" t="s">
        <v>1</v>
      </c>
      <c r="D85" s="1">
        <v>24</v>
      </c>
      <c r="E85" s="1" t="s">
        <v>2</v>
      </c>
      <c r="F85" s="1">
        <v>24</v>
      </c>
      <c r="G85" s="1">
        <v>0</v>
      </c>
    </row>
    <row r="86" spans="1:7" x14ac:dyDescent="0.3">
      <c r="A86" s="1">
        <v>2</v>
      </c>
      <c r="B86" s="1">
        <v>1</v>
      </c>
      <c r="C86" s="1" t="s">
        <v>1</v>
      </c>
      <c r="D86" s="1">
        <v>11</v>
      </c>
      <c r="E86" s="1" t="s">
        <v>2</v>
      </c>
      <c r="F86" s="1">
        <v>9</v>
      </c>
      <c r="G86" s="1">
        <v>0</v>
      </c>
    </row>
    <row r="87" spans="1:7" x14ac:dyDescent="0.3">
      <c r="A87" s="1">
        <v>2</v>
      </c>
      <c r="B87" s="1">
        <v>1</v>
      </c>
      <c r="C87" s="1" t="s">
        <v>1</v>
      </c>
      <c r="D87" s="1">
        <v>11</v>
      </c>
      <c r="E87" s="1" t="s">
        <v>2</v>
      </c>
      <c r="F87" s="1">
        <v>0</v>
      </c>
      <c r="G87" s="1">
        <v>0</v>
      </c>
    </row>
    <row r="88" spans="1:7" x14ac:dyDescent="0.3">
      <c r="A88" s="1">
        <v>2</v>
      </c>
      <c r="B88" s="1">
        <v>1</v>
      </c>
      <c r="C88" s="1" t="s">
        <v>1</v>
      </c>
      <c r="D88" s="1">
        <v>9</v>
      </c>
      <c r="E88" s="1" t="s">
        <v>2</v>
      </c>
      <c r="F88" s="1">
        <v>15</v>
      </c>
      <c r="G88" s="1">
        <v>1</v>
      </c>
    </row>
    <row r="89" spans="1:7" x14ac:dyDescent="0.3">
      <c r="A89" s="1">
        <v>2</v>
      </c>
      <c r="B89" s="1">
        <v>1</v>
      </c>
      <c r="C89" s="1" t="s">
        <v>1</v>
      </c>
      <c r="D89" s="1">
        <v>11</v>
      </c>
      <c r="E89" s="1" t="s">
        <v>2</v>
      </c>
      <c r="F89" s="1">
        <v>10</v>
      </c>
      <c r="G89" s="1">
        <v>0</v>
      </c>
    </row>
    <row r="90" spans="1:7" x14ac:dyDescent="0.3">
      <c r="A90" s="1">
        <v>2</v>
      </c>
      <c r="B90" s="1">
        <v>1</v>
      </c>
      <c r="C90" s="1" t="s">
        <v>1</v>
      </c>
      <c r="D90" s="1">
        <v>38</v>
      </c>
      <c r="E90" s="1" t="s">
        <v>2</v>
      </c>
      <c r="F90" s="1">
        <v>31</v>
      </c>
      <c r="G90" s="1">
        <v>0</v>
      </c>
    </row>
    <row r="91" spans="1:7" x14ac:dyDescent="0.3">
      <c r="A91" s="1">
        <v>2</v>
      </c>
      <c r="B91" s="1">
        <v>1</v>
      </c>
      <c r="C91" s="1" t="s">
        <v>1</v>
      </c>
      <c r="D91" s="1">
        <v>36</v>
      </c>
      <c r="E91" s="1" t="s">
        <v>2</v>
      </c>
      <c r="F91" s="1">
        <v>6</v>
      </c>
      <c r="G91" s="1">
        <v>0</v>
      </c>
    </row>
    <row r="92" spans="1:7" x14ac:dyDescent="0.3">
      <c r="A92" s="1">
        <v>2</v>
      </c>
      <c r="B92" s="1">
        <v>1</v>
      </c>
      <c r="C92" s="1" t="s">
        <v>1</v>
      </c>
      <c r="D92" s="1">
        <v>58</v>
      </c>
      <c r="E92" s="1" t="s">
        <v>2</v>
      </c>
      <c r="F92" s="1">
        <v>8</v>
      </c>
      <c r="G92" s="1">
        <v>0</v>
      </c>
    </row>
    <row r="93" spans="1:7" x14ac:dyDescent="0.3">
      <c r="A93" s="1">
        <v>2</v>
      </c>
      <c r="B93" s="1">
        <v>1</v>
      </c>
      <c r="C93" s="1" t="s">
        <v>1</v>
      </c>
      <c r="D93" s="1">
        <v>16</v>
      </c>
      <c r="E93" s="1" t="s">
        <v>2</v>
      </c>
      <c r="F93" s="1">
        <v>21</v>
      </c>
      <c r="G93" s="1">
        <v>1</v>
      </c>
    </row>
    <row r="94" spans="1:7" x14ac:dyDescent="0.3">
      <c r="A94" s="1">
        <v>2</v>
      </c>
      <c r="B94" s="1">
        <v>1</v>
      </c>
      <c r="C94" s="1" t="s">
        <v>1</v>
      </c>
      <c r="D94" s="1">
        <v>49</v>
      </c>
      <c r="E94" s="1" t="s">
        <v>2</v>
      </c>
      <c r="F94" s="1">
        <v>10</v>
      </c>
      <c r="G94" s="1">
        <v>0</v>
      </c>
    </row>
    <row r="95" spans="1:7" x14ac:dyDescent="0.3">
      <c r="A95" s="1">
        <v>2</v>
      </c>
      <c r="B95" s="1">
        <v>1</v>
      </c>
      <c r="C95" s="1" t="s">
        <v>1</v>
      </c>
      <c r="D95" s="1">
        <v>32</v>
      </c>
      <c r="E95" s="1" t="s">
        <v>2</v>
      </c>
      <c r="F95" s="1">
        <v>13</v>
      </c>
      <c r="G95" s="1">
        <v>0</v>
      </c>
    </row>
    <row r="96" spans="1:7" x14ac:dyDescent="0.3">
      <c r="A96" s="1">
        <v>2</v>
      </c>
      <c r="B96" s="1">
        <v>1</v>
      </c>
      <c r="C96" s="1" t="s">
        <v>1</v>
      </c>
      <c r="D96" s="1">
        <v>21</v>
      </c>
      <c r="E96" s="1" t="s">
        <v>2</v>
      </c>
      <c r="F96" s="1">
        <v>29</v>
      </c>
      <c r="G96" s="1">
        <v>1</v>
      </c>
    </row>
    <row r="97" spans="1:7" x14ac:dyDescent="0.3">
      <c r="A97" s="1">
        <v>2</v>
      </c>
      <c r="B97" s="1">
        <v>1</v>
      </c>
      <c r="C97" s="1" t="s">
        <v>1</v>
      </c>
      <c r="D97" s="1">
        <v>36</v>
      </c>
      <c r="E97" s="1" t="s">
        <v>2</v>
      </c>
      <c r="F97" s="1">
        <v>0</v>
      </c>
      <c r="G97" s="1">
        <v>0</v>
      </c>
    </row>
    <row r="98" spans="1:7" x14ac:dyDescent="0.3">
      <c r="A98" s="1">
        <v>2</v>
      </c>
      <c r="B98" s="1">
        <v>1</v>
      </c>
      <c r="C98" s="1" t="s">
        <v>1</v>
      </c>
      <c r="D98" s="1">
        <v>15</v>
      </c>
      <c r="E98" s="1" t="s">
        <v>2</v>
      </c>
      <c r="F98" s="1">
        <v>23</v>
      </c>
      <c r="G98" s="1">
        <v>1</v>
      </c>
    </row>
    <row r="99" spans="1:7" x14ac:dyDescent="0.3">
      <c r="A99" s="1">
        <v>2</v>
      </c>
      <c r="B99" s="1">
        <v>1</v>
      </c>
      <c r="C99" s="1" t="s">
        <v>1</v>
      </c>
      <c r="D99" s="1">
        <v>0</v>
      </c>
      <c r="E99" s="1" t="s">
        <v>2</v>
      </c>
      <c r="F99" s="1">
        <v>30</v>
      </c>
      <c r="G99" s="1">
        <v>1</v>
      </c>
    </row>
    <row r="100" spans="1:7" x14ac:dyDescent="0.3">
      <c r="A100" s="1">
        <v>2</v>
      </c>
      <c r="B100" s="1">
        <v>1</v>
      </c>
      <c r="C100" s="1" t="s">
        <v>1</v>
      </c>
      <c r="D100" s="1">
        <v>27</v>
      </c>
      <c r="E100" s="1" t="s">
        <v>2</v>
      </c>
      <c r="F100" s="1">
        <v>2</v>
      </c>
      <c r="G100" s="1">
        <v>0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82012-F5A2-48E3-9FC8-5F1A4E1299E9}">
  <dimension ref="A1:Q100"/>
  <sheetViews>
    <sheetView topLeftCell="F1" workbookViewId="0">
      <selection activeCell="K20" sqref="K20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1</v>
      </c>
      <c r="D1" s="1">
        <v>17</v>
      </c>
      <c r="E1" s="1" t="s">
        <v>3</v>
      </c>
      <c r="F1" s="1">
        <v>24</v>
      </c>
      <c r="G1" s="1">
        <v>1</v>
      </c>
      <c r="I1" s="2"/>
      <c r="J1" s="3"/>
      <c r="K1" s="4" t="s">
        <v>7</v>
      </c>
      <c r="L1" s="4"/>
      <c r="M1" s="5" t="s">
        <v>8</v>
      </c>
      <c r="N1" s="5"/>
      <c r="O1" s="5" t="s">
        <v>9</v>
      </c>
      <c r="P1" s="5"/>
      <c r="Q1"/>
    </row>
    <row r="2" spans="1:17" x14ac:dyDescent="0.3">
      <c r="A2" s="1">
        <v>2</v>
      </c>
      <c r="B2" s="1">
        <v>0</v>
      </c>
      <c r="C2" s="1" t="s">
        <v>1</v>
      </c>
      <c r="D2" s="1">
        <v>58</v>
      </c>
      <c r="E2" s="1" t="s">
        <v>3</v>
      </c>
      <c r="F2" s="1">
        <v>59</v>
      </c>
      <c r="G2" s="1">
        <v>1</v>
      </c>
      <c r="I2" s="6"/>
      <c r="J2" s="7"/>
      <c r="K2" s="4"/>
      <c r="L2" s="4"/>
      <c r="M2" s="5"/>
      <c r="N2" s="5"/>
      <c r="O2" s="5"/>
      <c r="P2" s="5"/>
      <c r="Q2" s="8" t="s">
        <v>10</v>
      </c>
    </row>
    <row r="3" spans="1:17" x14ac:dyDescent="0.3">
      <c r="A3" s="1">
        <v>2</v>
      </c>
      <c r="B3" s="1">
        <v>0</v>
      </c>
      <c r="C3" s="1" t="s">
        <v>1</v>
      </c>
      <c r="D3" s="1">
        <v>17</v>
      </c>
      <c r="E3" s="1" t="s">
        <v>3</v>
      </c>
      <c r="F3" s="1">
        <v>28</v>
      </c>
      <c r="G3" s="1">
        <v>1</v>
      </c>
      <c r="I3" s="5" t="s">
        <v>11</v>
      </c>
      <c r="J3" s="5"/>
      <c r="K3" s="9">
        <f>COUNTIF($G$1:$G$100, 0)</f>
        <v>11</v>
      </c>
      <c r="L3" s="9"/>
      <c r="M3" s="9">
        <f>COUNTIFS($G$1:$G$100, 0, $B$1:$B$100, 0)</f>
        <v>6</v>
      </c>
      <c r="N3" s="9"/>
      <c r="O3" s="10">
        <f>COUNTIFS($G$1:$G$100, 0, $B$1:$B$100, 1)</f>
        <v>5</v>
      </c>
      <c r="P3" s="11"/>
      <c r="Q3" s="12" cm="1">
        <f t="array" ref="Q3">SUMPRODUCT(--($D$1:$D$100=$G$1:$G$100))</f>
        <v>4</v>
      </c>
    </row>
    <row r="4" spans="1:17" x14ac:dyDescent="0.3">
      <c r="A4" s="1">
        <v>2</v>
      </c>
      <c r="B4" s="1">
        <v>0</v>
      </c>
      <c r="C4" s="1" t="s">
        <v>1</v>
      </c>
      <c r="D4" s="1">
        <v>0</v>
      </c>
      <c r="E4" s="1" t="s">
        <v>3</v>
      </c>
      <c r="F4" s="1">
        <v>41</v>
      </c>
      <c r="G4" s="1">
        <v>1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1</v>
      </c>
      <c r="D5" s="1">
        <v>3</v>
      </c>
      <c r="E5" s="1" t="s">
        <v>3</v>
      </c>
      <c r="F5" s="1">
        <v>23</v>
      </c>
      <c r="G5" s="1">
        <v>1</v>
      </c>
      <c r="I5" s="5" t="s">
        <v>12</v>
      </c>
      <c r="J5" s="5"/>
      <c r="K5" s="14">
        <f>COUNTIF($G$1:$G$100, 1)</f>
        <v>89</v>
      </c>
      <c r="L5" s="9"/>
      <c r="M5" s="9">
        <f>COUNTIFS($G$1:$G$100, 1, $B$1:$B$100, 0)</f>
        <v>44</v>
      </c>
      <c r="N5" s="9"/>
      <c r="O5" s="9">
        <f>COUNTIFS($G$1:$G$100, 1, $B$1:$B$100, 1)</f>
        <v>45</v>
      </c>
      <c r="P5" s="13"/>
      <c r="Q5"/>
    </row>
    <row r="6" spans="1:17" x14ac:dyDescent="0.3">
      <c r="A6" s="1">
        <v>2</v>
      </c>
      <c r="B6" s="1">
        <v>0</v>
      </c>
      <c r="C6" s="1" t="s">
        <v>1</v>
      </c>
      <c r="D6" s="1">
        <v>9</v>
      </c>
      <c r="E6" s="1" t="s">
        <v>3</v>
      </c>
      <c r="F6" s="1">
        <v>36</v>
      </c>
      <c r="G6" s="1">
        <v>1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1</v>
      </c>
      <c r="D7" s="1">
        <v>18</v>
      </c>
      <c r="E7" s="1" t="s">
        <v>3</v>
      </c>
      <c r="F7" s="1">
        <v>51</v>
      </c>
      <c r="G7" s="1">
        <v>1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1</v>
      </c>
      <c r="D8" s="1">
        <v>0</v>
      </c>
      <c r="E8" s="1" t="s">
        <v>3</v>
      </c>
      <c r="F8" s="1">
        <v>29</v>
      </c>
      <c r="G8" s="1">
        <v>1</v>
      </c>
      <c r="I8" s="19"/>
      <c r="J8" s="20"/>
      <c r="K8" s="21" t="s">
        <v>7</v>
      </c>
      <c r="L8" s="21"/>
      <c r="M8" s="21" t="s">
        <v>13</v>
      </c>
      <c r="N8" s="21"/>
      <c r="O8" s="21" t="s">
        <v>14</v>
      </c>
      <c r="P8" s="21"/>
      <c r="Q8"/>
    </row>
    <row r="9" spans="1:17" x14ac:dyDescent="0.3">
      <c r="A9" s="1">
        <v>2</v>
      </c>
      <c r="B9" s="1">
        <v>0</v>
      </c>
      <c r="C9" s="1" t="s">
        <v>1</v>
      </c>
      <c r="D9" s="1">
        <v>15</v>
      </c>
      <c r="E9" s="1" t="s">
        <v>3</v>
      </c>
      <c r="F9" s="1">
        <v>24</v>
      </c>
      <c r="G9" s="1">
        <v>1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1</v>
      </c>
      <c r="D10" s="1">
        <v>17</v>
      </c>
      <c r="E10" s="1" t="s">
        <v>3</v>
      </c>
      <c r="F10" s="1">
        <v>26</v>
      </c>
      <c r="G10" s="1">
        <v>1</v>
      </c>
      <c r="I10" s="5" t="s">
        <v>15</v>
      </c>
      <c r="J10" s="5"/>
      <c r="K10" s="9">
        <f>AVERAGE($D$1:$D$100,)</f>
        <v>12.386138613861386</v>
      </c>
      <c r="L10" s="9"/>
      <c r="M10" s="9" cm="1">
        <f t="array" ref="M10">AVERAGE(_xlfn._xlws.FILTER($D$1:$D$100,$G$1:$G$100 = 0))</f>
        <v>27.818181818181817</v>
      </c>
      <c r="N10" s="9"/>
      <c r="O10" s="10" cm="1">
        <f t="array" ref="O10">AVERAGE(_xlfn._xlws.FILTER($D$1:$D$100,$G$1:$G$100 = 1))</f>
        <v>10.617977528089888</v>
      </c>
      <c r="P10" s="11"/>
      <c r="Q10"/>
    </row>
    <row r="11" spans="1:17" x14ac:dyDescent="0.3">
      <c r="A11" s="1">
        <v>2</v>
      </c>
      <c r="B11" s="1">
        <v>0</v>
      </c>
      <c r="C11" s="1" t="s">
        <v>1</v>
      </c>
      <c r="D11" s="1">
        <v>8</v>
      </c>
      <c r="E11" s="1" t="s">
        <v>3</v>
      </c>
      <c r="F11" s="1">
        <v>42</v>
      </c>
      <c r="G11" s="1">
        <v>1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1</v>
      </c>
      <c r="D12" s="1">
        <v>25</v>
      </c>
      <c r="E12" s="1" t="s">
        <v>3</v>
      </c>
      <c r="F12" s="1">
        <v>31</v>
      </c>
      <c r="G12" s="1">
        <v>1</v>
      </c>
      <c r="I12" s="5" t="s">
        <v>16</v>
      </c>
      <c r="J12" s="5"/>
      <c r="K12" s="9">
        <f>AVERAGE($F$1:$F$100,)</f>
        <v>30.019801980198018</v>
      </c>
      <c r="L12" s="9"/>
      <c r="M12" s="9" cm="1">
        <f t="array" ref="M12">AVERAGE(_xlfn._xlws.FILTER($F$1:$F$100,$G$1:$G$100 = 0))</f>
        <v>20.90909090909091</v>
      </c>
      <c r="N12" s="9"/>
      <c r="O12" s="9" cm="1">
        <f t="array" ref="O12">AVERAGE(_xlfn._xlws.FILTER($F$1:$F$100,$G$1:$G$100 = 1))</f>
        <v>31.483146067415731</v>
      </c>
      <c r="P12" s="13"/>
      <c r="Q12"/>
    </row>
    <row r="13" spans="1:17" x14ac:dyDescent="0.3">
      <c r="A13" s="1">
        <v>2</v>
      </c>
      <c r="B13" s="1">
        <v>0</v>
      </c>
      <c r="C13" s="1" t="s">
        <v>1</v>
      </c>
      <c r="D13" s="1">
        <v>15</v>
      </c>
      <c r="E13" s="1" t="s">
        <v>3</v>
      </c>
      <c r="F13" s="1">
        <v>46</v>
      </c>
      <c r="G13" s="1">
        <v>1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1</v>
      </c>
      <c r="D14" s="1">
        <v>9</v>
      </c>
      <c r="E14" s="1" t="s">
        <v>3</v>
      </c>
      <c r="F14" s="1">
        <v>39</v>
      </c>
      <c r="G14" s="1">
        <v>1</v>
      </c>
      <c r="I14" s="22" t="s">
        <v>17</v>
      </c>
      <c r="J14" s="11"/>
      <c r="K14" s="23" cm="1">
        <f t="array" ref="K14">AVERAGE($D$1:$D$100 - $F$1:$F$100)</f>
        <v>-17.809999999999999</v>
      </c>
      <c r="L14" s="23"/>
      <c r="M14" s="23" cm="1">
        <f t="array" ref="M14">AVERAGE(_xlfn._xlws.FILTER($D$1:$D$100 - $F$1:$F$100, G$1:G$100 = 0))</f>
        <v>6.9090909090909092</v>
      </c>
      <c r="N14" s="23"/>
      <c r="O14" s="23" cm="1">
        <f t="array" ref="O14">AVERAGE(_xlfn._xlws.FILTER($D$1:$D$100 - $F$1:$F$100, G$1:G$100 = 1))</f>
        <v>-20.865168539325843</v>
      </c>
      <c r="P14" s="24"/>
      <c r="Q14"/>
    </row>
    <row r="15" spans="1:17" x14ac:dyDescent="0.3">
      <c r="A15" s="1">
        <v>2</v>
      </c>
      <c r="B15" s="1">
        <v>0</v>
      </c>
      <c r="C15" s="1" t="s">
        <v>1</v>
      </c>
      <c r="D15" s="1">
        <v>0</v>
      </c>
      <c r="E15" s="1" t="s">
        <v>3</v>
      </c>
      <c r="F15" s="1">
        <v>26</v>
      </c>
      <c r="G15" s="1">
        <v>1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1</v>
      </c>
      <c r="D16" s="1">
        <v>18</v>
      </c>
      <c r="E16" s="1" t="s">
        <v>3</v>
      </c>
      <c r="F16" s="1">
        <v>8</v>
      </c>
      <c r="G16" s="1">
        <v>0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1</v>
      </c>
      <c r="D17" s="1">
        <v>13</v>
      </c>
      <c r="E17" s="1" t="s">
        <v>3</v>
      </c>
      <c r="F17" s="1">
        <v>39</v>
      </c>
      <c r="G17" s="1">
        <v>1</v>
      </c>
    </row>
    <row r="18" spans="1:7" x14ac:dyDescent="0.3">
      <c r="A18" s="1">
        <v>2</v>
      </c>
      <c r="B18" s="1">
        <v>0</v>
      </c>
      <c r="C18" s="1" t="s">
        <v>1</v>
      </c>
      <c r="D18" s="1">
        <v>35</v>
      </c>
      <c r="E18" s="1" t="s">
        <v>3</v>
      </c>
      <c r="F18" s="1">
        <v>29</v>
      </c>
      <c r="G18" s="1">
        <v>0</v>
      </c>
    </row>
    <row r="19" spans="1:7" x14ac:dyDescent="0.3">
      <c r="A19" s="1">
        <v>2</v>
      </c>
      <c r="B19" s="1">
        <v>0</v>
      </c>
      <c r="C19" s="1" t="s">
        <v>1</v>
      </c>
      <c r="D19" s="1">
        <v>13</v>
      </c>
      <c r="E19" s="1" t="s">
        <v>3</v>
      </c>
      <c r="F19" s="1">
        <v>27</v>
      </c>
      <c r="G19" s="1">
        <v>1</v>
      </c>
    </row>
    <row r="20" spans="1:7" x14ac:dyDescent="0.3">
      <c r="A20" s="1">
        <v>2</v>
      </c>
      <c r="B20" s="1">
        <v>0</v>
      </c>
      <c r="C20" s="1" t="s">
        <v>1</v>
      </c>
      <c r="D20" s="1">
        <v>8</v>
      </c>
      <c r="E20" s="1" t="s">
        <v>3</v>
      </c>
      <c r="F20" s="1">
        <v>10</v>
      </c>
      <c r="G20" s="1">
        <v>1</v>
      </c>
    </row>
    <row r="21" spans="1:7" x14ac:dyDescent="0.3">
      <c r="A21" s="1">
        <v>2</v>
      </c>
      <c r="B21" s="1">
        <v>0</v>
      </c>
      <c r="C21" s="1" t="s">
        <v>1</v>
      </c>
      <c r="D21" s="1">
        <v>0</v>
      </c>
      <c r="E21" s="1" t="s">
        <v>3</v>
      </c>
      <c r="F21" s="1">
        <v>18</v>
      </c>
      <c r="G21" s="1">
        <v>1</v>
      </c>
    </row>
    <row r="22" spans="1:7" x14ac:dyDescent="0.3">
      <c r="A22" s="1">
        <v>2</v>
      </c>
      <c r="B22" s="1">
        <v>0</v>
      </c>
      <c r="C22" s="1" t="s">
        <v>1</v>
      </c>
      <c r="D22" s="1">
        <v>8</v>
      </c>
      <c r="E22" s="1" t="s">
        <v>3</v>
      </c>
      <c r="F22" s="1">
        <v>35</v>
      </c>
      <c r="G22" s="1">
        <v>1</v>
      </c>
    </row>
    <row r="23" spans="1:7" x14ac:dyDescent="0.3">
      <c r="A23" s="1">
        <v>2</v>
      </c>
      <c r="B23" s="1">
        <v>0</v>
      </c>
      <c r="C23" s="1" t="s">
        <v>1</v>
      </c>
      <c r="D23" s="1">
        <v>15</v>
      </c>
      <c r="E23" s="1" t="s">
        <v>3</v>
      </c>
      <c r="F23" s="1">
        <v>38</v>
      </c>
      <c r="G23" s="1">
        <v>1</v>
      </c>
    </row>
    <row r="24" spans="1:7" x14ac:dyDescent="0.3">
      <c r="A24" s="1">
        <v>2</v>
      </c>
      <c r="B24" s="1">
        <v>0</v>
      </c>
      <c r="C24" s="1" t="s">
        <v>1</v>
      </c>
      <c r="D24" s="1">
        <v>14</v>
      </c>
      <c r="E24" s="1" t="s">
        <v>3</v>
      </c>
      <c r="F24" s="1">
        <v>41</v>
      </c>
      <c r="G24" s="1">
        <v>1</v>
      </c>
    </row>
    <row r="25" spans="1:7" x14ac:dyDescent="0.3">
      <c r="A25" s="1">
        <v>2</v>
      </c>
      <c r="B25" s="1">
        <v>0</v>
      </c>
      <c r="C25" s="1" t="s">
        <v>1</v>
      </c>
      <c r="D25" s="1">
        <v>0</v>
      </c>
      <c r="E25" s="1" t="s">
        <v>3</v>
      </c>
      <c r="F25" s="1">
        <v>38</v>
      </c>
      <c r="G25" s="1">
        <v>1</v>
      </c>
    </row>
    <row r="26" spans="1:7" x14ac:dyDescent="0.3">
      <c r="A26" s="1">
        <v>2</v>
      </c>
      <c r="B26" s="1">
        <v>0</v>
      </c>
      <c r="C26" s="1" t="s">
        <v>1</v>
      </c>
      <c r="D26" s="1">
        <v>27</v>
      </c>
      <c r="E26" s="1" t="s">
        <v>3</v>
      </c>
      <c r="F26" s="1">
        <v>15</v>
      </c>
      <c r="G26" s="1">
        <v>0</v>
      </c>
    </row>
    <row r="27" spans="1:7" x14ac:dyDescent="0.3">
      <c r="A27" s="1">
        <v>2</v>
      </c>
      <c r="B27" s="1">
        <v>0</v>
      </c>
      <c r="C27" s="1" t="s">
        <v>1</v>
      </c>
      <c r="D27" s="1">
        <v>39</v>
      </c>
      <c r="E27" s="1" t="s">
        <v>3</v>
      </c>
      <c r="F27" s="1">
        <v>35</v>
      </c>
      <c r="G27" s="1">
        <v>0</v>
      </c>
    </row>
    <row r="28" spans="1:7" x14ac:dyDescent="0.3">
      <c r="A28" s="1">
        <v>2</v>
      </c>
      <c r="B28" s="1">
        <v>0</v>
      </c>
      <c r="C28" s="1" t="s">
        <v>1</v>
      </c>
      <c r="D28" s="1">
        <v>13</v>
      </c>
      <c r="E28" s="1" t="s">
        <v>3</v>
      </c>
      <c r="F28" s="1">
        <v>23</v>
      </c>
      <c r="G28" s="1">
        <v>1</v>
      </c>
    </row>
    <row r="29" spans="1:7" x14ac:dyDescent="0.3">
      <c r="A29" s="1">
        <v>2</v>
      </c>
      <c r="B29" s="1">
        <v>0</v>
      </c>
      <c r="C29" s="1" t="s">
        <v>1</v>
      </c>
      <c r="D29" s="1">
        <v>23</v>
      </c>
      <c r="E29" s="1" t="s">
        <v>3</v>
      </c>
      <c r="F29" s="1">
        <v>37</v>
      </c>
      <c r="G29" s="1">
        <v>1</v>
      </c>
    </row>
    <row r="30" spans="1:7" x14ac:dyDescent="0.3">
      <c r="A30" s="1">
        <v>2</v>
      </c>
      <c r="B30" s="1">
        <v>0</v>
      </c>
      <c r="C30" s="1" t="s">
        <v>1</v>
      </c>
      <c r="D30" s="1">
        <v>10</v>
      </c>
      <c r="E30" s="1" t="s">
        <v>3</v>
      </c>
      <c r="F30" s="1">
        <v>20</v>
      </c>
      <c r="G30" s="1">
        <v>1</v>
      </c>
    </row>
    <row r="31" spans="1:7" x14ac:dyDescent="0.3">
      <c r="A31" s="1">
        <v>2</v>
      </c>
      <c r="B31" s="1">
        <v>0</v>
      </c>
      <c r="C31" s="1" t="s">
        <v>1</v>
      </c>
      <c r="D31" s="1">
        <v>17</v>
      </c>
      <c r="E31" s="1" t="s">
        <v>3</v>
      </c>
      <c r="F31" s="1">
        <v>30</v>
      </c>
      <c r="G31" s="1">
        <v>1</v>
      </c>
    </row>
    <row r="32" spans="1:7" x14ac:dyDescent="0.3">
      <c r="A32" s="1">
        <v>2</v>
      </c>
      <c r="B32" s="1">
        <v>0</v>
      </c>
      <c r="C32" s="1" t="s">
        <v>1</v>
      </c>
      <c r="D32" s="1">
        <v>18</v>
      </c>
      <c r="E32" s="1" t="s">
        <v>3</v>
      </c>
      <c r="F32" s="1">
        <v>33</v>
      </c>
      <c r="G32" s="1">
        <v>1</v>
      </c>
    </row>
    <row r="33" spans="1:7" x14ac:dyDescent="0.3">
      <c r="A33" s="1">
        <v>2</v>
      </c>
      <c r="B33" s="1">
        <v>0</v>
      </c>
      <c r="C33" s="1" t="s">
        <v>1</v>
      </c>
      <c r="D33" s="1">
        <v>2</v>
      </c>
      <c r="E33" s="1" t="s">
        <v>3</v>
      </c>
      <c r="F33" s="1">
        <v>41</v>
      </c>
      <c r="G33" s="1">
        <v>1</v>
      </c>
    </row>
    <row r="34" spans="1:7" x14ac:dyDescent="0.3">
      <c r="A34" s="1">
        <v>2</v>
      </c>
      <c r="B34" s="1">
        <v>0</v>
      </c>
      <c r="C34" s="1" t="s">
        <v>1</v>
      </c>
      <c r="D34" s="1">
        <v>13</v>
      </c>
      <c r="E34" s="1" t="s">
        <v>3</v>
      </c>
      <c r="F34" s="1">
        <v>39</v>
      </c>
      <c r="G34" s="1">
        <v>1</v>
      </c>
    </row>
    <row r="35" spans="1:7" x14ac:dyDescent="0.3">
      <c r="A35" s="1">
        <v>2</v>
      </c>
      <c r="B35" s="1">
        <v>0</v>
      </c>
      <c r="C35" s="1" t="s">
        <v>1</v>
      </c>
      <c r="D35" s="1">
        <v>15</v>
      </c>
      <c r="E35" s="1" t="s">
        <v>3</v>
      </c>
      <c r="F35" s="1">
        <v>26</v>
      </c>
      <c r="G35" s="1">
        <v>1</v>
      </c>
    </row>
    <row r="36" spans="1:7" x14ac:dyDescent="0.3">
      <c r="A36" s="1">
        <v>2</v>
      </c>
      <c r="B36" s="1">
        <v>0</v>
      </c>
      <c r="C36" s="1" t="s">
        <v>1</v>
      </c>
      <c r="D36" s="1">
        <v>1</v>
      </c>
      <c r="E36" s="1" t="s">
        <v>3</v>
      </c>
      <c r="F36" s="1">
        <v>6</v>
      </c>
      <c r="G36" s="1">
        <v>1</v>
      </c>
    </row>
    <row r="37" spans="1:7" x14ac:dyDescent="0.3">
      <c r="A37" s="1">
        <v>2</v>
      </c>
      <c r="B37" s="1">
        <v>0</v>
      </c>
      <c r="C37" s="1" t="s">
        <v>1</v>
      </c>
      <c r="D37" s="1">
        <v>13</v>
      </c>
      <c r="E37" s="1" t="s">
        <v>3</v>
      </c>
      <c r="F37" s="1">
        <v>33</v>
      </c>
      <c r="G37" s="1">
        <v>1</v>
      </c>
    </row>
    <row r="38" spans="1:7" x14ac:dyDescent="0.3">
      <c r="A38" s="1">
        <v>2</v>
      </c>
      <c r="B38" s="1">
        <v>0</v>
      </c>
      <c r="C38" s="1" t="s">
        <v>1</v>
      </c>
      <c r="D38" s="1">
        <v>3</v>
      </c>
      <c r="E38" s="1" t="s">
        <v>3</v>
      </c>
      <c r="F38" s="1">
        <v>33</v>
      </c>
      <c r="G38" s="1">
        <v>1</v>
      </c>
    </row>
    <row r="39" spans="1:7" x14ac:dyDescent="0.3">
      <c r="A39" s="1">
        <v>2</v>
      </c>
      <c r="B39" s="1">
        <v>0</v>
      </c>
      <c r="C39" s="1" t="s">
        <v>1</v>
      </c>
      <c r="D39" s="1">
        <v>29</v>
      </c>
      <c r="E39" s="1" t="s">
        <v>3</v>
      </c>
      <c r="F39" s="1">
        <v>21</v>
      </c>
      <c r="G39" s="1">
        <v>0</v>
      </c>
    </row>
    <row r="40" spans="1:7" x14ac:dyDescent="0.3">
      <c r="A40" s="1">
        <v>2</v>
      </c>
      <c r="B40" s="1">
        <v>0</v>
      </c>
      <c r="C40" s="1" t="s">
        <v>1</v>
      </c>
      <c r="D40" s="1">
        <v>24</v>
      </c>
      <c r="E40" s="1" t="s">
        <v>3</v>
      </c>
      <c r="F40" s="1">
        <v>49</v>
      </c>
      <c r="G40" s="1">
        <v>1</v>
      </c>
    </row>
    <row r="41" spans="1:7" x14ac:dyDescent="0.3">
      <c r="A41" s="1">
        <v>2</v>
      </c>
      <c r="B41" s="1">
        <v>0</v>
      </c>
      <c r="C41" s="1" t="s">
        <v>1</v>
      </c>
      <c r="D41" s="1">
        <v>18</v>
      </c>
      <c r="E41" s="1" t="s">
        <v>3</v>
      </c>
      <c r="F41" s="1">
        <v>23</v>
      </c>
      <c r="G41" s="1">
        <v>1</v>
      </c>
    </row>
    <row r="42" spans="1:7" x14ac:dyDescent="0.3">
      <c r="A42" s="1">
        <v>2</v>
      </c>
      <c r="B42" s="1">
        <v>0</v>
      </c>
      <c r="C42" s="1" t="s">
        <v>1</v>
      </c>
      <c r="D42" s="1">
        <v>4</v>
      </c>
      <c r="E42" s="1" t="s">
        <v>3</v>
      </c>
      <c r="F42" s="1">
        <v>14</v>
      </c>
      <c r="G42" s="1">
        <v>1</v>
      </c>
    </row>
    <row r="43" spans="1:7" x14ac:dyDescent="0.3">
      <c r="A43" s="1">
        <v>2</v>
      </c>
      <c r="B43" s="1">
        <v>0</v>
      </c>
      <c r="C43" s="1" t="s">
        <v>1</v>
      </c>
      <c r="D43" s="1">
        <v>0</v>
      </c>
      <c r="E43" s="1" t="s">
        <v>3</v>
      </c>
      <c r="F43" s="1">
        <v>20</v>
      </c>
      <c r="G43" s="1">
        <v>1</v>
      </c>
    </row>
    <row r="44" spans="1:7" x14ac:dyDescent="0.3">
      <c r="A44" s="1">
        <v>2</v>
      </c>
      <c r="B44" s="1">
        <v>0</v>
      </c>
      <c r="C44" s="1" t="s">
        <v>1</v>
      </c>
      <c r="D44" s="1">
        <v>3</v>
      </c>
      <c r="E44" s="1" t="s">
        <v>3</v>
      </c>
      <c r="F44" s="1">
        <v>43</v>
      </c>
      <c r="G44" s="1">
        <v>1</v>
      </c>
    </row>
    <row r="45" spans="1:7" x14ac:dyDescent="0.3">
      <c r="A45" s="1">
        <v>2</v>
      </c>
      <c r="B45" s="1">
        <v>0</v>
      </c>
      <c r="C45" s="1" t="s">
        <v>1</v>
      </c>
      <c r="D45" s="1">
        <v>24</v>
      </c>
      <c r="E45" s="1" t="s">
        <v>3</v>
      </c>
      <c r="F45" s="1">
        <v>19</v>
      </c>
      <c r="G45" s="1">
        <v>0</v>
      </c>
    </row>
    <row r="46" spans="1:7" x14ac:dyDescent="0.3">
      <c r="A46" s="1">
        <v>2</v>
      </c>
      <c r="B46" s="1">
        <v>0</v>
      </c>
      <c r="C46" s="1" t="s">
        <v>1</v>
      </c>
      <c r="D46" s="1">
        <v>1</v>
      </c>
      <c r="E46" s="1" t="s">
        <v>3</v>
      </c>
      <c r="F46" s="1">
        <v>15</v>
      </c>
      <c r="G46" s="1">
        <v>1</v>
      </c>
    </row>
    <row r="47" spans="1:7" x14ac:dyDescent="0.3">
      <c r="A47" s="1">
        <v>2</v>
      </c>
      <c r="B47" s="1">
        <v>0</v>
      </c>
      <c r="C47" s="1" t="s">
        <v>1</v>
      </c>
      <c r="D47" s="1">
        <v>1</v>
      </c>
      <c r="E47" s="1" t="s">
        <v>3</v>
      </c>
      <c r="F47" s="1">
        <v>53</v>
      </c>
      <c r="G47" s="1">
        <v>1</v>
      </c>
    </row>
    <row r="48" spans="1:7" x14ac:dyDescent="0.3">
      <c r="A48" s="1">
        <v>2</v>
      </c>
      <c r="B48" s="1">
        <v>0</v>
      </c>
      <c r="C48" s="1" t="s">
        <v>1</v>
      </c>
      <c r="D48" s="1">
        <v>18</v>
      </c>
      <c r="E48" s="1" t="s">
        <v>3</v>
      </c>
      <c r="F48" s="1">
        <v>39</v>
      </c>
      <c r="G48" s="1">
        <v>1</v>
      </c>
    </row>
    <row r="49" spans="1:7" x14ac:dyDescent="0.3">
      <c r="A49" s="1">
        <v>2</v>
      </c>
      <c r="B49" s="1">
        <v>0</v>
      </c>
      <c r="C49" s="1" t="s">
        <v>1</v>
      </c>
      <c r="D49" s="1">
        <v>9</v>
      </c>
      <c r="E49" s="1" t="s">
        <v>3</v>
      </c>
      <c r="F49" s="1">
        <v>37</v>
      </c>
      <c r="G49" s="1">
        <v>1</v>
      </c>
    </row>
    <row r="50" spans="1:7" x14ac:dyDescent="0.3">
      <c r="A50" s="1">
        <v>2</v>
      </c>
      <c r="B50" s="1">
        <v>0</v>
      </c>
      <c r="C50" s="1" t="s">
        <v>1</v>
      </c>
      <c r="D50" s="1">
        <v>23</v>
      </c>
      <c r="E50" s="1" t="s">
        <v>3</v>
      </c>
      <c r="F50" s="1">
        <v>31</v>
      </c>
      <c r="G50" s="1">
        <v>1</v>
      </c>
    </row>
    <row r="51" spans="1:7" x14ac:dyDescent="0.3">
      <c r="A51" s="1">
        <v>2</v>
      </c>
      <c r="B51" s="1">
        <v>1</v>
      </c>
      <c r="C51" s="1" t="s">
        <v>1</v>
      </c>
      <c r="D51" s="1">
        <v>6</v>
      </c>
      <c r="E51" s="1" t="s">
        <v>3</v>
      </c>
      <c r="F51" s="1">
        <v>27</v>
      </c>
      <c r="G51" s="1">
        <v>1</v>
      </c>
    </row>
    <row r="52" spans="1:7" x14ac:dyDescent="0.3">
      <c r="A52" s="1">
        <v>2</v>
      </c>
      <c r="B52" s="1">
        <v>1</v>
      </c>
      <c r="C52" s="1" t="s">
        <v>1</v>
      </c>
      <c r="D52" s="1">
        <v>9</v>
      </c>
      <c r="E52" s="1" t="s">
        <v>3</v>
      </c>
      <c r="F52" s="1">
        <v>32</v>
      </c>
      <c r="G52" s="1">
        <v>1</v>
      </c>
    </row>
    <row r="53" spans="1:7" x14ac:dyDescent="0.3">
      <c r="A53" s="1">
        <v>2</v>
      </c>
      <c r="B53" s="1">
        <v>1</v>
      </c>
      <c r="C53" s="1" t="s">
        <v>1</v>
      </c>
      <c r="D53" s="1">
        <v>16</v>
      </c>
      <c r="E53" s="1" t="s">
        <v>3</v>
      </c>
      <c r="F53" s="1">
        <v>22</v>
      </c>
      <c r="G53" s="1">
        <v>1</v>
      </c>
    </row>
    <row r="54" spans="1:7" x14ac:dyDescent="0.3">
      <c r="A54" s="1">
        <v>2</v>
      </c>
      <c r="B54" s="1">
        <v>1</v>
      </c>
      <c r="C54" s="1" t="s">
        <v>1</v>
      </c>
      <c r="D54" s="1">
        <v>13</v>
      </c>
      <c r="E54" s="1" t="s">
        <v>3</v>
      </c>
      <c r="F54" s="1">
        <v>39</v>
      </c>
      <c r="G54" s="1">
        <v>1</v>
      </c>
    </row>
    <row r="55" spans="1:7" x14ac:dyDescent="0.3">
      <c r="A55" s="1">
        <v>2</v>
      </c>
      <c r="B55" s="1">
        <v>1</v>
      </c>
      <c r="C55" s="1" t="s">
        <v>1</v>
      </c>
      <c r="D55" s="1">
        <v>4</v>
      </c>
      <c r="E55" s="1" t="s">
        <v>3</v>
      </c>
      <c r="F55" s="1">
        <v>43</v>
      </c>
      <c r="G55" s="1">
        <v>1</v>
      </c>
    </row>
    <row r="56" spans="1:7" x14ac:dyDescent="0.3">
      <c r="A56" s="1">
        <v>2</v>
      </c>
      <c r="B56" s="1">
        <v>1</v>
      </c>
      <c r="C56" s="1" t="s">
        <v>1</v>
      </c>
      <c r="D56" s="1">
        <v>50</v>
      </c>
      <c r="E56" s="1" t="s">
        <v>3</v>
      </c>
      <c r="F56" s="1">
        <v>54</v>
      </c>
      <c r="G56" s="1">
        <v>1</v>
      </c>
    </row>
    <row r="57" spans="1:7" x14ac:dyDescent="0.3">
      <c r="A57" s="1">
        <v>2</v>
      </c>
      <c r="B57" s="1">
        <v>1</v>
      </c>
      <c r="C57" s="1" t="s">
        <v>1</v>
      </c>
      <c r="D57" s="1">
        <v>3</v>
      </c>
      <c r="E57" s="1" t="s">
        <v>3</v>
      </c>
      <c r="F57" s="1">
        <v>19</v>
      </c>
      <c r="G57" s="1">
        <v>1</v>
      </c>
    </row>
    <row r="58" spans="1:7" x14ac:dyDescent="0.3">
      <c r="A58" s="1">
        <v>2</v>
      </c>
      <c r="B58" s="1">
        <v>1</v>
      </c>
      <c r="C58" s="1" t="s">
        <v>1</v>
      </c>
      <c r="D58" s="1">
        <v>26</v>
      </c>
      <c r="E58" s="1" t="s">
        <v>3</v>
      </c>
      <c r="F58" s="1">
        <v>35</v>
      </c>
      <c r="G58" s="1">
        <v>1</v>
      </c>
    </row>
    <row r="59" spans="1:7" x14ac:dyDescent="0.3">
      <c r="A59" s="1">
        <v>2</v>
      </c>
      <c r="B59" s="1">
        <v>1</v>
      </c>
      <c r="C59" s="1" t="s">
        <v>1</v>
      </c>
      <c r="D59" s="1">
        <v>26</v>
      </c>
      <c r="E59" s="1" t="s">
        <v>3</v>
      </c>
      <c r="F59" s="1">
        <v>27</v>
      </c>
      <c r="G59" s="1">
        <v>1</v>
      </c>
    </row>
    <row r="60" spans="1:7" x14ac:dyDescent="0.3">
      <c r="A60" s="1">
        <v>2</v>
      </c>
      <c r="B60" s="1">
        <v>1</v>
      </c>
      <c r="C60" s="1" t="s">
        <v>1</v>
      </c>
      <c r="D60" s="1">
        <v>9</v>
      </c>
      <c r="E60" s="1" t="s">
        <v>3</v>
      </c>
      <c r="F60" s="1">
        <v>40</v>
      </c>
      <c r="G60" s="1">
        <v>1</v>
      </c>
    </row>
    <row r="61" spans="1:7" x14ac:dyDescent="0.3">
      <c r="A61" s="1">
        <v>2</v>
      </c>
      <c r="B61" s="1">
        <v>1</v>
      </c>
      <c r="C61" s="1" t="s">
        <v>1</v>
      </c>
      <c r="D61" s="1">
        <v>1</v>
      </c>
      <c r="E61" s="1" t="s">
        <v>3</v>
      </c>
      <c r="F61" s="1">
        <v>15</v>
      </c>
      <c r="G61" s="1">
        <v>1</v>
      </c>
    </row>
    <row r="62" spans="1:7" x14ac:dyDescent="0.3">
      <c r="A62" s="1">
        <v>2</v>
      </c>
      <c r="B62" s="1">
        <v>1</v>
      </c>
      <c r="C62" s="1" t="s">
        <v>1</v>
      </c>
      <c r="D62" s="1">
        <v>5</v>
      </c>
      <c r="E62" s="1" t="s">
        <v>3</v>
      </c>
      <c r="F62" s="1">
        <v>24</v>
      </c>
      <c r="G62" s="1">
        <v>1</v>
      </c>
    </row>
    <row r="63" spans="1:7" x14ac:dyDescent="0.3">
      <c r="A63" s="1">
        <v>2</v>
      </c>
      <c r="B63" s="1">
        <v>1</v>
      </c>
      <c r="C63" s="1" t="s">
        <v>1</v>
      </c>
      <c r="D63" s="1">
        <v>19</v>
      </c>
      <c r="E63" s="1" t="s">
        <v>3</v>
      </c>
      <c r="F63" s="1">
        <v>48</v>
      </c>
      <c r="G63" s="1">
        <v>1</v>
      </c>
    </row>
    <row r="64" spans="1:7" x14ac:dyDescent="0.3">
      <c r="A64" s="1">
        <v>2</v>
      </c>
      <c r="B64" s="1">
        <v>1</v>
      </c>
      <c r="C64" s="1" t="s">
        <v>1</v>
      </c>
      <c r="D64" s="1">
        <v>8</v>
      </c>
      <c r="E64" s="1" t="s">
        <v>3</v>
      </c>
      <c r="F64" s="1">
        <v>32</v>
      </c>
      <c r="G64" s="1">
        <v>1</v>
      </c>
    </row>
    <row r="65" spans="1:7" x14ac:dyDescent="0.3">
      <c r="A65" s="1">
        <v>2</v>
      </c>
      <c r="B65" s="1">
        <v>1</v>
      </c>
      <c r="C65" s="1" t="s">
        <v>1</v>
      </c>
      <c r="D65" s="1">
        <v>24</v>
      </c>
      <c r="E65" s="1" t="s">
        <v>3</v>
      </c>
      <c r="F65" s="1">
        <v>45</v>
      </c>
      <c r="G65" s="1">
        <v>1</v>
      </c>
    </row>
    <row r="66" spans="1:7" x14ac:dyDescent="0.3">
      <c r="A66" s="1">
        <v>2</v>
      </c>
      <c r="B66" s="1">
        <v>1</v>
      </c>
      <c r="C66" s="1" t="s">
        <v>1</v>
      </c>
      <c r="D66" s="1">
        <v>0</v>
      </c>
      <c r="E66" s="1" t="s">
        <v>3</v>
      </c>
      <c r="F66" s="1">
        <v>36</v>
      </c>
      <c r="G66" s="1">
        <v>1</v>
      </c>
    </row>
    <row r="67" spans="1:7" x14ac:dyDescent="0.3">
      <c r="A67" s="1">
        <v>2</v>
      </c>
      <c r="B67" s="1">
        <v>1</v>
      </c>
      <c r="C67" s="1" t="s">
        <v>1</v>
      </c>
      <c r="D67" s="1">
        <v>18</v>
      </c>
      <c r="E67" s="1" t="s">
        <v>3</v>
      </c>
      <c r="F67" s="1">
        <v>18</v>
      </c>
      <c r="G67" s="1">
        <v>0</v>
      </c>
    </row>
    <row r="68" spans="1:7" x14ac:dyDescent="0.3">
      <c r="A68" s="1">
        <v>2</v>
      </c>
      <c r="B68" s="1">
        <v>1</v>
      </c>
      <c r="C68" s="1" t="s">
        <v>1</v>
      </c>
      <c r="D68" s="1">
        <v>5</v>
      </c>
      <c r="E68" s="1" t="s">
        <v>3</v>
      </c>
      <c r="F68" s="1">
        <v>56</v>
      </c>
      <c r="G68" s="1">
        <v>1</v>
      </c>
    </row>
    <row r="69" spans="1:7" x14ac:dyDescent="0.3">
      <c r="A69" s="1">
        <v>2</v>
      </c>
      <c r="B69" s="1">
        <v>1</v>
      </c>
      <c r="C69" s="1" t="s">
        <v>1</v>
      </c>
      <c r="D69" s="1">
        <v>5</v>
      </c>
      <c r="E69" s="1" t="s">
        <v>3</v>
      </c>
      <c r="F69" s="1">
        <v>54</v>
      </c>
      <c r="G69" s="1">
        <v>1</v>
      </c>
    </row>
    <row r="70" spans="1:7" x14ac:dyDescent="0.3">
      <c r="A70" s="1">
        <v>2</v>
      </c>
      <c r="B70" s="1">
        <v>1</v>
      </c>
      <c r="C70" s="1" t="s">
        <v>1</v>
      </c>
      <c r="D70" s="1">
        <v>4</v>
      </c>
      <c r="E70" s="1" t="s">
        <v>3</v>
      </c>
      <c r="F70" s="1">
        <v>13</v>
      </c>
      <c r="G70" s="1">
        <v>1</v>
      </c>
    </row>
    <row r="71" spans="1:7" x14ac:dyDescent="0.3">
      <c r="A71" s="1">
        <v>2</v>
      </c>
      <c r="B71" s="1">
        <v>1</v>
      </c>
      <c r="C71" s="1" t="s">
        <v>1</v>
      </c>
      <c r="D71" s="1">
        <v>2</v>
      </c>
      <c r="E71" s="1" t="s">
        <v>3</v>
      </c>
      <c r="F71" s="1">
        <v>31</v>
      </c>
      <c r="G71" s="1">
        <v>1</v>
      </c>
    </row>
    <row r="72" spans="1:7" x14ac:dyDescent="0.3">
      <c r="A72" s="1">
        <v>2</v>
      </c>
      <c r="B72" s="1">
        <v>1</v>
      </c>
      <c r="C72" s="1" t="s">
        <v>1</v>
      </c>
      <c r="D72" s="1">
        <v>9</v>
      </c>
      <c r="E72" s="1" t="s">
        <v>3</v>
      </c>
      <c r="F72" s="1">
        <v>37</v>
      </c>
      <c r="G72" s="1">
        <v>1</v>
      </c>
    </row>
    <row r="73" spans="1:7" x14ac:dyDescent="0.3">
      <c r="A73" s="1">
        <v>2</v>
      </c>
      <c r="B73" s="1">
        <v>1</v>
      </c>
      <c r="C73" s="1" t="s">
        <v>1</v>
      </c>
      <c r="D73" s="1">
        <v>0</v>
      </c>
      <c r="E73" s="1" t="s">
        <v>3</v>
      </c>
      <c r="F73" s="1">
        <v>32</v>
      </c>
      <c r="G73" s="1">
        <v>1</v>
      </c>
    </row>
    <row r="74" spans="1:7" x14ac:dyDescent="0.3">
      <c r="A74" s="1">
        <v>2</v>
      </c>
      <c r="B74" s="1">
        <v>1</v>
      </c>
      <c r="C74" s="1" t="s">
        <v>1</v>
      </c>
      <c r="D74" s="1">
        <v>8</v>
      </c>
      <c r="E74" s="1" t="s">
        <v>3</v>
      </c>
      <c r="F74" s="1">
        <v>24</v>
      </c>
      <c r="G74" s="1">
        <v>1</v>
      </c>
    </row>
    <row r="75" spans="1:7" x14ac:dyDescent="0.3">
      <c r="A75" s="1">
        <v>2</v>
      </c>
      <c r="B75" s="1">
        <v>1</v>
      </c>
      <c r="C75" s="1" t="s">
        <v>1</v>
      </c>
      <c r="D75" s="1">
        <v>4</v>
      </c>
      <c r="E75" s="1" t="s">
        <v>3</v>
      </c>
      <c r="F75" s="1">
        <v>20</v>
      </c>
      <c r="G75" s="1">
        <v>1</v>
      </c>
    </row>
    <row r="76" spans="1:7" x14ac:dyDescent="0.3">
      <c r="A76" s="1">
        <v>2</v>
      </c>
      <c r="B76" s="1">
        <v>1</v>
      </c>
      <c r="C76" s="1" t="s">
        <v>1</v>
      </c>
      <c r="D76" s="1">
        <v>2</v>
      </c>
      <c r="E76" s="1" t="s">
        <v>3</v>
      </c>
      <c r="F76" s="1">
        <v>30</v>
      </c>
      <c r="G76" s="1">
        <v>1</v>
      </c>
    </row>
    <row r="77" spans="1:7" x14ac:dyDescent="0.3">
      <c r="A77" s="1">
        <v>2</v>
      </c>
      <c r="B77" s="1">
        <v>1</v>
      </c>
      <c r="C77" s="1" t="s">
        <v>1</v>
      </c>
      <c r="D77" s="1">
        <v>35</v>
      </c>
      <c r="E77" s="1" t="s">
        <v>3</v>
      </c>
      <c r="F77" s="1">
        <v>34</v>
      </c>
      <c r="G77" s="1">
        <v>0</v>
      </c>
    </row>
    <row r="78" spans="1:7" x14ac:dyDescent="0.3">
      <c r="A78" s="1">
        <v>2</v>
      </c>
      <c r="B78" s="1">
        <v>1</v>
      </c>
      <c r="C78" s="1" t="s">
        <v>1</v>
      </c>
      <c r="D78" s="1">
        <v>3</v>
      </c>
      <c r="E78" s="1" t="s">
        <v>3</v>
      </c>
      <c r="F78" s="1">
        <v>6</v>
      </c>
      <c r="G78" s="1">
        <v>1</v>
      </c>
    </row>
    <row r="79" spans="1:7" x14ac:dyDescent="0.3">
      <c r="A79" s="1">
        <v>2</v>
      </c>
      <c r="B79" s="1">
        <v>1</v>
      </c>
      <c r="C79" s="1" t="s">
        <v>1</v>
      </c>
      <c r="D79" s="1">
        <v>25</v>
      </c>
      <c r="E79" s="1" t="s">
        <v>3</v>
      </c>
      <c r="F79" s="1">
        <v>52</v>
      </c>
      <c r="G79" s="1">
        <v>1</v>
      </c>
    </row>
    <row r="80" spans="1:7" x14ac:dyDescent="0.3">
      <c r="A80" s="1">
        <v>2</v>
      </c>
      <c r="B80" s="1">
        <v>1</v>
      </c>
      <c r="C80" s="1" t="s">
        <v>1</v>
      </c>
      <c r="D80" s="1">
        <v>6</v>
      </c>
      <c r="E80" s="1" t="s">
        <v>3</v>
      </c>
      <c r="F80" s="1">
        <v>29</v>
      </c>
      <c r="G80" s="1">
        <v>1</v>
      </c>
    </row>
    <row r="81" spans="1:7" x14ac:dyDescent="0.3">
      <c r="A81" s="1">
        <v>2</v>
      </c>
      <c r="B81" s="1">
        <v>1</v>
      </c>
      <c r="C81" s="1" t="s">
        <v>1</v>
      </c>
      <c r="D81" s="1">
        <v>33</v>
      </c>
      <c r="E81" s="1" t="s">
        <v>3</v>
      </c>
      <c r="F81" s="1">
        <v>39</v>
      </c>
      <c r="G81" s="1">
        <v>1</v>
      </c>
    </row>
    <row r="82" spans="1:7" x14ac:dyDescent="0.3">
      <c r="A82" s="1">
        <v>2</v>
      </c>
      <c r="B82" s="1">
        <v>1</v>
      </c>
      <c r="C82" s="1" t="s">
        <v>1</v>
      </c>
      <c r="D82" s="1">
        <v>11</v>
      </c>
      <c r="E82" s="1" t="s">
        <v>3</v>
      </c>
      <c r="F82" s="1">
        <v>22</v>
      </c>
      <c r="G82" s="1">
        <v>1</v>
      </c>
    </row>
    <row r="83" spans="1:7" x14ac:dyDescent="0.3">
      <c r="A83" s="1">
        <v>2</v>
      </c>
      <c r="B83" s="1">
        <v>1</v>
      </c>
      <c r="C83" s="1" t="s">
        <v>1</v>
      </c>
      <c r="D83" s="1">
        <v>55</v>
      </c>
      <c r="E83" s="1" t="s">
        <v>3</v>
      </c>
      <c r="F83" s="1">
        <v>27</v>
      </c>
      <c r="G83" s="1">
        <v>0</v>
      </c>
    </row>
    <row r="84" spans="1:7" x14ac:dyDescent="0.3">
      <c r="A84" s="1">
        <v>2</v>
      </c>
      <c r="B84" s="1">
        <v>1</v>
      </c>
      <c r="C84" s="1" t="s">
        <v>1</v>
      </c>
      <c r="D84" s="1">
        <v>0</v>
      </c>
      <c r="E84" s="1" t="s">
        <v>3</v>
      </c>
      <c r="F84" s="1">
        <v>33</v>
      </c>
      <c r="G84" s="1">
        <v>1</v>
      </c>
    </row>
    <row r="85" spans="1:7" x14ac:dyDescent="0.3">
      <c r="A85" s="1">
        <v>2</v>
      </c>
      <c r="B85" s="1">
        <v>1</v>
      </c>
      <c r="C85" s="1" t="s">
        <v>1</v>
      </c>
      <c r="D85" s="1">
        <v>4</v>
      </c>
      <c r="E85" s="1" t="s">
        <v>3</v>
      </c>
      <c r="F85" s="1">
        <v>21</v>
      </c>
      <c r="G85" s="1">
        <v>1</v>
      </c>
    </row>
    <row r="86" spans="1:7" x14ac:dyDescent="0.3">
      <c r="A86" s="1">
        <v>2</v>
      </c>
      <c r="B86" s="1">
        <v>1</v>
      </c>
      <c r="C86" s="1" t="s">
        <v>1</v>
      </c>
      <c r="D86" s="1">
        <v>0</v>
      </c>
      <c r="E86" s="1" t="s">
        <v>3</v>
      </c>
      <c r="F86" s="1">
        <v>27</v>
      </c>
      <c r="G86" s="1">
        <v>1</v>
      </c>
    </row>
    <row r="87" spans="1:7" x14ac:dyDescent="0.3">
      <c r="A87" s="1">
        <v>2</v>
      </c>
      <c r="B87" s="1">
        <v>1</v>
      </c>
      <c r="C87" s="1" t="s">
        <v>1</v>
      </c>
      <c r="D87" s="1">
        <v>15</v>
      </c>
      <c r="E87" s="1" t="s">
        <v>3</v>
      </c>
      <c r="F87" s="1">
        <v>40</v>
      </c>
      <c r="G87" s="1">
        <v>1</v>
      </c>
    </row>
    <row r="88" spans="1:7" x14ac:dyDescent="0.3">
      <c r="A88" s="1">
        <v>2</v>
      </c>
      <c r="B88" s="1">
        <v>1</v>
      </c>
      <c r="C88" s="1" t="s">
        <v>1</v>
      </c>
      <c r="D88" s="1">
        <v>0</v>
      </c>
      <c r="E88" s="1" t="s">
        <v>3</v>
      </c>
      <c r="F88" s="1">
        <v>18</v>
      </c>
      <c r="G88" s="1">
        <v>1</v>
      </c>
    </row>
    <row r="89" spans="1:7" x14ac:dyDescent="0.3">
      <c r="A89" s="1">
        <v>2</v>
      </c>
      <c r="B89" s="1">
        <v>1</v>
      </c>
      <c r="C89" s="1" t="s">
        <v>1</v>
      </c>
      <c r="D89" s="1">
        <v>0</v>
      </c>
      <c r="E89" s="1" t="s">
        <v>3</v>
      </c>
      <c r="F89" s="1">
        <v>21</v>
      </c>
      <c r="G89" s="1">
        <v>1</v>
      </c>
    </row>
    <row r="90" spans="1:7" x14ac:dyDescent="0.3">
      <c r="A90" s="1">
        <v>2</v>
      </c>
      <c r="B90" s="1">
        <v>1</v>
      </c>
      <c r="C90" s="1" t="s">
        <v>1</v>
      </c>
      <c r="D90" s="1">
        <v>3</v>
      </c>
      <c r="E90" s="1" t="s">
        <v>3</v>
      </c>
      <c r="F90" s="1">
        <v>21</v>
      </c>
      <c r="G90" s="1">
        <v>1</v>
      </c>
    </row>
    <row r="91" spans="1:7" x14ac:dyDescent="0.3">
      <c r="A91" s="1">
        <v>2</v>
      </c>
      <c r="B91" s="1">
        <v>1</v>
      </c>
      <c r="C91" s="1" t="s">
        <v>1</v>
      </c>
      <c r="D91" s="1">
        <v>33</v>
      </c>
      <c r="E91" s="1" t="s">
        <v>3</v>
      </c>
      <c r="F91" s="1">
        <v>44</v>
      </c>
      <c r="G91" s="1">
        <v>1</v>
      </c>
    </row>
    <row r="92" spans="1:7" x14ac:dyDescent="0.3">
      <c r="A92" s="1">
        <v>2</v>
      </c>
      <c r="B92" s="1">
        <v>1</v>
      </c>
      <c r="C92" s="1" t="s">
        <v>1</v>
      </c>
      <c r="D92" s="1">
        <v>0</v>
      </c>
      <c r="E92" s="1" t="s">
        <v>3</v>
      </c>
      <c r="F92" s="1">
        <v>34</v>
      </c>
      <c r="G92" s="1">
        <v>1</v>
      </c>
    </row>
    <row r="93" spans="1:7" x14ac:dyDescent="0.3">
      <c r="A93" s="1">
        <v>2</v>
      </c>
      <c r="B93" s="1">
        <v>1</v>
      </c>
      <c r="C93" s="1" t="s">
        <v>1</v>
      </c>
      <c r="D93" s="1">
        <v>3</v>
      </c>
      <c r="E93" s="1" t="s">
        <v>3</v>
      </c>
      <c r="F93" s="1">
        <v>22</v>
      </c>
      <c r="G93" s="1">
        <v>1</v>
      </c>
    </row>
    <row r="94" spans="1:7" x14ac:dyDescent="0.3">
      <c r="A94" s="1">
        <v>2</v>
      </c>
      <c r="B94" s="1">
        <v>1</v>
      </c>
      <c r="C94" s="1" t="s">
        <v>1</v>
      </c>
      <c r="D94" s="1">
        <v>9</v>
      </c>
      <c r="E94" s="1" t="s">
        <v>3</v>
      </c>
      <c r="F94" s="1">
        <v>9</v>
      </c>
      <c r="G94" s="1">
        <v>0</v>
      </c>
    </row>
    <row r="95" spans="1:7" x14ac:dyDescent="0.3">
      <c r="A95" s="1">
        <v>2</v>
      </c>
      <c r="B95" s="1">
        <v>1</v>
      </c>
      <c r="C95" s="1" t="s">
        <v>1</v>
      </c>
      <c r="D95" s="1">
        <v>9</v>
      </c>
      <c r="E95" s="1" t="s">
        <v>3</v>
      </c>
      <c r="F95" s="1">
        <v>25</v>
      </c>
      <c r="G95" s="1">
        <v>1</v>
      </c>
    </row>
    <row r="96" spans="1:7" x14ac:dyDescent="0.3">
      <c r="A96" s="1">
        <v>2</v>
      </c>
      <c r="B96" s="1">
        <v>1</v>
      </c>
      <c r="C96" s="1" t="s">
        <v>1</v>
      </c>
      <c r="D96" s="1">
        <v>9</v>
      </c>
      <c r="E96" s="1" t="s">
        <v>3</v>
      </c>
      <c r="F96" s="1">
        <v>20</v>
      </c>
      <c r="G96" s="1">
        <v>1</v>
      </c>
    </row>
    <row r="97" spans="1:7" x14ac:dyDescent="0.3">
      <c r="A97" s="1">
        <v>2</v>
      </c>
      <c r="B97" s="1">
        <v>1</v>
      </c>
      <c r="C97" s="1" t="s">
        <v>1</v>
      </c>
      <c r="D97" s="1">
        <v>2</v>
      </c>
      <c r="E97" s="1" t="s">
        <v>3</v>
      </c>
      <c r="F97" s="1">
        <v>18</v>
      </c>
      <c r="G97" s="1">
        <v>1</v>
      </c>
    </row>
    <row r="98" spans="1:7" x14ac:dyDescent="0.3">
      <c r="A98" s="1">
        <v>2</v>
      </c>
      <c r="B98" s="1">
        <v>1</v>
      </c>
      <c r="C98" s="1" t="s">
        <v>1</v>
      </c>
      <c r="D98" s="1">
        <v>17</v>
      </c>
      <c r="E98" s="1" t="s">
        <v>3</v>
      </c>
      <c r="F98" s="1">
        <v>15</v>
      </c>
      <c r="G98" s="1">
        <v>0</v>
      </c>
    </row>
    <row r="99" spans="1:7" x14ac:dyDescent="0.3">
      <c r="A99" s="1">
        <v>2</v>
      </c>
      <c r="B99" s="1">
        <v>1</v>
      </c>
      <c r="C99" s="1" t="s">
        <v>1</v>
      </c>
      <c r="D99" s="1">
        <v>11</v>
      </c>
      <c r="E99" s="1" t="s">
        <v>3</v>
      </c>
      <c r="F99" s="1">
        <v>49</v>
      </c>
      <c r="G99" s="1">
        <v>1</v>
      </c>
    </row>
    <row r="100" spans="1:7" x14ac:dyDescent="0.3">
      <c r="A100" s="1">
        <v>2</v>
      </c>
      <c r="B100" s="1">
        <v>1</v>
      </c>
      <c r="C100" s="1" t="s">
        <v>1</v>
      </c>
      <c r="D100" s="1">
        <v>9</v>
      </c>
      <c r="E100" s="1" t="s">
        <v>3</v>
      </c>
      <c r="F100" s="1">
        <v>10</v>
      </c>
      <c r="G100" s="1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35905-3A8E-4B7A-8B69-63938562E9D4}">
  <dimension ref="A1:Q100"/>
  <sheetViews>
    <sheetView topLeftCell="F1" workbookViewId="0">
      <selection activeCell="N21" sqref="N21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1</v>
      </c>
      <c r="D1" s="1">
        <v>28</v>
      </c>
      <c r="E1" s="1" t="s">
        <v>4</v>
      </c>
      <c r="F1" s="1">
        <v>31</v>
      </c>
      <c r="G1" s="1">
        <v>1</v>
      </c>
      <c r="I1" s="2"/>
      <c r="J1" s="3"/>
      <c r="K1" s="4" t="s">
        <v>7</v>
      </c>
      <c r="L1" s="4"/>
      <c r="M1" s="5" t="s">
        <v>8</v>
      </c>
      <c r="N1" s="5"/>
      <c r="O1" s="5" t="s">
        <v>9</v>
      </c>
      <c r="P1" s="5"/>
      <c r="Q1"/>
    </row>
    <row r="2" spans="1:17" x14ac:dyDescent="0.3">
      <c r="A2" s="1">
        <v>2</v>
      </c>
      <c r="B2" s="1">
        <v>0</v>
      </c>
      <c r="C2" s="1" t="s">
        <v>1</v>
      </c>
      <c r="D2" s="1">
        <v>8</v>
      </c>
      <c r="E2" s="1" t="s">
        <v>4</v>
      </c>
      <c r="F2" s="1">
        <v>34</v>
      </c>
      <c r="G2" s="1">
        <v>1</v>
      </c>
      <c r="I2" s="6"/>
      <c r="J2" s="7"/>
      <c r="K2" s="4"/>
      <c r="L2" s="4"/>
      <c r="M2" s="5"/>
      <c r="N2" s="5"/>
      <c r="O2" s="5"/>
      <c r="P2" s="5"/>
      <c r="Q2" s="8" t="s">
        <v>10</v>
      </c>
    </row>
    <row r="3" spans="1:17" x14ac:dyDescent="0.3">
      <c r="A3" s="1">
        <v>2</v>
      </c>
      <c r="B3" s="1">
        <v>0</v>
      </c>
      <c r="C3" s="1" t="s">
        <v>1</v>
      </c>
      <c r="D3" s="1">
        <v>19</v>
      </c>
      <c r="E3" s="1" t="s">
        <v>4</v>
      </c>
      <c r="F3" s="1">
        <v>16</v>
      </c>
      <c r="G3" s="1">
        <v>0</v>
      </c>
      <c r="I3" s="5" t="s">
        <v>11</v>
      </c>
      <c r="J3" s="5"/>
      <c r="K3" s="9">
        <f>COUNTIF($G$1:$G$100, 0)</f>
        <v>33</v>
      </c>
      <c r="L3" s="9"/>
      <c r="M3" s="9">
        <f>COUNTIFS($G$1:$G$100, 0, $B$1:$B$100, 0)</f>
        <v>13</v>
      </c>
      <c r="N3" s="9"/>
      <c r="O3" s="10">
        <f>COUNTIFS($G$1:$G$100, 0, $B$1:$B$100, 1)</f>
        <v>20</v>
      </c>
      <c r="P3" s="11"/>
      <c r="Q3" s="12" cm="1">
        <f t="array" ref="Q3">SUMPRODUCT(--($D$1:$D$100=$G$1:$G$100))</f>
        <v>1</v>
      </c>
    </row>
    <row r="4" spans="1:17" x14ac:dyDescent="0.3">
      <c r="A4" s="1">
        <v>2</v>
      </c>
      <c r="B4" s="1">
        <v>0</v>
      </c>
      <c r="C4" s="1" t="s">
        <v>1</v>
      </c>
      <c r="D4" s="1">
        <v>6</v>
      </c>
      <c r="E4" s="1" t="s">
        <v>4</v>
      </c>
      <c r="F4" s="1">
        <v>35</v>
      </c>
      <c r="G4" s="1">
        <v>1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1</v>
      </c>
      <c r="D5" s="1">
        <v>0</v>
      </c>
      <c r="E5" s="1" t="s">
        <v>4</v>
      </c>
      <c r="F5" s="1">
        <v>46</v>
      </c>
      <c r="G5" s="1">
        <v>1</v>
      </c>
      <c r="I5" s="5" t="s">
        <v>12</v>
      </c>
      <c r="J5" s="5"/>
      <c r="K5" s="14">
        <f>COUNTIF($G$1:$G$100, 1)</f>
        <v>67</v>
      </c>
      <c r="L5" s="9"/>
      <c r="M5" s="9">
        <f>COUNTIFS($G$1:$G$100, 1, $B$1:$B$100, 0)</f>
        <v>37</v>
      </c>
      <c r="N5" s="9"/>
      <c r="O5" s="9">
        <f>COUNTIFS($G$1:$G$100, 1, $B$1:$B$100, 1)</f>
        <v>30</v>
      </c>
      <c r="P5" s="13"/>
      <c r="Q5"/>
    </row>
    <row r="6" spans="1:17" x14ac:dyDescent="0.3">
      <c r="A6" s="1">
        <v>2</v>
      </c>
      <c r="B6" s="1">
        <v>0</v>
      </c>
      <c r="C6" s="1" t="s">
        <v>1</v>
      </c>
      <c r="D6" s="1">
        <v>35</v>
      </c>
      <c r="E6" s="1" t="s">
        <v>4</v>
      </c>
      <c r="F6" s="1">
        <v>44</v>
      </c>
      <c r="G6" s="1">
        <v>1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1</v>
      </c>
      <c r="D7" s="1">
        <v>14</v>
      </c>
      <c r="E7" s="1" t="s">
        <v>4</v>
      </c>
      <c r="F7" s="1">
        <v>6</v>
      </c>
      <c r="G7" s="1">
        <v>0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1</v>
      </c>
      <c r="D8" s="1">
        <v>22</v>
      </c>
      <c r="E8" s="1" t="s">
        <v>4</v>
      </c>
      <c r="F8" s="1">
        <v>51</v>
      </c>
      <c r="G8" s="1">
        <v>1</v>
      </c>
      <c r="I8" s="19"/>
      <c r="J8" s="20"/>
      <c r="K8" s="21" t="s">
        <v>7</v>
      </c>
      <c r="L8" s="21"/>
      <c r="M8" s="21" t="s">
        <v>13</v>
      </c>
      <c r="N8" s="21"/>
      <c r="O8" s="21" t="s">
        <v>14</v>
      </c>
      <c r="P8" s="21"/>
      <c r="Q8"/>
    </row>
    <row r="9" spans="1:17" x14ac:dyDescent="0.3">
      <c r="A9" s="1">
        <v>2</v>
      </c>
      <c r="B9" s="1">
        <v>0</v>
      </c>
      <c r="C9" s="1" t="s">
        <v>1</v>
      </c>
      <c r="D9" s="1">
        <v>28</v>
      </c>
      <c r="E9" s="1" t="s">
        <v>4</v>
      </c>
      <c r="F9" s="1">
        <v>35</v>
      </c>
      <c r="G9" s="1">
        <v>1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1</v>
      </c>
      <c r="D10" s="1">
        <v>21</v>
      </c>
      <c r="E10" s="1" t="s">
        <v>4</v>
      </c>
      <c r="F10" s="1">
        <v>17</v>
      </c>
      <c r="G10" s="1">
        <v>0</v>
      </c>
      <c r="I10" s="5" t="s">
        <v>15</v>
      </c>
      <c r="J10" s="5"/>
      <c r="K10" s="9">
        <f>AVERAGE($D$1:$D$100,)</f>
        <v>20.772277227722771</v>
      </c>
      <c r="L10" s="9"/>
      <c r="M10" s="9" cm="1">
        <f t="array" ref="M10">AVERAGE(_xlfn._xlws.FILTER($D$1:$D$100,$G$1:$G$100 = 0))</f>
        <v>32.393939393939391</v>
      </c>
      <c r="N10" s="9"/>
      <c r="O10" s="10" cm="1">
        <f t="array" ref="O10">AVERAGE(_xlfn._xlws.FILTER($D$1:$D$100,$G$1:$G$100 = 1))</f>
        <v>15.35820895522388</v>
      </c>
      <c r="P10" s="11"/>
      <c r="Q10"/>
    </row>
    <row r="11" spans="1:17" x14ac:dyDescent="0.3">
      <c r="A11" s="1">
        <v>2</v>
      </c>
      <c r="B11" s="1">
        <v>0</v>
      </c>
      <c r="C11" s="1" t="s">
        <v>1</v>
      </c>
      <c r="D11" s="1">
        <v>27</v>
      </c>
      <c r="E11" s="1" t="s">
        <v>4</v>
      </c>
      <c r="F11" s="1">
        <v>21</v>
      </c>
      <c r="G11" s="1">
        <v>0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1</v>
      </c>
      <c r="D12" s="1">
        <v>22</v>
      </c>
      <c r="E12" s="1" t="s">
        <v>4</v>
      </c>
      <c r="F12" s="1">
        <v>32</v>
      </c>
      <c r="G12" s="1">
        <v>1</v>
      </c>
      <c r="I12" s="5" t="s">
        <v>16</v>
      </c>
      <c r="J12" s="5"/>
      <c r="K12" s="9">
        <f>AVERAGE($F$1:$F$100,)</f>
        <v>29.257425742574256</v>
      </c>
      <c r="L12" s="9"/>
      <c r="M12" s="9" cm="1">
        <f t="array" ref="M12">AVERAGE(_xlfn._xlws.FILTER($F$1:$F$100,$G$1:$G$100 = 0))</f>
        <v>19.696969696969695</v>
      </c>
      <c r="N12" s="9"/>
      <c r="O12" s="9" cm="1">
        <f t="array" ref="O12">AVERAGE(_xlfn._xlws.FILTER($F$1:$F$100,$G$1:$G$100 = 1))</f>
        <v>34.402985074626862</v>
      </c>
      <c r="P12" s="13"/>
      <c r="Q12"/>
    </row>
    <row r="13" spans="1:17" x14ac:dyDescent="0.3">
      <c r="A13" s="1">
        <v>2</v>
      </c>
      <c r="B13" s="1">
        <v>0</v>
      </c>
      <c r="C13" s="1" t="s">
        <v>1</v>
      </c>
      <c r="D13" s="1">
        <v>18</v>
      </c>
      <c r="E13" s="1" t="s">
        <v>4</v>
      </c>
      <c r="F13" s="1">
        <v>28</v>
      </c>
      <c r="G13" s="1">
        <v>1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1</v>
      </c>
      <c r="D14" s="1">
        <v>43</v>
      </c>
      <c r="E14" s="1" t="s">
        <v>4</v>
      </c>
      <c r="F14" s="1">
        <v>9</v>
      </c>
      <c r="G14" s="1">
        <v>0</v>
      </c>
      <c r="I14" s="22" t="s">
        <v>17</v>
      </c>
      <c r="J14" s="11"/>
      <c r="K14" s="23" cm="1">
        <f t="array" ref="K14">AVERAGE($D$1:$D$100 - $F$1:$F$100)</f>
        <v>-8.57</v>
      </c>
      <c r="L14" s="23"/>
      <c r="M14" s="23" cm="1">
        <f t="array" ref="M14">AVERAGE(_xlfn._xlws.FILTER($D$1:$D$100 - $F$1:$F$100, G$1:G$100 = 0))</f>
        <v>12.696969696969697</v>
      </c>
      <c r="N14" s="23"/>
      <c r="O14" s="23" cm="1">
        <f t="array" ref="O14">AVERAGE(_xlfn._xlws.FILTER($D$1:$D$100 - $F$1:$F$100, G$1:G$100 = 1))</f>
        <v>-19.044776119402986</v>
      </c>
      <c r="P14" s="24"/>
      <c r="Q14"/>
    </row>
    <row r="15" spans="1:17" x14ac:dyDescent="0.3">
      <c r="A15" s="1">
        <v>2</v>
      </c>
      <c r="B15" s="1">
        <v>0</v>
      </c>
      <c r="C15" s="1" t="s">
        <v>1</v>
      </c>
      <c r="D15" s="1">
        <v>31</v>
      </c>
      <c r="E15" s="1" t="s">
        <v>4</v>
      </c>
      <c r="F15" s="1">
        <v>37</v>
      </c>
      <c r="G15" s="1">
        <v>1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1</v>
      </c>
      <c r="D16" s="1">
        <v>11</v>
      </c>
      <c r="E16" s="1" t="s">
        <v>4</v>
      </c>
      <c r="F16" s="1">
        <v>29</v>
      </c>
      <c r="G16" s="1">
        <v>1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1</v>
      </c>
      <c r="D17" s="1">
        <v>18</v>
      </c>
      <c r="E17" s="1" t="s">
        <v>4</v>
      </c>
      <c r="F17" s="1">
        <v>47</v>
      </c>
      <c r="G17" s="1">
        <v>1</v>
      </c>
    </row>
    <row r="18" spans="1:7" x14ac:dyDescent="0.3">
      <c r="A18" s="1">
        <v>2</v>
      </c>
      <c r="B18" s="1">
        <v>0</v>
      </c>
      <c r="C18" s="1" t="s">
        <v>1</v>
      </c>
      <c r="D18" s="1">
        <v>20</v>
      </c>
      <c r="E18" s="1" t="s">
        <v>4</v>
      </c>
      <c r="F18" s="1">
        <v>6</v>
      </c>
      <c r="G18" s="1">
        <v>0</v>
      </c>
    </row>
    <row r="19" spans="1:7" x14ac:dyDescent="0.3">
      <c r="A19" s="1">
        <v>2</v>
      </c>
      <c r="B19" s="1">
        <v>0</v>
      </c>
      <c r="C19" s="1" t="s">
        <v>1</v>
      </c>
      <c r="D19" s="1">
        <v>15</v>
      </c>
      <c r="E19" s="1" t="s">
        <v>4</v>
      </c>
      <c r="F19" s="1">
        <v>28</v>
      </c>
      <c r="G19" s="1">
        <v>1</v>
      </c>
    </row>
    <row r="20" spans="1:7" x14ac:dyDescent="0.3">
      <c r="A20" s="1">
        <v>2</v>
      </c>
      <c r="B20" s="1">
        <v>0</v>
      </c>
      <c r="C20" s="1" t="s">
        <v>1</v>
      </c>
      <c r="D20" s="1">
        <v>7</v>
      </c>
      <c r="E20" s="1" t="s">
        <v>4</v>
      </c>
      <c r="F20" s="1">
        <v>29</v>
      </c>
      <c r="G20" s="1">
        <v>1</v>
      </c>
    </row>
    <row r="21" spans="1:7" x14ac:dyDescent="0.3">
      <c r="A21" s="1">
        <v>2</v>
      </c>
      <c r="B21" s="1">
        <v>0</v>
      </c>
      <c r="C21" s="1" t="s">
        <v>1</v>
      </c>
      <c r="D21" s="1">
        <v>13</v>
      </c>
      <c r="E21" s="1" t="s">
        <v>4</v>
      </c>
      <c r="F21" s="1">
        <v>45</v>
      </c>
      <c r="G21" s="1">
        <v>1</v>
      </c>
    </row>
    <row r="22" spans="1:7" x14ac:dyDescent="0.3">
      <c r="A22" s="1">
        <v>2</v>
      </c>
      <c r="B22" s="1">
        <v>0</v>
      </c>
      <c r="C22" s="1" t="s">
        <v>1</v>
      </c>
      <c r="D22" s="1">
        <v>22</v>
      </c>
      <c r="E22" s="1" t="s">
        <v>4</v>
      </c>
      <c r="F22" s="1">
        <v>49</v>
      </c>
      <c r="G22" s="1">
        <v>1</v>
      </c>
    </row>
    <row r="23" spans="1:7" x14ac:dyDescent="0.3">
      <c r="A23" s="1">
        <v>2</v>
      </c>
      <c r="B23" s="1">
        <v>0</v>
      </c>
      <c r="C23" s="1" t="s">
        <v>1</v>
      </c>
      <c r="D23" s="1">
        <v>0</v>
      </c>
      <c r="E23" s="1" t="s">
        <v>4</v>
      </c>
      <c r="F23" s="1">
        <v>34</v>
      </c>
      <c r="G23" s="1">
        <v>1</v>
      </c>
    </row>
    <row r="24" spans="1:7" x14ac:dyDescent="0.3">
      <c r="A24" s="1">
        <v>2</v>
      </c>
      <c r="B24" s="1">
        <v>0</v>
      </c>
      <c r="C24" s="1" t="s">
        <v>1</v>
      </c>
      <c r="D24" s="1">
        <v>6</v>
      </c>
      <c r="E24" s="1" t="s">
        <v>4</v>
      </c>
      <c r="F24" s="1">
        <v>36</v>
      </c>
      <c r="G24" s="1">
        <v>1</v>
      </c>
    </row>
    <row r="25" spans="1:7" x14ac:dyDescent="0.3">
      <c r="A25" s="1">
        <v>2</v>
      </c>
      <c r="B25" s="1">
        <v>0</v>
      </c>
      <c r="C25" s="1" t="s">
        <v>1</v>
      </c>
      <c r="D25" s="1">
        <v>25</v>
      </c>
      <c r="E25" s="1" t="s">
        <v>4</v>
      </c>
      <c r="F25" s="1">
        <v>27</v>
      </c>
      <c r="G25" s="1">
        <v>1</v>
      </c>
    </row>
    <row r="26" spans="1:7" x14ac:dyDescent="0.3">
      <c r="A26" s="1">
        <v>2</v>
      </c>
      <c r="B26" s="1">
        <v>0</v>
      </c>
      <c r="C26" s="1" t="s">
        <v>1</v>
      </c>
      <c r="D26" s="1">
        <v>11</v>
      </c>
      <c r="E26" s="1" t="s">
        <v>4</v>
      </c>
      <c r="F26" s="1">
        <v>28</v>
      </c>
      <c r="G26" s="1">
        <v>1</v>
      </c>
    </row>
    <row r="27" spans="1:7" x14ac:dyDescent="0.3">
      <c r="A27" s="1">
        <v>2</v>
      </c>
      <c r="B27" s="1">
        <v>0</v>
      </c>
      <c r="C27" s="1" t="s">
        <v>1</v>
      </c>
      <c r="D27" s="1">
        <v>1</v>
      </c>
      <c r="E27" s="1" t="s">
        <v>4</v>
      </c>
      <c r="F27" s="1">
        <v>8</v>
      </c>
      <c r="G27" s="1">
        <v>1</v>
      </c>
    </row>
    <row r="28" spans="1:7" x14ac:dyDescent="0.3">
      <c r="A28" s="1">
        <v>2</v>
      </c>
      <c r="B28" s="1">
        <v>0</v>
      </c>
      <c r="C28" s="1" t="s">
        <v>1</v>
      </c>
      <c r="D28" s="1">
        <v>39</v>
      </c>
      <c r="E28" s="1" t="s">
        <v>4</v>
      </c>
      <c r="F28" s="1">
        <v>28</v>
      </c>
      <c r="G28" s="1">
        <v>0</v>
      </c>
    </row>
    <row r="29" spans="1:7" x14ac:dyDescent="0.3">
      <c r="A29" s="1">
        <v>2</v>
      </c>
      <c r="B29" s="1">
        <v>0</v>
      </c>
      <c r="C29" s="1" t="s">
        <v>1</v>
      </c>
      <c r="D29" s="1">
        <v>43</v>
      </c>
      <c r="E29" s="1" t="s">
        <v>4</v>
      </c>
      <c r="F29" s="1">
        <v>30</v>
      </c>
      <c r="G29" s="1">
        <v>0</v>
      </c>
    </row>
    <row r="30" spans="1:7" x14ac:dyDescent="0.3">
      <c r="A30" s="1">
        <v>2</v>
      </c>
      <c r="B30" s="1">
        <v>0</v>
      </c>
      <c r="C30" s="1" t="s">
        <v>1</v>
      </c>
      <c r="D30" s="1">
        <v>30</v>
      </c>
      <c r="E30" s="1" t="s">
        <v>4</v>
      </c>
      <c r="F30" s="1">
        <v>37</v>
      </c>
      <c r="G30" s="1">
        <v>1</v>
      </c>
    </row>
    <row r="31" spans="1:7" x14ac:dyDescent="0.3">
      <c r="A31" s="1">
        <v>2</v>
      </c>
      <c r="B31" s="1">
        <v>0</v>
      </c>
      <c r="C31" s="1" t="s">
        <v>1</v>
      </c>
      <c r="D31" s="1">
        <v>12</v>
      </c>
      <c r="E31" s="1" t="s">
        <v>4</v>
      </c>
      <c r="F31" s="1">
        <v>14</v>
      </c>
      <c r="G31" s="1">
        <v>1</v>
      </c>
    </row>
    <row r="32" spans="1:7" x14ac:dyDescent="0.3">
      <c r="A32" s="1">
        <v>2</v>
      </c>
      <c r="B32" s="1">
        <v>0</v>
      </c>
      <c r="C32" s="1" t="s">
        <v>1</v>
      </c>
      <c r="D32" s="1">
        <v>13</v>
      </c>
      <c r="E32" s="1" t="s">
        <v>4</v>
      </c>
      <c r="F32" s="1">
        <v>41</v>
      </c>
      <c r="G32" s="1">
        <v>1</v>
      </c>
    </row>
    <row r="33" spans="1:7" x14ac:dyDescent="0.3">
      <c r="A33" s="1">
        <v>2</v>
      </c>
      <c r="B33" s="1">
        <v>0</v>
      </c>
      <c r="C33" s="1" t="s">
        <v>1</v>
      </c>
      <c r="D33" s="1">
        <v>18</v>
      </c>
      <c r="E33" s="1" t="s">
        <v>4</v>
      </c>
      <c r="F33" s="1">
        <v>36</v>
      </c>
      <c r="G33" s="1">
        <v>1</v>
      </c>
    </row>
    <row r="34" spans="1:7" x14ac:dyDescent="0.3">
      <c r="A34" s="1">
        <v>2</v>
      </c>
      <c r="B34" s="1">
        <v>0</v>
      </c>
      <c r="C34" s="1" t="s">
        <v>1</v>
      </c>
      <c r="D34" s="1">
        <v>21</v>
      </c>
      <c r="E34" s="1" t="s">
        <v>4</v>
      </c>
      <c r="F34" s="1">
        <v>53</v>
      </c>
      <c r="G34" s="1">
        <v>1</v>
      </c>
    </row>
    <row r="35" spans="1:7" x14ac:dyDescent="0.3">
      <c r="A35" s="1">
        <v>2</v>
      </c>
      <c r="B35" s="1">
        <v>0</v>
      </c>
      <c r="C35" s="1" t="s">
        <v>1</v>
      </c>
      <c r="D35" s="1">
        <v>9</v>
      </c>
      <c r="E35" s="1" t="s">
        <v>4</v>
      </c>
      <c r="F35" s="1">
        <v>12</v>
      </c>
      <c r="G35" s="1">
        <v>1</v>
      </c>
    </row>
    <row r="36" spans="1:7" x14ac:dyDescent="0.3">
      <c r="A36" s="1">
        <v>2</v>
      </c>
      <c r="B36" s="1">
        <v>0</v>
      </c>
      <c r="C36" s="1" t="s">
        <v>1</v>
      </c>
      <c r="D36" s="1">
        <v>21</v>
      </c>
      <c r="E36" s="1" t="s">
        <v>4</v>
      </c>
      <c r="F36" s="1">
        <v>25</v>
      </c>
      <c r="G36" s="1">
        <v>1</v>
      </c>
    </row>
    <row r="37" spans="1:7" x14ac:dyDescent="0.3">
      <c r="A37" s="1">
        <v>2</v>
      </c>
      <c r="B37" s="1">
        <v>0</v>
      </c>
      <c r="C37" s="1" t="s">
        <v>1</v>
      </c>
      <c r="D37" s="1">
        <v>35</v>
      </c>
      <c r="E37" s="1" t="s">
        <v>4</v>
      </c>
      <c r="F37" s="1">
        <v>36</v>
      </c>
      <c r="G37" s="1">
        <v>1</v>
      </c>
    </row>
    <row r="38" spans="1:7" x14ac:dyDescent="0.3">
      <c r="A38" s="1">
        <v>2</v>
      </c>
      <c r="B38" s="1">
        <v>0</v>
      </c>
      <c r="C38" s="1" t="s">
        <v>1</v>
      </c>
      <c r="D38" s="1">
        <v>14</v>
      </c>
      <c r="E38" s="1" t="s">
        <v>4</v>
      </c>
      <c r="F38" s="1">
        <v>25</v>
      </c>
      <c r="G38" s="1">
        <v>1</v>
      </c>
    </row>
    <row r="39" spans="1:7" x14ac:dyDescent="0.3">
      <c r="A39" s="1">
        <v>2</v>
      </c>
      <c r="B39" s="1">
        <v>0</v>
      </c>
      <c r="C39" s="1" t="s">
        <v>1</v>
      </c>
      <c r="D39" s="1">
        <v>33</v>
      </c>
      <c r="E39" s="1" t="s">
        <v>4</v>
      </c>
      <c r="F39" s="1">
        <v>32</v>
      </c>
      <c r="G39" s="1">
        <v>0</v>
      </c>
    </row>
    <row r="40" spans="1:7" x14ac:dyDescent="0.3">
      <c r="A40" s="1">
        <v>2</v>
      </c>
      <c r="B40" s="1">
        <v>0</v>
      </c>
      <c r="C40" s="1" t="s">
        <v>1</v>
      </c>
      <c r="D40" s="1">
        <v>6</v>
      </c>
      <c r="E40" s="1" t="s">
        <v>4</v>
      </c>
      <c r="F40" s="1">
        <v>38</v>
      </c>
      <c r="G40" s="1">
        <v>1</v>
      </c>
    </row>
    <row r="41" spans="1:7" x14ac:dyDescent="0.3">
      <c r="A41" s="1">
        <v>2</v>
      </c>
      <c r="B41" s="1">
        <v>0</v>
      </c>
      <c r="C41" s="1" t="s">
        <v>1</v>
      </c>
      <c r="D41" s="1">
        <v>15</v>
      </c>
      <c r="E41" s="1" t="s">
        <v>4</v>
      </c>
      <c r="F41" s="1">
        <v>70</v>
      </c>
      <c r="G41" s="1">
        <v>1</v>
      </c>
    </row>
    <row r="42" spans="1:7" x14ac:dyDescent="0.3">
      <c r="A42" s="1">
        <v>2</v>
      </c>
      <c r="B42" s="1">
        <v>0</v>
      </c>
      <c r="C42" s="1" t="s">
        <v>1</v>
      </c>
      <c r="D42" s="1">
        <v>9</v>
      </c>
      <c r="E42" s="1" t="s">
        <v>4</v>
      </c>
      <c r="F42" s="1">
        <v>31</v>
      </c>
      <c r="G42" s="1">
        <v>1</v>
      </c>
    </row>
    <row r="43" spans="1:7" x14ac:dyDescent="0.3">
      <c r="A43" s="1">
        <v>2</v>
      </c>
      <c r="B43" s="1">
        <v>0</v>
      </c>
      <c r="C43" s="1" t="s">
        <v>1</v>
      </c>
      <c r="D43" s="1">
        <v>9</v>
      </c>
      <c r="E43" s="1" t="s">
        <v>4</v>
      </c>
      <c r="F43" s="1">
        <v>8</v>
      </c>
      <c r="G43" s="1">
        <v>0</v>
      </c>
    </row>
    <row r="44" spans="1:7" x14ac:dyDescent="0.3">
      <c r="A44" s="1">
        <v>2</v>
      </c>
      <c r="B44" s="1">
        <v>0</v>
      </c>
      <c r="C44" s="1" t="s">
        <v>1</v>
      </c>
      <c r="D44" s="1">
        <v>19</v>
      </c>
      <c r="E44" s="1" t="s">
        <v>4</v>
      </c>
      <c r="F44" s="1">
        <v>42</v>
      </c>
      <c r="G44" s="1">
        <v>1</v>
      </c>
    </row>
    <row r="45" spans="1:7" x14ac:dyDescent="0.3">
      <c r="A45" s="1">
        <v>2</v>
      </c>
      <c r="B45" s="1">
        <v>0</v>
      </c>
      <c r="C45" s="1" t="s">
        <v>1</v>
      </c>
      <c r="D45" s="1">
        <v>23</v>
      </c>
      <c r="E45" s="1" t="s">
        <v>4</v>
      </c>
      <c r="F45" s="1">
        <v>33</v>
      </c>
      <c r="G45" s="1">
        <v>1</v>
      </c>
    </row>
    <row r="46" spans="1:7" x14ac:dyDescent="0.3">
      <c r="A46" s="1">
        <v>2</v>
      </c>
      <c r="B46" s="1">
        <v>0</v>
      </c>
      <c r="C46" s="1" t="s">
        <v>1</v>
      </c>
      <c r="D46" s="1">
        <v>22</v>
      </c>
      <c r="E46" s="1" t="s">
        <v>4</v>
      </c>
      <c r="F46" s="1">
        <v>11</v>
      </c>
      <c r="G46" s="1">
        <v>0</v>
      </c>
    </row>
    <row r="47" spans="1:7" x14ac:dyDescent="0.3">
      <c r="A47" s="1">
        <v>2</v>
      </c>
      <c r="B47" s="1">
        <v>0</v>
      </c>
      <c r="C47" s="1" t="s">
        <v>1</v>
      </c>
      <c r="D47" s="1">
        <v>7</v>
      </c>
      <c r="E47" s="1" t="s">
        <v>4</v>
      </c>
      <c r="F47" s="1">
        <v>33</v>
      </c>
      <c r="G47" s="1">
        <v>1</v>
      </c>
    </row>
    <row r="48" spans="1:7" x14ac:dyDescent="0.3">
      <c r="A48" s="1">
        <v>2</v>
      </c>
      <c r="B48" s="1">
        <v>0</v>
      </c>
      <c r="C48" s="1" t="s">
        <v>1</v>
      </c>
      <c r="D48" s="1">
        <v>51</v>
      </c>
      <c r="E48" s="1" t="s">
        <v>4</v>
      </c>
      <c r="F48" s="1">
        <v>22</v>
      </c>
      <c r="G48" s="1">
        <v>0</v>
      </c>
    </row>
    <row r="49" spans="1:7" x14ac:dyDescent="0.3">
      <c r="A49" s="1">
        <v>2</v>
      </c>
      <c r="B49" s="1">
        <v>0</v>
      </c>
      <c r="C49" s="1" t="s">
        <v>1</v>
      </c>
      <c r="D49" s="1">
        <v>47</v>
      </c>
      <c r="E49" s="1" t="s">
        <v>4</v>
      </c>
      <c r="F49" s="1">
        <v>22</v>
      </c>
      <c r="G49" s="1">
        <v>0</v>
      </c>
    </row>
    <row r="50" spans="1:7" x14ac:dyDescent="0.3">
      <c r="A50" s="1">
        <v>2</v>
      </c>
      <c r="B50" s="1">
        <v>0</v>
      </c>
      <c r="C50" s="1" t="s">
        <v>1</v>
      </c>
      <c r="D50" s="1">
        <v>3</v>
      </c>
      <c r="E50" s="1" t="s">
        <v>4</v>
      </c>
      <c r="F50" s="1">
        <v>37</v>
      </c>
      <c r="G50" s="1">
        <v>1</v>
      </c>
    </row>
    <row r="51" spans="1:7" x14ac:dyDescent="0.3">
      <c r="A51" s="1">
        <v>2</v>
      </c>
      <c r="B51" s="1">
        <v>1</v>
      </c>
      <c r="C51" s="1" t="s">
        <v>1</v>
      </c>
      <c r="D51" s="1">
        <v>16</v>
      </c>
      <c r="E51" s="1" t="s">
        <v>4</v>
      </c>
      <c r="F51" s="1">
        <v>33</v>
      </c>
      <c r="G51" s="1">
        <v>1</v>
      </c>
    </row>
    <row r="52" spans="1:7" x14ac:dyDescent="0.3">
      <c r="A52" s="1">
        <v>2</v>
      </c>
      <c r="B52" s="1">
        <v>1</v>
      </c>
      <c r="C52" s="1" t="s">
        <v>1</v>
      </c>
      <c r="D52" s="1">
        <v>13</v>
      </c>
      <c r="E52" s="1" t="s">
        <v>4</v>
      </c>
      <c r="F52" s="1">
        <v>29</v>
      </c>
      <c r="G52" s="1">
        <v>1</v>
      </c>
    </row>
    <row r="53" spans="1:7" x14ac:dyDescent="0.3">
      <c r="A53" s="1">
        <v>2</v>
      </c>
      <c r="B53" s="1">
        <v>1</v>
      </c>
      <c r="C53" s="1" t="s">
        <v>1</v>
      </c>
      <c r="D53" s="1">
        <v>15</v>
      </c>
      <c r="E53" s="1" t="s">
        <v>4</v>
      </c>
      <c r="F53" s="1">
        <v>23</v>
      </c>
      <c r="G53" s="1">
        <v>1</v>
      </c>
    </row>
    <row r="54" spans="1:7" x14ac:dyDescent="0.3">
      <c r="A54" s="1">
        <v>2</v>
      </c>
      <c r="B54" s="1">
        <v>1</v>
      </c>
      <c r="C54" s="1" t="s">
        <v>1</v>
      </c>
      <c r="D54" s="1">
        <v>15</v>
      </c>
      <c r="E54" s="1" t="s">
        <v>4</v>
      </c>
      <c r="F54" s="1">
        <v>53</v>
      </c>
      <c r="G54" s="1">
        <v>1</v>
      </c>
    </row>
    <row r="55" spans="1:7" x14ac:dyDescent="0.3">
      <c r="A55" s="1">
        <v>2</v>
      </c>
      <c r="B55" s="1">
        <v>1</v>
      </c>
      <c r="C55" s="1" t="s">
        <v>1</v>
      </c>
      <c r="D55" s="1">
        <v>22</v>
      </c>
      <c r="E55" s="1" t="s">
        <v>4</v>
      </c>
      <c r="F55" s="1">
        <v>14</v>
      </c>
      <c r="G55" s="1">
        <v>0</v>
      </c>
    </row>
    <row r="56" spans="1:7" x14ac:dyDescent="0.3">
      <c r="A56" s="1">
        <v>2</v>
      </c>
      <c r="B56" s="1">
        <v>1</v>
      </c>
      <c r="C56" s="1" t="s">
        <v>1</v>
      </c>
      <c r="D56" s="1">
        <v>17</v>
      </c>
      <c r="E56" s="1" t="s">
        <v>4</v>
      </c>
      <c r="F56" s="1">
        <v>17</v>
      </c>
      <c r="G56" s="1">
        <v>0</v>
      </c>
    </row>
    <row r="57" spans="1:7" x14ac:dyDescent="0.3">
      <c r="A57" s="1">
        <v>2</v>
      </c>
      <c r="B57" s="1">
        <v>1</v>
      </c>
      <c r="C57" s="1" t="s">
        <v>1</v>
      </c>
      <c r="D57" s="1">
        <v>24</v>
      </c>
      <c r="E57" s="1" t="s">
        <v>4</v>
      </c>
      <c r="F57" s="1">
        <v>34</v>
      </c>
      <c r="G57" s="1">
        <v>1</v>
      </c>
    </row>
    <row r="58" spans="1:7" x14ac:dyDescent="0.3">
      <c r="A58" s="1">
        <v>2</v>
      </c>
      <c r="B58" s="1">
        <v>1</v>
      </c>
      <c r="C58" s="1" t="s">
        <v>1</v>
      </c>
      <c r="D58" s="1">
        <v>16</v>
      </c>
      <c r="E58" s="1" t="s">
        <v>4</v>
      </c>
      <c r="F58" s="1">
        <v>18</v>
      </c>
      <c r="G58" s="1">
        <v>1</v>
      </c>
    </row>
    <row r="59" spans="1:7" x14ac:dyDescent="0.3">
      <c r="A59" s="1">
        <v>2</v>
      </c>
      <c r="B59" s="1">
        <v>1</v>
      </c>
      <c r="C59" s="1" t="s">
        <v>1</v>
      </c>
      <c r="D59" s="1">
        <v>24</v>
      </c>
      <c r="E59" s="1" t="s">
        <v>4</v>
      </c>
      <c r="F59" s="1">
        <v>24</v>
      </c>
      <c r="G59" s="1">
        <v>0</v>
      </c>
    </row>
    <row r="60" spans="1:7" x14ac:dyDescent="0.3">
      <c r="A60" s="1">
        <v>2</v>
      </c>
      <c r="B60" s="1">
        <v>1</v>
      </c>
      <c r="C60" s="1" t="s">
        <v>1</v>
      </c>
      <c r="D60" s="1">
        <v>0</v>
      </c>
      <c r="E60" s="1" t="s">
        <v>4</v>
      </c>
      <c r="F60" s="1">
        <v>31</v>
      </c>
      <c r="G60" s="1">
        <v>1</v>
      </c>
    </row>
    <row r="61" spans="1:7" x14ac:dyDescent="0.3">
      <c r="A61" s="1">
        <v>2</v>
      </c>
      <c r="B61" s="1">
        <v>1</v>
      </c>
      <c r="C61" s="1" t="s">
        <v>1</v>
      </c>
      <c r="D61" s="1">
        <v>44</v>
      </c>
      <c r="E61" s="1" t="s">
        <v>4</v>
      </c>
      <c r="F61" s="1">
        <v>20</v>
      </c>
      <c r="G61" s="1">
        <v>0</v>
      </c>
    </row>
    <row r="62" spans="1:7" x14ac:dyDescent="0.3">
      <c r="A62" s="1">
        <v>2</v>
      </c>
      <c r="B62" s="1">
        <v>1</v>
      </c>
      <c r="C62" s="1" t="s">
        <v>1</v>
      </c>
      <c r="D62" s="1">
        <v>40</v>
      </c>
      <c r="E62" s="1" t="s">
        <v>4</v>
      </c>
      <c r="F62" s="1">
        <v>34</v>
      </c>
      <c r="G62" s="1">
        <v>0</v>
      </c>
    </row>
    <row r="63" spans="1:7" x14ac:dyDescent="0.3">
      <c r="A63" s="1">
        <v>2</v>
      </c>
      <c r="B63" s="1">
        <v>1</v>
      </c>
      <c r="C63" s="1" t="s">
        <v>1</v>
      </c>
      <c r="D63" s="1">
        <v>23</v>
      </c>
      <c r="E63" s="1" t="s">
        <v>4</v>
      </c>
      <c r="F63" s="1">
        <v>33</v>
      </c>
      <c r="G63" s="1">
        <v>1</v>
      </c>
    </row>
    <row r="64" spans="1:7" x14ac:dyDescent="0.3">
      <c r="A64" s="1">
        <v>2</v>
      </c>
      <c r="B64" s="1">
        <v>1</v>
      </c>
      <c r="C64" s="1" t="s">
        <v>1</v>
      </c>
      <c r="D64" s="1">
        <v>25</v>
      </c>
      <c r="E64" s="1" t="s">
        <v>4</v>
      </c>
      <c r="F64" s="1">
        <v>31</v>
      </c>
      <c r="G64" s="1">
        <v>1</v>
      </c>
    </row>
    <row r="65" spans="1:7" x14ac:dyDescent="0.3">
      <c r="A65" s="1">
        <v>2</v>
      </c>
      <c r="B65" s="1">
        <v>1</v>
      </c>
      <c r="C65" s="1" t="s">
        <v>1</v>
      </c>
      <c r="D65" s="1">
        <v>45</v>
      </c>
      <c r="E65" s="1" t="s">
        <v>4</v>
      </c>
      <c r="F65" s="1">
        <v>22</v>
      </c>
      <c r="G65" s="1">
        <v>0</v>
      </c>
    </row>
    <row r="66" spans="1:7" x14ac:dyDescent="0.3">
      <c r="A66" s="1">
        <v>2</v>
      </c>
      <c r="B66" s="1">
        <v>1</v>
      </c>
      <c r="C66" s="1" t="s">
        <v>1</v>
      </c>
      <c r="D66" s="1">
        <v>9</v>
      </c>
      <c r="E66" s="1" t="s">
        <v>4</v>
      </c>
      <c r="F66" s="1">
        <v>40</v>
      </c>
      <c r="G66" s="1">
        <v>1</v>
      </c>
    </row>
    <row r="67" spans="1:7" x14ac:dyDescent="0.3">
      <c r="A67" s="1">
        <v>2</v>
      </c>
      <c r="B67" s="1">
        <v>1</v>
      </c>
      <c r="C67" s="1" t="s">
        <v>1</v>
      </c>
      <c r="D67" s="1">
        <v>15</v>
      </c>
      <c r="E67" s="1" t="s">
        <v>4</v>
      </c>
      <c r="F67" s="1">
        <v>42</v>
      </c>
      <c r="G67" s="1">
        <v>1</v>
      </c>
    </row>
    <row r="68" spans="1:7" x14ac:dyDescent="0.3">
      <c r="A68" s="1">
        <v>2</v>
      </c>
      <c r="B68" s="1">
        <v>1</v>
      </c>
      <c r="C68" s="1" t="s">
        <v>1</v>
      </c>
      <c r="D68" s="1">
        <v>8</v>
      </c>
      <c r="E68" s="1" t="s">
        <v>4</v>
      </c>
      <c r="F68" s="1">
        <v>23</v>
      </c>
      <c r="G68" s="1">
        <v>1</v>
      </c>
    </row>
    <row r="69" spans="1:7" x14ac:dyDescent="0.3">
      <c r="A69" s="1">
        <v>2</v>
      </c>
      <c r="B69" s="1">
        <v>1</v>
      </c>
      <c r="C69" s="1" t="s">
        <v>1</v>
      </c>
      <c r="D69" s="1">
        <v>42</v>
      </c>
      <c r="E69" s="1" t="s">
        <v>4</v>
      </c>
      <c r="F69" s="1">
        <v>39</v>
      </c>
      <c r="G69" s="1">
        <v>0</v>
      </c>
    </row>
    <row r="70" spans="1:7" x14ac:dyDescent="0.3">
      <c r="A70" s="1">
        <v>2</v>
      </c>
      <c r="B70" s="1">
        <v>1</v>
      </c>
      <c r="C70" s="1" t="s">
        <v>1</v>
      </c>
      <c r="D70" s="1">
        <v>13</v>
      </c>
      <c r="E70" s="1" t="s">
        <v>4</v>
      </c>
      <c r="F70" s="1">
        <v>48</v>
      </c>
      <c r="G70" s="1">
        <v>1</v>
      </c>
    </row>
    <row r="71" spans="1:7" x14ac:dyDescent="0.3">
      <c r="A71" s="1">
        <v>2</v>
      </c>
      <c r="B71" s="1">
        <v>1</v>
      </c>
      <c r="C71" s="1" t="s">
        <v>1</v>
      </c>
      <c r="D71" s="1">
        <v>29</v>
      </c>
      <c r="E71" s="1" t="s">
        <v>4</v>
      </c>
      <c r="F71" s="1">
        <v>22</v>
      </c>
      <c r="G71" s="1">
        <v>0</v>
      </c>
    </row>
    <row r="72" spans="1:7" x14ac:dyDescent="0.3">
      <c r="A72" s="1">
        <v>2</v>
      </c>
      <c r="B72" s="1">
        <v>1</v>
      </c>
      <c r="C72" s="1" t="s">
        <v>1</v>
      </c>
      <c r="D72" s="1">
        <v>25</v>
      </c>
      <c r="E72" s="1" t="s">
        <v>4</v>
      </c>
      <c r="F72" s="1">
        <v>41</v>
      </c>
      <c r="G72" s="1">
        <v>1</v>
      </c>
    </row>
    <row r="73" spans="1:7" x14ac:dyDescent="0.3">
      <c r="A73" s="1">
        <v>2</v>
      </c>
      <c r="B73" s="1">
        <v>1</v>
      </c>
      <c r="C73" s="1" t="s">
        <v>1</v>
      </c>
      <c r="D73" s="1">
        <v>28</v>
      </c>
      <c r="E73" s="1" t="s">
        <v>4</v>
      </c>
      <c r="F73" s="1">
        <v>11</v>
      </c>
      <c r="G73" s="1">
        <v>0</v>
      </c>
    </row>
    <row r="74" spans="1:7" x14ac:dyDescent="0.3">
      <c r="A74" s="1">
        <v>2</v>
      </c>
      <c r="B74" s="1">
        <v>1</v>
      </c>
      <c r="C74" s="1" t="s">
        <v>1</v>
      </c>
      <c r="D74" s="1">
        <v>24</v>
      </c>
      <c r="E74" s="1" t="s">
        <v>4</v>
      </c>
      <c r="F74" s="1">
        <v>37</v>
      </c>
      <c r="G74" s="1">
        <v>1</v>
      </c>
    </row>
    <row r="75" spans="1:7" x14ac:dyDescent="0.3">
      <c r="A75" s="1">
        <v>2</v>
      </c>
      <c r="B75" s="1">
        <v>1</v>
      </c>
      <c r="C75" s="1" t="s">
        <v>1</v>
      </c>
      <c r="D75" s="1">
        <v>0</v>
      </c>
      <c r="E75" s="1" t="s">
        <v>4</v>
      </c>
      <c r="F75" s="1">
        <v>14</v>
      </c>
      <c r="G75" s="1">
        <v>1</v>
      </c>
    </row>
    <row r="76" spans="1:7" x14ac:dyDescent="0.3">
      <c r="A76" s="1">
        <v>2</v>
      </c>
      <c r="B76" s="1">
        <v>1</v>
      </c>
      <c r="C76" s="1" t="s">
        <v>1</v>
      </c>
      <c r="D76" s="1">
        <v>0</v>
      </c>
      <c r="E76" s="1" t="s">
        <v>4</v>
      </c>
      <c r="F76" s="1">
        <v>36</v>
      </c>
      <c r="G76" s="1">
        <v>1</v>
      </c>
    </row>
    <row r="77" spans="1:7" x14ac:dyDescent="0.3">
      <c r="A77" s="1">
        <v>2</v>
      </c>
      <c r="B77" s="1">
        <v>1</v>
      </c>
      <c r="C77" s="1" t="s">
        <v>1</v>
      </c>
      <c r="D77" s="1">
        <v>34</v>
      </c>
      <c r="E77" s="1" t="s">
        <v>4</v>
      </c>
      <c r="F77" s="1">
        <v>3</v>
      </c>
      <c r="G77" s="1">
        <v>0</v>
      </c>
    </row>
    <row r="78" spans="1:7" x14ac:dyDescent="0.3">
      <c r="A78" s="1">
        <v>2</v>
      </c>
      <c r="B78" s="1">
        <v>1</v>
      </c>
      <c r="C78" s="1" t="s">
        <v>1</v>
      </c>
      <c r="D78" s="1">
        <v>55</v>
      </c>
      <c r="E78" s="1" t="s">
        <v>4</v>
      </c>
      <c r="F78" s="1">
        <v>25</v>
      </c>
      <c r="G78" s="1">
        <v>0</v>
      </c>
    </row>
    <row r="79" spans="1:7" x14ac:dyDescent="0.3">
      <c r="A79" s="1">
        <v>2</v>
      </c>
      <c r="B79" s="1">
        <v>1</v>
      </c>
      <c r="C79" s="1" t="s">
        <v>1</v>
      </c>
      <c r="D79" s="1">
        <v>20</v>
      </c>
      <c r="E79" s="1" t="s">
        <v>4</v>
      </c>
      <c r="F79" s="1">
        <v>31</v>
      </c>
      <c r="G79" s="1">
        <v>1</v>
      </c>
    </row>
    <row r="80" spans="1:7" x14ac:dyDescent="0.3">
      <c r="A80" s="1">
        <v>2</v>
      </c>
      <c r="B80" s="1">
        <v>1</v>
      </c>
      <c r="C80" s="1" t="s">
        <v>1</v>
      </c>
      <c r="D80" s="1">
        <v>28</v>
      </c>
      <c r="E80" s="1" t="s">
        <v>4</v>
      </c>
      <c r="F80" s="1">
        <v>13</v>
      </c>
      <c r="G80" s="1">
        <v>0</v>
      </c>
    </row>
    <row r="81" spans="1:7" x14ac:dyDescent="0.3">
      <c r="A81" s="1">
        <v>2</v>
      </c>
      <c r="B81" s="1">
        <v>1</v>
      </c>
      <c r="C81" s="1" t="s">
        <v>1</v>
      </c>
      <c r="D81" s="1">
        <v>15</v>
      </c>
      <c r="E81" s="1" t="s">
        <v>4</v>
      </c>
      <c r="F81" s="1">
        <v>36</v>
      </c>
      <c r="G81" s="1">
        <v>1</v>
      </c>
    </row>
    <row r="82" spans="1:7" x14ac:dyDescent="0.3">
      <c r="A82" s="1">
        <v>2</v>
      </c>
      <c r="B82" s="1">
        <v>1</v>
      </c>
      <c r="C82" s="1" t="s">
        <v>1</v>
      </c>
      <c r="D82" s="1">
        <v>30</v>
      </c>
      <c r="E82" s="1" t="s">
        <v>4</v>
      </c>
      <c r="F82" s="1">
        <v>40</v>
      </c>
      <c r="G82" s="1">
        <v>1</v>
      </c>
    </row>
    <row r="83" spans="1:7" x14ac:dyDescent="0.3">
      <c r="A83" s="1">
        <v>2</v>
      </c>
      <c r="B83" s="1">
        <v>1</v>
      </c>
      <c r="C83" s="1" t="s">
        <v>1</v>
      </c>
      <c r="D83" s="1">
        <v>6</v>
      </c>
      <c r="E83" s="1" t="s">
        <v>4</v>
      </c>
      <c r="F83" s="1">
        <v>21</v>
      </c>
      <c r="G83" s="1">
        <v>1</v>
      </c>
    </row>
    <row r="84" spans="1:7" x14ac:dyDescent="0.3">
      <c r="A84" s="1">
        <v>2</v>
      </c>
      <c r="B84" s="1">
        <v>1</v>
      </c>
      <c r="C84" s="1" t="s">
        <v>1</v>
      </c>
      <c r="D84" s="1">
        <v>20</v>
      </c>
      <c r="E84" s="1" t="s">
        <v>4</v>
      </c>
      <c r="F84" s="1">
        <v>12</v>
      </c>
      <c r="G84" s="1">
        <v>0</v>
      </c>
    </row>
    <row r="85" spans="1:7" x14ac:dyDescent="0.3">
      <c r="A85" s="1">
        <v>2</v>
      </c>
      <c r="B85" s="1">
        <v>1</v>
      </c>
      <c r="C85" s="1" t="s">
        <v>1</v>
      </c>
      <c r="D85" s="1">
        <v>15</v>
      </c>
      <c r="E85" s="1" t="s">
        <v>4</v>
      </c>
      <c r="F85" s="1">
        <v>12</v>
      </c>
      <c r="G85" s="1">
        <v>0</v>
      </c>
    </row>
    <row r="86" spans="1:7" x14ac:dyDescent="0.3">
      <c r="A86" s="1">
        <v>2</v>
      </c>
      <c r="B86" s="1">
        <v>1</v>
      </c>
      <c r="C86" s="1" t="s">
        <v>1</v>
      </c>
      <c r="D86" s="1">
        <v>12</v>
      </c>
      <c r="E86" s="1" t="s">
        <v>4</v>
      </c>
      <c r="F86" s="1">
        <v>34</v>
      </c>
      <c r="G86" s="1">
        <v>1</v>
      </c>
    </row>
    <row r="87" spans="1:7" x14ac:dyDescent="0.3">
      <c r="A87" s="1">
        <v>2</v>
      </c>
      <c r="B87" s="1">
        <v>1</v>
      </c>
      <c r="C87" s="1" t="s">
        <v>1</v>
      </c>
      <c r="D87" s="1">
        <v>4</v>
      </c>
      <c r="E87" s="1" t="s">
        <v>4</v>
      </c>
      <c r="F87" s="1">
        <v>31</v>
      </c>
      <c r="G87" s="1">
        <v>1</v>
      </c>
    </row>
    <row r="88" spans="1:7" x14ac:dyDescent="0.3">
      <c r="A88" s="1">
        <v>2</v>
      </c>
      <c r="B88" s="1">
        <v>1</v>
      </c>
      <c r="C88" s="1" t="s">
        <v>1</v>
      </c>
      <c r="D88" s="1">
        <v>25</v>
      </c>
      <c r="E88" s="1" t="s">
        <v>4</v>
      </c>
      <c r="F88" s="1">
        <v>39</v>
      </c>
      <c r="G88" s="1">
        <v>1</v>
      </c>
    </row>
    <row r="89" spans="1:7" x14ac:dyDescent="0.3">
      <c r="A89" s="1">
        <v>2</v>
      </c>
      <c r="B89" s="1">
        <v>1</v>
      </c>
      <c r="C89" s="1" t="s">
        <v>1</v>
      </c>
      <c r="D89" s="1">
        <v>0</v>
      </c>
      <c r="E89" s="1" t="s">
        <v>4</v>
      </c>
      <c r="F89" s="1">
        <v>35</v>
      </c>
      <c r="G89" s="1">
        <v>1</v>
      </c>
    </row>
    <row r="90" spans="1:7" x14ac:dyDescent="0.3">
      <c r="A90" s="1">
        <v>2</v>
      </c>
      <c r="B90" s="1">
        <v>1</v>
      </c>
      <c r="C90" s="1" t="s">
        <v>1</v>
      </c>
      <c r="D90" s="1">
        <v>34</v>
      </c>
      <c r="E90" s="1" t="s">
        <v>4</v>
      </c>
      <c r="F90" s="1">
        <v>45</v>
      </c>
      <c r="G90" s="1">
        <v>1</v>
      </c>
    </row>
    <row r="91" spans="1:7" x14ac:dyDescent="0.3">
      <c r="A91" s="1">
        <v>2</v>
      </c>
      <c r="B91" s="1">
        <v>1</v>
      </c>
      <c r="C91" s="1" t="s">
        <v>1</v>
      </c>
      <c r="D91" s="1">
        <v>43</v>
      </c>
      <c r="E91" s="1" t="s">
        <v>4</v>
      </c>
      <c r="F91" s="1">
        <v>31</v>
      </c>
      <c r="G91" s="1">
        <v>0</v>
      </c>
    </row>
    <row r="92" spans="1:7" x14ac:dyDescent="0.3">
      <c r="A92" s="1">
        <v>2</v>
      </c>
      <c r="B92" s="1">
        <v>1</v>
      </c>
      <c r="C92" s="1" t="s">
        <v>1</v>
      </c>
      <c r="D92" s="1">
        <v>41</v>
      </c>
      <c r="E92" s="1" t="s">
        <v>4</v>
      </c>
      <c r="F92" s="1">
        <v>25</v>
      </c>
      <c r="G92" s="1">
        <v>0</v>
      </c>
    </row>
    <row r="93" spans="1:7" x14ac:dyDescent="0.3">
      <c r="A93" s="1">
        <v>2</v>
      </c>
      <c r="B93" s="1">
        <v>1</v>
      </c>
      <c r="C93" s="1" t="s">
        <v>1</v>
      </c>
      <c r="D93" s="1">
        <v>41</v>
      </c>
      <c r="E93" s="1" t="s">
        <v>4</v>
      </c>
      <c r="F93" s="1">
        <v>29</v>
      </c>
      <c r="G93" s="1">
        <v>0</v>
      </c>
    </row>
    <row r="94" spans="1:7" x14ac:dyDescent="0.3">
      <c r="A94" s="1">
        <v>2</v>
      </c>
      <c r="B94" s="1">
        <v>1</v>
      </c>
      <c r="C94" s="1" t="s">
        <v>1</v>
      </c>
      <c r="D94" s="1">
        <v>48</v>
      </c>
      <c r="E94" s="1" t="s">
        <v>4</v>
      </c>
      <c r="F94" s="1">
        <v>30</v>
      </c>
      <c r="G94" s="1">
        <v>0</v>
      </c>
    </row>
    <row r="95" spans="1:7" x14ac:dyDescent="0.3">
      <c r="A95" s="1">
        <v>2</v>
      </c>
      <c r="B95" s="1">
        <v>1</v>
      </c>
      <c r="C95" s="1" t="s">
        <v>1</v>
      </c>
      <c r="D95" s="1">
        <v>10</v>
      </c>
      <c r="E95" s="1" t="s">
        <v>4</v>
      </c>
      <c r="F95" s="1">
        <v>29</v>
      </c>
      <c r="G95" s="1">
        <v>1</v>
      </c>
    </row>
    <row r="96" spans="1:7" x14ac:dyDescent="0.3">
      <c r="A96" s="1">
        <v>2</v>
      </c>
      <c r="B96" s="1">
        <v>1</v>
      </c>
      <c r="C96" s="1" t="s">
        <v>1</v>
      </c>
      <c r="D96" s="1">
        <v>42</v>
      </c>
      <c r="E96" s="1" t="s">
        <v>4</v>
      </c>
      <c r="F96" s="1">
        <v>28</v>
      </c>
      <c r="G96" s="1">
        <v>0</v>
      </c>
    </row>
    <row r="97" spans="1:7" x14ac:dyDescent="0.3">
      <c r="A97" s="1">
        <v>2</v>
      </c>
      <c r="B97" s="1">
        <v>1</v>
      </c>
      <c r="C97" s="1" t="s">
        <v>1</v>
      </c>
      <c r="D97" s="1">
        <v>9</v>
      </c>
      <c r="E97" s="1" t="s">
        <v>4</v>
      </c>
      <c r="F97" s="1">
        <v>21</v>
      </c>
      <c r="G97" s="1">
        <v>1</v>
      </c>
    </row>
    <row r="98" spans="1:7" x14ac:dyDescent="0.3">
      <c r="A98" s="1">
        <v>2</v>
      </c>
      <c r="B98" s="1">
        <v>1</v>
      </c>
      <c r="C98" s="1" t="s">
        <v>1</v>
      </c>
      <c r="D98" s="1">
        <v>23</v>
      </c>
      <c r="E98" s="1" t="s">
        <v>4</v>
      </c>
      <c r="F98" s="1">
        <v>11</v>
      </c>
      <c r="G98" s="1">
        <v>0</v>
      </c>
    </row>
    <row r="99" spans="1:7" x14ac:dyDescent="0.3">
      <c r="A99" s="1">
        <v>2</v>
      </c>
      <c r="B99" s="1">
        <v>1</v>
      </c>
      <c r="C99" s="1" t="s">
        <v>1</v>
      </c>
      <c r="D99" s="1">
        <v>22</v>
      </c>
      <c r="E99" s="1" t="s">
        <v>4</v>
      </c>
      <c r="F99" s="1">
        <v>49</v>
      </c>
      <c r="G99" s="1">
        <v>1</v>
      </c>
    </row>
    <row r="100" spans="1:7" x14ac:dyDescent="0.3">
      <c r="A100" s="1">
        <v>2</v>
      </c>
      <c r="B100" s="1">
        <v>1</v>
      </c>
      <c r="C100" s="1" t="s">
        <v>1</v>
      </c>
      <c r="D100" s="1">
        <v>19</v>
      </c>
      <c r="E100" s="1" t="s">
        <v>4</v>
      </c>
      <c r="F100" s="1">
        <v>32</v>
      </c>
      <c r="G100" s="1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C186D-44DF-4E5B-BF8E-619E34C0C8D7}">
  <dimension ref="A1:Q100"/>
  <sheetViews>
    <sheetView topLeftCell="G1" workbookViewId="0">
      <selection activeCell="I22" sqref="I22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0</v>
      </c>
      <c r="D1" s="1">
        <v>15</v>
      </c>
      <c r="E1" s="1" t="s">
        <v>5</v>
      </c>
      <c r="F1" s="1">
        <v>44</v>
      </c>
      <c r="G1" s="1">
        <v>1</v>
      </c>
      <c r="I1" s="2"/>
      <c r="J1" s="3"/>
      <c r="K1" s="4" t="s">
        <v>7</v>
      </c>
      <c r="L1" s="4"/>
      <c r="M1" s="5" t="s">
        <v>8</v>
      </c>
      <c r="N1" s="5"/>
      <c r="O1" s="5" t="s">
        <v>9</v>
      </c>
      <c r="P1" s="5"/>
      <c r="Q1"/>
    </row>
    <row r="2" spans="1:17" x14ac:dyDescent="0.3">
      <c r="A2" s="1">
        <v>2</v>
      </c>
      <c r="B2" s="1">
        <v>0</v>
      </c>
      <c r="C2" s="1" t="s">
        <v>0</v>
      </c>
      <c r="D2" s="1">
        <v>22</v>
      </c>
      <c r="E2" s="1" t="s">
        <v>5</v>
      </c>
      <c r="F2" s="1">
        <v>33</v>
      </c>
      <c r="G2" s="1">
        <v>1</v>
      </c>
      <c r="I2" s="6"/>
      <c r="J2" s="7"/>
      <c r="K2" s="4"/>
      <c r="L2" s="4"/>
      <c r="M2" s="5"/>
      <c r="N2" s="5"/>
      <c r="O2" s="5"/>
      <c r="P2" s="5"/>
      <c r="Q2" s="8" t="s">
        <v>10</v>
      </c>
    </row>
    <row r="3" spans="1:17" x14ac:dyDescent="0.3">
      <c r="A3" s="1">
        <v>2</v>
      </c>
      <c r="B3" s="1">
        <v>0</v>
      </c>
      <c r="C3" s="1" t="s">
        <v>0</v>
      </c>
      <c r="D3" s="1">
        <v>24</v>
      </c>
      <c r="E3" s="1" t="s">
        <v>5</v>
      </c>
      <c r="F3" s="1">
        <v>15</v>
      </c>
      <c r="G3" s="1">
        <v>0</v>
      </c>
      <c r="I3" s="5" t="s">
        <v>11</v>
      </c>
      <c r="J3" s="5"/>
      <c r="K3" s="9">
        <f>COUNTIF($G$1:$G$100, 0)</f>
        <v>58</v>
      </c>
      <c r="L3" s="9"/>
      <c r="M3" s="9">
        <f>COUNTIFS($G$1:$G$100, 0, $B$1:$B$100, 0)</f>
        <v>33</v>
      </c>
      <c r="N3" s="9"/>
      <c r="O3" s="10">
        <f>COUNTIFS($G$1:$G$100, 0, $B$1:$B$100, 1)</f>
        <v>25</v>
      </c>
      <c r="P3" s="11"/>
      <c r="Q3" s="12" cm="1">
        <f t="array" ref="Q3">SUMPRODUCT(--($D$1:$D$100=$G$1:$G$100))</f>
        <v>0</v>
      </c>
    </row>
    <row r="4" spans="1:17" x14ac:dyDescent="0.3">
      <c r="A4" s="1">
        <v>2</v>
      </c>
      <c r="B4" s="1">
        <v>0</v>
      </c>
      <c r="C4" s="1" t="s">
        <v>0</v>
      </c>
      <c r="D4" s="1">
        <v>35</v>
      </c>
      <c r="E4" s="1" t="s">
        <v>5</v>
      </c>
      <c r="F4" s="1">
        <v>38</v>
      </c>
      <c r="G4" s="1">
        <v>1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0</v>
      </c>
      <c r="D5" s="1">
        <v>26</v>
      </c>
      <c r="E5" s="1" t="s">
        <v>5</v>
      </c>
      <c r="F5" s="1">
        <v>11</v>
      </c>
      <c r="G5" s="1">
        <v>0</v>
      </c>
      <c r="I5" s="5" t="s">
        <v>12</v>
      </c>
      <c r="J5" s="5"/>
      <c r="K5" s="14">
        <f>COUNTIF($G$1:$G$100, 1)</f>
        <v>42</v>
      </c>
      <c r="L5" s="9"/>
      <c r="M5" s="9">
        <f>COUNTIFS($G$1:$G$100, 1, $B$1:$B$100, 0)</f>
        <v>17</v>
      </c>
      <c r="N5" s="9"/>
      <c r="O5" s="9">
        <f>COUNTIFS($G$1:$G$100, 1, $B$1:$B$100, 1)</f>
        <v>25</v>
      </c>
      <c r="P5" s="13"/>
      <c r="Q5"/>
    </row>
    <row r="6" spans="1:17" x14ac:dyDescent="0.3">
      <c r="A6" s="1">
        <v>2</v>
      </c>
      <c r="B6" s="1">
        <v>0</v>
      </c>
      <c r="C6" s="1" t="s">
        <v>0</v>
      </c>
      <c r="D6" s="1">
        <v>55</v>
      </c>
      <c r="E6" s="1" t="s">
        <v>5</v>
      </c>
      <c r="F6" s="1">
        <v>0</v>
      </c>
      <c r="G6" s="1">
        <v>0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0</v>
      </c>
      <c r="D7" s="1">
        <v>31</v>
      </c>
      <c r="E7" s="1" t="s">
        <v>5</v>
      </c>
      <c r="F7" s="1">
        <v>28</v>
      </c>
      <c r="G7" s="1">
        <v>0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0</v>
      </c>
      <c r="D8" s="1">
        <v>14</v>
      </c>
      <c r="E8" s="1" t="s">
        <v>5</v>
      </c>
      <c r="F8" s="1">
        <v>21</v>
      </c>
      <c r="G8" s="1">
        <v>1</v>
      </c>
      <c r="I8" s="19"/>
      <c r="J8" s="20"/>
      <c r="K8" s="21" t="s">
        <v>7</v>
      </c>
      <c r="L8" s="21"/>
      <c r="M8" s="21" t="s">
        <v>13</v>
      </c>
      <c r="N8" s="21"/>
      <c r="O8" s="21" t="s">
        <v>14</v>
      </c>
      <c r="P8" s="21"/>
      <c r="Q8"/>
    </row>
    <row r="9" spans="1:17" x14ac:dyDescent="0.3">
      <c r="A9" s="1">
        <v>2</v>
      </c>
      <c r="B9" s="1">
        <v>0</v>
      </c>
      <c r="C9" s="1" t="s">
        <v>0</v>
      </c>
      <c r="D9" s="1">
        <v>36</v>
      </c>
      <c r="E9" s="1" t="s">
        <v>5</v>
      </c>
      <c r="F9" s="1">
        <v>2</v>
      </c>
      <c r="G9" s="1">
        <v>0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0</v>
      </c>
      <c r="D10" s="1">
        <v>48</v>
      </c>
      <c r="E10" s="1" t="s">
        <v>5</v>
      </c>
      <c r="F10" s="1">
        <v>26</v>
      </c>
      <c r="G10" s="1">
        <v>0</v>
      </c>
      <c r="I10" s="5" t="s">
        <v>15</v>
      </c>
      <c r="J10" s="5"/>
      <c r="K10" s="9">
        <f>AVERAGE($D$1:$D$100,)</f>
        <v>31.871287128712872</v>
      </c>
      <c r="L10" s="9"/>
      <c r="M10" s="9" cm="1">
        <f t="array" ref="M10">AVERAGE(_xlfn._xlws.FILTER($D$1:$D$100,$G$1:$G$100 = 0))</f>
        <v>38.913793103448278</v>
      </c>
      <c r="N10" s="9"/>
      <c r="O10" s="10" cm="1">
        <f t="array" ref="O10">AVERAGE(_xlfn._xlws.FILTER($D$1:$D$100,$G$1:$G$100 = 1))</f>
        <v>22.904761904761905</v>
      </c>
      <c r="P10" s="11"/>
      <c r="Q10"/>
    </row>
    <row r="11" spans="1:17" x14ac:dyDescent="0.3">
      <c r="A11" s="1">
        <v>2</v>
      </c>
      <c r="B11" s="1">
        <v>0</v>
      </c>
      <c r="C11" s="1" t="s">
        <v>0</v>
      </c>
      <c r="D11" s="1">
        <v>42</v>
      </c>
      <c r="E11" s="1" t="s">
        <v>5</v>
      </c>
      <c r="F11" s="1">
        <v>31</v>
      </c>
      <c r="G11" s="1">
        <v>0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0</v>
      </c>
      <c r="D12" s="1">
        <v>42</v>
      </c>
      <c r="E12" s="1" t="s">
        <v>5</v>
      </c>
      <c r="F12" s="1">
        <v>12</v>
      </c>
      <c r="G12" s="1">
        <v>0</v>
      </c>
      <c r="I12" s="5" t="s">
        <v>16</v>
      </c>
      <c r="J12" s="5"/>
      <c r="K12" s="9">
        <f>AVERAGE($F$1:$F$100,)</f>
        <v>25.811881188118811</v>
      </c>
      <c r="L12" s="9"/>
      <c r="M12" s="9" cm="1">
        <f t="array" ref="M12">AVERAGE(_xlfn._xlws.FILTER($F$1:$F$100,$G$1:$G$100 = 0))</f>
        <v>17.46551724137931</v>
      </c>
      <c r="N12" s="9"/>
      <c r="O12" s="9" cm="1">
        <f t="array" ref="O12">AVERAGE(_xlfn._xlws.FILTER($F$1:$F$100,$G$1:$G$100 = 1))</f>
        <v>37.952380952380949</v>
      </c>
      <c r="P12" s="13"/>
      <c r="Q12"/>
    </row>
    <row r="13" spans="1:17" x14ac:dyDescent="0.3">
      <c r="A13" s="1">
        <v>2</v>
      </c>
      <c r="B13" s="1">
        <v>0</v>
      </c>
      <c r="C13" s="1" t="s">
        <v>0</v>
      </c>
      <c r="D13" s="1">
        <v>20</v>
      </c>
      <c r="E13" s="1" t="s">
        <v>5</v>
      </c>
      <c r="F13" s="1">
        <v>25</v>
      </c>
      <c r="G13" s="1">
        <v>1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0</v>
      </c>
      <c r="D14" s="1">
        <v>23</v>
      </c>
      <c r="E14" s="1" t="s">
        <v>5</v>
      </c>
      <c r="F14" s="1">
        <v>39</v>
      </c>
      <c r="G14" s="1">
        <v>1</v>
      </c>
      <c r="I14" s="22" t="s">
        <v>17</v>
      </c>
      <c r="J14" s="11"/>
      <c r="K14" s="23" cm="1">
        <f t="array" ref="K14">AVERAGE($D$1:$D$100 - $F$1:$F$100)</f>
        <v>6.12</v>
      </c>
      <c r="L14" s="23"/>
      <c r="M14" s="23" cm="1">
        <f t="array" ref="M14">AVERAGE(_xlfn._xlws.FILTER($D$1:$D$100 - $F$1:$F$100, G$1:G$100 = 0))</f>
        <v>21.448275862068964</v>
      </c>
      <c r="N14" s="23"/>
      <c r="O14" s="23" cm="1">
        <f t="array" ref="O14">AVERAGE(_xlfn._xlws.FILTER($D$1:$D$100 - $F$1:$F$100, G$1:G$100 = 1))</f>
        <v>-15.047619047619047</v>
      </c>
      <c r="P14" s="24"/>
      <c r="Q14"/>
    </row>
    <row r="15" spans="1:17" x14ac:dyDescent="0.3">
      <c r="A15" s="1">
        <v>2</v>
      </c>
      <c r="B15" s="1">
        <v>0</v>
      </c>
      <c r="C15" s="1" t="s">
        <v>0</v>
      </c>
      <c r="D15" s="1">
        <v>38</v>
      </c>
      <c r="E15" s="1" t="s">
        <v>5</v>
      </c>
      <c r="F15" s="1">
        <v>14</v>
      </c>
      <c r="G15" s="1">
        <v>0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0</v>
      </c>
      <c r="D16" s="1">
        <v>48</v>
      </c>
      <c r="E16" s="1" t="s">
        <v>5</v>
      </c>
      <c r="F16" s="1">
        <v>12</v>
      </c>
      <c r="G16" s="1">
        <v>0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0</v>
      </c>
      <c r="D17" s="1">
        <v>18</v>
      </c>
      <c r="E17" s="1" t="s">
        <v>5</v>
      </c>
      <c r="F17" s="1">
        <v>52</v>
      </c>
      <c r="G17" s="1">
        <v>1</v>
      </c>
    </row>
    <row r="18" spans="1:7" x14ac:dyDescent="0.3">
      <c r="A18" s="1">
        <v>2</v>
      </c>
      <c r="B18" s="1">
        <v>0</v>
      </c>
      <c r="C18" s="1" t="s">
        <v>0</v>
      </c>
      <c r="D18" s="1">
        <v>12</v>
      </c>
      <c r="E18" s="1" t="s">
        <v>5</v>
      </c>
      <c r="F18" s="1">
        <v>24</v>
      </c>
      <c r="G18" s="1">
        <v>1</v>
      </c>
    </row>
    <row r="19" spans="1:7" x14ac:dyDescent="0.3">
      <c r="A19" s="1">
        <v>2</v>
      </c>
      <c r="B19" s="1">
        <v>0</v>
      </c>
      <c r="C19" s="1" t="s">
        <v>0</v>
      </c>
      <c r="D19" s="1">
        <v>27</v>
      </c>
      <c r="E19" s="1" t="s">
        <v>5</v>
      </c>
      <c r="F19" s="1">
        <v>4</v>
      </c>
      <c r="G19" s="1">
        <v>0</v>
      </c>
    </row>
    <row r="20" spans="1:7" x14ac:dyDescent="0.3">
      <c r="A20" s="1">
        <v>2</v>
      </c>
      <c r="B20" s="1">
        <v>0</v>
      </c>
      <c r="C20" s="1" t="s">
        <v>0</v>
      </c>
      <c r="D20" s="1">
        <v>39</v>
      </c>
      <c r="E20" s="1" t="s">
        <v>5</v>
      </c>
      <c r="F20" s="1">
        <v>27</v>
      </c>
      <c r="G20" s="1">
        <v>0</v>
      </c>
    </row>
    <row r="21" spans="1:7" x14ac:dyDescent="0.3">
      <c r="A21" s="1">
        <v>2</v>
      </c>
      <c r="B21" s="1">
        <v>0</v>
      </c>
      <c r="C21" s="1" t="s">
        <v>0</v>
      </c>
      <c r="D21" s="1">
        <v>23</v>
      </c>
      <c r="E21" s="1" t="s">
        <v>5</v>
      </c>
      <c r="F21" s="1">
        <v>18</v>
      </c>
      <c r="G21" s="1">
        <v>0</v>
      </c>
    </row>
    <row r="22" spans="1:7" x14ac:dyDescent="0.3">
      <c r="A22" s="1">
        <v>2</v>
      </c>
      <c r="B22" s="1">
        <v>0</v>
      </c>
      <c r="C22" s="1" t="s">
        <v>0</v>
      </c>
      <c r="D22" s="1">
        <v>52</v>
      </c>
      <c r="E22" s="1" t="s">
        <v>5</v>
      </c>
      <c r="F22" s="1">
        <v>9</v>
      </c>
      <c r="G22" s="1">
        <v>0</v>
      </c>
    </row>
    <row r="23" spans="1:7" x14ac:dyDescent="0.3">
      <c r="A23" s="1">
        <v>2</v>
      </c>
      <c r="B23" s="1">
        <v>0</v>
      </c>
      <c r="C23" s="1" t="s">
        <v>0</v>
      </c>
      <c r="D23" s="1">
        <v>47</v>
      </c>
      <c r="E23" s="1" t="s">
        <v>5</v>
      </c>
      <c r="F23" s="1">
        <v>16</v>
      </c>
      <c r="G23" s="1">
        <v>0</v>
      </c>
    </row>
    <row r="24" spans="1:7" x14ac:dyDescent="0.3">
      <c r="A24" s="1">
        <v>2</v>
      </c>
      <c r="B24" s="1">
        <v>0</v>
      </c>
      <c r="C24" s="1" t="s">
        <v>0</v>
      </c>
      <c r="D24" s="1">
        <v>24</v>
      </c>
      <c r="E24" s="1" t="s">
        <v>5</v>
      </c>
      <c r="F24" s="1">
        <v>28</v>
      </c>
      <c r="G24" s="1">
        <v>1</v>
      </c>
    </row>
    <row r="25" spans="1:7" x14ac:dyDescent="0.3">
      <c r="A25" s="1">
        <v>2</v>
      </c>
      <c r="B25" s="1">
        <v>0</v>
      </c>
      <c r="C25" s="1" t="s">
        <v>0</v>
      </c>
      <c r="D25" s="1">
        <v>34</v>
      </c>
      <c r="E25" s="1" t="s">
        <v>5</v>
      </c>
      <c r="F25" s="1">
        <v>0</v>
      </c>
      <c r="G25" s="1">
        <v>0</v>
      </c>
    </row>
    <row r="26" spans="1:7" x14ac:dyDescent="0.3">
      <c r="A26" s="1">
        <v>2</v>
      </c>
      <c r="B26" s="1">
        <v>0</v>
      </c>
      <c r="C26" s="1" t="s">
        <v>0</v>
      </c>
      <c r="D26" s="1">
        <v>25</v>
      </c>
      <c r="E26" s="1" t="s">
        <v>5</v>
      </c>
      <c r="F26" s="1">
        <v>15</v>
      </c>
      <c r="G26" s="1">
        <v>0</v>
      </c>
    </row>
    <row r="27" spans="1:7" x14ac:dyDescent="0.3">
      <c r="A27" s="1">
        <v>2</v>
      </c>
      <c r="B27" s="1">
        <v>0</v>
      </c>
      <c r="C27" s="1" t="s">
        <v>0</v>
      </c>
      <c r="D27" s="1">
        <v>31</v>
      </c>
      <c r="E27" s="1" t="s">
        <v>5</v>
      </c>
      <c r="F27" s="1">
        <v>20</v>
      </c>
      <c r="G27" s="1">
        <v>0</v>
      </c>
    </row>
    <row r="28" spans="1:7" x14ac:dyDescent="0.3">
      <c r="A28" s="1">
        <v>2</v>
      </c>
      <c r="B28" s="1">
        <v>0</v>
      </c>
      <c r="C28" s="1" t="s">
        <v>0</v>
      </c>
      <c r="D28" s="1">
        <v>39</v>
      </c>
      <c r="E28" s="1" t="s">
        <v>5</v>
      </c>
      <c r="F28" s="1">
        <v>38</v>
      </c>
      <c r="G28" s="1">
        <v>0</v>
      </c>
    </row>
    <row r="29" spans="1:7" x14ac:dyDescent="0.3">
      <c r="A29" s="1">
        <v>2</v>
      </c>
      <c r="B29" s="1">
        <v>0</v>
      </c>
      <c r="C29" s="1" t="s">
        <v>0</v>
      </c>
      <c r="D29" s="1">
        <v>11</v>
      </c>
      <c r="E29" s="1" t="s">
        <v>5</v>
      </c>
      <c r="F29" s="1">
        <v>9</v>
      </c>
      <c r="G29" s="1">
        <v>0</v>
      </c>
    </row>
    <row r="30" spans="1:7" x14ac:dyDescent="0.3">
      <c r="A30" s="1">
        <v>2</v>
      </c>
      <c r="B30" s="1">
        <v>0</v>
      </c>
      <c r="C30" s="1" t="s">
        <v>0</v>
      </c>
      <c r="D30" s="1">
        <v>38</v>
      </c>
      <c r="E30" s="1" t="s">
        <v>5</v>
      </c>
      <c r="F30" s="1">
        <v>18</v>
      </c>
      <c r="G30" s="1">
        <v>0</v>
      </c>
    </row>
    <row r="31" spans="1:7" x14ac:dyDescent="0.3">
      <c r="A31" s="1">
        <v>2</v>
      </c>
      <c r="B31" s="1">
        <v>0</v>
      </c>
      <c r="C31" s="1" t="s">
        <v>0</v>
      </c>
      <c r="D31" s="1">
        <v>42</v>
      </c>
      <c r="E31" s="1" t="s">
        <v>5</v>
      </c>
      <c r="F31" s="1">
        <v>28</v>
      </c>
      <c r="G31" s="1">
        <v>0</v>
      </c>
    </row>
    <row r="32" spans="1:7" x14ac:dyDescent="0.3">
      <c r="A32" s="1">
        <v>2</v>
      </c>
      <c r="B32" s="1">
        <v>0</v>
      </c>
      <c r="C32" s="1" t="s">
        <v>0</v>
      </c>
      <c r="D32" s="1">
        <v>32</v>
      </c>
      <c r="E32" s="1" t="s">
        <v>5</v>
      </c>
      <c r="F32" s="1">
        <v>5</v>
      </c>
      <c r="G32" s="1">
        <v>0</v>
      </c>
    </row>
    <row r="33" spans="1:7" x14ac:dyDescent="0.3">
      <c r="A33" s="1">
        <v>2</v>
      </c>
      <c r="B33" s="1">
        <v>0</v>
      </c>
      <c r="C33" s="1" t="s">
        <v>0</v>
      </c>
      <c r="D33" s="1">
        <v>21</v>
      </c>
      <c r="E33" s="1" t="s">
        <v>5</v>
      </c>
      <c r="F33" s="1">
        <v>54</v>
      </c>
      <c r="G33" s="1">
        <v>1</v>
      </c>
    </row>
    <row r="34" spans="1:7" x14ac:dyDescent="0.3">
      <c r="A34" s="1">
        <v>2</v>
      </c>
      <c r="B34" s="1">
        <v>0</v>
      </c>
      <c r="C34" s="1" t="s">
        <v>0</v>
      </c>
      <c r="D34" s="1">
        <v>23</v>
      </c>
      <c r="E34" s="1" t="s">
        <v>5</v>
      </c>
      <c r="F34" s="1">
        <v>30</v>
      </c>
      <c r="G34" s="1">
        <v>1</v>
      </c>
    </row>
    <row r="35" spans="1:7" x14ac:dyDescent="0.3">
      <c r="A35" s="1">
        <v>2</v>
      </c>
      <c r="B35" s="1">
        <v>0</v>
      </c>
      <c r="C35" s="1" t="s">
        <v>0</v>
      </c>
      <c r="D35" s="1">
        <v>45</v>
      </c>
      <c r="E35" s="1" t="s">
        <v>5</v>
      </c>
      <c r="F35" s="1">
        <v>2</v>
      </c>
      <c r="G35" s="1">
        <v>0</v>
      </c>
    </row>
    <row r="36" spans="1:7" x14ac:dyDescent="0.3">
      <c r="A36" s="1">
        <v>2</v>
      </c>
      <c r="B36" s="1">
        <v>0</v>
      </c>
      <c r="C36" s="1" t="s">
        <v>0</v>
      </c>
      <c r="D36" s="1">
        <v>28</v>
      </c>
      <c r="E36" s="1" t="s">
        <v>5</v>
      </c>
      <c r="F36" s="1">
        <v>31</v>
      </c>
      <c r="G36" s="1">
        <v>1</v>
      </c>
    </row>
    <row r="37" spans="1:7" x14ac:dyDescent="0.3">
      <c r="A37" s="1">
        <v>2</v>
      </c>
      <c r="B37" s="1">
        <v>0</v>
      </c>
      <c r="C37" s="1" t="s">
        <v>0</v>
      </c>
      <c r="D37" s="1">
        <v>67</v>
      </c>
      <c r="E37" s="1" t="s">
        <v>5</v>
      </c>
      <c r="F37" s="1">
        <v>16</v>
      </c>
      <c r="G37" s="1">
        <v>0</v>
      </c>
    </row>
    <row r="38" spans="1:7" x14ac:dyDescent="0.3">
      <c r="A38" s="1">
        <v>2</v>
      </c>
      <c r="B38" s="1">
        <v>0</v>
      </c>
      <c r="C38" s="1" t="s">
        <v>0</v>
      </c>
      <c r="D38" s="1">
        <v>21</v>
      </c>
      <c r="E38" s="1" t="s">
        <v>5</v>
      </c>
      <c r="F38" s="1">
        <v>12</v>
      </c>
      <c r="G38" s="1">
        <v>0</v>
      </c>
    </row>
    <row r="39" spans="1:7" x14ac:dyDescent="0.3">
      <c r="A39" s="1">
        <v>2</v>
      </c>
      <c r="B39" s="1">
        <v>0</v>
      </c>
      <c r="C39" s="1" t="s">
        <v>0</v>
      </c>
      <c r="D39" s="1">
        <v>17</v>
      </c>
      <c r="E39" s="1" t="s">
        <v>5</v>
      </c>
      <c r="F39" s="1">
        <v>28</v>
      </c>
      <c r="G39" s="1">
        <v>1</v>
      </c>
    </row>
    <row r="40" spans="1:7" x14ac:dyDescent="0.3">
      <c r="A40" s="1">
        <v>2</v>
      </c>
      <c r="B40" s="1">
        <v>0</v>
      </c>
      <c r="C40" s="1" t="s">
        <v>0</v>
      </c>
      <c r="D40" s="1">
        <v>14</v>
      </c>
      <c r="E40" s="1" t="s">
        <v>5</v>
      </c>
      <c r="F40" s="1">
        <v>26</v>
      </c>
      <c r="G40" s="1">
        <v>1</v>
      </c>
    </row>
    <row r="41" spans="1:7" x14ac:dyDescent="0.3">
      <c r="A41" s="1">
        <v>2</v>
      </c>
      <c r="B41" s="1">
        <v>0</v>
      </c>
      <c r="C41" s="1" t="s">
        <v>0</v>
      </c>
      <c r="D41" s="1">
        <v>16</v>
      </c>
      <c r="E41" s="1" t="s">
        <v>5</v>
      </c>
      <c r="F41" s="1">
        <v>13</v>
      </c>
      <c r="G41" s="1">
        <v>0</v>
      </c>
    </row>
    <row r="42" spans="1:7" x14ac:dyDescent="0.3">
      <c r="A42" s="1">
        <v>2</v>
      </c>
      <c r="B42" s="1">
        <v>0</v>
      </c>
      <c r="C42" s="1" t="s">
        <v>0</v>
      </c>
      <c r="D42" s="1">
        <v>11</v>
      </c>
      <c r="E42" s="1" t="s">
        <v>5</v>
      </c>
      <c r="F42" s="1">
        <v>28</v>
      </c>
      <c r="G42" s="1">
        <v>1</v>
      </c>
    </row>
    <row r="43" spans="1:7" x14ac:dyDescent="0.3">
      <c r="A43" s="1">
        <v>2</v>
      </c>
      <c r="B43" s="1">
        <v>0</v>
      </c>
      <c r="C43" s="1" t="s">
        <v>0</v>
      </c>
      <c r="D43" s="1">
        <v>29</v>
      </c>
      <c r="E43" s="1" t="s">
        <v>5</v>
      </c>
      <c r="F43" s="1">
        <v>11</v>
      </c>
      <c r="G43" s="1">
        <v>0</v>
      </c>
    </row>
    <row r="44" spans="1:7" x14ac:dyDescent="0.3">
      <c r="A44" s="1">
        <v>2</v>
      </c>
      <c r="B44" s="1">
        <v>0</v>
      </c>
      <c r="C44" s="1" t="s">
        <v>0</v>
      </c>
      <c r="D44" s="1">
        <v>52</v>
      </c>
      <c r="E44" s="1" t="s">
        <v>5</v>
      </c>
      <c r="F44" s="1">
        <v>2</v>
      </c>
      <c r="G44" s="1">
        <v>0</v>
      </c>
    </row>
    <row r="45" spans="1:7" x14ac:dyDescent="0.3">
      <c r="A45" s="1">
        <v>2</v>
      </c>
      <c r="B45" s="1">
        <v>0</v>
      </c>
      <c r="C45" s="1" t="s">
        <v>0</v>
      </c>
      <c r="D45" s="1">
        <v>21</v>
      </c>
      <c r="E45" s="1" t="s">
        <v>5</v>
      </c>
      <c r="F45" s="1">
        <v>39</v>
      </c>
      <c r="G45" s="1">
        <v>1</v>
      </c>
    </row>
    <row r="46" spans="1:7" x14ac:dyDescent="0.3">
      <c r="A46" s="1">
        <v>2</v>
      </c>
      <c r="B46" s="1">
        <v>0</v>
      </c>
      <c r="C46" s="1" t="s">
        <v>0</v>
      </c>
      <c r="D46" s="1">
        <v>5</v>
      </c>
      <c r="E46" s="1" t="s">
        <v>5</v>
      </c>
      <c r="F46" s="1">
        <v>23</v>
      </c>
      <c r="G46" s="1">
        <v>1</v>
      </c>
    </row>
    <row r="47" spans="1:7" x14ac:dyDescent="0.3">
      <c r="A47" s="1">
        <v>2</v>
      </c>
      <c r="B47" s="1">
        <v>0</v>
      </c>
      <c r="C47" s="1" t="s">
        <v>0</v>
      </c>
      <c r="D47" s="1">
        <v>40</v>
      </c>
      <c r="E47" s="1" t="s">
        <v>5</v>
      </c>
      <c r="F47" s="1">
        <v>2</v>
      </c>
      <c r="G47" s="1">
        <v>0</v>
      </c>
    </row>
    <row r="48" spans="1:7" x14ac:dyDescent="0.3">
      <c r="A48" s="1">
        <v>2</v>
      </c>
      <c r="B48" s="1">
        <v>0</v>
      </c>
      <c r="C48" s="1" t="s">
        <v>0</v>
      </c>
      <c r="D48" s="1">
        <v>20</v>
      </c>
      <c r="E48" s="1" t="s">
        <v>5</v>
      </c>
      <c r="F48" s="1">
        <v>16</v>
      </c>
      <c r="G48" s="1">
        <v>0</v>
      </c>
    </row>
    <row r="49" spans="1:7" x14ac:dyDescent="0.3">
      <c r="A49" s="1">
        <v>2</v>
      </c>
      <c r="B49" s="1">
        <v>0</v>
      </c>
      <c r="C49" s="1" t="s">
        <v>0</v>
      </c>
      <c r="D49" s="1">
        <v>36</v>
      </c>
      <c r="E49" s="1" t="s">
        <v>5</v>
      </c>
      <c r="F49" s="1">
        <v>0</v>
      </c>
      <c r="G49" s="1">
        <v>0</v>
      </c>
    </row>
    <row r="50" spans="1:7" x14ac:dyDescent="0.3">
      <c r="A50" s="1">
        <v>2</v>
      </c>
      <c r="B50" s="1">
        <v>0</v>
      </c>
      <c r="C50" s="1" t="s">
        <v>0</v>
      </c>
      <c r="D50" s="1">
        <v>41</v>
      </c>
      <c r="E50" s="1" t="s">
        <v>5</v>
      </c>
      <c r="F50" s="1">
        <v>2</v>
      </c>
      <c r="G50" s="1">
        <v>0</v>
      </c>
    </row>
    <row r="51" spans="1:7" x14ac:dyDescent="0.3">
      <c r="A51" s="1">
        <v>2</v>
      </c>
      <c r="B51" s="1">
        <v>1</v>
      </c>
      <c r="C51" s="1" t="s">
        <v>0</v>
      </c>
      <c r="D51" s="1">
        <v>24</v>
      </c>
      <c r="E51" s="1" t="s">
        <v>5</v>
      </c>
      <c r="F51" s="1">
        <v>26</v>
      </c>
      <c r="G51" s="1">
        <v>1</v>
      </c>
    </row>
    <row r="52" spans="1:7" x14ac:dyDescent="0.3">
      <c r="A52" s="1">
        <v>2</v>
      </c>
      <c r="B52" s="1">
        <v>1</v>
      </c>
      <c r="C52" s="1" t="s">
        <v>0</v>
      </c>
      <c r="D52" s="1">
        <v>38</v>
      </c>
      <c r="E52" s="1" t="s">
        <v>5</v>
      </c>
      <c r="F52" s="1">
        <v>47</v>
      </c>
      <c r="G52" s="1">
        <v>1</v>
      </c>
    </row>
    <row r="53" spans="1:7" x14ac:dyDescent="0.3">
      <c r="A53" s="1">
        <v>2</v>
      </c>
      <c r="B53" s="1">
        <v>1</v>
      </c>
      <c r="C53" s="1" t="s">
        <v>0</v>
      </c>
      <c r="D53" s="1">
        <v>28</v>
      </c>
      <c r="E53" s="1" t="s">
        <v>5</v>
      </c>
      <c r="F53" s="1">
        <v>33</v>
      </c>
      <c r="G53" s="1">
        <v>1</v>
      </c>
    </row>
    <row r="54" spans="1:7" x14ac:dyDescent="0.3">
      <c r="A54" s="1">
        <v>2</v>
      </c>
      <c r="B54" s="1">
        <v>1</v>
      </c>
      <c r="C54" s="1" t="s">
        <v>0</v>
      </c>
      <c r="D54" s="1">
        <v>26</v>
      </c>
      <c r="E54" s="1" t="s">
        <v>5</v>
      </c>
      <c r="F54" s="1">
        <v>32</v>
      </c>
      <c r="G54" s="1">
        <v>1</v>
      </c>
    </row>
    <row r="55" spans="1:7" x14ac:dyDescent="0.3">
      <c r="A55" s="1">
        <v>2</v>
      </c>
      <c r="B55" s="1">
        <v>1</v>
      </c>
      <c r="C55" s="1" t="s">
        <v>0</v>
      </c>
      <c r="D55" s="1">
        <v>21</v>
      </c>
      <c r="E55" s="1" t="s">
        <v>5</v>
      </c>
      <c r="F55" s="1">
        <v>35</v>
      </c>
      <c r="G55" s="1">
        <v>1</v>
      </c>
    </row>
    <row r="56" spans="1:7" x14ac:dyDescent="0.3">
      <c r="A56" s="1">
        <v>2</v>
      </c>
      <c r="B56" s="1">
        <v>1</v>
      </c>
      <c r="C56" s="1" t="s">
        <v>0</v>
      </c>
      <c r="D56" s="1">
        <v>64</v>
      </c>
      <c r="E56" s="1" t="s">
        <v>5</v>
      </c>
      <c r="F56" s="1">
        <v>33</v>
      </c>
      <c r="G56" s="1">
        <v>0</v>
      </c>
    </row>
    <row r="57" spans="1:7" x14ac:dyDescent="0.3">
      <c r="A57" s="1">
        <v>2</v>
      </c>
      <c r="B57" s="1">
        <v>1</v>
      </c>
      <c r="C57" s="1" t="s">
        <v>0</v>
      </c>
      <c r="D57" s="1">
        <v>30</v>
      </c>
      <c r="E57" s="1" t="s">
        <v>5</v>
      </c>
      <c r="F57" s="1">
        <v>47</v>
      </c>
      <c r="G57" s="1">
        <v>1</v>
      </c>
    </row>
    <row r="58" spans="1:7" x14ac:dyDescent="0.3">
      <c r="A58" s="1">
        <v>2</v>
      </c>
      <c r="B58" s="1">
        <v>1</v>
      </c>
      <c r="C58" s="1" t="s">
        <v>0</v>
      </c>
      <c r="D58" s="1">
        <v>34</v>
      </c>
      <c r="E58" s="1" t="s">
        <v>5</v>
      </c>
      <c r="F58" s="1">
        <v>17</v>
      </c>
      <c r="G58" s="1">
        <v>0</v>
      </c>
    </row>
    <row r="59" spans="1:7" x14ac:dyDescent="0.3">
      <c r="A59" s="1">
        <v>2</v>
      </c>
      <c r="B59" s="1">
        <v>1</v>
      </c>
      <c r="C59" s="1" t="s">
        <v>0</v>
      </c>
      <c r="D59" s="1">
        <v>21</v>
      </c>
      <c r="E59" s="1" t="s">
        <v>5</v>
      </c>
      <c r="F59" s="1">
        <v>37</v>
      </c>
      <c r="G59" s="1">
        <v>1</v>
      </c>
    </row>
    <row r="60" spans="1:7" x14ac:dyDescent="0.3">
      <c r="A60" s="1">
        <v>2</v>
      </c>
      <c r="B60" s="1">
        <v>1</v>
      </c>
      <c r="C60" s="1" t="s">
        <v>0</v>
      </c>
      <c r="D60" s="1">
        <v>69</v>
      </c>
      <c r="E60" s="1" t="s">
        <v>5</v>
      </c>
      <c r="F60" s="1">
        <v>27</v>
      </c>
      <c r="G60" s="1">
        <v>0</v>
      </c>
    </row>
    <row r="61" spans="1:7" x14ac:dyDescent="0.3">
      <c r="A61" s="1">
        <v>2</v>
      </c>
      <c r="B61" s="1">
        <v>1</v>
      </c>
      <c r="C61" s="1" t="s">
        <v>0</v>
      </c>
      <c r="D61" s="1">
        <v>20</v>
      </c>
      <c r="E61" s="1" t="s">
        <v>5</v>
      </c>
      <c r="F61" s="1">
        <v>8</v>
      </c>
      <c r="G61" s="1">
        <v>0</v>
      </c>
    </row>
    <row r="62" spans="1:7" x14ac:dyDescent="0.3">
      <c r="A62" s="1">
        <v>2</v>
      </c>
      <c r="B62" s="1">
        <v>1</v>
      </c>
      <c r="C62" s="1" t="s">
        <v>0</v>
      </c>
      <c r="D62" s="1">
        <v>13</v>
      </c>
      <c r="E62" s="1" t="s">
        <v>5</v>
      </c>
      <c r="F62" s="1">
        <v>1</v>
      </c>
      <c r="G62" s="1">
        <v>0</v>
      </c>
    </row>
    <row r="63" spans="1:7" x14ac:dyDescent="0.3">
      <c r="A63" s="1">
        <v>2</v>
      </c>
      <c r="B63" s="1">
        <v>1</v>
      </c>
      <c r="C63" s="1" t="s">
        <v>0</v>
      </c>
      <c r="D63" s="1">
        <v>30</v>
      </c>
      <c r="E63" s="1" t="s">
        <v>5</v>
      </c>
      <c r="F63" s="1">
        <v>6</v>
      </c>
      <c r="G63" s="1">
        <v>0</v>
      </c>
    </row>
    <row r="64" spans="1:7" x14ac:dyDescent="0.3">
      <c r="A64" s="1">
        <v>2</v>
      </c>
      <c r="B64" s="1">
        <v>1</v>
      </c>
      <c r="C64" s="1" t="s">
        <v>0</v>
      </c>
      <c r="D64" s="1">
        <v>18</v>
      </c>
      <c r="E64" s="1" t="s">
        <v>5</v>
      </c>
      <c r="F64" s="1">
        <v>67</v>
      </c>
      <c r="G64" s="1">
        <v>1</v>
      </c>
    </row>
    <row r="65" spans="1:7" x14ac:dyDescent="0.3">
      <c r="A65" s="1">
        <v>2</v>
      </c>
      <c r="B65" s="1">
        <v>1</v>
      </c>
      <c r="C65" s="1" t="s">
        <v>0</v>
      </c>
      <c r="D65" s="1">
        <v>43</v>
      </c>
      <c r="E65" s="1" t="s">
        <v>5</v>
      </c>
      <c r="F65" s="1">
        <v>35</v>
      </c>
      <c r="G65" s="1">
        <v>0</v>
      </c>
    </row>
    <row r="66" spans="1:7" x14ac:dyDescent="0.3">
      <c r="A66" s="1">
        <v>2</v>
      </c>
      <c r="B66" s="1">
        <v>1</v>
      </c>
      <c r="C66" s="1" t="s">
        <v>0</v>
      </c>
      <c r="D66" s="1">
        <v>29</v>
      </c>
      <c r="E66" s="1" t="s">
        <v>5</v>
      </c>
      <c r="F66" s="1">
        <v>34</v>
      </c>
      <c r="G66" s="1">
        <v>1</v>
      </c>
    </row>
    <row r="67" spans="1:7" x14ac:dyDescent="0.3">
      <c r="A67" s="1">
        <v>2</v>
      </c>
      <c r="B67" s="1">
        <v>1</v>
      </c>
      <c r="C67" s="1" t="s">
        <v>0</v>
      </c>
      <c r="D67" s="1">
        <v>25</v>
      </c>
      <c r="E67" s="1" t="s">
        <v>5</v>
      </c>
      <c r="F67" s="1">
        <v>9</v>
      </c>
      <c r="G67" s="1">
        <v>0</v>
      </c>
    </row>
    <row r="68" spans="1:7" x14ac:dyDescent="0.3">
      <c r="A68" s="1">
        <v>2</v>
      </c>
      <c r="B68" s="1">
        <v>1</v>
      </c>
      <c r="C68" s="1" t="s">
        <v>0</v>
      </c>
      <c r="D68" s="1">
        <v>28</v>
      </c>
      <c r="E68" s="1" t="s">
        <v>5</v>
      </c>
      <c r="F68" s="1">
        <v>43</v>
      </c>
      <c r="G68" s="1">
        <v>1</v>
      </c>
    </row>
    <row r="69" spans="1:7" x14ac:dyDescent="0.3">
      <c r="A69" s="1">
        <v>2</v>
      </c>
      <c r="B69" s="1">
        <v>1</v>
      </c>
      <c r="C69" s="1" t="s">
        <v>0</v>
      </c>
      <c r="D69" s="1">
        <v>13</v>
      </c>
      <c r="E69" s="1" t="s">
        <v>5</v>
      </c>
      <c r="F69" s="1">
        <v>31</v>
      </c>
      <c r="G69" s="1">
        <v>1</v>
      </c>
    </row>
    <row r="70" spans="1:7" x14ac:dyDescent="0.3">
      <c r="A70" s="1">
        <v>2</v>
      </c>
      <c r="B70" s="1">
        <v>1</v>
      </c>
      <c r="C70" s="1" t="s">
        <v>0</v>
      </c>
      <c r="D70" s="1">
        <v>22</v>
      </c>
      <c r="E70" s="1" t="s">
        <v>5</v>
      </c>
      <c r="F70" s="1">
        <v>33</v>
      </c>
      <c r="G70" s="1">
        <v>1</v>
      </c>
    </row>
    <row r="71" spans="1:7" x14ac:dyDescent="0.3">
      <c r="A71" s="1">
        <v>2</v>
      </c>
      <c r="B71" s="1">
        <v>1</v>
      </c>
      <c r="C71" s="1" t="s">
        <v>0</v>
      </c>
      <c r="D71" s="1">
        <v>39</v>
      </c>
      <c r="E71" s="1" t="s">
        <v>5</v>
      </c>
      <c r="F71" s="1">
        <v>29</v>
      </c>
      <c r="G71" s="1">
        <v>0</v>
      </c>
    </row>
    <row r="72" spans="1:7" x14ac:dyDescent="0.3">
      <c r="A72" s="1">
        <v>2</v>
      </c>
      <c r="B72" s="1">
        <v>1</v>
      </c>
      <c r="C72" s="1" t="s">
        <v>0</v>
      </c>
      <c r="D72" s="1">
        <v>27</v>
      </c>
      <c r="E72" s="1" t="s">
        <v>5</v>
      </c>
      <c r="F72" s="1">
        <v>43</v>
      </c>
      <c r="G72" s="1">
        <v>1</v>
      </c>
    </row>
    <row r="73" spans="1:7" x14ac:dyDescent="0.3">
      <c r="A73" s="1">
        <v>2</v>
      </c>
      <c r="B73" s="1">
        <v>1</v>
      </c>
      <c r="C73" s="1" t="s">
        <v>0</v>
      </c>
      <c r="D73" s="1">
        <v>19</v>
      </c>
      <c r="E73" s="1" t="s">
        <v>5</v>
      </c>
      <c r="F73" s="1">
        <v>45</v>
      </c>
      <c r="G73" s="1">
        <v>1</v>
      </c>
    </row>
    <row r="74" spans="1:7" x14ac:dyDescent="0.3">
      <c r="A74" s="1">
        <v>2</v>
      </c>
      <c r="B74" s="1">
        <v>1</v>
      </c>
      <c r="C74" s="1" t="s">
        <v>0</v>
      </c>
      <c r="D74" s="1">
        <v>44</v>
      </c>
      <c r="E74" s="1" t="s">
        <v>5</v>
      </c>
      <c r="F74" s="1">
        <v>45</v>
      </c>
      <c r="G74" s="1">
        <v>1</v>
      </c>
    </row>
    <row r="75" spans="1:7" x14ac:dyDescent="0.3">
      <c r="A75" s="1">
        <v>2</v>
      </c>
      <c r="B75" s="1">
        <v>1</v>
      </c>
      <c r="C75" s="1" t="s">
        <v>0</v>
      </c>
      <c r="D75" s="1">
        <v>27</v>
      </c>
      <c r="E75" s="1" t="s">
        <v>5</v>
      </c>
      <c r="F75" s="1">
        <v>26</v>
      </c>
      <c r="G75" s="1">
        <v>0</v>
      </c>
    </row>
    <row r="76" spans="1:7" x14ac:dyDescent="0.3">
      <c r="A76" s="1">
        <v>2</v>
      </c>
      <c r="B76" s="1">
        <v>1</v>
      </c>
      <c r="C76" s="1" t="s">
        <v>0</v>
      </c>
      <c r="D76" s="1">
        <v>37</v>
      </c>
      <c r="E76" s="1" t="s">
        <v>5</v>
      </c>
      <c r="F76" s="1">
        <v>31</v>
      </c>
      <c r="G76" s="1">
        <v>0</v>
      </c>
    </row>
    <row r="77" spans="1:7" x14ac:dyDescent="0.3">
      <c r="A77" s="1">
        <v>2</v>
      </c>
      <c r="B77" s="1">
        <v>1</v>
      </c>
      <c r="C77" s="1" t="s">
        <v>0</v>
      </c>
      <c r="D77" s="1">
        <v>85</v>
      </c>
      <c r="E77" s="1" t="s">
        <v>5</v>
      </c>
      <c r="F77" s="1">
        <v>34</v>
      </c>
      <c r="G77" s="1">
        <v>0</v>
      </c>
    </row>
    <row r="78" spans="1:7" x14ac:dyDescent="0.3">
      <c r="A78" s="1">
        <v>2</v>
      </c>
      <c r="B78" s="1">
        <v>1</v>
      </c>
      <c r="C78" s="1" t="s">
        <v>0</v>
      </c>
      <c r="D78" s="1">
        <v>35</v>
      </c>
      <c r="E78" s="1" t="s">
        <v>5</v>
      </c>
      <c r="F78" s="1">
        <v>44</v>
      </c>
      <c r="G78" s="1">
        <v>1</v>
      </c>
    </row>
    <row r="79" spans="1:7" x14ac:dyDescent="0.3">
      <c r="A79" s="1">
        <v>2</v>
      </c>
      <c r="B79" s="1">
        <v>1</v>
      </c>
      <c r="C79" s="1" t="s">
        <v>0</v>
      </c>
      <c r="D79" s="1">
        <v>24</v>
      </c>
      <c r="E79" s="1" t="s">
        <v>5</v>
      </c>
      <c r="F79" s="1">
        <v>41</v>
      </c>
      <c r="G79" s="1">
        <v>1</v>
      </c>
    </row>
    <row r="80" spans="1:7" x14ac:dyDescent="0.3">
      <c r="A80" s="1">
        <v>2</v>
      </c>
      <c r="B80" s="1">
        <v>1</v>
      </c>
      <c r="C80" s="1" t="s">
        <v>0</v>
      </c>
      <c r="D80" s="1">
        <v>48</v>
      </c>
      <c r="E80" s="1" t="s">
        <v>5</v>
      </c>
      <c r="F80" s="1">
        <v>18</v>
      </c>
      <c r="G80" s="1">
        <v>0</v>
      </c>
    </row>
    <row r="81" spans="1:7" x14ac:dyDescent="0.3">
      <c r="A81" s="1">
        <v>2</v>
      </c>
      <c r="B81" s="1">
        <v>1</v>
      </c>
      <c r="C81" s="1" t="s">
        <v>0</v>
      </c>
      <c r="D81" s="1">
        <v>35</v>
      </c>
      <c r="E81" s="1" t="s">
        <v>5</v>
      </c>
      <c r="F81" s="1">
        <v>26</v>
      </c>
      <c r="G81" s="1">
        <v>0</v>
      </c>
    </row>
    <row r="82" spans="1:7" x14ac:dyDescent="0.3">
      <c r="A82" s="1">
        <v>2</v>
      </c>
      <c r="B82" s="1">
        <v>1</v>
      </c>
      <c r="C82" s="1" t="s">
        <v>0</v>
      </c>
      <c r="D82" s="1">
        <v>26</v>
      </c>
      <c r="E82" s="1" t="s">
        <v>5</v>
      </c>
      <c r="F82" s="1">
        <v>21</v>
      </c>
      <c r="G82" s="1">
        <v>0</v>
      </c>
    </row>
    <row r="83" spans="1:7" x14ac:dyDescent="0.3">
      <c r="A83" s="1">
        <v>2</v>
      </c>
      <c r="B83" s="1">
        <v>1</v>
      </c>
      <c r="C83" s="1" t="s">
        <v>0</v>
      </c>
      <c r="D83" s="1">
        <v>25</v>
      </c>
      <c r="E83" s="1" t="s">
        <v>5</v>
      </c>
      <c r="F83" s="1">
        <v>25</v>
      </c>
      <c r="G83" s="1">
        <v>0</v>
      </c>
    </row>
    <row r="84" spans="1:7" x14ac:dyDescent="0.3">
      <c r="A84" s="1">
        <v>2</v>
      </c>
      <c r="B84" s="1">
        <v>1</v>
      </c>
      <c r="C84" s="1" t="s">
        <v>0</v>
      </c>
      <c r="D84" s="1">
        <v>23</v>
      </c>
      <c r="E84" s="1" t="s">
        <v>5</v>
      </c>
      <c r="F84" s="1">
        <v>43</v>
      </c>
      <c r="G84" s="1">
        <v>1</v>
      </c>
    </row>
    <row r="85" spans="1:7" x14ac:dyDescent="0.3">
      <c r="A85" s="1">
        <v>2</v>
      </c>
      <c r="B85" s="1">
        <v>1</v>
      </c>
      <c r="C85" s="1" t="s">
        <v>0</v>
      </c>
      <c r="D85" s="1">
        <v>26</v>
      </c>
      <c r="E85" s="1" t="s">
        <v>5</v>
      </c>
      <c r="F85" s="1">
        <v>5</v>
      </c>
      <c r="G85" s="1">
        <v>0</v>
      </c>
    </row>
    <row r="86" spans="1:7" x14ac:dyDescent="0.3">
      <c r="A86" s="1">
        <v>2</v>
      </c>
      <c r="B86" s="1">
        <v>1</v>
      </c>
      <c r="C86" s="1" t="s">
        <v>0</v>
      </c>
      <c r="D86" s="1">
        <v>54</v>
      </c>
      <c r="E86" s="1" t="s">
        <v>5</v>
      </c>
      <c r="F86" s="1">
        <v>42</v>
      </c>
      <c r="G86" s="1">
        <v>0</v>
      </c>
    </row>
    <row r="87" spans="1:7" x14ac:dyDescent="0.3">
      <c r="A87" s="1">
        <v>2</v>
      </c>
      <c r="B87" s="1">
        <v>1</v>
      </c>
      <c r="C87" s="1" t="s">
        <v>0</v>
      </c>
      <c r="D87" s="1">
        <v>33</v>
      </c>
      <c r="E87" s="1" t="s">
        <v>5</v>
      </c>
      <c r="F87" s="1">
        <v>62</v>
      </c>
      <c r="G87" s="1">
        <v>1</v>
      </c>
    </row>
    <row r="88" spans="1:7" x14ac:dyDescent="0.3">
      <c r="A88" s="1">
        <v>2</v>
      </c>
      <c r="B88" s="1">
        <v>1</v>
      </c>
      <c r="C88" s="1" t="s">
        <v>0</v>
      </c>
      <c r="D88" s="1">
        <v>44</v>
      </c>
      <c r="E88" s="1" t="s">
        <v>5</v>
      </c>
      <c r="F88" s="1">
        <v>44</v>
      </c>
      <c r="G88" s="1">
        <v>0</v>
      </c>
    </row>
    <row r="89" spans="1:7" x14ac:dyDescent="0.3">
      <c r="A89" s="1">
        <v>2</v>
      </c>
      <c r="B89" s="1">
        <v>1</v>
      </c>
      <c r="C89" s="1" t="s">
        <v>0</v>
      </c>
      <c r="D89" s="1">
        <v>30</v>
      </c>
      <c r="E89" s="1" t="s">
        <v>5</v>
      </c>
      <c r="F89" s="1">
        <v>33</v>
      </c>
      <c r="G89" s="1">
        <v>1</v>
      </c>
    </row>
    <row r="90" spans="1:7" x14ac:dyDescent="0.3">
      <c r="A90" s="1">
        <v>2</v>
      </c>
      <c r="B90" s="1">
        <v>1</v>
      </c>
      <c r="C90" s="1" t="s">
        <v>0</v>
      </c>
      <c r="D90" s="1">
        <v>71</v>
      </c>
      <c r="E90" s="1" t="s">
        <v>5</v>
      </c>
      <c r="F90" s="1">
        <v>34</v>
      </c>
      <c r="G90" s="1">
        <v>0</v>
      </c>
    </row>
    <row r="91" spans="1:7" x14ac:dyDescent="0.3">
      <c r="A91" s="1">
        <v>2</v>
      </c>
      <c r="B91" s="1">
        <v>1</v>
      </c>
      <c r="C91" s="1" t="s">
        <v>0</v>
      </c>
      <c r="D91" s="1">
        <v>5</v>
      </c>
      <c r="E91" s="1" t="s">
        <v>5</v>
      </c>
      <c r="F91" s="1">
        <v>54</v>
      </c>
      <c r="G91" s="1">
        <v>1</v>
      </c>
    </row>
    <row r="92" spans="1:7" x14ac:dyDescent="0.3">
      <c r="A92" s="1">
        <v>2</v>
      </c>
      <c r="B92" s="1">
        <v>1</v>
      </c>
      <c r="C92" s="1" t="s">
        <v>0</v>
      </c>
      <c r="D92" s="1">
        <v>26</v>
      </c>
      <c r="E92" s="1" t="s">
        <v>5</v>
      </c>
      <c r="F92" s="1">
        <v>34</v>
      </c>
      <c r="G92" s="1">
        <v>1</v>
      </c>
    </row>
    <row r="93" spans="1:7" x14ac:dyDescent="0.3">
      <c r="A93" s="1">
        <v>2</v>
      </c>
      <c r="B93" s="1">
        <v>1</v>
      </c>
      <c r="C93" s="1" t="s">
        <v>0</v>
      </c>
      <c r="D93" s="1">
        <v>31</v>
      </c>
      <c r="E93" s="1" t="s">
        <v>5</v>
      </c>
      <c r="F93" s="1">
        <v>15</v>
      </c>
      <c r="G93" s="1">
        <v>0</v>
      </c>
    </row>
    <row r="94" spans="1:7" x14ac:dyDescent="0.3">
      <c r="A94" s="1">
        <v>2</v>
      </c>
      <c r="B94" s="1">
        <v>1</v>
      </c>
      <c r="C94" s="1" t="s">
        <v>0</v>
      </c>
      <c r="D94" s="1">
        <v>38</v>
      </c>
      <c r="E94" s="1" t="s">
        <v>5</v>
      </c>
      <c r="F94" s="1">
        <v>51</v>
      </c>
      <c r="G94" s="1">
        <v>1</v>
      </c>
    </row>
    <row r="95" spans="1:7" x14ac:dyDescent="0.3">
      <c r="A95" s="1">
        <v>2</v>
      </c>
      <c r="B95" s="1">
        <v>1</v>
      </c>
      <c r="C95" s="1" t="s">
        <v>0</v>
      </c>
      <c r="D95" s="1">
        <v>46</v>
      </c>
      <c r="E95" s="1" t="s">
        <v>5</v>
      </c>
      <c r="F95" s="1">
        <v>5</v>
      </c>
      <c r="G95" s="1">
        <v>0</v>
      </c>
    </row>
    <row r="96" spans="1:7" x14ac:dyDescent="0.3">
      <c r="A96" s="1">
        <v>2</v>
      </c>
      <c r="B96" s="1">
        <v>1</v>
      </c>
      <c r="C96" s="1" t="s">
        <v>0</v>
      </c>
      <c r="D96" s="1">
        <v>15</v>
      </c>
      <c r="E96" s="1" t="s">
        <v>5</v>
      </c>
      <c r="F96" s="1">
        <v>45</v>
      </c>
      <c r="G96" s="1">
        <v>1</v>
      </c>
    </row>
    <row r="97" spans="1:7" x14ac:dyDescent="0.3">
      <c r="A97" s="1">
        <v>2</v>
      </c>
      <c r="B97" s="1">
        <v>1</v>
      </c>
      <c r="C97" s="1" t="s">
        <v>0</v>
      </c>
      <c r="D97" s="1">
        <v>68</v>
      </c>
      <c r="E97" s="1" t="s">
        <v>5</v>
      </c>
      <c r="F97" s="1">
        <v>47</v>
      </c>
      <c r="G97" s="1">
        <v>0</v>
      </c>
    </row>
    <row r="98" spans="1:7" x14ac:dyDescent="0.3">
      <c r="A98" s="1">
        <v>2</v>
      </c>
      <c r="B98" s="1">
        <v>1</v>
      </c>
      <c r="C98" s="1" t="s">
        <v>0</v>
      </c>
      <c r="D98" s="1">
        <v>22</v>
      </c>
      <c r="E98" s="1" t="s">
        <v>5</v>
      </c>
      <c r="F98" s="1">
        <v>26</v>
      </c>
      <c r="G98" s="1">
        <v>1</v>
      </c>
    </row>
    <row r="99" spans="1:7" x14ac:dyDescent="0.3">
      <c r="A99" s="1">
        <v>2</v>
      </c>
      <c r="B99" s="1">
        <v>1</v>
      </c>
      <c r="C99" s="1" t="s">
        <v>0</v>
      </c>
      <c r="D99" s="1">
        <v>48</v>
      </c>
      <c r="E99" s="1" t="s">
        <v>5</v>
      </c>
      <c r="F99" s="1">
        <v>11</v>
      </c>
      <c r="G99" s="1">
        <v>0</v>
      </c>
    </row>
    <row r="100" spans="1:7" x14ac:dyDescent="0.3">
      <c r="A100" s="1">
        <v>2</v>
      </c>
      <c r="B100" s="1">
        <v>1</v>
      </c>
      <c r="C100" s="1" t="s">
        <v>0</v>
      </c>
      <c r="D100" s="1">
        <v>52</v>
      </c>
      <c r="E100" s="1" t="s">
        <v>5</v>
      </c>
      <c r="F100" s="1">
        <v>30</v>
      </c>
      <c r="G100" s="1">
        <v>0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B39AF-A676-45E9-AF3F-C5627E55E09C}">
  <dimension ref="A1:Q100"/>
  <sheetViews>
    <sheetView workbookViewId="0">
      <selection activeCell="I1" sqref="I1:Q16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0</v>
      </c>
      <c r="D1" s="1">
        <v>11</v>
      </c>
      <c r="E1" s="1" t="s">
        <v>2</v>
      </c>
      <c r="F1" s="1">
        <v>14</v>
      </c>
      <c r="G1" s="1">
        <v>1</v>
      </c>
      <c r="I1" s="2"/>
      <c r="J1" s="3"/>
      <c r="K1" s="4" t="s">
        <v>7</v>
      </c>
      <c r="L1" s="4"/>
      <c r="M1" s="5" t="s">
        <v>8</v>
      </c>
      <c r="N1" s="5"/>
      <c r="O1" s="5" t="s">
        <v>9</v>
      </c>
      <c r="P1" s="5"/>
      <c r="Q1"/>
    </row>
    <row r="2" spans="1:17" x14ac:dyDescent="0.3">
      <c r="A2" s="1">
        <v>2</v>
      </c>
      <c r="B2" s="1">
        <v>0</v>
      </c>
      <c r="C2" s="1" t="s">
        <v>0</v>
      </c>
      <c r="D2" s="1">
        <v>36</v>
      </c>
      <c r="E2" s="1" t="s">
        <v>2</v>
      </c>
      <c r="F2" s="1">
        <v>3</v>
      </c>
      <c r="G2" s="1">
        <v>0</v>
      </c>
      <c r="I2" s="6"/>
      <c r="J2" s="7"/>
      <c r="K2" s="4"/>
      <c r="L2" s="4"/>
      <c r="M2" s="5"/>
      <c r="N2" s="5"/>
      <c r="O2" s="5"/>
      <c r="P2" s="5"/>
      <c r="Q2" s="8" t="s">
        <v>10</v>
      </c>
    </row>
    <row r="3" spans="1:17" x14ac:dyDescent="0.3">
      <c r="A3" s="1">
        <v>2</v>
      </c>
      <c r="B3" s="1">
        <v>0</v>
      </c>
      <c r="C3" s="1" t="s">
        <v>0</v>
      </c>
      <c r="D3" s="1">
        <v>28</v>
      </c>
      <c r="E3" s="1" t="s">
        <v>2</v>
      </c>
      <c r="F3" s="1">
        <v>8</v>
      </c>
      <c r="G3" s="1">
        <v>0</v>
      </c>
      <c r="I3" s="5" t="s">
        <v>11</v>
      </c>
      <c r="J3" s="5"/>
      <c r="K3" s="9">
        <f>COUNTIF($G$1:$G$100, 0)</f>
        <v>93</v>
      </c>
      <c r="L3" s="9"/>
      <c r="M3" s="9">
        <f>COUNTIFS($G$1:$G$100, 0, $B$1:$B$100, 0)</f>
        <v>45</v>
      </c>
      <c r="N3" s="9"/>
      <c r="O3" s="10">
        <f>COUNTIFS($G$1:$G$100, 0, $B$1:$B$100, 1)</f>
        <v>48</v>
      </c>
      <c r="P3" s="11"/>
      <c r="Q3" s="12" cm="1">
        <f t="array" ref="Q3">SUMPRODUCT(--($D$1:$D$100=$G$1:$G$100))</f>
        <v>0</v>
      </c>
    </row>
    <row r="4" spans="1:17" x14ac:dyDescent="0.3">
      <c r="A4" s="1">
        <v>2</v>
      </c>
      <c r="B4" s="1">
        <v>0</v>
      </c>
      <c r="C4" s="1" t="s">
        <v>0</v>
      </c>
      <c r="D4" s="1">
        <v>48</v>
      </c>
      <c r="E4" s="1" t="s">
        <v>2</v>
      </c>
      <c r="F4" s="1">
        <v>3</v>
      </c>
      <c r="G4" s="1">
        <v>0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0</v>
      </c>
      <c r="D5" s="1">
        <v>44</v>
      </c>
      <c r="E5" s="1" t="s">
        <v>2</v>
      </c>
      <c r="F5" s="1">
        <v>7</v>
      </c>
      <c r="G5" s="1">
        <v>0</v>
      </c>
      <c r="I5" s="5" t="s">
        <v>12</v>
      </c>
      <c r="J5" s="5"/>
      <c r="K5" s="14">
        <f>COUNTIF($G$1:$G$100, 1)</f>
        <v>7</v>
      </c>
      <c r="L5" s="9"/>
      <c r="M5" s="9">
        <f>COUNTIFS($G$1:$G$100, 1, $B$1:$B$100, 0)</f>
        <v>5</v>
      </c>
      <c r="N5" s="9"/>
      <c r="O5" s="9">
        <f>COUNTIFS($G$1:$G$100, 1, $B$1:$B$100, 1)</f>
        <v>2</v>
      </c>
      <c r="P5" s="13"/>
      <c r="Q5"/>
    </row>
    <row r="6" spans="1:17" x14ac:dyDescent="0.3">
      <c r="A6" s="1">
        <v>2</v>
      </c>
      <c r="B6" s="1">
        <v>0</v>
      </c>
      <c r="C6" s="1" t="s">
        <v>0</v>
      </c>
      <c r="D6" s="1">
        <v>60</v>
      </c>
      <c r="E6" s="1" t="s">
        <v>2</v>
      </c>
      <c r="F6" s="1">
        <v>2</v>
      </c>
      <c r="G6" s="1">
        <v>0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0</v>
      </c>
      <c r="D7" s="1">
        <v>32</v>
      </c>
      <c r="E7" s="1" t="s">
        <v>2</v>
      </c>
      <c r="F7" s="1">
        <v>36</v>
      </c>
      <c r="G7" s="1">
        <v>1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0</v>
      </c>
      <c r="D8" s="1">
        <v>54</v>
      </c>
      <c r="E8" s="1" t="s">
        <v>2</v>
      </c>
      <c r="F8" s="1">
        <v>5</v>
      </c>
      <c r="G8" s="1">
        <v>0</v>
      </c>
      <c r="I8" s="19"/>
      <c r="J8" s="20"/>
      <c r="K8" s="21" t="s">
        <v>7</v>
      </c>
      <c r="L8" s="21"/>
      <c r="M8" s="21" t="s">
        <v>13</v>
      </c>
      <c r="N8" s="21"/>
      <c r="O8" s="21" t="s">
        <v>14</v>
      </c>
      <c r="P8" s="21"/>
      <c r="Q8"/>
    </row>
    <row r="9" spans="1:17" x14ac:dyDescent="0.3">
      <c r="A9" s="1">
        <v>2</v>
      </c>
      <c r="B9" s="1">
        <v>0</v>
      </c>
      <c r="C9" s="1" t="s">
        <v>0</v>
      </c>
      <c r="D9" s="1">
        <v>44</v>
      </c>
      <c r="E9" s="1" t="s">
        <v>2</v>
      </c>
      <c r="F9" s="1">
        <v>2</v>
      </c>
      <c r="G9" s="1">
        <v>0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0</v>
      </c>
      <c r="D10" s="1">
        <v>39</v>
      </c>
      <c r="E10" s="1" t="s">
        <v>2</v>
      </c>
      <c r="F10" s="1">
        <v>12</v>
      </c>
      <c r="G10" s="1">
        <v>0</v>
      </c>
      <c r="I10" s="5" t="s">
        <v>15</v>
      </c>
      <c r="J10" s="5"/>
      <c r="K10" s="9">
        <f>AVERAGE($D$1:$D$100,)</f>
        <v>39.039603960396036</v>
      </c>
      <c r="L10" s="9"/>
      <c r="M10" s="9" cm="1">
        <f t="array" ref="M10">AVERAGE(_xlfn._xlws.FILTER($D$1:$D$100,$G$1:$G$100 = 0))</f>
        <v>40.978494623655912</v>
      </c>
      <c r="N10" s="9"/>
      <c r="O10" s="10" cm="1">
        <f t="array" ref="O10">AVERAGE(_xlfn._xlws.FILTER($D$1:$D$100,$G$1:$G$100 = 1))</f>
        <v>18.857142857142858</v>
      </c>
      <c r="P10" s="11"/>
      <c r="Q10"/>
    </row>
    <row r="11" spans="1:17" x14ac:dyDescent="0.3">
      <c r="A11" s="1">
        <v>2</v>
      </c>
      <c r="B11" s="1">
        <v>0</v>
      </c>
      <c r="C11" s="1" t="s">
        <v>0</v>
      </c>
      <c r="D11" s="1">
        <v>46</v>
      </c>
      <c r="E11" s="1" t="s">
        <v>2</v>
      </c>
      <c r="F11" s="1">
        <v>2</v>
      </c>
      <c r="G11" s="1">
        <v>0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0</v>
      </c>
      <c r="D12" s="1">
        <v>47</v>
      </c>
      <c r="E12" s="1" t="s">
        <v>2</v>
      </c>
      <c r="F12" s="1">
        <v>2</v>
      </c>
      <c r="G12" s="1">
        <v>0</v>
      </c>
      <c r="I12" s="5" t="s">
        <v>16</v>
      </c>
      <c r="J12" s="5"/>
      <c r="K12" s="9">
        <f>AVERAGE($F$1:$F$100,)</f>
        <v>9.5742574257425748</v>
      </c>
      <c r="L12" s="9"/>
      <c r="M12" s="9" cm="1">
        <f t="array" ref="M12">AVERAGE(_xlfn._xlws.FILTER($F$1:$F$100,$G$1:$G$100 = 0))</f>
        <v>8.3548387096774199</v>
      </c>
      <c r="N12" s="9"/>
      <c r="O12" s="9" cm="1">
        <f t="array" ref="O12">AVERAGE(_xlfn._xlws.FILTER($F$1:$F$100,$G$1:$G$100 = 1))</f>
        <v>27.142857142857142</v>
      </c>
      <c r="P12" s="13"/>
      <c r="Q12"/>
    </row>
    <row r="13" spans="1:17" x14ac:dyDescent="0.3">
      <c r="A13" s="1">
        <v>2</v>
      </c>
      <c r="B13" s="1">
        <v>0</v>
      </c>
      <c r="C13" s="1" t="s">
        <v>0</v>
      </c>
      <c r="D13" s="1">
        <v>48</v>
      </c>
      <c r="E13" s="1" t="s">
        <v>2</v>
      </c>
      <c r="F13" s="1">
        <v>12</v>
      </c>
      <c r="G13" s="1">
        <v>0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0</v>
      </c>
      <c r="D14" s="1">
        <v>56</v>
      </c>
      <c r="E14" s="1" t="s">
        <v>2</v>
      </c>
      <c r="F14" s="1">
        <v>22</v>
      </c>
      <c r="G14" s="1">
        <v>0</v>
      </c>
      <c r="I14" s="22" t="s">
        <v>17</v>
      </c>
      <c r="J14" s="11"/>
      <c r="K14" s="23" cm="1">
        <f t="array" ref="K14">AVERAGE($D$1:$D$100 - $F$1:$F$100)</f>
        <v>29.76</v>
      </c>
      <c r="L14" s="23"/>
      <c r="M14" s="23" cm="1">
        <f t="array" ref="M14">AVERAGE(_xlfn._xlws.FILTER($D$1:$D$100 - $F$1:$F$100, G$1:G$100 = 0))</f>
        <v>32.623655913978496</v>
      </c>
      <c r="N14" s="23"/>
      <c r="O14" s="23" cm="1">
        <f t="array" ref="O14">AVERAGE(_xlfn._xlws.FILTER($D$1:$D$100 - $F$1:$F$100, G$1:G$100 = 1))</f>
        <v>-8.2857142857142865</v>
      </c>
      <c r="P14" s="24"/>
      <c r="Q14"/>
    </row>
    <row r="15" spans="1:17" x14ac:dyDescent="0.3">
      <c r="A15" s="1">
        <v>2</v>
      </c>
      <c r="B15" s="1">
        <v>0</v>
      </c>
      <c r="C15" s="1" t="s">
        <v>0</v>
      </c>
      <c r="D15" s="1">
        <v>62</v>
      </c>
      <c r="E15" s="1" t="s">
        <v>2</v>
      </c>
      <c r="F15" s="1">
        <v>0</v>
      </c>
      <c r="G15" s="1">
        <v>0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0</v>
      </c>
      <c r="D16" s="1">
        <v>28</v>
      </c>
      <c r="E16" s="1" t="s">
        <v>2</v>
      </c>
      <c r="F16" s="1">
        <v>20</v>
      </c>
      <c r="G16" s="1">
        <v>0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0</v>
      </c>
      <c r="D17" s="1">
        <v>41</v>
      </c>
      <c r="E17" s="1" t="s">
        <v>2</v>
      </c>
      <c r="F17" s="1">
        <v>2</v>
      </c>
      <c r="G17" s="1">
        <v>0</v>
      </c>
    </row>
    <row r="18" spans="1:7" x14ac:dyDescent="0.3">
      <c r="A18" s="1">
        <v>2</v>
      </c>
      <c r="B18" s="1">
        <v>0</v>
      </c>
      <c r="C18" s="1" t="s">
        <v>0</v>
      </c>
      <c r="D18" s="1">
        <v>25</v>
      </c>
      <c r="E18" s="1" t="s">
        <v>2</v>
      </c>
      <c r="F18" s="1">
        <v>18</v>
      </c>
      <c r="G18" s="1">
        <v>0</v>
      </c>
    </row>
    <row r="19" spans="1:7" x14ac:dyDescent="0.3">
      <c r="A19" s="1">
        <v>2</v>
      </c>
      <c r="B19" s="1">
        <v>0</v>
      </c>
      <c r="C19" s="1" t="s">
        <v>0</v>
      </c>
      <c r="D19" s="1">
        <v>52</v>
      </c>
      <c r="E19" s="1" t="s">
        <v>2</v>
      </c>
      <c r="F19" s="1">
        <v>1</v>
      </c>
      <c r="G19" s="1">
        <v>0</v>
      </c>
    </row>
    <row r="20" spans="1:7" x14ac:dyDescent="0.3">
      <c r="A20" s="1">
        <v>2</v>
      </c>
      <c r="B20" s="1">
        <v>0</v>
      </c>
      <c r="C20" s="1" t="s">
        <v>0</v>
      </c>
      <c r="D20" s="1">
        <v>44</v>
      </c>
      <c r="E20" s="1" t="s">
        <v>2</v>
      </c>
      <c r="F20" s="1">
        <v>2</v>
      </c>
      <c r="G20" s="1">
        <v>0</v>
      </c>
    </row>
    <row r="21" spans="1:7" x14ac:dyDescent="0.3">
      <c r="A21" s="1">
        <v>2</v>
      </c>
      <c r="B21" s="1">
        <v>0</v>
      </c>
      <c r="C21" s="1" t="s">
        <v>0</v>
      </c>
      <c r="D21" s="1">
        <v>35</v>
      </c>
      <c r="E21" s="1" t="s">
        <v>2</v>
      </c>
      <c r="F21" s="1">
        <v>5</v>
      </c>
      <c r="G21" s="1">
        <v>0</v>
      </c>
    </row>
    <row r="22" spans="1:7" x14ac:dyDescent="0.3">
      <c r="A22" s="1">
        <v>2</v>
      </c>
      <c r="B22" s="1">
        <v>0</v>
      </c>
      <c r="C22" s="1" t="s">
        <v>0</v>
      </c>
      <c r="D22" s="1">
        <v>29</v>
      </c>
      <c r="E22" s="1" t="s">
        <v>2</v>
      </c>
      <c r="F22" s="1">
        <v>5</v>
      </c>
      <c r="G22" s="1">
        <v>0</v>
      </c>
    </row>
    <row r="23" spans="1:7" x14ac:dyDescent="0.3">
      <c r="A23" s="1">
        <v>2</v>
      </c>
      <c r="B23" s="1">
        <v>0</v>
      </c>
      <c r="C23" s="1" t="s">
        <v>0</v>
      </c>
      <c r="D23" s="1">
        <v>48</v>
      </c>
      <c r="E23" s="1" t="s">
        <v>2</v>
      </c>
      <c r="F23" s="1">
        <v>2</v>
      </c>
      <c r="G23" s="1">
        <v>0</v>
      </c>
    </row>
    <row r="24" spans="1:7" x14ac:dyDescent="0.3">
      <c r="A24" s="1">
        <v>2</v>
      </c>
      <c r="B24" s="1">
        <v>0</v>
      </c>
      <c r="C24" s="1" t="s">
        <v>0</v>
      </c>
      <c r="D24" s="1">
        <v>37</v>
      </c>
      <c r="E24" s="1" t="s">
        <v>2</v>
      </c>
      <c r="F24" s="1">
        <v>2</v>
      </c>
      <c r="G24" s="1">
        <v>0</v>
      </c>
    </row>
    <row r="25" spans="1:7" x14ac:dyDescent="0.3">
      <c r="A25" s="1">
        <v>2</v>
      </c>
      <c r="B25" s="1">
        <v>0</v>
      </c>
      <c r="C25" s="1" t="s">
        <v>0</v>
      </c>
      <c r="D25" s="1">
        <v>53</v>
      </c>
      <c r="E25" s="1" t="s">
        <v>2</v>
      </c>
      <c r="F25" s="1">
        <v>0</v>
      </c>
      <c r="G25" s="1">
        <v>0</v>
      </c>
    </row>
    <row r="26" spans="1:7" x14ac:dyDescent="0.3">
      <c r="A26" s="1">
        <v>2</v>
      </c>
      <c r="B26" s="1">
        <v>0</v>
      </c>
      <c r="C26" s="1" t="s">
        <v>0</v>
      </c>
      <c r="D26" s="1">
        <v>65</v>
      </c>
      <c r="E26" s="1" t="s">
        <v>2</v>
      </c>
      <c r="F26" s="1">
        <v>4</v>
      </c>
      <c r="G26" s="1">
        <v>0</v>
      </c>
    </row>
    <row r="27" spans="1:7" x14ac:dyDescent="0.3">
      <c r="A27" s="1">
        <v>2</v>
      </c>
      <c r="B27" s="1">
        <v>0</v>
      </c>
      <c r="C27" s="1" t="s">
        <v>0</v>
      </c>
      <c r="D27" s="1">
        <v>13</v>
      </c>
      <c r="E27" s="1" t="s">
        <v>2</v>
      </c>
      <c r="F27" s="1">
        <v>24</v>
      </c>
      <c r="G27" s="1">
        <v>1</v>
      </c>
    </row>
    <row r="28" spans="1:7" x14ac:dyDescent="0.3">
      <c r="A28" s="1">
        <v>2</v>
      </c>
      <c r="B28" s="1">
        <v>0</v>
      </c>
      <c r="C28" s="1" t="s">
        <v>0</v>
      </c>
      <c r="D28" s="1">
        <v>41</v>
      </c>
      <c r="E28" s="1" t="s">
        <v>2</v>
      </c>
      <c r="F28" s="1">
        <v>25</v>
      </c>
      <c r="G28" s="1">
        <v>0</v>
      </c>
    </row>
    <row r="29" spans="1:7" x14ac:dyDescent="0.3">
      <c r="A29" s="1">
        <v>2</v>
      </c>
      <c r="B29" s="1">
        <v>0</v>
      </c>
      <c r="C29" s="1" t="s">
        <v>0</v>
      </c>
      <c r="D29" s="1">
        <v>32</v>
      </c>
      <c r="E29" s="1" t="s">
        <v>2</v>
      </c>
      <c r="F29" s="1">
        <v>0</v>
      </c>
      <c r="G29" s="1">
        <v>0</v>
      </c>
    </row>
    <row r="30" spans="1:7" x14ac:dyDescent="0.3">
      <c r="A30" s="1">
        <v>2</v>
      </c>
      <c r="B30" s="1">
        <v>0</v>
      </c>
      <c r="C30" s="1" t="s">
        <v>0</v>
      </c>
      <c r="D30" s="1">
        <v>46</v>
      </c>
      <c r="E30" s="1" t="s">
        <v>2</v>
      </c>
      <c r="F30" s="1">
        <v>15</v>
      </c>
      <c r="G30" s="1">
        <v>0</v>
      </c>
    </row>
    <row r="31" spans="1:7" x14ac:dyDescent="0.3">
      <c r="A31" s="1">
        <v>2</v>
      </c>
      <c r="B31" s="1">
        <v>0</v>
      </c>
      <c r="C31" s="1" t="s">
        <v>0</v>
      </c>
      <c r="D31" s="1">
        <v>33</v>
      </c>
      <c r="E31" s="1" t="s">
        <v>2</v>
      </c>
      <c r="F31" s="1">
        <v>2</v>
      </c>
      <c r="G31" s="1">
        <v>0</v>
      </c>
    </row>
    <row r="32" spans="1:7" x14ac:dyDescent="0.3">
      <c r="A32" s="1">
        <v>2</v>
      </c>
      <c r="B32" s="1">
        <v>0</v>
      </c>
      <c r="C32" s="1" t="s">
        <v>0</v>
      </c>
      <c r="D32" s="1">
        <v>44</v>
      </c>
      <c r="E32" s="1" t="s">
        <v>2</v>
      </c>
      <c r="F32" s="1">
        <v>2</v>
      </c>
      <c r="G32" s="1">
        <v>0</v>
      </c>
    </row>
    <row r="33" spans="1:7" x14ac:dyDescent="0.3">
      <c r="A33" s="1">
        <v>2</v>
      </c>
      <c r="B33" s="1">
        <v>0</v>
      </c>
      <c r="C33" s="1" t="s">
        <v>0</v>
      </c>
      <c r="D33" s="1">
        <v>27</v>
      </c>
      <c r="E33" s="1" t="s">
        <v>2</v>
      </c>
      <c r="F33" s="1">
        <v>13</v>
      </c>
      <c r="G33" s="1">
        <v>0</v>
      </c>
    </row>
    <row r="34" spans="1:7" x14ac:dyDescent="0.3">
      <c r="A34" s="1">
        <v>2</v>
      </c>
      <c r="B34" s="1">
        <v>0</v>
      </c>
      <c r="C34" s="1" t="s">
        <v>0</v>
      </c>
      <c r="D34" s="1">
        <v>29</v>
      </c>
      <c r="E34" s="1" t="s">
        <v>2</v>
      </c>
      <c r="F34" s="1">
        <v>0</v>
      </c>
      <c r="G34" s="1">
        <v>0</v>
      </c>
    </row>
    <row r="35" spans="1:7" x14ac:dyDescent="0.3">
      <c r="A35" s="1">
        <v>2</v>
      </c>
      <c r="B35" s="1">
        <v>0</v>
      </c>
      <c r="C35" s="1" t="s">
        <v>0</v>
      </c>
      <c r="D35" s="1">
        <v>25</v>
      </c>
      <c r="E35" s="1" t="s">
        <v>2</v>
      </c>
      <c r="F35" s="1">
        <v>2</v>
      </c>
      <c r="G35" s="1">
        <v>0</v>
      </c>
    </row>
    <row r="36" spans="1:7" x14ac:dyDescent="0.3">
      <c r="A36" s="1">
        <v>2</v>
      </c>
      <c r="B36" s="1">
        <v>0</v>
      </c>
      <c r="C36" s="1" t="s">
        <v>0</v>
      </c>
      <c r="D36" s="1">
        <v>39</v>
      </c>
      <c r="E36" s="1" t="s">
        <v>2</v>
      </c>
      <c r="F36" s="1">
        <v>9</v>
      </c>
      <c r="G36" s="1">
        <v>0</v>
      </c>
    </row>
    <row r="37" spans="1:7" x14ac:dyDescent="0.3">
      <c r="A37" s="1">
        <v>2</v>
      </c>
      <c r="B37" s="1">
        <v>0</v>
      </c>
      <c r="C37" s="1" t="s">
        <v>0</v>
      </c>
      <c r="D37" s="1">
        <v>61</v>
      </c>
      <c r="E37" s="1" t="s">
        <v>2</v>
      </c>
      <c r="F37" s="1">
        <v>0</v>
      </c>
      <c r="G37" s="1">
        <v>0</v>
      </c>
    </row>
    <row r="38" spans="1:7" x14ac:dyDescent="0.3">
      <c r="A38" s="1">
        <v>2</v>
      </c>
      <c r="B38" s="1">
        <v>0</v>
      </c>
      <c r="C38" s="1" t="s">
        <v>0</v>
      </c>
      <c r="D38" s="1">
        <v>26</v>
      </c>
      <c r="E38" s="1" t="s">
        <v>2</v>
      </c>
      <c r="F38" s="1">
        <v>12</v>
      </c>
      <c r="G38" s="1">
        <v>0</v>
      </c>
    </row>
    <row r="39" spans="1:7" x14ac:dyDescent="0.3">
      <c r="A39" s="1">
        <v>2</v>
      </c>
      <c r="B39" s="1">
        <v>0</v>
      </c>
      <c r="C39" s="1" t="s">
        <v>0</v>
      </c>
      <c r="D39" s="1">
        <v>42</v>
      </c>
      <c r="E39" s="1" t="s">
        <v>2</v>
      </c>
      <c r="F39" s="1">
        <v>21</v>
      </c>
      <c r="G39" s="1">
        <v>0</v>
      </c>
    </row>
    <row r="40" spans="1:7" x14ac:dyDescent="0.3">
      <c r="A40" s="1">
        <v>2</v>
      </c>
      <c r="B40" s="1">
        <v>0</v>
      </c>
      <c r="C40" s="1" t="s">
        <v>0</v>
      </c>
      <c r="D40" s="1">
        <v>57</v>
      </c>
      <c r="E40" s="1" t="s">
        <v>2</v>
      </c>
      <c r="F40" s="1">
        <v>2</v>
      </c>
      <c r="G40" s="1">
        <v>0</v>
      </c>
    </row>
    <row r="41" spans="1:7" x14ac:dyDescent="0.3">
      <c r="A41" s="1">
        <v>2</v>
      </c>
      <c r="B41" s="1">
        <v>0</v>
      </c>
      <c r="C41" s="1" t="s">
        <v>0</v>
      </c>
      <c r="D41" s="1">
        <v>36</v>
      </c>
      <c r="E41" s="1" t="s">
        <v>2</v>
      </c>
      <c r="F41" s="1">
        <v>44</v>
      </c>
      <c r="G41" s="1">
        <v>1</v>
      </c>
    </row>
    <row r="42" spans="1:7" x14ac:dyDescent="0.3">
      <c r="A42" s="1">
        <v>2</v>
      </c>
      <c r="B42" s="1">
        <v>0</v>
      </c>
      <c r="C42" s="1" t="s">
        <v>0</v>
      </c>
      <c r="D42" s="1">
        <v>16</v>
      </c>
      <c r="E42" s="1" t="s">
        <v>2</v>
      </c>
      <c r="F42" s="1">
        <v>17</v>
      </c>
      <c r="G42" s="1">
        <v>1</v>
      </c>
    </row>
    <row r="43" spans="1:7" x14ac:dyDescent="0.3">
      <c r="A43" s="1">
        <v>2</v>
      </c>
      <c r="B43" s="1">
        <v>0</v>
      </c>
      <c r="C43" s="1" t="s">
        <v>0</v>
      </c>
      <c r="D43" s="1">
        <v>38</v>
      </c>
      <c r="E43" s="1" t="s">
        <v>2</v>
      </c>
      <c r="F43" s="1">
        <v>14</v>
      </c>
      <c r="G43" s="1">
        <v>0</v>
      </c>
    </row>
    <row r="44" spans="1:7" x14ac:dyDescent="0.3">
      <c r="A44" s="1">
        <v>2</v>
      </c>
      <c r="B44" s="1">
        <v>0</v>
      </c>
      <c r="C44" s="1" t="s">
        <v>0</v>
      </c>
      <c r="D44" s="1">
        <v>47</v>
      </c>
      <c r="E44" s="1" t="s">
        <v>2</v>
      </c>
      <c r="F44" s="1">
        <v>6</v>
      </c>
      <c r="G44" s="1">
        <v>0</v>
      </c>
    </row>
    <row r="45" spans="1:7" x14ac:dyDescent="0.3">
      <c r="A45" s="1">
        <v>2</v>
      </c>
      <c r="B45" s="1">
        <v>0</v>
      </c>
      <c r="C45" s="1" t="s">
        <v>0</v>
      </c>
      <c r="D45" s="1">
        <v>45</v>
      </c>
      <c r="E45" s="1" t="s">
        <v>2</v>
      </c>
      <c r="F45" s="1">
        <v>10</v>
      </c>
      <c r="G45" s="1">
        <v>0</v>
      </c>
    </row>
    <row r="46" spans="1:7" x14ac:dyDescent="0.3">
      <c r="A46" s="1">
        <v>2</v>
      </c>
      <c r="B46" s="1">
        <v>0</v>
      </c>
      <c r="C46" s="1" t="s">
        <v>0</v>
      </c>
      <c r="D46" s="1">
        <v>35</v>
      </c>
      <c r="E46" s="1" t="s">
        <v>2</v>
      </c>
      <c r="F46" s="1">
        <v>34</v>
      </c>
      <c r="G46" s="1">
        <v>0</v>
      </c>
    </row>
    <row r="47" spans="1:7" x14ac:dyDescent="0.3">
      <c r="A47" s="1">
        <v>2</v>
      </c>
      <c r="B47" s="1">
        <v>0</v>
      </c>
      <c r="C47" s="1" t="s">
        <v>0</v>
      </c>
      <c r="D47" s="1">
        <v>37</v>
      </c>
      <c r="E47" s="1" t="s">
        <v>2</v>
      </c>
      <c r="F47" s="1">
        <v>3</v>
      </c>
      <c r="G47" s="1">
        <v>0</v>
      </c>
    </row>
    <row r="48" spans="1:7" x14ac:dyDescent="0.3">
      <c r="A48" s="1">
        <v>2</v>
      </c>
      <c r="B48" s="1">
        <v>0</v>
      </c>
      <c r="C48" s="1" t="s">
        <v>0</v>
      </c>
      <c r="D48" s="1">
        <v>52</v>
      </c>
      <c r="E48" s="1" t="s">
        <v>2</v>
      </c>
      <c r="F48" s="1">
        <v>17</v>
      </c>
      <c r="G48" s="1">
        <v>0</v>
      </c>
    </row>
    <row r="49" spans="1:7" x14ac:dyDescent="0.3">
      <c r="A49" s="1">
        <v>2</v>
      </c>
      <c r="B49" s="1">
        <v>0</v>
      </c>
      <c r="C49" s="1" t="s">
        <v>0</v>
      </c>
      <c r="D49" s="1">
        <v>36</v>
      </c>
      <c r="E49" s="1" t="s">
        <v>2</v>
      </c>
      <c r="F49" s="1">
        <v>29</v>
      </c>
      <c r="G49" s="1">
        <v>0</v>
      </c>
    </row>
    <row r="50" spans="1:7" x14ac:dyDescent="0.3">
      <c r="A50" s="1">
        <v>2</v>
      </c>
      <c r="B50" s="1">
        <v>0</v>
      </c>
      <c r="C50" s="1" t="s">
        <v>0</v>
      </c>
      <c r="D50" s="1">
        <v>66</v>
      </c>
      <c r="E50" s="1" t="s">
        <v>2</v>
      </c>
      <c r="F50" s="1">
        <v>13</v>
      </c>
      <c r="G50" s="1">
        <v>0</v>
      </c>
    </row>
    <row r="51" spans="1:7" x14ac:dyDescent="0.3">
      <c r="A51" s="1">
        <v>2</v>
      </c>
      <c r="B51" s="1">
        <v>1</v>
      </c>
      <c r="C51" s="1" t="s">
        <v>0</v>
      </c>
      <c r="D51" s="1">
        <v>71</v>
      </c>
      <c r="E51" s="1" t="s">
        <v>2</v>
      </c>
      <c r="F51" s="1">
        <v>3</v>
      </c>
      <c r="G51" s="1">
        <v>0</v>
      </c>
    </row>
    <row r="52" spans="1:7" x14ac:dyDescent="0.3">
      <c r="A52" s="1">
        <v>2</v>
      </c>
      <c r="B52" s="1">
        <v>1</v>
      </c>
      <c r="C52" s="1" t="s">
        <v>0</v>
      </c>
      <c r="D52" s="1">
        <v>44</v>
      </c>
      <c r="E52" s="1" t="s">
        <v>2</v>
      </c>
      <c r="F52" s="1">
        <v>0</v>
      </c>
      <c r="G52" s="1">
        <v>0</v>
      </c>
    </row>
    <row r="53" spans="1:7" x14ac:dyDescent="0.3">
      <c r="A53" s="1">
        <v>2</v>
      </c>
      <c r="B53" s="1">
        <v>1</v>
      </c>
      <c r="C53" s="1" t="s">
        <v>0</v>
      </c>
      <c r="D53" s="1">
        <v>39</v>
      </c>
      <c r="E53" s="1" t="s">
        <v>2</v>
      </c>
      <c r="F53" s="1">
        <v>20</v>
      </c>
      <c r="G53" s="1">
        <v>0</v>
      </c>
    </row>
    <row r="54" spans="1:7" x14ac:dyDescent="0.3">
      <c r="A54" s="1">
        <v>2</v>
      </c>
      <c r="B54" s="1">
        <v>1</v>
      </c>
      <c r="C54" s="1" t="s">
        <v>0</v>
      </c>
      <c r="D54" s="1">
        <v>43</v>
      </c>
      <c r="E54" s="1" t="s">
        <v>2</v>
      </c>
      <c r="F54" s="1">
        <v>0</v>
      </c>
      <c r="G54" s="1">
        <v>0</v>
      </c>
    </row>
    <row r="55" spans="1:7" x14ac:dyDescent="0.3">
      <c r="A55" s="1">
        <v>2</v>
      </c>
      <c r="B55" s="1">
        <v>1</v>
      </c>
      <c r="C55" s="1" t="s">
        <v>0</v>
      </c>
      <c r="D55" s="1">
        <v>28</v>
      </c>
      <c r="E55" s="1" t="s">
        <v>2</v>
      </c>
      <c r="F55" s="1">
        <v>11</v>
      </c>
      <c r="G55" s="1">
        <v>0</v>
      </c>
    </row>
    <row r="56" spans="1:7" x14ac:dyDescent="0.3">
      <c r="A56" s="1">
        <v>2</v>
      </c>
      <c r="B56" s="1">
        <v>1</v>
      </c>
      <c r="C56" s="1" t="s">
        <v>0</v>
      </c>
      <c r="D56" s="1">
        <v>57</v>
      </c>
      <c r="E56" s="1" t="s">
        <v>2</v>
      </c>
      <c r="F56" s="1">
        <v>0</v>
      </c>
      <c r="G56" s="1">
        <v>0</v>
      </c>
    </row>
    <row r="57" spans="1:7" x14ac:dyDescent="0.3">
      <c r="A57" s="1">
        <v>2</v>
      </c>
      <c r="B57" s="1">
        <v>1</v>
      </c>
      <c r="C57" s="1" t="s">
        <v>0</v>
      </c>
      <c r="D57" s="1">
        <v>31</v>
      </c>
      <c r="E57" s="1" t="s">
        <v>2</v>
      </c>
      <c r="F57" s="1">
        <v>0</v>
      </c>
      <c r="G57" s="1">
        <v>0</v>
      </c>
    </row>
    <row r="58" spans="1:7" x14ac:dyDescent="0.3">
      <c r="A58" s="1">
        <v>2</v>
      </c>
      <c r="B58" s="1">
        <v>1</v>
      </c>
      <c r="C58" s="1" t="s">
        <v>0</v>
      </c>
      <c r="D58" s="1">
        <v>48</v>
      </c>
      <c r="E58" s="1" t="s">
        <v>2</v>
      </c>
      <c r="F58" s="1">
        <v>13</v>
      </c>
      <c r="G58" s="1">
        <v>0</v>
      </c>
    </row>
    <row r="59" spans="1:7" x14ac:dyDescent="0.3">
      <c r="A59" s="1">
        <v>2</v>
      </c>
      <c r="B59" s="1">
        <v>1</v>
      </c>
      <c r="C59" s="1" t="s">
        <v>0</v>
      </c>
      <c r="D59" s="1">
        <v>38</v>
      </c>
      <c r="E59" s="1" t="s">
        <v>2</v>
      </c>
      <c r="F59" s="1">
        <v>7</v>
      </c>
      <c r="G59" s="1">
        <v>0</v>
      </c>
    </row>
    <row r="60" spans="1:7" x14ac:dyDescent="0.3">
      <c r="A60" s="1">
        <v>2</v>
      </c>
      <c r="B60" s="1">
        <v>1</v>
      </c>
      <c r="C60" s="1" t="s">
        <v>0</v>
      </c>
      <c r="D60" s="1">
        <v>41</v>
      </c>
      <c r="E60" s="1" t="s">
        <v>2</v>
      </c>
      <c r="F60" s="1">
        <v>20</v>
      </c>
      <c r="G60" s="1">
        <v>0</v>
      </c>
    </row>
    <row r="61" spans="1:7" x14ac:dyDescent="0.3">
      <c r="A61" s="1">
        <v>2</v>
      </c>
      <c r="B61" s="1">
        <v>1</v>
      </c>
      <c r="C61" s="1" t="s">
        <v>0</v>
      </c>
      <c r="D61" s="1">
        <v>21</v>
      </c>
      <c r="E61" s="1" t="s">
        <v>2</v>
      </c>
      <c r="F61" s="1">
        <v>2</v>
      </c>
      <c r="G61" s="1">
        <v>0</v>
      </c>
    </row>
    <row r="62" spans="1:7" x14ac:dyDescent="0.3">
      <c r="A62" s="1">
        <v>2</v>
      </c>
      <c r="B62" s="1">
        <v>1</v>
      </c>
      <c r="C62" s="1" t="s">
        <v>0</v>
      </c>
      <c r="D62" s="1">
        <v>36</v>
      </c>
      <c r="E62" s="1" t="s">
        <v>2</v>
      </c>
      <c r="F62" s="1">
        <v>25</v>
      </c>
      <c r="G62" s="1">
        <v>0</v>
      </c>
    </row>
    <row r="63" spans="1:7" x14ac:dyDescent="0.3">
      <c r="A63" s="1">
        <v>2</v>
      </c>
      <c r="B63" s="1">
        <v>1</v>
      </c>
      <c r="C63" s="1" t="s">
        <v>0</v>
      </c>
      <c r="D63" s="1">
        <v>22</v>
      </c>
      <c r="E63" s="1" t="s">
        <v>2</v>
      </c>
      <c r="F63" s="1">
        <v>17</v>
      </c>
      <c r="G63" s="1">
        <v>0</v>
      </c>
    </row>
    <row r="64" spans="1:7" x14ac:dyDescent="0.3">
      <c r="A64" s="1">
        <v>2</v>
      </c>
      <c r="B64" s="1">
        <v>1</v>
      </c>
      <c r="C64" s="1" t="s">
        <v>0</v>
      </c>
      <c r="D64" s="1">
        <v>30</v>
      </c>
      <c r="E64" s="1" t="s">
        <v>2</v>
      </c>
      <c r="F64" s="1">
        <v>6</v>
      </c>
      <c r="G64" s="1">
        <v>0</v>
      </c>
    </row>
    <row r="65" spans="1:7" x14ac:dyDescent="0.3">
      <c r="A65" s="1">
        <v>2</v>
      </c>
      <c r="B65" s="1">
        <v>1</v>
      </c>
      <c r="C65" s="1" t="s">
        <v>0</v>
      </c>
      <c r="D65" s="1">
        <v>42</v>
      </c>
      <c r="E65" s="1" t="s">
        <v>2</v>
      </c>
      <c r="F65" s="1">
        <v>9</v>
      </c>
      <c r="G65" s="1">
        <v>0</v>
      </c>
    </row>
    <row r="66" spans="1:7" x14ac:dyDescent="0.3">
      <c r="A66" s="1">
        <v>2</v>
      </c>
      <c r="B66" s="1">
        <v>1</v>
      </c>
      <c r="C66" s="1" t="s">
        <v>0</v>
      </c>
      <c r="D66" s="1">
        <v>6</v>
      </c>
      <c r="E66" s="1" t="s">
        <v>2</v>
      </c>
      <c r="F66" s="1">
        <v>19</v>
      </c>
      <c r="G66" s="1">
        <v>1</v>
      </c>
    </row>
    <row r="67" spans="1:7" x14ac:dyDescent="0.3">
      <c r="A67" s="1">
        <v>2</v>
      </c>
      <c r="B67" s="1">
        <v>1</v>
      </c>
      <c r="C67" s="1" t="s">
        <v>0</v>
      </c>
      <c r="D67" s="1">
        <v>55</v>
      </c>
      <c r="E67" s="1" t="s">
        <v>2</v>
      </c>
      <c r="F67" s="1">
        <v>2</v>
      </c>
      <c r="G67" s="1">
        <v>0</v>
      </c>
    </row>
    <row r="68" spans="1:7" x14ac:dyDescent="0.3">
      <c r="A68" s="1">
        <v>2</v>
      </c>
      <c r="B68" s="1">
        <v>1</v>
      </c>
      <c r="C68" s="1" t="s">
        <v>0</v>
      </c>
      <c r="D68" s="1">
        <v>42</v>
      </c>
      <c r="E68" s="1" t="s">
        <v>2</v>
      </c>
      <c r="F68" s="1">
        <v>2</v>
      </c>
      <c r="G68" s="1">
        <v>0</v>
      </c>
    </row>
    <row r="69" spans="1:7" x14ac:dyDescent="0.3">
      <c r="A69" s="1">
        <v>2</v>
      </c>
      <c r="B69" s="1">
        <v>1</v>
      </c>
      <c r="C69" s="1" t="s">
        <v>0</v>
      </c>
      <c r="D69" s="1">
        <v>39</v>
      </c>
      <c r="E69" s="1" t="s">
        <v>2</v>
      </c>
      <c r="F69" s="1">
        <v>10</v>
      </c>
      <c r="G69" s="1">
        <v>0</v>
      </c>
    </row>
    <row r="70" spans="1:7" x14ac:dyDescent="0.3">
      <c r="A70" s="1">
        <v>2</v>
      </c>
      <c r="B70" s="1">
        <v>1</v>
      </c>
      <c r="C70" s="1" t="s">
        <v>0</v>
      </c>
      <c r="D70" s="1">
        <v>47</v>
      </c>
      <c r="E70" s="1" t="s">
        <v>2</v>
      </c>
      <c r="F70" s="1">
        <v>3</v>
      </c>
      <c r="G70" s="1">
        <v>0</v>
      </c>
    </row>
    <row r="71" spans="1:7" x14ac:dyDescent="0.3">
      <c r="A71" s="1">
        <v>2</v>
      </c>
      <c r="B71" s="1">
        <v>1</v>
      </c>
      <c r="C71" s="1" t="s">
        <v>0</v>
      </c>
      <c r="D71" s="1">
        <v>35</v>
      </c>
      <c r="E71" s="1" t="s">
        <v>2</v>
      </c>
      <c r="F71" s="1">
        <v>14</v>
      </c>
      <c r="G71" s="1">
        <v>0</v>
      </c>
    </row>
    <row r="72" spans="1:7" x14ac:dyDescent="0.3">
      <c r="A72" s="1">
        <v>2</v>
      </c>
      <c r="B72" s="1">
        <v>1</v>
      </c>
      <c r="C72" s="1" t="s">
        <v>0</v>
      </c>
      <c r="D72" s="1">
        <v>18</v>
      </c>
      <c r="E72" s="1" t="s">
        <v>2</v>
      </c>
      <c r="F72" s="1">
        <v>9</v>
      </c>
      <c r="G72" s="1">
        <v>0</v>
      </c>
    </row>
    <row r="73" spans="1:7" x14ac:dyDescent="0.3">
      <c r="A73" s="1">
        <v>2</v>
      </c>
      <c r="B73" s="1">
        <v>1</v>
      </c>
      <c r="C73" s="1" t="s">
        <v>0</v>
      </c>
      <c r="D73" s="1">
        <v>40</v>
      </c>
      <c r="E73" s="1" t="s">
        <v>2</v>
      </c>
      <c r="F73" s="1">
        <v>9</v>
      </c>
      <c r="G73" s="1">
        <v>0</v>
      </c>
    </row>
    <row r="74" spans="1:7" x14ac:dyDescent="0.3">
      <c r="A74" s="1">
        <v>2</v>
      </c>
      <c r="B74" s="1">
        <v>1</v>
      </c>
      <c r="C74" s="1" t="s">
        <v>0</v>
      </c>
      <c r="D74" s="1">
        <v>34</v>
      </c>
      <c r="E74" s="1" t="s">
        <v>2</v>
      </c>
      <c r="F74" s="1">
        <v>7</v>
      </c>
      <c r="G74" s="1">
        <v>0</v>
      </c>
    </row>
    <row r="75" spans="1:7" x14ac:dyDescent="0.3">
      <c r="A75" s="1">
        <v>2</v>
      </c>
      <c r="B75" s="1">
        <v>1</v>
      </c>
      <c r="C75" s="1" t="s">
        <v>0</v>
      </c>
      <c r="D75" s="1">
        <v>18</v>
      </c>
      <c r="E75" s="1" t="s">
        <v>2</v>
      </c>
      <c r="F75" s="1">
        <v>0</v>
      </c>
      <c r="G75" s="1">
        <v>0</v>
      </c>
    </row>
    <row r="76" spans="1:7" x14ac:dyDescent="0.3">
      <c r="A76" s="1">
        <v>2</v>
      </c>
      <c r="B76" s="1">
        <v>1</v>
      </c>
      <c r="C76" s="1" t="s">
        <v>0</v>
      </c>
      <c r="D76" s="1">
        <v>48</v>
      </c>
      <c r="E76" s="1" t="s">
        <v>2</v>
      </c>
      <c r="F76" s="1">
        <v>22</v>
      </c>
      <c r="G76" s="1">
        <v>0</v>
      </c>
    </row>
    <row r="77" spans="1:7" x14ac:dyDescent="0.3">
      <c r="A77" s="1">
        <v>2</v>
      </c>
      <c r="B77" s="1">
        <v>1</v>
      </c>
      <c r="C77" s="1" t="s">
        <v>0</v>
      </c>
      <c r="D77" s="1">
        <v>46</v>
      </c>
      <c r="E77" s="1" t="s">
        <v>2</v>
      </c>
      <c r="F77" s="1">
        <v>0</v>
      </c>
      <c r="G77" s="1">
        <v>0</v>
      </c>
    </row>
    <row r="78" spans="1:7" x14ac:dyDescent="0.3">
      <c r="A78" s="1">
        <v>2</v>
      </c>
      <c r="B78" s="1">
        <v>1</v>
      </c>
      <c r="C78" s="1" t="s">
        <v>0</v>
      </c>
      <c r="D78" s="1">
        <v>32</v>
      </c>
      <c r="E78" s="1" t="s">
        <v>2</v>
      </c>
      <c r="F78" s="1">
        <v>15</v>
      </c>
      <c r="G78" s="1">
        <v>0</v>
      </c>
    </row>
    <row r="79" spans="1:7" x14ac:dyDescent="0.3">
      <c r="A79" s="1">
        <v>2</v>
      </c>
      <c r="B79" s="1">
        <v>1</v>
      </c>
      <c r="C79" s="1" t="s">
        <v>0</v>
      </c>
      <c r="D79" s="1">
        <v>49</v>
      </c>
      <c r="E79" s="1" t="s">
        <v>2</v>
      </c>
      <c r="F79" s="1">
        <v>18</v>
      </c>
      <c r="G79" s="1">
        <v>0</v>
      </c>
    </row>
    <row r="80" spans="1:7" x14ac:dyDescent="0.3">
      <c r="A80" s="1">
        <v>2</v>
      </c>
      <c r="B80" s="1">
        <v>1</v>
      </c>
      <c r="C80" s="1" t="s">
        <v>0</v>
      </c>
      <c r="D80" s="1">
        <v>31</v>
      </c>
      <c r="E80" s="1" t="s">
        <v>2</v>
      </c>
      <c r="F80" s="1">
        <v>10</v>
      </c>
      <c r="G80" s="1">
        <v>0</v>
      </c>
    </row>
    <row r="81" spans="1:7" x14ac:dyDescent="0.3">
      <c r="A81" s="1">
        <v>2</v>
      </c>
      <c r="B81" s="1">
        <v>1</v>
      </c>
      <c r="C81" s="1" t="s">
        <v>0</v>
      </c>
      <c r="D81" s="1">
        <v>34</v>
      </c>
      <c r="E81" s="1" t="s">
        <v>2</v>
      </c>
      <c r="F81" s="1">
        <v>0</v>
      </c>
      <c r="G81" s="1">
        <v>0</v>
      </c>
    </row>
    <row r="82" spans="1:7" x14ac:dyDescent="0.3">
      <c r="A82" s="1">
        <v>2</v>
      </c>
      <c r="B82" s="1">
        <v>1</v>
      </c>
      <c r="C82" s="1" t="s">
        <v>0</v>
      </c>
      <c r="D82" s="1">
        <v>51</v>
      </c>
      <c r="E82" s="1" t="s">
        <v>2</v>
      </c>
      <c r="F82" s="1">
        <v>0</v>
      </c>
      <c r="G82" s="1">
        <v>0</v>
      </c>
    </row>
    <row r="83" spans="1:7" x14ac:dyDescent="0.3">
      <c r="A83" s="1">
        <v>2</v>
      </c>
      <c r="B83" s="1">
        <v>1</v>
      </c>
      <c r="C83" s="1" t="s">
        <v>0</v>
      </c>
      <c r="D83" s="1">
        <v>42</v>
      </c>
      <c r="E83" s="1" t="s">
        <v>2</v>
      </c>
      <c r="F83" s="1">
        <v>17</v>
      </c>
      <c r="G83" s="1">
        <v>0</v>
      </c>
    </row>
    <row r="84" spans="1:7" x14ac:dyDescent="0.3">
      <c r="A84" s="1">
        <v>2</v>
      </c>
      <c r="B84" s="1">
        <v>1</v>
      </c>
      <c r="C84" s="1" t="s">
        <v>0</v>
      </c>
      <c r="D84" s="1">
        <v>22</v>
      </c>
      <c r="E84" s="1" t="s">
        <v>2</v>
      </c>
      <c r="F84" s="1">
        <v>2</v>
      </c>
      <c r="G84" s="1">
        <v>0</v>
      </c>
    </row>
    <row r="85" spans="1:7" x14ac:dyDescent="0.3">
      <c r="A85" s="1">
        <v>2</v>
      </c>
      <c r="B85" s="1">
        <v>1</v>
      </c>
      <c r="C85" s="1" t="s">
        <v>0</v>
      </c>
      <c r="D85" s="1">
        <v>49</v>
      </c>
      <c r="E85" s="1" t="s">
        <v>2</v>
      </c>
      <c r="F85" s="1">
        <v>15</v>
      </c>
      <c r="G85" s="1">
        <v>0</v>
      </c>
    </row>
    <row r="86" spans="1:7" x14ac:dyDescent="0.3">
      <c r="A86" s="1">
        <v>2</v>
      </c>
      <c r="B86" s="1">
        <v>1</v>
      </c>
      <c r="C86" s="1" t="s">
        <v>0</v>
      </c>
      <c r="D86" s="1">
        <v>18</v>
      </c>
      <c r="E86" s="1" t="s">
        <v>2</v>
      </c>
      <c r="F86" s="1">
        <v>36</v>
      </c>
      <c r="G86" s="1">
        <v>1</v>
      </c>
    </row>
    <row r="87" spans="1:7" x14ac:dyDescent="0.3">
      <c r="A87" s="1">
        <v>2</v>
      </c>
      <c r="B87" s="1">
        <v>1</v>
      </c>
      <c r="C87" s="1" t="s">
        <v>0</v>
      </c>
      <c r="D87" s="1">
        <v>32</v>
      </c>
      <c r="E87" s="1" t="s">
        <v>2</v>
      </c>
      <c r="F87" s="1">
        <v>16</v>
      </c>
      <c r="G87" s="1">
        <v>0</v>
      </c>
    </row>
    <row r="88" spans="1:7" x14ac:dyDescent="0.3">
      <c r="A88" s="1">
        <v>2</v>
      </c>
      <c r="B88" s="1">
        <v>1</v>
      </c>
      <c r="C88" s="1" t="s">
        <v>0</v>
      </c>
      <c r="D88" s="1">
        <v>29</v>
      </c>
      <c r="E88" s="1" t="s">
        <v>2</v>
      </c>
      <c r="F88" s="1">
        <v>0</v>
      </c>
      <c r="G88" s="1">
        <v>0</v>
      </c>
    </row>
    <row r="89" spans="1:7" x14ac:dyDescent="0.3">
      <c r="A89" s="1">
        <v>2</v>
      </c>
      <c r="B89" s="1">
        <v>1</v>
      </c>
      <c r="C89" s="1" t="s">
        <v>0</v>
      </c>
      <c r="D89" s="1">
        <v>56</v>
      </c>
      <c r="E89" s="1" t="s">
        <v>2</v>
      </c>
      <c r="F89" s="1">
        <v>5</v>
      </c>
      <c r="G89" s="1">
        <v>0</v>
      </c>
    </row>
    <row r="90" spans="1:7" x14ac:dyDescent="0.3">
      <c r="A90" s="1">
        <v>2</v>
      </c>
      <c r="B90" s="1">
        <v>1</v>
      </c>
      <c r="C90" s="1" t="s">
        <v>0</v>
      </c>
      <c r="D90" s="1">
        <v>43</v>
      </c>
      <c r="E90" s="1" t="s">
        <v>2</v>
      </c>
      <c r="F90" s="1">
        <v>14</v>
      </c>
      <c r="G90" s="1">
        <v>0</v>
      </c>
    </row>
    <row r="91" spans="1:7" x14ac:dyDescent="0.3">
      <c r="A91" s="1">
        <v>2</v>
      </c>
      <c r="B91" s="1">
        <v>1</v>
      </c>
      <c r="C91" s="1" t="s">
        <v>0</v>
      </c>
      <c r="D91" s="1">
        <v>82</v>
      </c>
      <c r="E91" s="1" t="s">
        <v>2</v>
      </c>
      <c r="F91" s="1">
        <v>2</v>
      </c>
      <c r="G91" s="1">
        <v>0</v>
      </c>
    </row>
    <row r="92" spans="1:7" x14ac:dyDescent="0.3">
      <c r="A92" s="1">
        <v>2</v>
      </c>
      <c r="B92" s="1">
        <v>1</v>
      </c>
      <c r="C92" s="1" t="s">
        <v>0</v>
      </c>
      <c r="D92" s="1">
        <v>35</v>
      </c>
      <c r="E92" s="1" t="s">
        <v>2</v>
      </c>
      <c r="F92" s="1">
        <v>15</v>
      </c>
      <c r="G92" s="1">
        <v>0</v>
      </c>
    </row>
    <row r="93" spans="1:7" x14ac:dyDescent="0.3">
      <c r="A93" s="1">
        <v>2</v>
      </c>
      <c r="B93" s="1">
        <v>1</v>
      </c>
      <c r="C93" s="1" t="s">
        <v>0</v>
      </c>
      <c r="D93" s="1">
        <v>40</v>
      </c>
      <c r="E93" s="1" t="s">
        <v>2</v>
      </c>
      <c r="F93" s="1">
        <v>2</v>
      </c>
      <c r="G93" s="1">
        <v>0</v>
      </c>
    </row>
    <row r="94" spans="1:7" x14ac:dyDescent="0.3">
      <c r="A94" s="1">
        <v>2</v>
      </c>
      <c r="B94" s="1">
        <v>1</v>
      </c>
      <c r="C94" s="1" t="s">
        <v>0</v>
      </c>
      <c r="D94" s="1">
        <v>34</v>
      </c>
      <c r="E94" s="1" t="s">
        <v>2</v>
      </c>
      <c r="F94" s="1">
        <v>3</v>
      </c>
      <c r="G94" s="1">
        <v>0</v>
      </c>
    </row>
    <row r="95" spans="1:7" x14ac:dyDescent="0.3">
      <c r="A95" s="1">
        <v>2</v>
      </c>
      <c r="B95" s="1">
        <v>1</v>
      </c>
      <c r="C95" s="1" t="s">
        <v>0</v>
      </c>
      <c r="D95" s="1">
        <v>43</v>
      </c>
      <c r="E95" s="1" t="s">
        <v>2</v>
      </c>
      <c r="F95" s="1">
        <v>13</v>
      </c>
      <c r="G95" s="1">
        <v>0</v>
      </c>
    </row>
    <row r="96" spans="1:7" x14ac:dyDescent="0.3">
      <c r="A96" s="1">
        <v>2</v>
      </c>
      <c r="B96" s="1">
        <v>1</v>
      </c>
      <c r="C96" s="1" t="s">
        <v>0</v>
      </c>
      <c r="D96" s="1">
        <v>32</v>
      </c>
      <c r="E96" s="1" t="s">
        <v>2</v>
      </c>
      <c r="F96" s="1">
        <v>0</v>
      </c>
      <c r="G96" s="1">
        <v>0</v>
      </c>
    </row>
    <row r="97" spans="1:7" x14ac:dyDescent="0.3">
      <c r="A97" s="1">
        <v>2</v>
      </c>
      <c r="B97" s="1">
        <v>1</v>
      </c>
      <c r="C97" s="1" t="s">
        <v>0</v>
      </c>
      <c r="D97" s="1">
        <v>18</v>
      </c>
      <c r="E97" s="1" t="s">
        <v>2</v>
      </c>
      <c r="F97" s="1">
        <v>0</v>
      </c>
      <c r="G97" s="1">
        <v>0</v>
      </c>
    </row>
    <row r="98" spans="1:7" x14ac:dyDescent="0.3">
      <c r="A98" s="1">
        <v>2</v>
      </c>
      <c r="B98" s="1">
        <v>1</v>
      </c>
      <c r="C98" s="1" t="s">
        <v>0</v>
      </c>
      <c r="D98" s="1">
        <v>46</v>
      </c>
      <c r="E98" s="1" t="s">
        <v>2</v>
      </c>
      <c r="F98" s="1">
        <v>12</v>
      </c>
      <c r="G98" s="1">
        <v>0</v>
      </c>
    </row>
    <row r="99" spans="1:7" x14ac:dyDescent="0.3">
      <c r="A99" s="1">
        <v>2</v>
      </c>
      <c r="B99" s="1">
        <v>1</v>
      </c>
      <c r="C99" s="1" t="s">
        <v>0</v>
      </c>
      <c r="D99" s="1">
        <v>19</v>
      </c>
      <c r="E99" s="1" t="s">
        <v>2</v>
      </c>
      <c r="F99" s="1">
        <v>0</v>
      </c>
      <c r="G99" s="1">
        <v>0</v>
      </c>
    </row>
    <row r="100" spans="1:7" x14ac:dyDescent="0.3">
      <c r="A100" s="1">
        <v>2</v>
      </c>
      <c r="B100" s="1">
        <v>1</v>
      </c>
      <c r="C100" s="1" t="s">
        <v>0</v>
      </c>
      <c r="D100" s="1">
        <v>52</v>
      </c>
      <c r="E100" s="1" t="s">
        <v>2</v>
      </c>
      <c r="F100" s="1">
        <v>37</v>
      </c>
      <c r="G100" s="1">
        <v>0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C740A-0E0D-4333-827E-F8841F88E9FD}">
  <dimension ref="A1:Q100"/>
  <sheetViews>
    <sheetView topLeftCell="G1" workbookViewId="0">
      <selection activeCell="N25" sqref="N25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0</v>
      </c>
      <c r="D1" s="1">
        <v>28</v>
      </c>
      <c r="E1" s="1" t="s">
        <v>6</v>
      </c>
      <c r="F1" s="1">
        <v>36</v>
      </c>
      <c r="G1" s="1">
        <v>1</v>
      </c>
      <c r="I1" s="2"/>
      <c r="J1" s="3"/>
      <c r="K1" s="4" t="s">
        <v>7</v>
      </c>
      <c r="L1" s="4"/>
      <c r="M1" s="5" t="s">
        <v>8</v>
      </c>
      <c r="N1" s="5"/>
      <c r="O1" s="5" t="s">
        <v>9</v>
      </c>
      <c r="P1" s="5"/>
      <c r="Q1"/>
    </row>
    <row r="2" spans="1:17" x14ac:dyDescent="0.3">
      <c r="A2" s="1">
        <v>2</v>
      </c>
      <c r="B2" s="1">
        <v>0</v>
      </c>
      <c r="C2" s="1" t="s">
        <v>0</v>
      </c>
      <c r="D2" s="1">
        <v>12</v>
      </c>
      <c r="E2" s="1" t="s">
        <v>6</v>
      </c>
      <c r="F2" s="1">
        <v>52</v>
      </c>
      <c r="G2" s="1">
        <v>1</v>
      </c>
      <c r="I2" s="6"/>
      <c r="J2" s="7"/>
      <c r="K2" s="4"/>
      <c r="L2" s="4"/>
      <c r="M2" s="5"/>
      <c r="N2" s="5"/>
      <c r="O2" s="5"/>
      <c r="P2" s="5"/>
      <c r="Q2" s="8" t="s">
        <v>10</v>
      </c>
    </row>
    <row r="3" spans="1:17" x14ac:dyDescent="0.3">
      <c r="A3" s="1">
        <v>2</v>
      </c>
      <c r="B3" s="1">
        <v>0</v>
      </c>
      <c r="C3" s="1" t="s">
        <v>0</v>
      </c>
      <c r="D3" s="1">
        <v>30</v>
      </c>
      <c r="E3" s="1" t="s">
        <v>6</v>
      </c>
      <c r="F3" s="1">
        <v>39</v>
      </c>
      <c r="G3" s="1">
        <v>1</v>
      </c>
      <c r="I3" s="5" t="s">
        <v>11</v>
      </c>
      <c r="J3" s="5"/>
      <c r="K3" s="9">
        <f>COUNTIF($G$1:$G$100, 0)</f>
        <v>40</v>
      </c>
      <c r="L3" s="9"/>
      <c r="M3" s="9">
        <f>COUNTIFS($G$1:$G$100, 0, $B$1:$B$100, 0)</f>
        <v>17</v>
      </c>
      <c r="N3" s="9"/>
      <c r="O3" s="10">
        <f>COUNTIFS($G$1:$G$100, 0, $B$1:$B$100, 1)</f>
        <v>23</v>
      </c>
      <c r="P3" s="11"/>
      <c r="Q3" s="12" cm="1">
        <f t="array" ref="Q3">SUMPRODUCT(--($D$1:$D$100=$G$1:$G$100))</f>
        <v>0</v>
      </c>
    </row>
    <row r="4" spans="1:17" x14ac:dyDescent="0.3">
      <c r="A4" s="1">
        <v>2</v>
      </c>
      <c r="B4" s="1">
        <v>0</v>
      </c>
      <c r="C4" s="1" t="s">
        <v>0</v>
      </c>
      <c r="D4" s="1">
        <v>22</v>
      </c>
      <c r="E4" s="1" t="s">
        <v>6</v>
      </c>
      <c r="F4" s="1">
        <v>43</v>
      </c>
      <c r="G4" s="1">
        <v>1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0</v>
      </c>
      <c r="D5" s="1">
        <v>36</v>
      </c>
      <c r="E5" s="1" t="s">
        <v>6</v>
      </c>
      <c r="F5" s="1">
        <v>53</v>
      </c>
      <c r="G5" s="1">
        <v>1</v>
      </c>
      <c r="I5" s="5" t="s">
        <v>12</v>
      </c>
      <c r="J5" s="5"/>
      <c r="K5" s="14">
        <f>COUNTIF($G$1:$G$100, 1)</f>
        <v>60</v>
      </c>
      <c r="L5" s="9"/>
      <c r="M5" s="9">
        <f>COUNTIFS($G$1:$G$100, 1, $B$1:$B$100, 0)</f>
        <v>33</v>
      </c>
      <c r="N5" s="9"/>
      <c r="O5" s="9">
        <f>COUNTIFS($G$1:$G$100, 1, $B$1:$B$100, 1)</f>
        <v>27</v>
      </c>
      <c r="P5" s="13"/>
      <c r="Q5"/>
    </row>
    <row r="6" spans="1:17" x14ac:dyDescent="0.3">
      <c r="A6" s="1">
        <v>2</v>
      </c>
      <c r="B6" s="1">
        <v>0</v>
      </c>
      <c r="C6" s="1" t="s">
        <v>0</v>
      </c>
      <c r="D6" s="1">
        <v>19</v>
      </c>
      <c r="E6" s="1" t="s">
        <v>6</v>
      </c>
      <c r="F6" s="1">
        <v>47</v>
      </c>
      <c r="G6" s="1">
        <v>1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0</v>
      </c>
      <c r="D7" s="1">
        <v>45</v>
      </c>
      <c r="E7" s="1" t="s">
        <v>6</v>
      </c>
      <c r="F7" s="1">
        <v>45</v>
      </c>
      <c r="G7" s="1">
        <v>0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0</v>
      </c>
      <c r="D8" s="1">
        <v>41</v>
      </c>
      <c r="E8" s="1" t="s">
        <v>6</v>
      </c>
      <c r="F8" s="1">
        <v>31</v>
      </c>
      <c r="G8" s="1">
        <v>0</v>
      </c>
      <c r="I8" s="19"/>
      <c r="J8" s="20"/>
      <c r="K8" s="21" t="s">
        <v>7</v>
      </c>
      <c r="L8" s="21"/>
      <c r="M8" s="21" t="s">
        <v>13</v>
      </c>
      <c r="N8" s="21"/>
      <c r="O8" s="21" t="s">
        <v>14</v>
      </c>
      <c r="P8" s="21"/>
      <c r="Q8"/>
    </row>
    <row r="9" spans="1:17" x14ac:dyDescent="0.3">
      <c r="A9" s="1">
        <v>2</v>
      </c>
      <c r="B9" s="1">
        <v>0</v>
      </c>
      <c r="C9" s="1" t="s">
        <v>0</v>
      </c>
      <c r="D9" s="1">
        <v>30</v>
      </c>
      <c r="E9" s="1" t="s">
        <v>6</v>
      </c>
      <c r="F9" s="1">
        <v>25</v>
      </c>
      <c r="G9" s="1">
        <v>0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0</v>
      </c>
      <c r="D10" s="1">
        <v>18</v>
      </c>
      <c r="E10" s="1" t="s">
        <v>6</v>
      </c>
      <c r="F10" s="1">
        <v>39</v>
      </c>
      <c r="G10" s="1">
        <v>1</v>
      </c>
      <c r="I10" s="5" t="s">
        <v>15</v>
      </c>
      <c r="J10" s="5"/>
      <c r="K10" s="9">
        <f>AVERAGE($D$1:$D$100,)</f>
        <v>28.297029702970296</v>
      </c>
      <c r="L10" s="9"/>
      <c r="M10" s="9" cm="1">
        <f t="array" ref="M10">AVERAGE(_xlfn._xlws.FILTER($D$1:$D$100,$G$1:$G$100 = 0))</f>
        <v>34.174999999999997</v>
      </c>
      <c r="N10" s="9"/>
      <c r="O10" s="10" cm="1">
        <f t="array" ref="O10">AVERAGE(_xlfn._xlws.FILTER($D$1:$D$100,$G$1:$G$100 = 1))</f>
        <v>24.85</v>
      </c>
      <c r="P10" s="11"/>
      <c r="Q10"/>
    </row>
    <row r="11" spans="1:17" x14ac:dyDescent="0.3">
      <c r="A11" s="1">
        <v>2</v>
      </c>
      <c r="B11" s="1">
        <v>0</v>
      </c>
      <c r="C11" s="1" t="s">
        <v>0</v>
      </c>
      <c r="D11" s="1">
        <v>24</v>
      </c>
      <c r="E11" s="1" t="s">
        <v>6</v>
      </c>
      <c r="F11" s="1">
        <v>11</v>
      </c>
      <c r="G11" s="1">
        <v>0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0</v>
      </c>
      <c r="D12" s="1">
        <v>13</v>
      </c>
      <c r="E12" s="1" t="s">
        <v>6</v>
      </c>
      <c r="F12" s="1">
        <v>28</v>
      </c>
      <c r="G12" s="1">
        <v>1</v>
      </c>
      <c r="I12" s="5" t="s">
        <v>16</v>
      </c>
      <c r="J12" s="5"/>
      <c r="K12" s="9">
        <f>AVERAGE($F$1:$F$100,)</f>
        <v>35.148514851485146</v>
      </c>
      <c r="L12" s="9"/>
      <c r="M12" s="9" cm="1">
        <f t="array" ref="M12">AVERAGE(_xlfn._xlws.FILTER($F$1:$F$100,$G$1:$G$100 = 0))</f>
        <v>25.175000000000001</v>
      </c>
      <c r="N12" s="9"/>
      <c r="O12" s="9" cm="1">
        <f t="array" ref="O12">AVERAGE(_xlfn._xlws.FILTER($F$1:$F$100,$G$1:$G$100 = 1))</f>
        <v>42.383333333333333</v>
      </c>
      <c r="P12" s="13"/>
      <c r="Q12"/>
    </row>
    <row r="13" spans="1:17" x14ac:dyDescent="0.3">
      <c r="A13" s="1">
        <v>2</v>
      </c>
      <c r="B13" s="1">
        <v>0</v>
      </c>
      <c r="C13" s="1" t="s">
        <v>0</v>
      </c>
      <c r="D13" s="1">
        <v>25</v>
      </c>
      <c r="E13" s="1" t="s">
        <v>6</v>
      </c>
      <c r="F13" s="1">
        <v>15</v>
      </c>
      <c r="G13" s="1">
        <v>0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0</v>
      </c>
      <c r="D14" s="1">
        <v>20</v>
      </c>
      <c r="E14" s="1" t="s">
        <v>6</v>
      </c>
      <c r="F14" s="1">
        <v>32</v>
      </c>
      <c r="G14" s="1">
        <v>1</v>
      </c>
      <c r="I14" s="22" t="s">
        <v>17</v>
      </c>
      <c r="J14" s="11"/>
      <c r="K14" s="23" cm="1">
        <f t="array" ref="K14">AVERAGE($D$1:$D$100 - $F$1:$F$100)</f>
        <v>-6.92</v>
      </c>
      <c r="L14" s="23"/>
      <c r="M14" s="23" cm="1">
        <f t="array" ref="M14">AVERAGE(_xlfn._xlws.FILTER($D$1:$D$100 - $F$1:$F$100, G$1:G$100 = 0))</f>
        <v>9</v>
      </c>
      <c r="N14" s="23"/>
      <c r="O14" s="23" cm="1">
        <f t="array" ref="O14">AVERAGE(_xlfn._xlws.FILTER($D$1:$D$100 - $F$1:$F$100, G$1:G$100 = 1))</f>
        <v>-17.533333333333335</v>
      </c>
      <c r="P14" s="24"/>
      <c r="Q14"/>
    </row>
    <row r="15" spans="1:17" x14ac:dyDescent="0.3">
      <c r="A15" s="1">
        <v>2</v>
      </c>
      <c r="B15" s="1">
        <v>0</v>
      </c>
      <c r="C15" s="1" t="s">
        <v>0</v>
      </c>
      <c r="D15" s="1">
        <v>18</v>
      </c>
      <c r="E15" s="1" t="s">
        <v>6</v>
      </c>
      <c r="F15" s="1">
        <v>34</v>
      </c>
      <c r="G15" s="1">
        <v>1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0</v>
      </c>
      <c r="D16" s="1">
        <v>46</v>
      </c>
      <c r="E16" s="1" t="s">
        <v>6</v>
      </c>
      <c r="F16" s="1">
        <v>43</v>
      </c>
      <c r="G16" s="1">
        <v>0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0</v>
      </c>
      <c r="D17" s="1">
        <v>32</v>
      </c>
      <c r="E17" s="1" t="s">
        <v>6</v>
      </c>
      <c r="F17" s="1">
        <v>31</v>
      </c>
      <c r="G17" s="1">
        <v>0</v>
      </c>
    </row>
    <row r="18" spans="1:7" x14ac:dyDescent="0.3">
      <c r="A18" s="1">
        <v>2</v>
      </c>
      <c r="B18" s="1">
        <v>0</v>
      </c>
      <c r="C18" s="1" t="s">
        <v>0</v>
      </c>
      <c r="D18" s="1">
        <v>24</v>
      </c>
      <c r="E18" s="1" t="s">
        <v>6</v>
      </c>
      <c r="F18" s="1">
        <v>53</v>
      </c>
      <c r="G18" s="1">
        <v>1</v>
      </c>
    </row>
    <row r="19" spans="1:7" x14ac:dyDescent="0.3">
      <c r="A19" s="1">
        <v>2</v>
      </c>
      <c r="B19" s="1">
        <v>0</v>
      </c>
      <c r="C19" s="1" t="s">
        <v>0</v>
      </c>
      <c r="D19" s="1">
        <v>34</v>
      </c>
      <c r="E19" s="1" t="s">
        <v>6</v>
      </c>
      <c r="F19" s="1">
        <v>34</v>
      </c>
      <c r="G19" s="1">
        <v>0</v>
      </c>
    </row>
    <row r="20" spans="1:7" x14ac:dyDescent="0.3">
      <c r="A20" s="1">
        <v>2</v>
      </c>
      <c r="B20" s="1">
        <v>0</v>
      </c>
      <c r="C20" s="1" t="s">
        <v>0</v>
      </c>
      <c r="D20" s="1">
        <v>47</v>
      </c>
      <c r="E20" s="1" t="s">
        <v>6</v>
      </c>
      <c r="F20" s="1">
        <v>30</v>
      </c>
      <c r="G20" s="1">
        <v>0</v>
      </c>
    </row>
    <row r="21" spans="1:7" x14ac:dyDescent="0.3">
      <c r="A21" s="1">
        <v>2</v>
      </c>
      <c r="B21" s="1">
        <v>0</v>
      </c>
      <c r="C21" s="1" t="s">
        <v>0</v>
      </c>
      <c r="D21" s="1">
        <v>28</v>
      </c>
      <c r="E21" s="1" t="s">
        <v>6</v>
      </c>
      <c r="F21" s="1">
        <v>40</v>
      </c>
      <c r="G21" s="1">
        <v>1</v>
      </c>
    </row>
    <row r="22" spans="1:7" x14ac:dyDescent="0.3">
      <c r="A22" s="1">
        <v>2</v>
      </c>
      <c r="B22" s="1">
        <v>0</v>
      </c>
      <c r="C22" s="1" t="s">
        <v>0</v>
      </c>
      <c r="D22" s="1">
        <v>4</v>
      </c>
      <c r="E22" s="1" t="s">
        <v>6</v>
      </c>
      <c r="F22" s="1">
        <v>38</v>
      </c>
      <c r="G22" s="1">
        <v>1</v>
      </c>
    </row>
    <row r="23" spans="1:7" x14ac:dyDescent="0.3">
      <c r="A23" s="1">
        <v>2</v>
      </c>
      <c r="B23" s="1">
        <v>0</v>
      </c>
      <c r="C23" s="1" t="s">
        <v>0</v>
      </c>
      <c r="D23" s="1">
        <v>0</v>
      </c>
      <c r="E23" s="1" t="s">
        <v>6</v>
      </c>
      <c r="F23" s="1">
        <v>36</v>
      </c>
      <c r="G23" s="1">
        <v>1</v>
      </c>
    </row>
    <row r="24" spans="1:7" x14ac:dyDescent="0.3">
      <c r="A24" s="1">
        <v>2</v>
      </c>
      <c r="B24" s="1">
        <v>0</v>
      </c>
      <c r="C24" s="1" t="s">
        <v>0</v>
      </c>
      <c r="D24" s="1">
        <v>20</v>
      </c>
      <c r="E24" s="1" t="s">
        <v>6</v>
      </c>
      <c r="F24" s="1">
        <v>57</v>
      </c>
      <c r="G24" s="1">
        <v>1</v>
      </c>
    </row>
    <row r="25" spans="1:7" x14ac:dyDescent="0.3">
      <c r="A25" s="1">
        <v>2</v>
      </c>
      <c r="B25" s="1">
        <v>0</v>
      </c>
      <c r="C25" s="1" t="s">
        <v>0</v>
      </c>
      <c r="D25" s="1">
        <v>31</v>
      </c>
      <c r="E25" s="1" t="s">
        <v>6</v>
      </c>
      <c r="F25" s="1">
        <v>38</v>
      </c>
      <c r="G25" s="1">
        <v>1</v>
      </c>
    </row>
    <row r="26" spans="1:7" x14ac:dyDescent="0.3">
      <c r="A26" s="1">
        <v>2</v>
      </c>
      <c r="B26" s="1">
        <v>0</v>
      </c>
      <c r="C26" s="1" t="s">
        <v>0</v>
      </c>
      <c r="D26" s="1">
        <v>30</v>
      </c>
      <c r="E26" s="1" t="s">
        <v>6</v>
      </c>
      <c r="F26" s="1">
        <v>42</v>
      </c>
      <c r="G26" s="1">
        <v>1</v>
      </c>
    </row>
    <row r="27" spans="1:7" x14ac:dyDescent="0.3">
      <c r="A27" s="1">
        <v>2</v>
      </c>
      <c r="B27" s="1">
        <v>0</v>
      </c>
      <c r="C27" s="1" t="s">
        <v>0</v>
      </c>
      <c r="D27" s="1">
        <v>39</v>
      </c>
      <c r="E27" s="1" t="s">
        <v>6</v>
      </c>
      <c r="F27" s="1">
        <v>33</v>
      </c>
      <c r="G27" s="1">
        <v>0</v>
      </c>
    </row>
    <row r="28" spans="1:7" x14ac:dyDescent="0.3">
      <c r="A28" s="1">
        <v>2</v>
      </c>
      <c r="B28" s="1">
        <v>0</v>
      </c>
      <c r="C28" s="1" t="s">
        <v>0</v>
      </c>
      <c r="D28" s="1">
        <v>41</v>
      </c>
      <c r="E28" s="1" t="s">
        <v>6</v>
      </c>
      <c r="F28" s="1">
        <v>46</v>
      </c>
      <c r="G28" s="1">
        <v>1</v>
      </c>
    </row>
    <row r="29" spans="1:7" x14ac:dyDescent="0.3">
      <c r="A29" s="1">
        <v>2</v>
      </c>
      <c r="B29" s="1">
        <v>0</v>
      </c>
      <c r="C29" s="1" t="s">
        <v>0</v>
      </c>
      <c r="D29" s="1">
        <v>42</v>
      </c>
      <c r="E29" s="1" t="s">
        <v>6</v>
      </c>
      <c r="F29" s="1">
        <v>24</v>
      </c>
      <c r="G29" s="1">
        <v>0</v>
      </c>
    </row>
    <row r="30" spans="1:7" x14ac:dyDescent="0.3">
      <c r="A30" s="1">
        <v>2</v>
      </c>
      <c r="B30" s="1">
        <v>0</v>
      </c>
      <c r="C30" s="1" t="s">
        <v>0</v>
      </c>
      <c r="D30" s="1">
        <v>21</v>
      </c>
      <c r="E30" s="1" t="s">
        <v>6</v>
      </c>
      <c r="F30" s="1">
        <v>16</v>
      </c>
      <c r="G30" s="1">
        <v>0</v>
      </c>
    </row>
    <row r="31" spans="1:7" x14ac:dyDescent="0.3">
      <c r="A31" s="1">
        <v>2</v>
      </c>
      <c r="B31" s="1">
        <v>0</v>
      </c>
      <c r="C31" s="1" t="s">
        <v>0</v>
      </c>
      <c r="D31" s="1">
        <v>37</v>
      </c>
      <c r="E31" s="1" t="s">
        <v>6</v>
      </c>
      <c r="F31" s="1">
        <v>34</v>
      </c>
      <c r="G31" s="1">
        <v>0</v>
      </c>
    </row>
    <row r="32" spans="1:7" x14ac:dyDescent="0.3">
      <c r="A32" s="1">
        <v>2</v>
      </c>
      <c r="B32" s="1">
        <v>0</v>
      </c>
      <c r="C32" s="1" t="s">
        <v>0</v>
      </c>
      <c r="D32" s="1">
        <v>58</v>
      </c>
      <c r="E32" s="1" t="s">
        <v>6</v>
      </c>
      <c r="F32" s="1">
        <v>53</v>
      </c>
      <c r="G32" s="1">
        <v>0</v>
      </c>
    </row>
    <row r="33" spans="1:7" x14ac:dyDescent="0.3">
      <c r="A33" s="1">
        <v>2</v>
      </c>
      <c r="B33" s="1">
        <v>0</v>
      </c>
      <c r="C33" s="1" t="s">
        <v>0</v>
      </c>
      <c r="D33" s="1">
        <v>44</v>
      </c>
      <c r="E33" s="1" t="s">
        <v>6</v>
      </c>
      <c r="F33" s="1">
        <v>68</v>
      </c>
      <c r="G33" s="1">
        <v>1</v>
      </c>
    </row>
    <row r="34" spans="1:7" x14ac:dyDescent="0.3">
      <c r="A34" s="1">
        <v>2</v>
      </c>
      <c r="B34" s="1">
        <v>0</v>
      </c>
      <c r="C34" s="1" t="s">
        <v>0</v>
      </c>
      <c r="D34" s="1">
        <v>18</v>
      </c>
      <c r="E34" s="1" t="s">
        <v>6</v>
      </c>
      <c r="F34" s="1">
        <v>30</v>
      </c>
      <c r="G34" s="1">
        <v>1</v>
      </c>
    </row>
    <row r="35" spans="1:7" x14ac:dyDescent="0.3">
      <c r="A35" s="1">
        <v>2</v>
      </c>
      <c r="B35" s="1">
        <v>0</v>
      </c>
      <c r="C35" s="1" t="s">
        <v>0</v>
      </c>
      <c r="D35" s="1">
        <v>37</v>
      </c>
      <c r="E35" s="1" t="s">
        <v>6</v>
      </c>
      <c r="F35" s="1">
        <v>44</v>
      </c>
      <c r="G35" s="1">
        <v>1</v>
      </c>
    </row>
    <row r="36" spans="1:7" x14ac:dyDescent="0.3">
      <c r="A36" s="1">
        <v>2</v>
      </c>
      <c r="B36" s="1">
        <v>0</v>
      </c>
      <c r="C36" s="1" t="s">
        <v>0</v>
      </c>
      <c r="D36" s="1">
        <v>42</v>
      </c>
      <c r="E36" s="1" t="s">
        <v>6</v>
      </c>
      <c r="F36" s="1">
        <v>38</v>
      </c>
      <c r="G36" s="1">
        <v>0</v>
      </c>
    </row>
    <row r="37" spans="1:7" x14ac:dyDescent="0.3">
      <c r="A37" s="1">
        <v>2</v>
      </c>
      <c r="B37" s="1">
        <v>0</v>
      </c>
      <c r="C37" s="1" t="s">
        <v>0</v>
      </c>
      <c r="D37" s="1">
        <v>32</v>
      </c>
      <c r="E37" s="1" t="s">
        <v>6</v>
      </c>
      <c r="F37" s="1">
        <v>43</v>
      </c>
      <c r="G37" s="1">
        <v>1</v>
      </c>
    </row>
    <row r="38" spans="1:7" x14ac:dyDescent="0.3">
      <c r="A38" s="1">
        <v>2</v>
      </c>
      <c r="B38" s="1">
        <v>0</v>
      </c>
      <c r="C38" s="1" t="s">
        <v>0</v>
      </c>
      <c r="D38" s="1">
        <v>22</v>
      </c>
      <c r="E38" s="1" t="s">
        <v>6</v>
      </c>
      <c r="F38" s="1">
        <v>38</v>
      </c>
      <c r="G38" s="1">
        <v>1</v>
      </c>
    </row>
    <row r="39" spans="1:7" x14ac:dyDescent="0.3">
      <c r="A39" s="1">
        <v>2</v>
      </c>
      <c r="B39" s="1">
        <v>0</v>
      </c>
      <c r="C39" s="1" t="s">
        <v>0</v>
      </c>
      <c r="D39" s="1">
        <v>24</v>
      </c>
      <c r="E39" s="1" t="s">
        <v>6</v>
      </c>
      <c r="F39" s="1">
        <v>25</v>
      </c>
      <c r="G39" s="1">
        <v>1</v>
      </c>
    </row>
    <row r="40" spans="1:7" x14ac:dyDescent="0.3">
      <c r="A40" s="1">
        <v>2</v>
      </c>
      <c r="B40" s="1">
        <v>0</v>
      </c>
      <c r="C40" s="1" t="s">
        <v>0</v>
      </c>
      <c r="D40" s="1">
        <v>24</v>
      </c>
      <c r="E40" s="1" t="s">
        <v>6</v>
      </c>
      <c r="F40" s="1">
        <v>26</v>
      </c>
      <c r="G40" s="1">
        <v>1</v>
      </c>
    </row>
    <row r="41" spans="1:7" x14ac:dyDescent="0.3">
      <c r="A41" s="1">
        <v>2</v>
      </c>
      <c r="B41" s="1">
        <v>0</v>
      </c>
      <c r="C41" s="1" t="s">
        <v>0</v>
      </c>
      <c r="D41" s="1">
        <v>31</v>
      </c>
      <c r="E41" s="1" t="s">
        <v>6</v>
      </c>
      <c r="F41" s="1">
        <v>45</v>
      </c>
      <c r="G41" s="1">
        <v>1</v>
      </c>
    </row>
    <row r="42" spans="1:7" x14ac:dyDescent="0.3">
      <c r="A42" s="1">
        <v>2</v>
      </c>
      <c r="B42" s="1">
        <v>0</v>
      </c>
      <c r="C42" s="1" t="s">
        <v>0</v>
      </c>
      <c r="D42" s="1">
        <v>24</v>
      </c>
      <c r="E42" s="1" t="s">
        <v>6</v>
      </c>
      <c r="F42" s="1">
        <v>29</v>
      </c>
      <c r="G42" s="1">
        <v>1</v>
      </c>
    </row>
    <row r="43" spans="1:7" x14ac:dyDescent="0.3">
      <c r="A43" s="1">
        <v>2</v>
      </c>
      <c r="B43" s="1">
        <v>0</v>
      </c>
      <c r="C43" s="1" t="s">
        <v>0</v>
      </c>
      <c r="D43" s="1">
        <v>36</v>
      </c>
      <c r="E43" s="1" t="s">
        <v>6</v>
      </c>
      <c r="F43" s="1">
        <v>41</v>
      </c>
      <c r="G43" s="1">
        <v>1</v>
      </c>
    </row>
    <row r="44" spans="1:7" x14ac:dyDescent="0.3">
      <c r="A44" s="1">
        <v>2</v>
      </c>
      <c r="B44" s="1">
        <v>0</v>
      </c>
      <c r="C44" s="1" t="s">
        <v>0</v>
      </c>
      <c r="D44" s="1">
        <v>20</v>
      </c>
      <c r="E44" s="1" t="s">
        <v>6</v>
      </c>
      <c r="F44" s="1">
        <v>41</v>
      </c>
      <c r="G44" s="1">
        <v>1</v>
      </c>
    </row>
    <row r="45" spans="1:7" x14ac:dyDescent="0.3">
      <c r="A45" s="1">
        <v>2</v>
      </c>
      <c r="B45" s="1">
        <v>0</v>
      </c>
      <c r="C45" s="1" t="s">
        <v>0</v>
      </c>
      <c r="D45" s="1">
        <v>16</v>
      </c>
      <c r="E45" s="1" t="s">
        <v>6</v>
      </c>
      <c r="F45" s="1">
        <v>39</v>
      </c>
      <c r="G45" s="1">
        <v>1</v>
      </c>
    </row>
    <row r="46" spans="1:7" x14ac:dyDescent="0.3">
      <c r="A46" s="1">
        <v>2</v>
      </c>
      <c r="B46" s="1">
        <v>0</v>
      </c>
      <c r="C46" s="1" t="s">
        <v>0</v>
      </c>
      <c r="D46" s="1">
        <v>25</v>
      </c>
      <c r="E46" s="1" t="s">
        <v>6</v>
      </c>
      <c r="F46" s="1">
        <v>25</v>
      </c>
      <c r="G46" s="1">
        <v>0</v>
      </c>
    </row>
    <row r="47" spans="1:7" x14ac:dyDescent="0.3">
      <c r="A47" s="1">
        <v>2</v>
      </c>
      <c r="B47" s="1">
        <v>0</v>
      </c>
      <c r="C47" s="1" t="s">
        <v>0</v>
      </c>
      <c r="D47" s="1">
        <v>38</v>
      </c>
      <c r="E47" s="1" t="s">
        <v>6</v>
      </c>
      <c r="F47" s="1">
        <v>41</v>
      </c>
      <c r="G47" s="1">
        <v>1</v>
      </c>
    </row>
    <row r="48" spans="1:7" x14ac:dyDescent="0.3">
      <c r="A48" s="1">
        <v>2</v>
      </c>
      <c r="B48" s="1">
        <v>0</v>
      </c>
      <c r="C48" s="1" t="s">
        <v>0</v>
      </c>
      <c r="D48" s="1">
        <v>22</v>
      </c>
      <c r="E48" s="1" t="s">
        <v>6</v>
      </c>
      <c r="F48" s="1">
        <v>21</v>
      </c>
      <c r="G48" s="1">
        <v>0</v>
      </c>
    </row>
    <row r="49" spans="1:7" x14ac:dyDescent="0.3">
      <c r="A49" s="1">
        <v>2</v>
      </c>
      <c r="B49" s="1">
        <v>0</v>
      </c>
      <c r="C49" s="1" t="s">
        <v>0</v>
      </c>
      <c r="D49" s="1">
        <v>31</v>
      </c>
      <c r="E49" s="1" t="s">
        <v>6</v>
      </c>
      <c r="F49" s="1">
        <v>32</v>
      </c>
      <c r="G49" s="1">
        <v>1</v>
      </c>
    </row>
    <row r="50" spans="1:7" x14ac:dyDescent="0.3">
      <c r="A50" s="1">
        <v>2</v>
      </c>
      <c r="B50" s="1">
        <v>0</v>
      </c>
      <c r="C50" s="1" t="s">
        <v>0</v>
      </c>
      <c r="D50" s="1">
        <v>28</v>
      </c>
      <c r="E50" s="1" t="s">
        <v>6</v>
      </c>
      <c r="F50" s="1">
        <v>36</v>
      </c>
      <c r="G50" s="1">
        <v>1</v>
      </c>
    </row>
    <row r="51" spans="1:7" x14ac:dyDescent="0.3">
      <c r="A51" s="1">
        <v>2</v>
      </c>
      <c r="B51" s="1">
        <v>1</v>
      </c>
      <c r="C51" s="1" t="s">
        <v>0</v>
      </c>
      <c r="D51" s="1">
        <v>36</v>
      </c>
      <c r="E51" s="1" t="s">
        <v>6</v>
      </c>
      <c r="F51" s="1">
        <v>28</v>
      </c>
      <c r="G51" s="1">
        <v>0</v>
      </c>
    </row>
    <row r="52" spans="1:7" x14ac:dyDescent="0.3">
      <c r="A52" s="1">
        <v>2</v>
      </c>
      <c r="B52" s="1">
        <v>1</v>
      </c>
      <c r="C52" s="1" t="s">
        <v>0</v>
      </c>
      <c r="D52" s="1">
        <v>27</v>
      </c>
      <c r="E52" s="1" t="s">
        <v>6</v>
      </c>
      <c r="F52" s="1">
        <v>34</v>
      </c>
      <c r="G52" s="1">
        <v>1</v>
      </c>
    </row>
    <row r="53" spans="1:7" x14ac:dyDescent="0.3">
      <c r="A53" s="1">
        <v>2</v>
      </c>
      <c r="B53" s="1">
        <v>1</v>
      </c>
      <c r="C53" s="1" t="s">
        <v>0</v>
      </c>
      <c r="D53" s="1">
        <v>35</v>
      </c>
      <c r="E53" s="1" t="s">
        <v>6</v>
      </c>
      <c r="F53" s="1">
        <v>15</v>
      </c>
      <c r="G53" s="1">
        <v>0</v>
      </c>
    </row>
    <row r="54" spans="1:7" x14ac:dyDescent="0.3">
      <c r="A54" s="1">
        <v>2</v>
      </c>
      <c r="B54" s="1">
        <v>1</v>
      </c>
      <c r="C54" s="1" t="s">
        <v>0</v>
      </c>
      <c r="D54" s="1">
        <v>22</v>
      </c>
      <c r="E54" s="1" t="s">
        <v>6</v>
      </c>
      <c r="F54" s="1">
        <v>30</v>
      </c>
      <c r="G54" s="1">
        <v>1</v>
      </c>
    </row>
    <row r="55" spans="1:7" x14ac:dyDescent="0.3">
      <c r="A55" s="1">
        <v>2</v>
      </c>
      <c r="B55" s="1">
        <v>1</v>
      </c>
      <c r="C55" s="1" t="s">
        <v>0</v>
      </c>
      <c r="D55" s="1">
        <v>44</v>
      </c>
      <c r="E55" s="1" t="s">
        <v>6</v>
      </c>
      <c r="F55" s="1">
        <v>34</v>
      </c>
      <c r="G55" s="1">
        <v>0</v>
      </c>
    </row>
    <row r="56" spans="1:7" x14ac:dyDescent="0.3">
      <c r="A56" s="1">
        <v>2</v>
      </c>
      <c r="B56" s="1">
        <v>1</v>
      </c>
      <c r="C56" s="1" t="s">
        <v>0</v>
      </c>
      <c r="D56" s="1">
        <v>19</v>
      </c>
      <c r="E56" s="1" t="s">
        <v>6</v>
      </c>
      <c r="F56" s="1">
        <v>23</v>
      </c>
      <c r="G56" s="1">
        <v>1</v>
      </c>
    </row>
    <row r="57" spans="1:7" x14ac:dyDescent="0.3">
      <c r="A57" s="1">
        <v>2</v>
      </c>
      <c r="B57" s="1">
        <v>1</v>
      </c>
      <c r="C57" s="1" t="s">
        <v>0</v>
      </c>
      <c r="D57" s="1">
        <v>36</v>
      </c>
      <c r="E57" s="1" t="s">
        <v>6</v>
      </c>
      <c r="F57" s="1">
        <v>41</v>
      </c>
      <c r="G57" s="1">
        <v>1</v>
      </c>
    </row>
    <row r="58" spans="1:7" x14ac:dyDescent="0.3">
      <c r="A58" s="1">
        <v>2</v>
      </c>
      <c r="B58" s="1">
        <v>1</v>
      </c>
      <c r="C58" s="1" t="s">
        <v>0</v>
      </c>
      <c r="D58" s="1">
        <v>41</v>
      </c>
      <c r="E58" s="1" t="s">
        <v>6</v>
      </c>
      <c r="F58" s="1">
        <v>29</v>
      </c>
      <c r="G58" s="1">
        <v>0</v>
      </c>
    </row>
    <row r="59" spans="1:7" x14ac:dyDescent="0.3">
      <c r="A59" s="1">
        <v>2</v>
      </c>
      <c r="B59" s="1">
        <v>1</v>
      </c>
      <c r="C59" s="1" t="s">
        <v>0</v>
      </c>
      <c r="D59" s="1">
        <v>31</v>
      </c>
      <c r="E59" s="1" t="s">
        <v>6</v>
      </c>
      <c r="F59" s="1">
        <v>32</v>
      </c>
      <c r="G59" s="1">
        <v>1</v>
      </c>
    </row>
    <row r="60" spans="1:7" x14ac:dyDescent="0.3">
      <c r="A60" s="1">
        <v>2</v>
      </c>
      <c r="B60" s="1">
        <v>1</v>
      </c>
      <c r="C60" s="1" t="s">
        <v>0</v>
      </c>
      <c r="D60" s="1">
        <v>24</v>
      </c>
      <c r="E60" s="1" t="s">
        <v>6</v>
      </c>
      <c r="F60" s="1">
        <v>41</v>
      </c>
      <c r="G60" s="1">
        <v>1</v>
      </c>
    </row>
    <row r="61" spans="1:7" x14ac:dyDescent="0.3">
      <c r="A61" s="1">
        <v>2</v>
      </c>
      <c r="B61" s="1">
        <v>1</v>
      </c>
      <c r="C61" s="1" t="s">
        <v>0</v>
      </c>
      <c r="D61" s="1">
        <v>33</v>
      </c>
      <c r="E61" s="1" t="s">
        <v>6</v>
      </c>
      <c r="F61" s="1">
        <v>85</v>
      </c>
      <c r="G61" s="1">
        <v>1</v>
      </c>
    </row>
    <row r="62" spans="1:7" x14ac:dyDescent="0.3">
      <c r="A62" s="1">
        <v>2</v>
      </c>
      <c r="B62" s="1">
        <v>1</v>
      </c>
      <c r="C62" s="1" t="s">
        <v>0</v>
      </c>
      <c r="D62" s="1">
        <v>10</v>
      </c>
      <c r="E62" s="1" t="s">
        <v>6</v>
      </c>
      <c r="F62" s="1">
        <v>29</v>
      </c>
      <c r="G62" s="1">
        <v>1</v>
      </c>
    </row>
    <row r="63" spans="1:7" x14ac:dyDescent="0.3">
      <c r="A63" s="1">
        <v>2</v>
      </c>
      <c r="B63" s="1">
        <v>1</v>
      </c>
      <c r="C63" s="1" t="s">
        <v>0</v>
      </c>
      <c r="D63" s="1">
        <v>15</v>
      </c>
      <c r="E63" s="1" t="s">
        <v>6</v>
      </c>
      <c r="F63" s="1">
        <v>47</v>
      </c>
      <c r="G63" s="1">
        <v>1</v>
      </c>
    </row>
    <row r="64" spans="1:7" x14ac:dyDescent="0.3">
      <c r="A64" s="1">
        <v>2</v>
      </c>
      <c r="B64" s="1">
        <v>1</v>
      </c>
      <c r="C64" s="1" t="s">
        <v>0</v>
      </c>
      <c r="D64" s="1">
        <v>21</v>
      </c>
      <c r="E64" s="1" t="s">
        <v>6</v>
      </c>
      <c r="F64" s="1">
        <v>18</v>
      </c>
      <c r="G64" s="1">
        <v>0</v>
      </c>
    </row>
    <row r="65" spans="1:7" x14ac:dyDescent="0.3">
      <c r="A65" s="1">
        <v>2</v>
      </c>
      <c r="B65" s="1">
        <v>1</v>
      </c>
      <c r="C65" s="1" t="s">
        <v>0</v>
      </c>
      <c r="D65" s="1">
        <v>35</v>
      </c>
      <c r="E65" s="1" t="s">
        <v>6</v>
      </c>
      <c r="F65" s="1">
        <v>64</v>
      </c>
      <c r="G65" s="1">
        <v>1</v>
      </c>
    </row>
    <row r="66" spans="1:7" x14ac:dyDescent="0.3">
      <c r="A66" s="1">
        <v>2</v>
      </c>
      <c r="B66" s="1">
        <v>1</v>
      </c>
      <c r="C66" s="1" t="s">
        <v>0</v>
      </c>
      <c r="D66" s="1">
        <v>32</v>
      </c>
      <c r="E66" s="1" t="s">
        <v>6</v>
      </c>
      <c r="F66" s="1">
        <v>27</v>
      </c>
      <c r="G66" s="1">
        <v>0</v>
      </c>
    </row>
    <row r="67" spans="1:7" x14ac:dyDescent="0.3">
      <c r="A67" s="1">
        <v>2</v>
      </c>
      <c r="B67" s="1">
        <v>1</v>
      </c>
      <c r="C67" s="1" t="s">
        <v>0</v>
      </c>
      <c r="D67" s="1">
        <v>18</v>
      </c>
      <c r="E67" s="1" t="s">
        <v>6</v>
      </c>
      <c r="F67" s="1">
        <v>24</v>
      </c>
      <c r="G67" s="1">
        <v>1</v>
      </c>
    </row>
    <row r="68" spans="1:7" x14ac:dyDescent="0.3">
      <c r="A68" s="1">
        <v>2</v>
      </c>
      <c r="B68" s="1">
        <v>1</v>
      </c>
      <c r="C68" s="1" t="s">
        <v>0</v>
      </c>
      <c r="D68" s="1">
        <v>34</v>
      </c>
      <c r="E68" s="1" t="s">
        <v>6</v>
      </c>
      <c r="F68" s="1">
        <v>29</v>
      </c>
      <c r="G68" s="1">
        <v>0</v>
      </c>
    </row>
    <row r="69" spans="1:7" x14ac:dyDescent="0.3">
      <c r="A69" s="1">
        <v>2</v>
      </c>
      <c r="B69" s="1">
        <v>1</v>
      </c>
      <c r="C69" s="1" t="s">
        <v>0</v>
      </c>
      <c r="D69" s="1">
        <v>35</v>
      </c>
      <c r="E69" s="1" t="s">
        <v>6</v>
      </c>
      <c r="F69" s="1">
        <v>54</v>
      </c>
      <c r="G69" s="1">
        <v>1</v>
      </c>
    </row>
    <row r="70" spans="1:7" x14ac:dyDescent="0.3">
      <c r="A70" s="1">
        <v>2</v>
      </c>
      <c r="B70" s="1">
        <v>1</v>
      </c>
      <c r="C70" s="1" t="s">
        <v>0</v>
      </c>
      <c r="D70" s="1">
        <v>51</v>
      </c>
      <c r="E70" s="1" t="s">
        <v>6</v>
      </c>
      <c r="F70" s="1">
        <v>34</v>
      </c>
      <c r="G70" s="1">
        <v>0</v>
      </c>
    </row>
    <row r="71" spans="1:7" x14ac:dyDescent="0.3">
      <c r="A71" s="1">
        <v>2</v>
      </c>
      <c r="B71" s="1">
        <v>1</v>
      </c>
      <c r="C71" s="1" t="s">
        <v>0</v>
      </c>
      <c r="D71" s="1">
        <v>20</v>
      </c>
      <c r="E71" s="1" t="s">
        <v>6</v>
      </c>
      <c r="F71" s="1">
        <v>62</v>
      </c>
      <c r="G71" s="1">
        <v>1</v>
      </c>
    </row>
    <row r="72" spans="1:7" x14ac:dyDescent="0.3">
      <c r="A72" s="1">
        <v>2</v>
      </c>
      <c r="B72" s="1">
        <v>1</v>
      </c>
      <c r="C72" s="1" t="s">
        <v>0</v>
      </c>
      <c r="D72" s="1">
        <v>22</v>
      </c>
      <c r="E72" s="1" t="s">
        <v>6</v>
      </c>
      <c r="F72" s="1">
        <v>43</v>
      </c>
      <c r="G72" s="1">
        <v>1</v>
      </c>
    </row>
    <row r="73" spans="1:7" x14ac:dyDescent="0.3">
      <c r="A73" s="1">
        <v>2</v>
      </c>
      <c r="B73" s="1">
        <v>1</v>
      </c>
      <c r="C73" s="1" t="s">
        <v>0</v>
      </c>
      <c r="D73" s="1">
        <v>26</v>
      </c>
      <c r="E73" s="1" t="s">
        <v>6</v>
      </c>
      <c r="F73" s="1">
        <v>22</v>
      </c>
      <c r="G73" s="1">
        <v>0</v>
      </c>
    </row>
    <row r="74" spans="1:7" x14ac:dyDescent="0.3">
      <c r="A74" s="1">
        <v>2</v>
      </c>
      <c r="B74" s="1">
        <v>1</v>
      </c>
      <c r="C74" s="1" t="s">
        <v>0</v>
      </c>
      <c r="D74" s="1">
        <v>35</v>
      </c>
      <c r="E74" s="1" t="s">
        <v>6</v>
      </c>
      <c r="F74" s="1">
        <v>37</v>
      </c>
      <c r="G74" s="1">
        <v>1</v>
      </c>
    </row>
    <row r="75" spans="1:7" x14ac:dyDescent="0.3">
      <c r="A75" s="1">
        <v>2</v>
      </c>
      <c r="B75" s="1">
        <v>1</v>
      </c>
      <c r="C75" s="1" t="s">
        <v>0</v>
      </c>
      <c r="D75" s="1">
        <v>40</v>
      </c>
      <c r="E75" s="1" t="s">
        <v>6</v>
      </c>
      <c r="F75" s="1">
        <v>57</v>
      </c>
      <c r="G75" s="1">
        <v>1</v>
      </c>
    </row>
    <row r="76" spans="1:7" x14ac:dyDescent="0.3">
      <c r="A76" s="1">
        <v>2</v>
      </c>
      <c r="B76" s="1">
        <v>1</v>
      </c>
      <c r="C76" s="1" t="s">
        <v>0</v>
      </c>
      <c r="D76" s="1">
        <v>22</v>
      </c>
      <c r="E76" s="1" t="s">
        <v>6</v>
      </c>
      <c r="F76" s="1">
        <v>48</v>
      </c>
      <c r="G76" s="1">
        <v>1</v>
      </c>
    </row>
    <row r="77" spans="1:7" x14ac:dyDescent="0.3">
      <c r="A77" s="1">
        <v>2</v>
      </c>
      <c r="B77" s="1">
        <v>1</v>
      </c>
      <c r="C77" s="1" t="s">
        <v>0</v>
      </c>
      <c r="D77" s="1">
        <v>45</v>
      </c>
      <c r="E77" s="1" t="s">
        <v>6</v>
      </c>
      <c r="F77" s="1">
        <v>42</v>
      </c>
      <c r="G77" s="1">
        <v>0</v>
      </c>
    </row>
    <row r="78" spans="1:7" x14ac:dyDescent="0.3">
      <c r="A78" s="1">
        <v>2</v>
      </c>
      <c r="B78" s="1">
        <v>1</v>
      </c>
      <c r="C78" s="1" t="s">
        <v>0</v>
      </c>
      <c r="D78" s="1">
        <v>28</v>
      </c>
      <c r="E78" s="1" t="s">
        <v>6</v>
      </c>
      <c r="F78" s="1">
        <v>56</v>
      </c>
      <c r="G78" s="1">
        <v>1</v>
      </c>
    </row>
    <row r="79" spans="1:7" x14ac:dyDescent="0.3">
      <c r="A79" s="1">
        <v>2</v>
      </c>
      <c r="B79" s="1">
        <v>1</v>
      </c>
      <c r="C79" s="1" t="s">
        <v>0</v>
      </c>
      <c r="D79" s="1">
        <v>38</v>
      </c>
      <c r="E79" s="1" t="s">
        <v>6</v>
      </c>
      <c r="F79" s="1">
        <v>22</v>
      </c>
      <c r="G79" s="1">
        <v>0</v>
      </c>
    </row>
    <row r="80" spans="1:7" x14ac:dyDescent="0.3">
      <c r="A80" s="1">
        <v>2</v>
      </c>
      <c r="B80" s="1">
        <v>1</v>
      </c>
      <c r="C80" s="1" t="s">
        <v>0</v>
      </c>
      <c r="D80" s="1">
        <v>33</v>
      </c>
      <c r="E80" s="1" t="s">
        <v>6</v>
      </c>
      <c r="F80" s="1">
        <v>12</v>
      </c>
      <c r="G80" s="1">
        <v>0</v>
      </c>
    </row>
    <row r="81" spans="1:7" x14ac:dyDescent="0.3">
      <c r="A81" s="1">
        <v>2</v>
      </c>
      <c r="B81" s="1">
        <v>1</v>
      </c>
      <c r="C81" s="1" t="s">
        <v>0</v>
      </c>
      <c r="D81" s="1">
        <v>20</v>
      </c>
      <c r="E81" s="1" t="s">
        <v>6</v>
      </c>
      <c r="F81" s="1">
        <v>8</v>
      </c>
      <c r="G81" s="1">
        <v>0</v>
      </c>
    </row>
    <row r="82" spans="1:7" x14ac:dyDescent="0.3">
      <c r="A82" s="1">
        <v>2</v>
      </c>
      <c r="B82" s="1">
        <v>1</v>
      </c>
      <c r="C82" s="1" t="s">
        <v>0</v>
      </c>
      <c r="D82" s="1">
        <v>34</v>
      </c>
      <c r="E82" s="1" t="s">
        <v>6</v>
      </c>
      <c r="F82" s="1">
        <v>15</v>
      </c>
      <c r="G82" s="1">
        <v>0</v>
      </c>
    </row>
    <row r="83" spans="1:7" x14ac:dyDescent="0.3">
      <c r="A83" s="1">
        <v>2</v>
      </c>
      <c r="B83" s="1">
        <v>1</v>
      </c>
      <c r="C83" s="1" t="s">
        <v>0</v>
      </c>
      <c r="D83" s="1">
        <v>33</v>
      </c>
      <c r="E83" s="1" t="s">
        <v>6</v>
      </c>
      <c r="F83" s="1">
        <v>9</v>
      </c>
      <c r="G83" s="1">
        <v>0</v>
      </c>
    </row>
    <row r="84" spans="1:7" x14ac:dyDescent="0.3">
      <c r="A84" s="1">
        <v>2</v>
      </c>
      <c r="B84" s="1">
        <v>1</v>
      </c>
      <c r="C84" s="1" t="s">
        <v>0</v>
      </c>
      <c r="D84" s="1">
        <v>33</v>
      </c>
      <c r="E84" s="1" t="s">
        <v>6</v>
      </c>
      <c r="F84" s="1">
        <v>27</v>
      </c>
      <c r="G84" s="1">
        <v>0</v>
      </c>
    </row>
    <row r="85" spans="1:7" x14ac:dyDescent="0.3">
      <c r="A85" s="1">
        <v>2</v>
      </c>
      <c r="B85" s="1">
        <v>1</v>
      </c>
      <c r="C85" s="1" t="s">
        <v>0</v>
      </c>
      <c r="D85" s="1">
        <v>40</v>
      </c>
      <c r="E85" s="1" t="s">
        <v>6</v>
      </c>
      <c r="F85" s="1">
        <v>53</v>
      </c>
      <c r="G85" s="1">
        <v>1</v>
      </c>
    </row>
    <row r="86" spans="1:7" x14ac:dyDescent="0.3">
      <c r="A86" s="1">
        <v>2</v>
      </c>
      <c r="B86" s="1">
        <v>1</v>
      </c>
      <c r="C86" s="1" t="s">
        <v>0</v>
      </c>
      <c r="D86" s="1">
        <v>29</v>
      </c>
      <c r="E86" s="1" t="s">
        <v>6</v>
      </c>
      <c r="F86" s="1">
        <v>17</v>
      </c>
      <c r="G86" s="1">
        <v>0</v>
      </c>
    </row>
    <row r="87" spans="1:7" x14ac:dyDescent="0.3">
      <c r="A87" s="1">
        <v>2</v>
      </c>
      <c r="B87" s="1">
        <v>1</v>
      </c>
      <c r="C87" s="1" t="s">
        <v>0</v>
      </c>
      <c r="D87" s="1">
        <v>38</v>
      </c>
      <c r="E87" s="1" t="s">
        <v>6</v>
      </c>
      <c r="F87" s="1">
        <v>36</v>
      </c>
      <c r="G87" s="1">
        <v>0</v>
      </c>
    </row>
    <row r="88" spans="1:7" x14ac:dyDescent="0.3">
      <c r="A88" s="1">
        <v>2</v>
      </c>
      <c r="B88" s="1">
        <v>1</v>
      </c>
      <c r="C88" s="1" t="s">
        <v>0</v>
      </c>
      <c r="D88" s="1">
        <v>32</v>
      </c>
      <c r="E88" s="1" t="s">
        <v>6</v>
      </c>
      <c r="F88" s="1">
        <v>30</v>
      </c>
      <c r="G88" s="1">
        <v>0</v>
      </c>
    </row>
    <row r="89" spans="1:7" x14ac:dyDescent="0.3">
      <c r="A89" s="1">
        <v>2</v>
      </c>
      <c r="B89" s="1">
        <v>1</v>
      </c>
      <c r="C89" s="1" t="s">
        <v>0</v>
      </c>
      <c r="D89" s="1">
        <v>20</v>
      </c>
      <c r="E89" s="1" t="s">
        <v>6</v>
      </c>
      <c r="F89" s="1">
        <v>50</v>
      </c>
      <c r="G89" s="1">
        <v>1</v>
      </c>
    </row>
    <row r="90" spans="1:7" x14ac:dyDescent="0.3">
      <c r="A90" s="1">
        <v>2</v>
      </c>
      <c r="B90" s="1">
        <v>1</v>
      </c>
      <c r="C90" s="1" t="s">
        <v>0</v>
      </c>
      <c r="D90" s="1">
        <v>17</v>
      </c>
      <c r="E90" s="1" t="s">
        <v>6</v>
      </c>
      <c r="F90" s="1">
        <v>4</v>
      </c>
      <c r="G90" s="1">
        <v>0</v>
      </c>
    </row>
    <row r="91" spans="1:7" x14ac:dyDescent="0.3">
      <c r="A91" s="1">
        <v>2</v>
      </c>
      <c r="B91" s="1">
        <v>1</v>
      </c>
      <c r="C91" s="1" t="s">
        <v>0</v>
      </c>
      <c r="D91" s="1">
        <v>18</v>
      </c>
      <c r="E91" s="1" t="s">
        <v>6</v>
      </c>
      <c r="F91" s="1">
        <v>32</v>
      </c>
      <c r="G91" s="1">
        <v>1</v>
      </c>
    </row>
    <row r="92" spans="1:7" x14ac:dyDescent="0.3">
      <c r="A92" s="1">
        <v>2</v>
      </c>
      <c r="B92" s="1">
        <v>1</v>
      </c>
      <c r="C92" s="1" t="s">
        <v>0</v>
      </c>
      <c r="D92" s="1">
        <v>31</v>
      </c>
      <c r="E92" s="1" t="s">
        <v>6</v>
      </c>
      <c r="F92" s="1">
        <v>35</v>
      </c>
      <c r="G92" s="1">
        <v>1</v>
      </c>
    </row>
    <row r="93" spans="1:7" x14ac:dyDescent="0.3">
      <c r="A93" s="1">
        <v>2</v>
      </c>
      <c r="B93" s="1">
        <v>1</v>
      </c>
      <c r="C93" s="1" t="s">
        <v>0</v>
      </c>
      <c r="D93" s="1">
        <v>2</v>
      </c>
      <c r="E93" s="1" t="s">
        <v>6</v>
      </c>
      <c r="F93" s="1">
        <v>46</v>
      </c>
      <c r="G93" s="1">
        <v>1</v>
      </c>
    </row>
    <row r="94" spans="1:7" x14ac:dyDescent="0.3">
      <c r="A94" s="1">
        <v>2</v>
      </c>
      <c r="B94" s="1">
        <v>1</v>
      </c>
      <c r="C94" s="1" t="s">
        <v>0</v>
      </c>
      <c r="D94" s="1">
        <v>14</v>
      </c>
      <c r="E94" s="1" t="s">
        <v>6</v>
      </c>
      <c r="F94" s="1">
        <v>2</v>
      </c>
      <c r="G94" s="1">
        <v>0</v>
      </c>
    </row>
    <row r="95" spans="1:7" x14ac:dyDescent="0.3">
      <c r="A95" s="1">
        <v>2</v>
      </c>
      <c r="B95" s="1">
        <v>1</v>
      </c>
      <c r="C95" s="1" t="s">
        <v>0</v>
      </c>
      <c r="D95" s="1">
        <v>19</v>
      </c>
      <c r="E95" s="1" t="s">
        <v>6</v>
      </c>
      <c r="F95" s="1">
        <v>50</v>
      </c>
      <c r="G95" s="1">
        <v>1</v>
      </c>
    </row>
    <row r="96" spans="1:7" x14ac:dyDescent="0.3">
      <c r="A96" s="1">
        <v>2</v>
      </c>
      <c r="B96" s="1">
        <v>1</v>
      </c>
      <c r="C96" s="1" t="s">
        <v>0</v>
      </c>
      <c r="D96" s="1">
        <v>34</v>
      </c>
      <c r="E96" s="1" t="s">
        <v>6</v>
      </c>
      <c r="F96" s="1">
        <v>50</v>
      </c>
      <c r="G96" s="1">
        <v>1</v>
      </c>
    </row>
    <row r="97" spans="1:7" x14ac:dyDescent="0.3">
      <c r="A97" s="1">
        <v>2</v>
      </c>
      <c r="B97" s="1">
        <v>1</v>
      </c>
      <c r="C97" s="1" t="s">
        <v>0</v>
      </c>
      <c r="D97" s="1">
        <v>29</v>
      </c>
      <c r="E97" s="1" t="s">
        <v>6</v>
      </c>
      <c r="F97" s="1">
        <v>49</v>
      </c>
      <c r="G97" s="1">
        <v>1</v>
      </c>
    </row>
    <row r="98" spans="1:7" x14ac:dyDescent="0.3">
      <c r="A98" s="1">
        <v>2</v>
      </c>
      <c r="B98" s="1">
        <v>1</v>
      </c>
      <c r="C98" s="1" t="s">
        <v>0</v>
      </c>
      <c r="D98" s="1">
        <v>7</v>
      </c>
      <c r="E98" s="1" t="s">
        <v>6</v>
      </c>
      <c r="F98" s="1">
        <v>40</v>
      </c>
      <c r="G98" s="1">
        <v>1</v>
      </c>
    </row>
    <row r="99" spans="1:7" x14ac:dyDescent="0.3">
      <c r="A99" s="1">
        <v>2</v>
      </c>
      <c r="B99" s="1">
        <v>1</v>
      </c>
      <c r="C99" s="1" t="s">
        <v>0</v>
      </c>
      <c r="D99" s="1">
        <v>35</v>
      </c>
      <c r="E99" s="1" t="s">
        <v>6</v>
      </c>
      <c r="F99" s="1">
        <v>14</v>
      </c>
      <c r="G99" s="1">
        <v>0</v>
      </c>
    </row>
    <row r="100" spans="1:7" x14ac:dyDescent="0.3">
      <c r="A100" s="1">
        <v>2</v>
      </c>
      <c r="B100" s="1">
        <v>1</v>
      </c>
      <c r="C100" s="1" t="s">
        <v>0</v>
      </c>
      <c r="D100" s="1">
        <v>36</v>
      </c>
      <c r="E100" s="1" t="s">
        <v>6</v>
      </c>
      <c r="F100" s="1">
        <v>24</v>
      </c>
      <c r="G100" s="1">
        <v>0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97E9-BB10-4FAD-8E29-0956B2B4DFE4}">
  <dimension ref="A1:Q100"/>
  <sheetViews>
    <sheetView workbookViewId="0">
      <selection activeCell="C28" sqref="C28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0</v>
      </c>
      <c r="D1" s="1">
        <v>29</v>
      </c>
      <c r="E1" s="1" t="s">
        <v>4</v>
      </c>
      <c r="F1" s="1">
        <v>2</v>
      </c>
      <c r="G1" s="1">
        <v>0</v>
      </c>
      <c r="I1" s="2"/>
      <c r="J1" s="3"/>
      <c r="K1" s="4" t="s">
        <v>7</v>
      </c>
      <c r="L1" s="4"/>
      <c r="M1" s="5" t="s">
        <v>8</v>
      </c>
      <c r="N1" s="5"/>
      <c r="O1" s="5" t="s">
        <v>9</v>
      </c>
      <c r="P1" s="5"/>
      <c r="Q1"/>
    </row>
    <row r="2" spans="1:17" x14ac:dyDescent="0.3">
      <c r="A2" s="1">
        <v>2</v>
      </c>
      <c r="B2" s="1">
        <v>0</v>
      </c>
      <c r="C2" s="1" t="s">
        <v>0</v>
      </c>
      <c r="D2" s="1">
        <v>51</v>
      </c>
      <c r="E2" s="1" t="s">
        <v>4</v>
      </c>
      <c r="F2" s="1">
        <v>17</v>
      </c>
      <c r="G2" s="1">
        <v>0</v>
      </c>
      <c r="I2" s="6"/>
      <c r="J2" s="7"/>
      <c r="K2" s="4"/>
      <c r="L2" s="4"/>
      <c r="M2" s="5"/>
      <c r="N2" s="5"/>
      <c r="O2" s="5"/>
      <c r="P2" s="5"/>
      <c r="Q2" s="8" t="s">
        <v>10</v>
      </c>
    </row>
    <row r="3" spans="1:17" x14ac:dyDescent="0.3">
      <c r="A3" s="1">
        <v>2</v>
      </c>
      <c r="B3" s="1">
        <v>0</v>
      </c>
      <c r="C3" s="1" t="s">
        <v>0</v>
      </c>
      <c r="D3" s="1">
        <v>61</v>
      </c>
      <c r="E3" s="1" t="s">
        <v>4</v>
      </c>
      <c r="F3" s="1">
        <v>8</v>
      </c>
      <c r="G3" s="1">
        <v>0</v>
      </c>
      <c r="I3" s="5" t="s">
        <v>11</v>
      </c>
      <c r="J3" s="5"/>
      <c r="K3" s="9">
        <f>COUNTIF($G$1:$G$100, 0)</f>
        <v>93</v>
      </c>
      <c r="L3" s="9"/>
      <c r="M3" s="9">
        <f>COUNTIFS($G$1:$G$100, 0, $B$1:$B$100, 0)</f>
        <v>48</v>
      </c>
      <c r="N3" s="9"/>
      <c r="O3" s="10">
        <f>COUNTIFS($G$1:$G$100, 0, $B$1:$B$100, 1)</f>
        <v>45</v>
      </c>
      <c r="P3" s="11"/>
      <c r="Q3" s="12" cm="1">
        <f t="array" ref="Q3">SUMPRODUCT(--($D$1:$D$100=$G$1:$G$100))</f>
        <v>0</v>
      </c>
    </row>
    <row r="4" spans="1:17" x14ac:dyDescent="0.3">
      <c r="A4" s="1">
        <v>2</v>
      </c>
      <c r="B4" s="1">
        <v>0</v>
      </c>
      <c r="C4" s="1" t="s">
        <v>0</v>
      </c>
      <c r="D4" s="1">
        <v>55</v>
      </c>
      <c r="E4" s="1" t="s">
        <v>4</v>
      </c>
      <c r="F4" s="1">
        <v>19</v>
      </c>
      <c r="G4" s="1">
        <v>0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0</v>
      </c>
      <c r="D5" s="1">
        <v>19</v>
      </c>
      <c r="E5" s="1" t="s">
        <v>4</v>
      </c>
      <c r="F5" s="1">
        <v>2</v>
      </c>
      <c r="G5" s="1">
        <v>0</v>
      </c>
      <c r="I5" s="5" t="s">
        <v>12</v>
      </c>
      <c r="J5" s="5"/>
      <c r="K5" s="14">
        <f>COUNTIF($G$1:$G$100, 1)</f>
        <v>7</v>
      </c>
      <c r="L5" s="9"/>
      <c r="M5" s="9">
        <f>COUNTIFS($G$1:$G$100, 1, $B$1:$B$100, 0)</f>
        <v>2</v>
      </c>
      <c r="N5" s="9"/>
      <c r="O5" s="9">
        <f>COUNTIFS($G$1:$G$100, 1, $B$1:$B$100, 1)</f>
        <v>5</v>
      </c>
      <c r="P5" s="13"/>
      <c r="Q5"/>
    </row>
    <row r="6" spans="1:17" x14ac:dyDescent="0.3">
      <c r="A6" s="1">
        <v>2</v>
      </c>
      <c r="B6" s="1">
        <v>0</v>
      </c>
      <c r="C6" s="1" t="s">
        <v>0</v>
      </c>
      <c r="D6" s="1">
        <v>31</v>
      </c>
      <c r="E6" s="1" t="s">
        <v>4</v>
      </c>
      <c r="F6" s="1">
        <v>19</v>
      </c>
      <c r="G6" s="1">
        <v>0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0</v>
      </c>
      <c r="D7" s="1">
        <v>35</v>
      </c>
      <c r="E7" s="1" t="s">
        <v>4</v>
      </c>
      <c r="F7" s="1">
        <v>15</v>
      </c>
      <c r="G7" s="1">
        <v>0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0</v>
      </c>
      <c r="D8" s="1">
        <v>56</v>
      </c>
      <c r="E8" s="1" t="s">
        <v>4</v>
      </c>
      <c r="F8" s="1">
        <v>0</v>
      </c>
      <c r="G8" s="1">
        <v>0</v>
      </c>
      <c r="I8" s="19"/>
      <c r="J8" s="20"/>
      <c r="K8" s="21" t="s">
        <v>7</v>
      </c>
      <c r="L8" s="21"/>
      <c r="M8" s="21" t="s">
        <v>13</v>
      </c>
      <c r="N8" s="21"/>
      <c r="O8" s="21" t="s">
        <v>14</v>
      </c>
      <c r="P8" s="21"/>
      <c r="Q8"/>
    </row>
    <row r="9" spans="1:17" x14ac:dyDescent="0.3">
      <c r="A9" s="1">
        <v>2</v>
      </c>
      <c r="B9" s="1">
        <v>0</v>
      </c>
      <c r="C9" s="1" t="s">
        <v>0</v>
      </c>
      <c r="D9" s="1">
        <v>35</v>
      </c>
      <c r="E9" s="1" t="s">
        <v>4</v>
      </c>
      <c r="F9" s="1">
        <v>2</v>
      </c>
      <c r="G9" s="1">
        <v>0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0</v>
      </c>
      <c r="D10" s="1">
        <v>26</v>
      </c>
      <c r="E10" s="1" t="s">
        <v>4</v>
      </c>
      <c r="F10" s="1">
        <v>28</v>
      </c>
      <c r="G10" s="1">
        <v>1</v>
      </c>
      <c r="I10" s="5" t="s">
        <v>15</v>
      </c>
      <c r="J10" s="5"/>
      <c r="K10" s="9">
        <f>AVERAGE($D$1:$D$100,)</f>
        <v>38.178217821782177</v>
      </c>
      <c r="L10" s="9"/>
      <c r="M10" s="9" cm="1">
        <f t="array" ref="M10">AVERAGE(_xlfn._xlws.FILTER($D$1:$D$100,$G$1:$G$100 = 0))</f>
        <v>39.387096774193552</v>
      </c>
      <c r="N10" s="9"/>
      <c r="O10" s="10" cm="1">
        <f t="array" ref="O10">AVERAGE(_xlfn._xlws.FILTER($D$1:$D$100,$G$1:$G$100 = 1))</f>
        <v>27.571428571428573</v>
      </c>
      <c r="P10" s="11"/>
      <c r="Q10"/>
    </row>
    <row r="11" spans="1:17" x14ac:dyDescent="0.3">
      <c r="A11" s="1">
        <v>2</v>
      </c>
      <c r="B11" s="1">
        <v>0</v>
      </c>
      <c r="C11" s="1" t="s">
        <v>0</v>
      </c>
      <c r="D11" s="1">
        <v>30</v>
      </c>
      <c r="E11" s="1" t="s">
        <v>4</v>
      </c>
      <c r="F11" s="1">
        <v>8</v>
      </c>
      <c r="G11" s="1">
        <v>0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0</v>
      </c>
      <c r="D12" s="1">
        <v>34</v>
      </c>
      <c r="E12" s="1" t="s">
        <v>4</v>
      </c>
      <c r="F12" s="1">
        <v>0</v>
      </c>
      <c r="G12" s="1">
        <v>0</v>
      </c>
      <c r="I12" s="5" t="s">
        <v>16</v>
      </c>
      <c r="J12" s="5"/>
      <c r="K12" s="9">
        <f>AVERAGE($F$1:$F$100,)</f>
        <v>14.891089108910892</v>
      </c>
      <c r="L12" s="9"/>
      <c r="M12" s="9" cm="1">
        <f t="array" ref="M12">AVERAGE(_xlfn._xlws.FILTER($F$1:$F$100,$G$1:$G$100 = 0))</f>
        <v>13.78494623655914</v>
      </c>
      <c r="N12" s="9"/>
      <c r="O12" s="9" cm="1">
        <f t="array" ref="O12">AVERAGE(_xlfn._xlws.FILTER($F$1:$F$100,$G$1:$G$100 = 1))</f>
        <v>31.714285714285715</v>
      </c>
      <c r="P12" s="13"/>
      <c r="Q12"/>
    </row>
    <row r="13" spans="1:17" x14ac:dyDescent="0.3">
      <c r="A13" s="1">
        <v>2</v>
      </c>
      <c r="B13" s="1">
        <v>0</v>
      </c>
      <c r="C13" s="1" t="s">
        <v>0</v>
      </c>
      <c r="D13" s="1">
        <v>58</v>
      </c>
      <c r="E13" s="1" t="s">
        <v>4</v>
      </c>
      <c r="F13" s="1">
        <v>13</v>
      </c>
      <c r="G13" s="1">
        <v>0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0</v>
      </c>
      <c r="D14" s="1">
        <v>23</v>
      </c>
      <c r="E14" s="1" t="s">
        <v>4</v>
      </c>
      <c r="F14" s="1">
        <v>28</v>
      </c>
      <c r="G14" s="1">
        <v>1</v>
      </c>
      <c r="I14" s="22" t="s">
        <v>17</v>
      </c>
      <c r="J14" s="11"/>
      <c r="K14" s="23" cm="1">
        <f t="array" ref="K14">AVERAGE($D$1:$D$100 - $F$1:$F$100)</f>
        <v>23.52</v>
      </c>
      <c r="L14" s="23"/>
      <c r="M14" s="23" cm="1">
        <f t="array" ref="M14">AVERAGE(_xlfn._xlws.FILTER($D$1:$D$100 - $F$1:$F$100, G$1:G$100 = 0))</f>
        <v>25.602150537634408</v>
      </c>
      <c r="N14" s="23"/>
      <c r="O14" s="23" cm="1">
        <f t="array" ref="O14">AVERAGE(_xlfn._xlws.FILTER($D$1:$D$100 - $F$1:$F$100, G$1:G$100 = 1))</f>
        <v>-4.1428571428571432</v>
      </c>
      <c r="P14" s="24"/>
      <c r="Q14"/>
    </row>
    <row r="15" spans="1:17" x14ac:dyDescent="0.3">
      <c r="A15" s="1">
        <v>2</v>
      </c>
      <c r="B15" s="1">
        <v>0</v>
      </c>
      <c r="C15" s="1" t="s">
        <v>0</v>
      </c>
      <c r="D15" s="1">
        <v>46</v>
      </c>
      <c r="E15" s="1" t="s">
        <v>4</v>
      </c>
      <c r="F15" s="1">
        <v>5</v>
      </c>
      <c r="G15" s="1">
        <v>0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0</v>
      </c>
      <c r="D16" s="1">
        <v>29</v>
      </c>
      <c r="E16" s="1" t="s">
        <v>4</v>
      </c>
      <c r="F16" s="1">
        <v>12</v>
      </c>
      <c r="G16" s="1">
        <v>0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0</v>
      </c>
      <c r="D17" s="1">
        <v>26</v>
      </c>
      <c r="E17" s="1" t="s">
        <v>4</v>
      </c>
      <c r="F17" s="1">
        <v>5</v>
      </c>
      <c r="G17" s="1">
        <v>0</v>
      </c>
    </row>
    <row r="18" spans="1:7" x14ac:dyDescent="0.3">
      <c r="A18" s="1">
        <v>2</v>
      </c>
      <c r="B18" s="1">
        <v>0</v>
      </c>
      <c r="C18" s="1" t="s">
        <v>0</v>
      </c>
      <c r="D18" s="1">
        <v>57</v>
      </c>
      <c r="E18" s="1" t="s">
        <v>4</v>
      </c>
      <c r="F18" s="1">
        <v>30</v>
      </c>
      <c r="G18" s="1">
        <v>0</v>
      </c>
    </row>
    <row r="19" spans="1:7" x14ac:dyDescent="0.3">
      <c r="A19" s="1">
        <v>2</v>
      </c>
      <c r="B19" s="1">
        <v>0</v>
      </c>
      <c r="C19" s="1" t="s">
        <v>0</v>
      </c>
      <c r="D19" s="1">
        <v>37</v>
      </c>
      <c r="E19" s="1" t="s">
        <v>4</v>
      </c>
      <c r="F19" s="1">
        <v>3</v>
      </c>
      <c r="G19" s="1">
        <v>0</v>
      </c>
    </row>
    <row r="20" spans="1:7" x14ac:dyDescent="0.3">
      <c r="A20" s="1">
        <v>2</v>
      </c>
      <c r="B20" s="1">
        <v>0</v>
      </c>
      <c r="C20" s="1" t="s">
        <v>0</v>
      </c>
      <c r="D20" s="1">
        <v>27</v>
      </c>
      <c r="E20" s="1" t="s">
        <v>4</v>
      </c>
      <c r="F20" s="1">
        <v>15</v>
      </c>
      <c r="G20" s="1">
        <v>0</v>
      </c>
    </row>
    <row r="21" spans="1:7" x14ac:dyDescent="0.3">
      <c r="A21" s="1">
        <v>2</v>
      </c>
      <c r="B21" s="1">
        <v>0</v>
      </c>
      <c r="C21" s="1" t="s">
        <v>0</v>
      </c>
      <c r="D21" s="1">
        <v>37</v>
      </c>
      <c r="E21" s="1" t="s">
        <v>4</v>
      </c>
      <c r="F21" s="1">
        <v>11</v>
      </c>
      <c r="G21" s="1">
        <v>0</v>
      </c>
    </row>
    <row r="22" spans="1:7" x14ac:dyDescent="0.3">
      <c r="A22" s="1">
        <v>2</v>
      </c>
      <c r="B22" s="1">
        <v>0</v>
      </c>
      <c r="C22" s="1" t="s">
        <v>0</v>
      </c>
      <c r="D22" s="1">
        <v>90</v>
      </c>
      <c r="E22" s="1" t="s">
        <v>4</v>
      </c>
      <c r="F22" s="1">
        <v>27</v>
      </c>
      <c r="G22" s="1">
        <v>0</v>
      </c>
    </row>
    <row r="23" spans="1:7" x14ac:dyDescent="0.3">
      <c r="A23" s="1">
        <v>2</v>
      </c>
      <c r="B23" s="1">
        <v>0</v>
      </c>
      <c r="C23" s="1" t="s">
        <v>0</v>
      </c>
      <c r="D23" s="1">
        <v>48</v>
      </c>
      <c r="E23" s="1" t="s">
        <v>4</v>
      </c>
      <c r="F23" s="1">
        <v>4</v>
      </c>
      <c r="G23" s="1">
        <v>0</v>
      </c>
    </row>
    <row r="24" spans="1:7" x14ac:dyDescent="0.3">
      <c r="A24" s="1">
        <v>2</v>
      </c>
      <c r="B24" s="1">
        <v>0</v>
      </c>
      <c r="C24" s="1" t="s">
        <v>0</v>
      </c>
      <c r="D24" s="1">
        <v>33</v>
      </c>
      <c r="E24" s="1" t="s">
        <v>4</v>
      </c>
      <c r="F24" s="1">
        <v>0</v>
      </c>
      <c r="G24" s="1">
        <v>0</v>
      </c>
    </row>
    <row r="25" spans="1:7" x14ac:dyDescent="0.3">
      <c r="A25" s="1">
        <v>2</v>
      </c>
      <c r="B25" s="1">
        <v>0</v>
      </c>
      <c r="C25" s="1" t="s">
        <v>0</v>
      </c>
      <c r="D25" s="1">
        <v>38</v>
      </c>
      <c r="E25" s="1" t="s">
        <v>4</v>
      </c>
      <c r="F25" s="1">
        <v>24</v>
      </c>
      <c r="G25" s="1">
        <v>0</v>
      </c>
    </row>
    <row r="26" spans="1:7" x14ac:dyDescent="0.3">
      <c r="A26" s="1">
        <v>2</v>
      </c>
      <c r="B26" s="1">
        <v>0</v>
      </c>
      <c r="C26" s="1" t="s">
        <v>0</v>
      </c>
      <c r="D26" s="1">
        <v>56</v>
      </c>
      <c r="E26" s="1" t="s">
        <v>4</v>
      </c>
      <c r="F26" s="1">
        <v>0</v>
      </c>
      <c r="G26" s="1">
        <v>0</v>
      </c>
    </row>
    <row r="27" spans="1:7" x14ac:dyDescent="0.3">
      <c r="A27" s="1">
        <v>2</v>
      </c>
      <c r="B27" s="1">
        <v>0</v>
      </c>
      <c r="C27" s="1" t="s">
        <v>0</v>
      </c>
      <c r="D27" s="1">
        <v>23</v>
      </c>
      <c r="E27" s="1" t="s">
        <v>4</v>
      </c>
      <c r="F27" s="1">
        <v>2</v>
      </c>
      <c r="G27" s="1">
        <v>0</v>
      </c>
    </row>
    <row r="28" spans="1:7" x14ac:dyDescent="0.3">
      <c r="A28" s="1">
        <v>2</v>
      </c>
      <c r="B28" s="1">
        <v>0</v>
      </c>
      <c r="C28" s="1" t="s">
        <v>0</v>
      </c>
      <c r="D28" s="1">
        <v>35</v>
      </c>
      <c r="E28" s="1" t="s">
        <v>4</v>
      </c>
      <c r="F28" s="1">
        <v>27</v>
      </c>
      <c r="G28" s="1">
        <v>0</v>
      </c>
    </row>
    <row r="29" spans="1:7" x14ac:dyDescent="0.3">
      <c r="A29" s="1">
        <v>2</v>
      </c>
      <c r="B29" s="1">
        <v>0</v>
      </c>
      <c r="C29" s="1" t="s">
        <v>0</v>
      </c>
      <c r="D29" s="1">
        <v>37</v>
      </c>
      <c r="E29" s="1" t="s">
        <v>4</v>
      </c>
      <c r="F29" s="1">
        <v>14</v>
      </c>
      <c r="G29" s="1">
        <v>0</v>
      </c>
    </row>
    <row r="30" spans="1:7" x14ac:dyDescent="0.3">
      <c r="A30" s="1">
        <v>2</v>
      </c>
      <c r="B30" s="1">
        <v>0</v>
      </c>
      <c r="C30" s="1" t="s">
        <v>0</v>
      </c>
      <c r="D30" s="1">
        <v>57</v>
      </c>
      <c r="E30" s="1" t="s">
        <v>4</v>
      </c>
      <c r="F30" s="1">
        <v>0</v>
      </c>
      <c r="G30" s="1">
        <v>0</v>
      </c>
    </row>
    <row r="31" spans="1:7" x14ac:dyDescent="0.3">
      <c r="A31" s="1">
        <v>2</v>
      </c>
      <c r="B31" s="1">
        <v>0</v>
      </c>
      <c r="C31" s="1" t="s">
        <v>0</v>
      </c>
      <c r="D31" s="1">
        <v>33</v>
      </c>
      <c r="E31" s="1" t="s">
        <v>4</v>
      </c>
      <c r="F31" s="1">
        <v>2</v>
      </c>
      <c r="G31" s="1">
        <v>0</v>
      </c>
    </row>
    <row r="32" spans="1:7" x14ac:dyDescent="0.3">
      <c r="A32" s="1">
        <v>2</v>
      </c>
      <c r="B32" s="1">
        <v>0</v>
      </c>
      <c r="C32" s="1" t="s">
        <v>0</v>
      </c>
      <c r="D32" s="1">
        <v>42</v>
      </c>
      <c r="E32" s="1" t="s">
        <v>4</v>
      </c>
      <c r="F32" s="1">
        <v>27</v>
      </c>
      <c r="G32" s="1">
        <v>0</v>
      </c>
    </row>
    <row r="33" spans="1:7" x14ac:dyDescent="0.3">
      <c r="A33" s="1">
        <v>2</v>
      </c>
      <c r="B33" s="1">
        <v>0</v>
      </c>
      <c r="C33" s="1" t="s">
        <v>0</v>
      </c>
      <c r="D33" s="1">
        <v>44</v>
      </c>
      <c r="E33" s="1" t="s">
        <v>4</v>
      </c>
      <c r="F33" s="1">
        <v>16</v>
      </c>
      <c r="G33" s="1">
        <v>0</v>
      </c>
    </row>
    <row r="34" spans="1:7" x14ac:dyDescent="0.3">
      <c r="A34" s="1">
        <v>2</v>
      </c>
      <c r="B34" s="1">
        <v>0</v>
      </c>
      <c r="C34" s="1" t="s">
        <v>0</v>
      </c>
      <c r="D34" s="1">
        <v>30</v>
      </c>
      <c r="E34" s="1" t="s">
        <v>4</v>
      </c>
      <c r="F34" s="1">
        <v>21</v>
      </c>
      <c r="G34" s="1">
        <v>0</v>
      </c>
    </row>
    <row r="35" spans="1:7" x14ac:dyDescent="0.3">
      <c r="A35" s="1">
        <v>2</v>
      </c>
      <c r="B35" s="1">
        <v>0</v>
      </c>
      <c r="C35" s="1" t="s">
        <v>0</v>
      </c>
      <c r="D35" s="1">
        <v>42</v>
      </c>
      <c r="E35" s="1" t="s">
        <v>4</v>
      </c>
      <c r="F35" s="1">
        <v>9</v>
      </c>
      <c r="G35" s="1">
        <v>0</v>
      </c>
    </row>
    <row r="36" spans="1:7" x14ac:dyDescent="0.3">
      <c r="A36" s="1">
        <v>2</v>
      </c>
      <c r="B36" s="1">
        <v>0</v>
      </c>
      <c r="C36" s="1" t="s">
        <v>0</v>
      </c>
      <c r="D36" s="1">
        <v>20</v>
      </c>
      <c r="E36" s="1" t="s">
        <v>4</v>
      </c>
      <c r="F36" s="1">
        <v>2</v>
      </c>
      <c r="G36" s="1">
        <v>0</v>
      </c>
    </row>
    <row r="37" spans="1:7" x14ac:dyDescent="0.3">
      <c r="A37" s="1">
        <v>2</v>
      </c>
      <c r="B37" s="1">
        <v>0</v>
      </c>
      <c r="C37" s="1" t="s">
        <v>0</v>
      </c>
      <c r="D37" s="1">
        <v>30</v>
      </c>
      <c r="E37" s="1" t="s">
        <v>4</v>
      </c>
      <c r="F37" s="1">
        <v>2</v>
      </c>
      <c r="G37" s="1">
        <v>0</v>
      </c>
    </row>
    <row r="38" spans="1:7" x14ac:dyDescent="0.3">
      <c r="A38" s="1">
        <v>2</v>
      </c>
      <c r="B38" s="1">
        <v>0</v>
      </c>
      <c r="C38" s="1" t="s">
        <v>0</v>
      </c>
      <c r="D38" s="1">
        <v>36</v>
      </c>
      <c r="E38" s="1" t="s">
        <v>4</v>
      </c>
      <c r="F38" s="1">
        <v>12</v>
      </c>
      <c r="G38" s="1">
        <v>0</v>
      </c>
    </row>
    <row r="39" spans="1:7" x14ac:dyDescent="0.3">
      <c r="A39" s="1">
        <v>2</v>
      </c>
      <c r="B39" s="1">
        <v>0</v>
      </c>
      <c r="C39" s="1" t="s">
        <v>0</v>
      </c>
      <c r="D39" s="1">
        <v>56</v>
      </c>
      <c r="E39" s="1" t="s">
        <v>4</v>
      </c>
      <c r="F39" s="1">
        <v>17</v>
      </c>
      <c r="G39" s="1">
        <v>0</v>
      </c>
    </row>
    <row r="40" spans="1:7" x14ac:dyDescent="0.3">
      <c r="A40" s="1">
        <v>2</v>
      </c>
      <c r="B40" s="1">
        <v>0</v>
      </c>
      <c r="C40" s="1" t="s">
        <v>0</v>
      </c>
      <c r="D40" s="1">
        <v>16</v>
      </c>
      <c r="E40" s="1" t="s">
        <v>4</v>
      </c>
      <c r="F40" s="1">
        <v>16</v>
      </c>
      <c r="G40" s="1">
        <v>0</v>
      </c>
    </row>
    <row r="41" spans="1:7" x14ac:dyDescent="0.3">
      <c r="A41" s="1">
        <v>2</v>
      </c>
      <c r="B41" s="1">
        <v>0</v>
      </c>
      <c r="C41" s="1" t="s">
        <v>0</v>
      </c>
      <c r="D41" s="1">
        <v>40</v>
      </c>
      <c r="E41" s="1" t="s">
        <v>4</v>
      </c>
      <c r="F41" s="1">
        <v>2</v>
      </c>
      <c r="G41" s="1">
        <v>0</v>
      </c>
    </row>
    <row r="42" spans="1:7" x14ac:dyDescent="0.3">
      <c r="A42" s="1">
        <v>2</v>
      </c>
      <c r="B42" s="1">
        <v>0</v>
      </c>
      <c r="C42" s="1" t="s">
        <v>0</v>
      </c>
      <c r="D42" s="1">
        <v>42</v>
      </c>
      <c r="E42" s="1" t="s">
        <v>4</v>
      </c>
      <c r="F42" s="1">
        <v>9</v>
      </c>
      <c r="G42" s="1">
        <v>0</v>
      </c>
    </row>
    <row r="43" spans="1:7" x14ac:dyDescent="0.3">
      <c r="A43" s="1">
        <v>2</v>
      </c>
      <c r="B43" s="1">
        <v>0</v>
      </c>
      <c r="C43" s="1" t="s">
        <v>0</v>
      </c>
      <c r="D43" s="1">
        <v>16</v>
      </c>
      <c r="E43" s="1" t="s">
        <v>4</v>
      </c>
      <c r="F43" s="1">
        <v>5</v>
      </c>
      <c r="G43" s="1">
        <v>0</v>
      </c>
    </row>
    <row r="44" spans="1:7" x14ac:dyDescent="0.3">
      <c r="A44" s="1">
        <v>2</v>
      </c>
      <c r="B44" s="1">
        <v>0</v>
      </c>
      <c r="C44" s="1" t="s">
        <v>0</v>
      </c>
      <c r="D44" s="1">
        <v>47</v>
      </c>
      <c r="E44" s="1" t="s">
        <v>4</v>
      </c>
      <c r="F44" s="1">
        <v>16</v>
      </c>
      <c r="G44" s="1">
        <v>0</v>
      </c>
    </row>
    <row r="45" spans="1:7" x14ac:dyDescent="0.3">
      <c r="A45" s="1">
        <v>2</v>
      </c>
      <c r="B45" s="1">
        <v>0</v>
      </c>
      <c r="C45" s="1" t="s">
        <v>0</v>
      </c>
      <c r="D45" s="1">
        <v>29</v>
      </c>
      <c r="E45" s="1" t="s">
        <v>4</v>
      </c>
      <c r="F45" s="1">
        <v>3</v>
      </c>
      <c r="G45" s="1">
        <v>0</v>
      </c>
    </row>
    <row r="46" spans="1:7" x14ac:dyDescent="0.3">
      <c r="A46" s="1">
        <v>2</v>
      </c>
      <c r="B46" s="1">
        <v>0</v>
      </c>
      <c r="C46" s="1" t="s">
        <v>0</v>
      </c>
      <c r="D46" s="1">
        <v>82</v>
      </c>
      <c r="E46" s="1" t="s">
        <v>4</v>
      </c>
      <c r="F46" s="1">
        <v>22</v>
      </c>
      <c r="G46" s="1">
        <v>0</v>
      </c>
    </row>
    <row r="47" spans="1:7" x14ac:dyDescent="0.3">
      <c r="A47" s="1">
        <v>2</v>
      </c>
      <c r="B47" s="1">
        <v>0</v>
      </c>
      <c r="C47" s="1" t="s">
        <v>0</v>
      </c>
      <c r="D47" s="1">
        <v>43</v>
      </c>
      <c r="E47" s="1" t="s">
        <v>4</v>
      </c>
      <c r="F47" s="1">
        <v>23</v>
      </c>
      <c r="G47" s="1">
        <v>0</v>
      </c>
    </row>
    <row r="48" spans="1:7" x14ac:dyDescent="0.3">
      <c r="A48" s="1">
        <v>2</v>
      </c>
      <c r="B48" s="1">
        <v>0</v>
      </c>
      <c r="C48" s="1" t="s">
        <v>0</v>
      </c>
      <c r="D48" s="1">
        <v>54</v>
      </c>
      <c r="E48" s="1" t="s">
        <v>4</v>
      </c>
      <c r="F48" s="1">
        <v>4</v>
      </c>
      <c r="G48" s="1">
        <v>0</v>
      </c>
    </row>
    <row r="49" spans="1:7" x14ac:dyDescent="0.3">
      <c r="A49" s="1">
        <v>2</v>
      </c>
      <c r="B49" s="1">
        <v>0</v>
      </c>
      <c r="C49" s="1" t="s">
        <v>0</v>
      </c>
      <c r="D49" s="1">
        <v>50</v>
      </c>
      <c r="E49" s="1" t="s">
        <v>4</v>
      </c>
      <c r="F49" s="1">
        <v>2</v>
      </c>
      <c r="G49" s="1">
        <v>0</v>
      </c>
    </row>
    <row r="50" spans="1:7" x14ac:dyDescent="0.3">
      <c r="A50" s="1">
        <v>2</v>
      </c>
      <c r="B50" s="1">
        <v>0</v>
      </c>
      <c r="C50" s="1" t="s">
        <v>0</v>
      </c>
      <c r="D50" s="1">
        <v>52</v>
      </c>
      <c r="E50" s="1" t="s">
        <v>4</v>
      </c>
      <c r="F50" s="1">
        <v>20</v>
      </c>
      <c r="G50" s="1">
        <v>0</v>
      </c>
    </row>
    <row r="51" spans="1:7" x14ac:dyDescent="0.3">
      <c r="A51" s="1">
        <v>2</v>
      </c>
      <c r="B51" s="1">
        <v>1</v>
      </c>
      <c r="C51" s="1" t="s">
        <v>0</v>
      </c>
      <c r="D51" s="1">
        <v>40</v>
      </c>
      <c r="E51" s="1" t="s">
        <v>4</v>
      </c>
      <c r="F51" s="1">
        <v>32</v>
      </c>
      <c r="G51" s="1">
        <v>0</v>
      </c>
    </row>
    <row r="52" spans="1:7" x14ac:dyDescent="0.3">
      <c r="A52" s="1">
        <v>2</v>
      </c>
      <c r="B52" s="1">
        <v>1</v>
      </c>
      <c r="C52" s="1" t="s">
        <v>0</v>
      </c>
      <c r="D52" s="1">
        <v>26</v>
      </c>
      <c r="E52" s="1" t="s">
        <v>4</v>
      </c>
      <c r="F52" s="1">
        <v>29</v>
      </c>
      <c r="G52" s="1">
        <v>1</v>
      </c>
    </row>
    <row r="53" spans="1:7" x14ac:dyDescent="0.3">
      <c r="A53" s="1">
        <v>2</v>
      </c>
      <c r="B53" s="1">
        <v>1</v>
      </c>
      <c r="C53" s="1" t="s">
        <v>0</v>
      </c>
      <c r="D53" s="1">
        <v>11</v>
      </c>
      <c r="E53" s="1" t="s">
        <v>4</v>
      </c>
      <c r="F53" s="1">
        <v>0</v>
      </c>
      <c r="G53" s="1">
        <v>0</v>
      </c>
    </row>
    <row r="54" spans="1:7" x14ac:dyDescent="0.3">
      <c r="A54" s="1">
        <v>2</v>
      </c>
      <c r="B54" s="1">
        <v>1</v>
      </c>
      <c r="C54" s="1" t="s">
        <v>0</v>
      </c>
      <c r="D54" s="1">
        <v>27</v>
      </c>
      <c r="E54" s="1" t="s">
        <v>4</v>
      </c>
      <c r="F54" s="1">
        <v>18</v>
      </c>
      <c r="G54" s="1">
        <v>0</v>
      </c>
    </row>
    <row r="55" spans="1:7" x14ac:dyDescent="0.3">
      <c r="A55" s="1">
        <v>2</v>
      </c>
      <c r="B55" s="1">
        <v>1</v>
      </c>
      <c r="C55" s="1" t="s">
        <v>0</v>
      </c>
      <c r="D55" s="1">
        <v>39</v>
      </c>
      <c r="E55" s="1" t="s">
        <v>4</v>
      </c>
      <c r="F55" s="1">
        <v>43</v>
      </c>
      <c r="G55" s="1">
        <v>1</v>
      </c>
    </row>
    <row r="56" spans="1:7" x14ac:dyDescent="0.3">
      <c r="A56" s="1">
        <v>2</v>
      </c>
      <c r="B56" s="1">
        <v>1</v>
      </c>
      <c r="C56" s="1" t="s">
        <v>0</v>
      </c>
      <c r="D56" s="1">
        <v>25</v>
      </c>
      <c r="E56" s="1" t="s">
        <v>4</v>
      </c>
      <c r="F56" s="1">
        <v>24</v>
      </c>
      <c r="G56" s="1">
        <v>0</v>
      </c>
    </row>
    <row r="57" spans="1:7" x14ac:dyDescent="0.3">
      <c r="A57" s="1">
        <v>2</v>
      </c>
      <c r="B57" s="1">
        <v>1</v>
      </c>
      <c r="C57" s="1" t="s">
        <v>0</v>
      </c>
      <c r="D57" s="1">
        <v>18</v>
      </c>
      <c r="E57" s="1" t="s">
        <v>4</v>
      </c>
      <c r="F57" s="1">
        <v>16</v>
      </c>
      <c r="G57" s="1">
        <v>0</v>
      </c>
    </row>
    <row r="58" spans="1:7" x14ac:dyDescent="0.3">
      <c r="A58" s="1">
        <v>2</v>
      </c>
      <c r="B58" s="1">
        <v>1</v>
      </c>
      <c r="C58" s="1" t="s">
        <v>0</v>
      </c>
      <c r="D58" s="1">
        <v>27</v>
      </c>
      <c r="E58" s="1" t="s">
        <v>4</v>
      </c>
      <c r="F58" s="1">
        <v>22</v>
      </c>
      <c r="G58" s="1">
        <v>0</v>
      </c>
    </row>
    <row r="59" spans="1:7" x14ac:dyDescent="0.3">
      <c r="A59" s="1">
        <v>2</v>
      </c>
      <c r="B59" s="1">
        <v>1</v>
      </c>
      <c r="C59" s="1" t="s">
        <v>0</v>
      </c>
      <c r="D59" s="1">
        <v>29</v>
      </c>
      <c r="E59" s="1" t="s">
        <v>4</v>
      </c>
      <c r="F59" s="1">
        <v>3</v>
      </c>
      <c r="G59" s="1">
        <v>0</v>
      </c>
    </row>
    <row r="60" spans="1:7" x14ac:dyDescent="0.3">
      <c r="A60" s="1">
        <v>2</v>
      </c>
      <c r="B60" s="1">
        <v>1</v>
      </c>
      <c r="C60" s="1" t="s">
        <v>0</v>
      </c>
      <c r="D60" s="1">
        <v>20</v>
      </c>
      <c r="E60" s="1" t="s">
        <v>4</v>
      </c>
      <c r="F60" s="1">
        <v>19</v>
      </c>
      <c r="G60" s="1">
        <v>0</v>
      </c>
    </row>
    <row r="61" spans="1:7" x14ac:dyDescent="0.3">
      <c r="A61" s="1">
        <v>2</v>
      </c>
      <c r="B61" s="1">
        <v>1</v>
      </c>
      <c r="C61" s="1" t="s">
        <v>0</v>
      </c>
      <c r="D61" s="1">
        <v>13</v>
      </c>
      <c r="E61" s="1" t="s">
        <v>4</v>
      </c>
      <c r="F61" s="1">
        <v>2</v>
      </c>
      <c r="G61" s="1">
        <v>0</v>
      </c>
    </row>
    <row r="62" spans="1:7" x14ac:dyDescent="0.3">
      <c r="A62" s="1">
        <v>2</v>
      </c>
      <c r="B62" s="1">
        <v>1</v>
      </c>
      <c r="C62" s="1" t="s">
        <v>0</v>
      </c>
      <c r="D62" s="1">
        <v>52</v>
      </c>
      <c r="E62" s="1" t="s">
        <v>4</v>
      </c>
      <c r="F62" s="1">
        <v>9</v>
      </c>
      <c r="G62" s="1">
        <v>0</v>
      </c>
    </row>
    <row r="63" spans="1:7" x14ac:dyDescent="0.3">
      <c r="A63" s="1">
        <v>2</v>
      </c>
      <c r="B63" s="1">
        <v>1</v>
      </c>
      <c r="C63" s="1" t="s">
        <v>0</v>
      </c>
      <c r="D63" s="1">
        <v>47</v>
      </c>
      <c r="E63" s="1" t="s">
        <v>4</v>
      </c>
      <c r="F63" s="1">
        <v>7</v>
      </c>
      <c r="G63" s="1">
        <v>0</v>
      </c>
    </row>
    <row r="64" spans="1:7" x14ac:dyDescent="0.3">
      <c r="A64" s="1">
        <v>2</v>
      </c>
      <c r="B64" s="1">
        <v>1</v>
      </c>
      <c r="C64" s="1" t="s">
        <v>0</v>
      </c>
      <c r="D64" s="1">
        <v>57</v>
      </c>
      <c r="E64" s="1" t="s">
        <v>4</v>
      </c>
      <c r="F64" s="1">
        <v>28</v>
      </c>
      <c r="G64" s="1">
        <v>0</v>
      </c>
    </row>
    <row r="65" spans="1:7" x14ac:dyDescent="0.3">
      <c r="A65" s="1">
        <v>2</v>
      </c>
      <c r="B65" s="1">
        <v>1</v>
      </c>
      <c r="C65" s="1" t="s">
        <v>0</v>
      </c>
      <c r="D65" s="1">
        <v>77</v>
      </c>
      <c r="E65" s="1" t="s">
        <v>4</v>
      </c>
      <c r="F65" s="1">
        <v>17</v>
      </c>
      <c r="G65" s="1">
        <v>0</v>
      </c>
    </row>
    <row r="66" spans="1:7" x14ac:dyDescent="0.3">
      <c r="A66" s="1">
        <v>2</v>
      </c>
      <c r="B66" s="1">
        <v>1</v>
      </c>
      <c r="C66" s="1" t="s">
        <v>0</v>
      </c>
      <c r="D66" s="1">
        <v>28</v>
      </c>
      <c r="E66" s="1" t="s">
        <v>4</v>
      </c>
      <c r="F66" s="1">
        <v>21</v>
      </c>
      <c r="G66" s="1">
        <v>0</v>
      </c>
    </row>
    <row r="67" spans="1:7" x14ac:dyDescent="0.3">
      <c r="A67" s="1">
        <v>2</v>
      </c>
      <c r="B67" s="1">
        <v>1</v>
      </c>
      <c r="C67" s="1" t="s">
        <v>0</v>
      </c>
      <c r="D67" s="1">
        <v>48</v>
      </c>
      <c r="E67" s="1" t="s">
        <v>4</v>
      </c>
      <c r="F67" s="1">
        <v>10</v>
      </c>
      <c r="G67" s="1">
        <v>0</v>
      </c>
    </row>
    <row r="68" spans="1:7" x14ac:dyDescent="0.3">
      <c r="A68" s="1">
        <v>2</v>
      </c>
      <c r="B68" s="1">
        <v>1</v>
      </c>
      <c r="C68" s="1" t="s">
        <v>0</v>
      </c>
      <c r="D68" s="1">
        <v>39</v>
      </c>
      <c r="E68" s="1" t="s">
        <v>4</v>
      </c>
      <c r="F68" s="1">
        <v>5</v>
      </c>
      <c r="G68" s="1">
        <v>0</v>
      </c>
    </row>
    <row r="69" spans="1:7" x14ac:dyDescent="0.3">
      <c r="A69" s="1">
        <v>2</v>
      </c>
      <c r="B69" s="1">
        <v>1</v>
      </c>
      <c r="C69" s="1" t="s">
        <v>0</v>
      </c>
      <c r="D69" s="1">
        <v>47</v>
      </c>
      <c r="E69" s="1" t="s">
        <v>4</v>
      </c>
      <c r="F69" s="1">
        <v>20</v>
      </c>
      <c r="G69" s="1">
        <v>0</v>
      </c>
    </row>
    <row r="70" spans="1:7" x14ac:dyDescent="0.3">
      <c r="A70" s="1">
        <v>2</v>
      </c>
      <c r="B70" s="1">
        <v>1</v>
      </c>
      <c r="C70" s="1" t="s">
        <v>0</v>
      </c>
      <c r="D70" s="1">
        <v>32</v>
      </c>
      <c r="E70" s="1" t="s">
        <v>4</v>
      </c>
      <c r="F70" s="1">
        <v>12</v>
      </c>
      <c r="G70" s="1">
        <v>0</v>
      </c>
    </row>
    <row r="71" spans="1:7" x14ac:dyDescent="0.3">
      <c r="A71" s="1">
        <v>2</v>
      </c>
      <c r="B71" s="1">
        <v>1</v>
      </c>
      <c r="C71" s="1" t="s">
        <v>0</v>
      </c>
      <c r="D71" s="1">
        <v>22</v>
      </c>
      <c r="E71" s="1" t="s">
        <v>4</v>
      </c>
      <c r="F71" s="1">
        <v>14</v>
      </c>
      <c r="G71" s="1">
        <v>0</v>
      </c>
    </row>
    <row r="72" spans="1:7" x14ac:dyDescent="0.3">
      <c r="A72" s="1">
        <v>2</v>
      </c>
      <c r="B72" s="1">
        <v>1</v>
      </c>
      <c r="C72" s="1" t="s">
        <v>0</v>
      </c>
      <c r="D72" s="1">
        <v>42</v>
      </c>
      <c r="E72" s="1" t="s">
        <v>4</v>
      </c>
      <c r="F72" s="1">
        <v>29</v>
      </c>
      <c r="G72" s="1">
        <v>0</v>
      </c>
    </row>
    <row r="73" spans="1:7" x14ac:dyDescent="0.3">
      <c r="A73" s="1">
        <v>2</v>
      </c>
      <c r="B73" s="1">
        <v>1</v>
      </c>
      <c r="C73" s="1" t="s">
        <v>0</v>
      </c>
      <c r="D73" s="1">
        <v>41</v>
      </c>
      <c r="E73" s="1" t="s">
        <v>4</v>
      </c>
      <c r="F73" s="1">
        <v>26</v>
      </c>
      <c r="G73" s="1">
        <v>0</v>
      </c>
    </row>
    <row r="74" spans="1:7" x14ac:dyDescent="0.3">
      <c r="A74" s="1">
        <v>2</v>
      </c>
      <c r="B74" s="1">
        <v>1</v>
      </c>
      <c r="C74" s="1" t="s">
        <v>0</v>
      </c>
      <c r="D74" s="1">
        <v>53</v>
      </c>
      <c r="E74" s="1" t="s">
        <v>4</v>
      </c>
      <c r="F74" s="1">
        <v>29</v>
      </c>
      <c r="G74" s="1">
        <v>0</v>
      </c>
    </row>
    <row r="75" spans="1:7" x14ac:dyDescent="0.3">
      <c r="A75" s="1">
        <v>2</v>
      </c>
      <c r="B75" s="1">
        <v>1</v>
      </c>
      <c r="C75" s="1" t="s">
        <v>0</v>
      </c>
      <c r="D75" s="1">
        <v>34</v>
      </c>
      <c r="E75" s="1" t="s">
        <v>4</v>
      </c>
      <c r="F75" s="1">
        <v>2</v>
      </c>
      <c r="G75" s="1">
        <v>0</v>
      </c>
    </row>
    <row r="76" spans="1:7" x14ac:dyDescent="0.3">
      <c r="A76" s="1">
        <v>2</v>
      </c>
      <c r="B76" s="1">
        <v>1</v>
      </c>
      <c r="C76" s="1" t="s">
        <v>0</v>
      </c>
      <c r="D76" s="1">
        <v>16</v>
      </c>
      <c r="E76" s="1" t="s">
        <v>4</v>
      </c>
      <c r="F76" s="1">
        <v>5</v>
      </c>
      <c r="G76" s="1">
        <v>0</v>
      </c>
    </row>
    <row r="77" spans="1:7" x14ac:dyDescent="0.3">
      <c r="A77" s="1">
        <v>2</v>
      </c>
      <c r="B77" s="1">
        <v>1</v>
      </c>
      <c r="C77" s="1" t="s">
        <v>0</v>
      </c>
      <c r="D77" s="1">
        <v>41</v>
      </c>
      <c r="E77" s="1" t="s">
        <v>4</v>
      </c>
      <c r="F77" s="1">
        <v>27</v>
      </c>
      <c r="G77" s="1">
        <v>0</v>
      </c>
    </row>
    <row r="78" spans="1:7" x14ac:dyDescent="0.3">
      <c r="A78" s="1">
        <v>2</v>
      </c>
      <c r="B78" s="1">
        <v>1</v>
      </c>
      <c r="C78" s="1" t="s">
        <v>0</v>
      </c>
      <c r="D78" s="1">
        <v>49</v>
      </c>
      <c r="E78" s="1" t="s">
        <v>4</v>
      </c>
      <c r="F78" s="1">
        <v>42</v>
      </c>
      <c r="G78" s="1">
        <v>0</v>
      </c>
    </row>
    <row r="79" spans="1:7" x14ac:dyDescent="0.3">
      <c r="A79" s="1">
        <v>2</v>
      </c>
      <c r="B79" s="1">
        <v>1</v>
      </c>
      <c r="C79" s="1" t="s">
        <v>0</v>
      </c>
      <c r="D79" s="1">
        <v>50</v>
      </c>
      <c r="E79" s="1" t="s">
        <v>4</v>
      </c>
      <c r="F79" s="1">
        <v>34</v>
      </c>
      <c r="G79" s="1">
        <v>0</v>
      </c>
    </row>
    <row r="80" spans="1:7" x14ac:dyDescent="0.3">
      <c r="A80" s="1">
        <v>2</v>
      </c>
      <c r="B80" s="1">
        <v>1</v>
      </c>
      <c r="C80" s="1" t="s">
        <v>0</v>
      </c>
      <c r="D80" s="1">
        <v>45</v>
      </c>
      <c r="E80" s="1" t="s">
        <v>4</v>
      </c>
      <c r="F80" s="1">
        <v>24</v>
      </c>
      <c r="G80" s="1">
        <v>0</v>
      </c>
    </row>
    <row r="81" spans="1:7" x14ac:dyDescent="0.3">
      <c r="A81" s="1">
        <v>2</v>
      </c>
      <c r="B81" s="1">
        <v>1</v>
      </c>
      <c r="C81" s="1" t="s">
        <v>0</v>
      </c>
      <c r="D81" s="1">
        <v>38</v>
      </c>
      <c r="E81" s="1" t="s">
        <v>4</v>
      </c>
      <c r="F81" s="1">
        <v>39</v>
      </c>
      <c r="G81" s="1">
        <v>1</v>
      </c>
    </row>
    <row r="82" spans="1:7" x14ac:dyDescent="0.3">
      <c r="A82" s="1">
        <v>2</v>
      </c>
      <c r="B82" s="1">
        <v>1</v>
      </c>
      <c r="C82" s="1" t="s">
        <v>0</v>
      </c>
      <c r="D82" s="1">
        <v>54</v>
      </c>
      <c r="E82" s="1" t="s">
        <v>4</v>
      </c>
      <c r="F82" s="1">
        <v>10</v>
      </c>
      <c r="G82" s="1">
        <v>0</v>
      </c>
    </row>
    <row r="83" spans="1:7" x14ac:dyDescent="0.3">
      <c r="A83" s="1">
        <v>2</v>
      </c>
      <c r="B83" s="1">
        <v>1</v>
      </c>
      <c r="C83" s="1" t="s">
        <v>0</v>
      </c>
      <c r="D83" s="1">
        <v>52</v>
      </c>
      <c r="E83" s="1" t="s">
        <v>4</v>
      </c>
      <c r="F83" s="1">
        <v>16</v>
      </c>
      <c r="G83" s="1">
        <v>0</v>
      </c>
    </row>
    <row r="84" spans="1:7" x14ac:dyDescent="0.3">
      <c r="A84" s="1">
        <v>2</v>
      </c>
      <c r="B84" s="1">
        <v>1</v>
      </c>
      <c r="C84" s="1" t="s">
        <v>0</v>
      </c>
      <c r="D84" s="1">
        <v>2</v>
      </c>
      <c r="E84" s="1" t="s">
        <v>4</v>
      </c>
      <c r="F84" s="1">
        <v>13</v>
      </c>
      <c r="G84" s="1">
        <v>1</v>
      </c>
    </row>
    <row r="85" spans="1:7" x14ac:dyDescent="0.3">
      <c r="A85" s="1">
        <v>2</v>
      </c>
      <c r="B85" s="1">
        <v>1</v>
      </c>
      <c r="C85" s="1" t="s">
        <v>0</v>
      </c>
      <c r="D85" s="1">
        <v>44</v>
      </c>
      <c r="E85" s="1" t="s">
        <v>4</v>
      </c>
      <c r="F85" s="1">
        <v>18</v>
      </c>
      <c r="G85" s="1">
        <v>0</v>
      </c>
    </row>
    <row r="86" spans="1:7" x14ac:dyDescent="0.3">
      <c r="A86" s="1">
        <v>2</v>
      </c>
      <c r="B86" s="1">
        <v>1</v>
      </c>
      <c r="C86" s="1" t="s">
        <v>0</v>
      </c>
      <c r="D86" s="1">
        <v>18</v>
      </c>
      <c r="E86" s="1" t="s">
        <v>4</v>
      </c>
      <c r="F86" s="1">
        <v>18</v>
      </c>
      <c r="G86" s="1">
        <v>0</v>
      </c>
    </row>
    <row r="87" spans="1:7" x14ac:dyDescent="0.3">
      <c r="A87" s="1">
        <v>2</v>
      </c>
      <c r="B87" s="1">
        <v>1</v>
      </c>
      <c r="C87" s="1" t="s">
        <v>0</v>
      </c>
      <c r="D87" s="1">
        <v>50</v>
      </c>
      <c r="E87" s="1" t="s">
        <v>4</v>
      </c>
      <c r="F87" s="1">
        <v>34</v>
      </c>
      <c r="G87" s="1">
        <v>0</v>
      </c>
    </row>
    <row r="88" spans="1:7" x14ac:dyDescent="0.3">
      <c r="A88" s="1">
        <v>2</v>
      </c>
      <c r="B88" s="1">
        <v>1</v>
      </c>
      <c r="C88" s="1" t="s">
        <v>0</v>
      </c>
      <c r="D88" s="1">
        <v>32</v>
      </c>
      <c r="E88" s="1" t="s">
        <v>4</v>
      </c>
      <c r="F88" s="1">
        <v>9</v>
      </c>
      <c r="G88" s="1">
        <v>0</v>
      </c>
    </row>
    <row r="89" spans="1:7" x14ac:dyDescent="0.3">
      <c r="A89" s="1">
        <v>2</v>
      </c>
      <c r="B89" s="1">
        <v>1</v>
      </c>
      <c r="C89" s="1" t="s">
        <v>0</v>
      </c>
      <c r="D89" s="1">
        <v>53</v>
      </c>
      <c r="E89" s="1" t="s">
        <v>4</v>
      </c>
      <c r="F89" s="1">
        <v>7</v>
      </c>
      <c r="G89" s="1">
        <v>0</v>
      </c>
    </row>
    <row r="90" spans="1:7" x14ac:dyDescent="0.3">
      <c r="A90" s="1">
        <v>2</v>
      </c>
      <c r="B90" s="1">
        <v>1</v>
      </c>
      <c r="C90" s="1" t="s">
        <v>0</v>
      </c>
      <c r="D90" s="1">
        <v>56</v>
      </c>
      <c r="E90" s="1" t="s">
        <v>4</v>
      </c>
      <c r="F90" s="1">
        <v>30</v>
      </c>
      <c r="G90" s="1">
        <v>0</v>
      </c>
    </row>
    <row r="91" spans="1:7" x14ac:dyDescent="0.3">
      <c r="A91" s="1">
        <v>2</v>
      </c>
      <c r="B91" s="1">
        <v>1</v>
      </c>
      <c r="C91" s="1" t="s">
        <v>0</v>
      </c>
      <c r="D91" s="1">
        <v>18</v>
      </c>
      <c r="E91" s="1" t="s">
        <v>4</v>
      </c>
      <c r="F91" s="1">
        <v>0</v>
      </c>
      <c r="G91" s="1">
        <v>0</v>
      </c>
    </row>
    <row r="92" spans="1:7" x14ac:dyDescent="0.3">
      <c r="A92" s="1">
        <v>2</v>
      </c>
      <c r="B92" s="1">
        <v>1</v>
      </c>
      <c r="C92" s="1" t="s">
        <v>0</v>
      </c>
      <c r="D92" s="1">
        <v>32</v>
      </c>
      <c r="E92" s="1" t="s">
        <v>4</v>
      </c>
      <c r="F92" s="1">
        <v>2</v>
      </c>
      <c r="G92" s="1">
        <v>0</v>
      </c>
    </row>
    <row r="93" spans="1:7" x14ac:dyDescent="0.3">
      <c r="A93" s="1">
        <v>2</v>
      </c>
      <c r="B93" s="1">
        <v>1</v>
      </c>
      <c r="C93" s="1" t="s">
        <v>0</v>
      </c>
      <c r="D93" s="1">
        <v>33</v>
      </c>
      <c r="E93" s="1" t="s">
        <v>4</v>
      </c>
      <c r="F93" s="1">
        <v>2</v>
      </c>
      <c r="G93" s="1">
        <v>0</v>
      </c>
    </row>
    <row r="94" spans="1:7" x14ac:dyDescent="0.3">
      <c r="A94" s="1">
        <v>2</v>
      </c>
      <c r="B94" s="1">
        <v>1</v>
      </c>
      <c r="C94" s="1" t="s">
        <v>0</v>
      </c>
      <c r="D94" s="1">
        <v>40</v>
      </c>
      <c r="E94" s="1" t="s">
        <v>4</v>
      </c>
      <c r="F94" s="1">
        <v>33</v>
      </c>
      <c r="G94" s="1">
        <v>0</v>
      </c>
    </row>
    <row r="95" spans="1:7" x14ac:dyDescent="0.3">
      <c r="A95" s="1">
        <v>2</v>
      </c>
      <c r="B95" s="1">
        <v>1</v>
      </c>
      <c r="C95" s="1" t="s">
        <v>0</v>
      </c>
      <c r="D95" s="1">
        <v>39</v>
      </c>
      <c r="E95" s="1" t="s">
        <v>4</v>
      </c>
      <c r="F95" s="1">
        <v>42</v>
      </c>
      <c r="G95" s="1">
        <v>1</v>
      </c>
    </row>
    <row r="96" spans="1:7" x14ac:dyDescent="0.3">
      <c r="A96" s="1">
        <v>2</v>
      </c>
      <c r="B96" s="1">
        <v>1</v>
      </c>
      <c r="C96" s="1" t="s">
        <v>0</v>
      </c>
      <c r="D96" s="1">
        <v>28</v>
      </c>
      <c r="E96" s="1" t="s">
        <v>4</v>
      </c>
      <c r="F96" s="1">
        <v>28</v>
      </c>
      <c r="G96" s="1">
        <v>0</v>
      </c>
    </row>
    <row r="97" spans="1:7" x14ac:dyDescent="0.3">
      <c r="A97" s="1">
        <v>2</v>
      </c>
      <c r="B97" s="1">
        <v>1</v>
      </c>
      <c r="C97" s="1" t="s">
        <v>0</v>
      </c>
      <c r="D97" s="1">
        <v>53</v>
      </c>
      <c r="E97" s="1" t="s">
        <v>4</v>
      </c>
      <c r="F97" s="1">
        <v>13</v>
      </c>
      <c r="G97" s="1">
        <v>0</v>
      </c>
    </row>
    <row r="98" spans="1:7" x14ac:dyDescent="0.3">
      <c r="A98" s="1">
        <v>2</v>
      </c>
      <c r="B98" s="1">
        <v>1</v>
      </c>
      <c r="C98" s="1" t="s">
        <v>0</v>
      </c>
      <c r="D98" s="1">
        <v>19</v>
      </c>
      <c r="E98" s="1" t="s">
        <v>4</v>
      </c>
      <c r="F98" s="1">
        <v>19</v>
      </c>
      <c r="G98" s="1">
        <v>0</v>
      </c>
    </row>
    <row r="99" spans="1:7" x14ac:dyDescent="0.3">
      <c r="A99" s="1">
        <v>2</v>
      </c>
      <c r="B99" s="1">
        <v>1</v>
      </c>
      <c r="C99" s="1" t="s">
        <v>0</v>
      </c>
      <c r="D99" s="1">
        <v>49</v>
      </c>
      <c r="E99" s="1" t="s">
        <v>4</v>
      </c>
      <c r="F99" s="1">
        <v>24</v>
      </c>
      <c r="G99" s="1">
        <v>0</v>
      </c>
    </row>
    <row r="100" spans="1:7" x14ac:dyDescent="0.3">
      <c r="A100" s="1">
        <v>2</v>
      </c>
      <c r="B100" s="1">
        <v>1</v>
      </c>
      <c r="C100" s="1" t="s">
        <v>0</v>
      </c>
      <c r="D100" s="1">
        <v>28</v>
      </c>
      <c r="E100" s="1" t="s">
        <v>4</v>
      </c>
      <c r="F100" s="1">
        <v>8</v>
      </c>
      <c r="G100" s="1">
        <v>0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AAAEE-9E2A-48B4-99F1-22CD274B785F}">
  <dimension ref="A1:Q100"/>
  <sheetViews>
    <sheetView topLeftCell="C1" workbookViewId="0">
      <selection activeCell="K22" sqref="K22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2</v>
      </c>
      <c r="D1" s="1">
        <v>19</v>
      </c>
      <c r="E1" s="1" t="s">
        <v>5</v>
      </c>
      <c r="F1" s="1">
        <v>44</v>
      </c>
      <c r="G1" s="1">
        <v>1</v>
      </c>
      <c r="I1" s="2"/>
      <c r="J1" s="3"/>
      <c r="K1" s="4" t="s">
        <v>7</v>
      </c>
      <c r="L1" s="4"/>
      <c r="M1" s="5" t="s">
        <v>8</v>
      </c>
      <c r="N1" s="5"/>
      <c r="O1" s="5" t="s">
        <v>9</v>
      </c>
      <c r="P1" s="5"/>
      <c r="Q1"/>
    </row>
    <row r="2" spans="1:17" x14ac:dyDescent="0.3">
      <c r="A2" s="1">
        <v>2</v>
      </c>
      <c r="B2" s="1">
        <v>0</v>
      </c>
      <c r="C2" s="1" t="s">
        <v>2</v>
      </c>
      <c r="D2" s="1">
        <v>5</v>
      </c>
      <c r="E2" s="1" t="s">
        <v>5</v>
      </c>
      <c r="F2" s="1">
        <v>54</v>
      </c>
      <c r="G2" s="1">
        <v>1</v>
      </c>
      <c r="I2" s="6"/>
      <c r="J2" s="7"/>
      <c r="K2" s="4"/>
      <c r="L2" s="4"/>
      <c r="M2" s="5"/>
      <c r="N2" s="5"/>
      <c r="O2" s="5"/>
      <c r="P2" s="5"/>
      <c r="Q2" s="8" t="s">
        <v>10</v>
      </c>
    </row>
    <row r="3" spans="1:17" x14ac:dyDescent="0.3">
      <c r="A3" s="1">
        <v>2</v>
      </c>
      <c r="B3" s="1">
        <v>0</v>
      </c>
      <c r="C3" s="1" t="s">
        <v>2</v>
      </c>
      <c r="D3" s="1">
        <v>2</v>
      </c>
      <c r="E3" s="1" t="s">
        <v>5</v>
      </c>
      <c r="F3" s="1">
        <v>71</v>
      </c>
      <c r="G3" s="1">
        <v>1</v>
      </c>
      <c r="I3" s="5" t="s">
        <v>11</v>
      </c>
      <c r="J3" s="5"/>
      <c r="K3" s="9">
        <f>COUNTIF($G$1:$G$100, 0)</f>
        <v>6</v>
      </c>
      <c r="L3" s="9"/>
      <c r="M3" s="9">
        <f>COUNTIFS($G$1:$G$100, 0, $B$1:$B$100, 0)</f>
        <v>1</v>
      </c>
      <c r="N3" s="9"/>
      <c r="O3" s="10">
        <f>COUNTIFS($G$1:$G$100, 0, $B$1:$B$100, 1)</f>
        <v>5</v>
      </c>
      <c r="P3" s="11"/>
      <c r="Q3" s="12" cm="1">
        <f t="array" ref="Q3">SUMPRODUCT(--($D$1:$D$100=$G$1:$G$100))</f>
        <v>3</v>
      </c>
    </row>
    <row r="4" spans="1:17" x14ac:dyDescent="0.3">
      <c r="A4" s="1">
        <v>2</v>
      </c>
      <c r="B4" s="1">
        <v>0</v>
      </c>
      <c r="C4" s="1" t="s">
        <v>2</v>
      </c>
      <c r="D4" s="1">
        <v>15</v>
      </c>
      <c r="E4" s="1" t="s">
        <v>5</v>
      </c>
      <c r="F4" s="1">
        <v>21</v>
      </c>
      <c r="G4" s="1">
        <v>1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2</v>
      </c>
      <c r="D5" s="1">
        <v>0</v>
      </c>
      <c r="E5" s="1" t="s">
        <v>5</v>
      </c>
      <c r="F5" s="1">
        <v>46</v>
      </c>
      <c r="G5" s="1">
        <v>1</v>
      </c>
      <c r="I5" s="5" t="s">
        <v>12</v>
      </c>
      <c r="J5" s="5"/>
      <c r="K5" s="14">
        <f>COUNTIF($G$1:$G$100, 1)</f>
        <v>94</v>
      </c>
      <c r="L5" s="9"/>
      <c r="M5" s="9">
        <f>COUNTIFS($G$1:$G$100, 1, $B$1:$B$100, 0)</f>
        <v>49</v>
      </c>
      <c r="N5" s="9"/>
      <c r="O5" s="9">
        <f>COUNTIFS($G$1:$G$100, 1, $B$1:$B$100, 1)</f>
        <v>45</v>
      </c>
      <c r="P5" s="13"/>
      <c r="Q5"/>
    </row>
    <row r="6" spans="1:17" x14ac:dyDescent="0.3">
      <c r="A6" s="1">
        <v>2</v>
      </c>
      <c r="B6" s="1">
        <v>0</v>
      </c>
      <c r="C6" s="1" t="s">
        <v>2</v>
      </c>
      <c r="D6" s="1">
        <v>13</v>
      </c>
      <c r="E6" s="1" t="s">
        <v>5</v>
      </c>
      <c r="F6" s="1">
        <v>52</v>
      </c>
      <c r="G6" s="1">
        <v>1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2</v>
      </c>
      <c r="D7" s="1">
        <v>4</v>
      </c>
      <c r="E7" s="1" t="s">
        <v>5</v>
      </c>
      <c r="F7" s="1">
        <v>39</v>
      </c>
      <c r="G7" s="1">
        <v>1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2</v>
      </c>
      <c r="D8" s="1">
        <v>24</v>
      </c>
      <c r="E8" s="1" t="s">
        <v>5</v>
      </c>
      <c r="F8" s="1">
        <v>34</v>
      </c>
      <c r="G8" s="1">
        <v>1</v>
      </c>
      <c r="I8" s="19"/>
      <c r="J8" s="20"/>
      <c r="K8" s="21" t="s">
        <v>7</v>
      </c>
      <c r="L8" s="21"/>
      <c r="M8" s="21" t="s">
        <v>13</v>
      </c>
      <c r="N8" s="21"/>
      <c r="O8" s="21" t="s">
        <v>14</v>
      </c>
      <c r="P8" s="21"/>
      <c r="Q8"/>
    </row>
    <row r="9" spans="1:17" x14ac:dyDescent="0.3">
      <c r="A9" s="1">
        <v>2</v>
      </c>
      <c r="B9" s="1">
        <v>0</v>
      </c>
      <c r="C9" s="1" t="s">
        <v>2</v>
      </c>
      <c r="D9" s="1">
        <v>43</v>
      </c>
      <c r="E9" s="1" t="s">
        <v>5</v>
      </c>
      <c r="F9" s="1">
        <v>70</v>
      </c>
      <c r="G9" s="1">
        <v>1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2</v>
      </c>
      <c r="D10" s="1">
        <v>18</v>
      </c>
      <c r="E10" s="1" t="s">
        <v>5</v>
      </c>
      <c r="F10" s="1">
        <v>28</v>
      </c>
      <c r="G10" s="1">
        <v>1</v>
      </c>
      <c r="I10" s="5" t="s">
        <v>15</v>
      </c>
      <c r="J10" s="5"/>
      <c r="K10" s="9">
        <f>AVERAGE($D$1:$D$100,)</f>
        <v>12.910891089108912</v>
      </c>
      <c r="L10" s="9"/>
      <c r="M10" s="9" cm="1">
        <f t="array" ref="M10">AVERAGE(_xlfn._xlws.FILTER($D$1:$D$100,$G$1:$G$100 = 0))</f>
        <v>36.333333333333336</v>
      </c>
      <c r="N10" s="9"/>
      <c r="O10" s="10" cm="1">
        <f t="array" ref="O10">AVERAGE(_xlfn._xlws.FILTER($D$1:$D$100,$G$1:$G$100 = 1))</f>
        <v>11.553191489361701</v>
      </c>
      <c r="P10" s="11"/>
      <c r="Q10"/>
    </row>
    <row r="11" spans="1:17" x14ac:dyDescent="0.3">
      <c r="A11" s="1">
        <v>2</v>
      </c>
      <c r="B11" s="1">
        <v>0</v>
      </c>
      <c r="C11" s="1" t="s">
        <v>2</v>
      </c>
      <c r="D11" s="1">
        <v>15</v>
      </c>
      <c r="E11" s="1" t="s">
        <v>5</v>
      </c>
      <c r="F11" s="1">
        <v>33</v>
      </c>
      <c r="G11" s="1">
        <v>1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2</v>
      </c>
      <c r="D12" s="1">
        <v>15</v>
      </c>
      <c r="E12" s="1" t="s">
        <v>5</v>
      </c>
      <c r="F12" s="1">
        <v>18</v>
      </c>
      <c r="G12" s="1">
        <v>1</v>
      </c>
      <c r="I12" s="5" t="s">
        <v>16</v>
      </c>
      <c r="J12" s="5"/>
      <c r="K12" s="9">
        <f>AVERAGE($F$1:$F$100,)</f>
        <v>44.722772277227726</v>
      </c>
      <c r="L12" s="9"/>
      <c r="M12" s="9" cm="1">
        <f t="array" ref="M12">AVERAGE(_xlfn._xlws.FILTER($F$1:$F$100,$G$1:$G$100 = 0))</f>
        <v>16.166666666666668</v>
      </c>
      <c r="N12" s="9"/>
      <c r="O12" s="9" cm="1">
        <f t="array" ref="O12">AVERAGE(_xlfn._xlws.FILTER($F$1:$F$100,$G$1:$G$100 = 1))</f>
        <v>47.021276595744681</v>
      </c>
      <c r="P12" s="13"/>
      <c r="Q12"/>
    </row>
    <row r="13" spans="1:17" x14ac:dyDescent="0.3">
      <c r="A13" s="1">
        <v>2</v>
      </c>
      <c r="B13" s="1">
        <v>0</v>
      </c>
      <c r="C13" s="1" t="s">
        <v>2</v>
      </c>
      <c r="D13" s="1">
        <v>0</v>
      </c>
      <c r="E13" s="1" t="s">
        <v>5</v>
      </c>
      <c r="F13" s="1">
        <v>63</v>
      </c>
      <c r="G13" s="1">
        <v>1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2</v>
      </c>
      <c r="D14" s="1">
        <v>2</v>
      </c>
      <c r="E14" s="1" t="s">
        <v>5</v>
      </c>
      <c r="F14" s="1">
        <v>55</v>
      </c>
      <c r="G14" s="1">
        <v>1</v>
      </c>
      <c r="I14" s="22" t="s">
        <v>17</v>
      </c>
      <c r="J14" s="11"/>
      <c r="K14" s="23" cm="1">
        <f t="array" ref="K14">AVERAGE($D$1:$D$100 - $F$1:$F$100)</f>
        <v>-32.130000000000003</v>
      </c>
      <c r="L14" s="23"/>
      <c r="M14" s="23" cm="1">
        <f t="array" ref="M14">AVERAGE(_xlfn._xlws.FILTER($D$1:$D$100 - $F$1:$F$100, G$1:G$100 = 0))</f>
        <v>20.166666666666668</v>
      </c>
      <c r="N14" s="23"/>
      <c r="O14" s="23" cm="1">
        <f t="array" ref="O14">AVERAGE(_xlfn._xlws.FILTER($D$1:$D$100 - $F$1:$F$100, G$1:G$100 = 1))</f>
        <v>-35.468085106382979</v>
      </c>
      <c r="P14" s="24"/>
      <c r="Q14"/>
    </row>
    <row r="15" spans="1:17" x14ac:dyDescent="0.3">
      <c r="A15" s="1">
        <v>2</v>
      </c>
      <c r="B15" s="1">
        <v>0</v>
      </c>
      <c r="C15" s="1" t="s">
        <v>2</v>
      </c>
      <c r="D15" s="1">
        <v>5</v>
      </c>
      <c r="E15" s="1" t="s">
        <v>5</v>
      </c>
      <c r="F15" s="1">
        <v>79</v>
      </c>
      <c r="G15" s="1">
        <v>1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2</v>
      </c>
      <c r="D16" s="1">
        <v>25</v>
      </c>
      <c r="E16" s="1" t="s">
        <v>5</v>
      </c>
      <c r="F16" s="1">
        <v>40</v>
      </c>
      <c r="G16" s="1">
        <v>1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2</v>
      </c>
      <c r="D17" s="1">
        <v>2</v>
      </c>
      <c r="E17" s="1" t="s">
        <v>5</v>
      </c>
      <c r="F17" s="1">
        <v>39</v>
      </c>
      <c r="G17" s="1">
        <v>1</v>
      </c>
    </row>
    <row r="18" spans="1:7" x14ac:dyDescent="0.3">
      <c r="A18" s="1">
        <v>2</v>
      </c>
      <c r="B18" s="1">
        <v>0</v>
      </c>
      <c r="C18" s="1" t="s">
        <v>2</v>
      </c>
      <c r="D18" s="1">
        <v>45</v>
      </c>
      <c r="E18" s="1" t="s">
        <v>5</v>
      </c>
      <c r="F18" s="1">
        <v>28</v>
      </c>
      <c r="G18" s="1">
        <v>0</v>
      </c>
    </row>
    <row r="19" spans="1:7" x14ac:dyDescent="0.3">
      <c r="A19" s="1">
        <v>2</v>
      </c>
      <c r="B19" s="1">
        <v>0</v>
      </c>
      <c r="C19" s="1" t="s">
        <v>2</v>
      </c>
      <c r="D19" s="1">
        <v>2</v>
      </c>
      <c r="E19" s="1" t="s">
        <v>5</v>
      </c>
      <c r="F19" s="1">
        <v>18</v>
      </c>
      <c r="G19" s="1">
        <v>1</v>
      </c>
    </row>
    <row r="20" spans="1:7" x14ac:dyDescent="0.3">
      <c r="A20" s="1">
        <v>2</v>
      </c>
      <c r="B20" s="1">
        <v>0</v>
      </c>
      <c r="C20" s="1" t="s">
        <v>2</v>
      </c>
      <c r="D20" s="1">
        <v>2</v>
      </c>
      <c r="E20" s="1" t="s">
        <v>5</v>
      </c>
      <c r="F20" s="1">
        <v>51</v>
      </c>
      <c r="G20" s="1">
        <v>1</v>
      </c>
    </row>
    <row r="21" spans="1:7" x14ac:dyDescent="0.3">
      <c r="A21" s="1">
        <v>2</v>
      </c>
      <c r="B21" s="1">
        <v>0</v>
      </c>
      <c r="C21" s="1" t="s">
        <v>2</v>
      </c>
      <c r="D21" s="1">
        <v>26</v>
      </c>
      <c r="E21" s="1" t="s">
        <v>5</v>
      </c>
      <c r="F21" s="1">
        <v>46</v>
      </c>
      <c r="G21" s="1">
        <v>1</v>
      </c>
    </row>
    <row r="22" spans="1:7" x14ac:dyDescent="0.3">
      <c r="A22" s="1">
        <v>2</v>
      </c>
      <c r="B22" s="1">
        <v>0</v>
      </c>
      <c r="C22" s="1" t="s">
        <v>2</v>
      </c>
      <c r="D22" s="1">
        <v>18</v>
      </c>
      <c r="E22" s="1" t="s">
        <v>5</v>
      </c>
      <c r="F22" s="1">
        <v>69</v>
      </c>
      <c r="G22" s="1">
        <v>1</v>
      </c>
    </row>
    <row r="23" spans="1:7" x14ac:dyDescent="0.3">
      <c r="A23" s="1">
        <v>2</v>
      </c>
      <c r="B23" s="1">
        <v>0</v>
      </c>
      <c r="C23" s="1" t="s">
        <v>2</v>
      </c>
      <c r="D23" s="1">
        <v>2</v>
      </c>
      <c r="E23" s="1" t="s">
        <v>5</v>
      </c>
      <c r="F23" s="1">
        <v>52</v>
      </c>
      <c r="G23" s="1">
        <v>1</v>
      </c>
    </row>
    <row r="24" spans="1:7" x14ac:dyDescent="0.3">
      <c r="A24" s="1">
        <v>2</v>
      </c>
      <c r="B24" s="1">
        <v>0</v>
      </c>
      <c r="C24" s="1" t="s">
        <v>2</v>
      </c>
      <c r="D24" s="1">
        <v>8</v>
      </c>
      <c r="E24" s="1" t="s">
        <v>5</v>
      </c>
      <c r="F24" s="1">
        <v>44</v>
      </c>
      <c r="G24" s="1">
        <v>1</v>
      </c>
    </row>
    <row r="25" spans="1:7" x14ac:dyDescent="0.3">
      <c r="A25" s="1">
        <v>2</v>
      </c>
      <c r="B25" s="1">
        <v>0</v>
      </c>
      <c r="C25" s="1" t="s">
        <v>2</v>
      </c>
      <c r="D25" s="1">
        <v>17</v>
      </c>
      <c r="E25" s="1" t="s">
        <v>5</v>
      </c>
      <c r="F25" s="1">
        <v>49</v>
      </c>
      <c r="G25" s="1">
        <v>1</v>
      </c>
    </row>
    <row r="26" spans="1:7" x14ac:dyDescent="0.3">
      <c r="A26" s="1">
        <v>2</v>
      </c>
      <c r="B26" s="1">
        <v>0</v>
      </c>
      <c r="C26" s="1" t="s">
        <v>2</v>
      </c>
      <c r="D26" s="1">
        <v>11</v>
      </c>
      <c r="E26" s="1" t="s">
        <v>5</v>
      </c>
      <c r="F26" s="1">
        <v>51</v>
      </c>
      <c r="G26" s="1">
        <v>1</v>
      </c>
    </row>
    <row r="27" spans="1:7" x14ac:dyDescent="0.3">
      <c r="A27" s="1">
        <v>2</v>
      </c>
      <c r="B27" s="1">
        <v>0</v>
      </c>
      <c r="C27" s="1" t="s">
        <v>2</v>
      </c>
      <c r="D27" s="1">
        <v>17</v>
      </c>
      <c r="E27" s="1" t="s">
        <v>5</v>
      </c>
      <c r="F27" s="1">
        <v>47</v>
      </c>
      <c r="G27" s="1">
        <v>1</v>
      </c>
    </row>
    <row r="28" spans="1:7" x14ac:dyDescent="0.3">
      <c r="A28" s="1">
        <v>2</v>
      </c>
      <c r="B28" s="1">
        <v>0</v>
      </c>
      <c r="C28" s="1" t="s">
        <v>2</v>
      </c>
      <c r="D28" s="1">
        <v>25</v>
      </c>
      <c r="E28" s="1" t="s">
        <v>5</v>
      </c>
      <c r="F28" s="1">
        <v>71</v>
      </c>
      <c r="G28" s="1">
        <v>1</v>
      </c>
    </row>
    <row r="29" spans="1:7" x14ac:dyDescent="0.3">
      <c r="A29" s="1">
        <v>2</v>
      </c>
      <c r="B29" s="1">
        <v>0</v>
      </c>
      <c r="C29" s="1" t="s">
        <v>2</v>
      </c>
      <c r="D29" s="1">
        <v>3</v>
      </c>
      <c r="E29" s="1" t="s">
        <v>5</v>
      </c>
      <c r="F29" s="1">
        <v>29</v>
      </c>
      <c r="G29" s="1">
        <v>1</v>
      </c>
    </row>
    <row r="30" spans="1:7" x14ac:dyDescent="0.3">
      <c r="A30" s="1">
        <v>2</v>
      </c>
      <c r="B30" s="1">
        <v>0</v>
      </c>
      <c r="C30" s="1" t="s">
        <v>2</v>
      </c>
      <c r="D30" s="1">
        <v>31</v>
      </c>
      <c r="E30" s="1" t="s">
        <v>5</v>
      </c>
      <c r="F30" s="1">
        <v>51</v>
      </c>
      <c r="G30" s="1">
        <v>1</v>
      </c>
    </row>
    <row r="31" spans="1:7" x14ac:dyDescent="0.3">
      <c r="A31" s="1">
        <v>2</v>
      </c>
      <c r="B31" s="1">
        <v>0</v>
      </c>
      <c r="C31" s="1" t="s">
        <v>2</v>
      </c>
      <c r="D31" s="1">
        <v>13</v>
      </c>
      <c r="E31" s="1" t="s">
        <v>5</v>
      </c>
      <c r="F31" s="1">
        <v>44</v>
      </c>
      <c r="G31" s="1">
        <v>1</v>
      </c>
    </row>
    <row r="32" spans="1:7" x14ac:dyDescent="0.3">
      <c r="A32" s="1">
        <v>2</v>
      </c>
      <c r="B32" s="1">
        <v>0</v>
      </c>
      <c r="C32" s="1" t="s">
        <v>2</v>
      </c>
      <c r="D32" s="1">
        <v>14</v>
      </c>
      <c r="E32" s="1" t="s">
        <v>5</v>
      </c>
      <c r="F32" s="1">
        <v>53</v>
      </c>
      <c r="G32" s="1">
        <v>1</v>
      </c>
    </row>
    <row r="33" spans="1:7" x14ac:dyDescent="0.3">
      <c r="A33" s="1">
        <v>2</v>
      </c>
      <c r="B33" s="1">
        <v>0</v>
      </c>
      <c r="C33" s="1" t="s">
        <v>2</v>
      </c>
      <c r="D33" s="1">
        <v>16</v>
      </c>
      <c r="E33" s="1" t="s">
        <v>5</v>
      </c>
      <c r="F33" s="1">
        <v>47</v>
      </c>
      <c r="G33" s="1">
        <v>1</v>
      </c>
    </row>
    <row r="34" spans="1:7" x14ac:dyDescent="0.3">
      <c r="A34" s="1">
        <v>2</v>
      </c>
      <c r="B34" s="1">
        <v>0</v>
      </c>
      <c r="C34" s="1" t="s">
        <v>2</v>
      </c>
      <c r="D34" s="1">
        <v>11</v>
      </c>
      <c r="E34" s="1" t="s">
        <v>5</v>
      </c>
      <c r="F34" s="1">
        <v>46</v>
      </c>
      <c r="G34" s="1">
        <v>1</v>
      </c>
    </row>
    <row r="35" spans="1:7" x14ac:dyDescent="0.3">
      <c r="A35" s="1">
        <v>2</v>
      </c>
      <c r="B35" s="1">
        <v>0</v>
      </c>
      <c r="C35" s="1" t="s">
        <v>2</v>
      </c>
      <c r="D35" s="1">
        <v>1</v>
      </c>
      <c r="E35" s="1" t="s">
        <v>5</v>
      </c>
      <c r="F35" s="1">
        <v>48</v>
      </c>
      <c r="G35" s="1">
        <v>1</v>
      </c>
    </row>
    <row r="36" spans="1:7" x14ac:dyDescent="0.3">
      <c r="A36" s="1">
        <v>2</v>
      </c>
      <c r="B36" s="1">
        <v>0</v>
      </c>
      <c r="C36" s="1" t="s">
        <v>2</v>
      </c>
      <c r="D36" s="1">
        <v>2</v>
      </c>
      <c r="E36" s="1" t="s">
        <v>5</v>
      </c>
      <c r="F36" s="1">
        <v>71</v>
      </c>
      <c r="G36" s="1">
        <v>1</v>
      </c>
    </row>
    <row r="37" spans="1:7" x14ac:dyDescent="0.3">
      <c r="A37" s="1">
        <v>2</v>
      </c>
      <c r="B37" s="1">
        <v>0</v>
      </c>
      <c r="C37" s="1" t="s">
        <v>2</v>
      </c>
      <c r="D37" s="1">
        <v>7</v>
      </c>
      <c r="E37" s="1" t="s">
        <v>5</v>
      </c>
      <c r="F37" s="1">
        <v>43</v>
      </c>
      <c r="G37" s="1">
        <v>1</v>
      </c>
    </row>
    <row r="38" spans="1:7" x14ac:dyDescent="0.3">
      <c r="A38" s="1">
        <v>2</v>
      </c>
      <c r="B38" s="1">
        <v>0</v>
      </c>
      <c r="C38" s="1" t="s">
        <v>2</v>
      </c>
      <c r="D38" s="1">
        <v>10</v>
      </c>
      <c r="E38" s="1" t="s">
        <v>5</v>
      </c>
      <c r="F38" s="1">
        <v>46</v>
      </c>
      <c r="G38" s="1">
        <v>1</v>
      </c>
    </row>
    <row r="39" spans="1:7" x14ac:dyDescent="0.3">
      <c r="A39" s="1">
        <v>2</v>
      </c>
      <c r="B39" s="1">
        <v>0</v>
      </c>
      <c r="C39" s="1" t="s">
        <v>2</v>
      </c>
      <c r="D39" s="1">
        <v>21</v>
      </c>
      <c r="E39" s="1" t="s">
        <v>5</v>
      </c>
      <c r="F39" s="1">
        <v>47</v>
      </c>
      <c r="G39" s="1">
        <v>1</v>
      </c>
    </row>
    <row r="40" spans="1:7" x14ac:dyDescent="0.3">
      <c r="A40" s="1">
        <v>2</v>
      </c>
      <c r="B40" s="1">
        <v>0</v>
      </c>
      <c r="C40" s="1" t="s">
        <v>2</v>
      </c>
      <c r="D40" s="1">
        <v>5</v>
      </c>
      <c r="E40" s="1" t="s">
        <v>5</v>
      </c>
      <c r="F40" s="1">
        <v>37</v>
      </c>
      <c r="G40" s="1">
        <v>1</v>
      </c>
    </row>
    <row r="41" spans="1:7" x14ac:dyDescent="0.3">
      <c r="A41" s="1">
        <v>2</v>
      </c>
      <c r="B41" s="1">
        <v>0</v>
      </c>
      <c r="C41" s="1" t="s">
        <v>2</v>
      </c>
      <c r="D41" s="1">
        <v>19</v>
      </c>
      <c r="E41" s="1" t="s">
        <v>5</v>
      </c>
      <c r="F41" s="1">
        <v>31</v>
      </c>
      <c r="G41" s="1">
        <v>1</v>
      </c>
    </row>
    <row r="42" spans="1:7" x14ac:dyDescent="0.3">
      <c r="A42" s="1">
        <v>2</v>
      </c>
      <c r="B42" s="1">
        <v>0</v>
      </c>
      <c r="C42" s="1" t="s">
        <v>2</v>
      </c>
      <c r="D42" s="1">
        <v>22</v>
      </c>
      <c r="E42" s="1" t="s">
        <v>5</v>
      </c>
      <c r="F42" s="1">
        <v>45</v>
      </c>
      <c r="G42" s="1">
        <v>1</v>
      </c>
    </row>
    <row r="43" spans="1:7" x14ac:dyDescent="0.3">
      <c r="A43" s="1">
        <v>2</v>
      </c>
      <c r="B43" s="1">
        <v>0</v>
      </c>
      <c r="C43" s="1" t="s">
        <v>2</v>
      </c>
      <c r="D43" s="1">
        <v>2</v>
      </c>
      <c r="E43" s="1" t="s">
        <v>5</v>
      </c>
      <c r="F43" s="1">
        <v>73</v>
      </c>
      <c r="G43" s="1">
        <v>1</v>
      </c>
    </row>
    <row r="44" spans="1:7" x14ac:dyDescent="0.3">
      <c r="A44" s="1">
        <v>2</v>
      </c>
      <c r="B44" s="1">
        <v>0</v>
      </c>
      <c r="C44" s="1" t="s">
        <v>2</v>
      </c>
      <c r="D44" s="1">
        <v>10</v>
      </c>
      <c r="E44" s="1" t="s">
        <v>5</v>
      </c>
      <c r="F44" s="1">
        <v>26</v>
      </c>
      <c r="G44" s="1">
        <v>1</v>
      </c>
    </row>
    <row r="45" spans="1:7" x14ac:dyDescent="0.3">
      <c r="A45" s="1">
        <v>2</v>
      </c>
      <c r="B45" s="1">
        <v>0</v>
      </c>
      <c r="C45" s="1" t="s">
        <v>2</v>
      </c>
      <c r="D45" s="1">
        <v>13</v>
      </c>
      <c r="E45" s="1" t="s">
        <v>5</v>
      </c>
      <c r="F45" s="1">
        <v>55</v>
      </c>
      <c r="G45" s="1">
        <v>1</v>
      </c>
    </row>
    <row r="46" spans="1:7" x14ac:dyDescent="0.3">
      <c r="A46" s="1">
        <v>2</v>
      </c>
      <c r="B46" s="1">
        <v>0</v>
      </c>
      <c r="C46" s="1" t="s">
        <v>2</v>
      </c>
      <c r="D46" s="1">
        <v>2</v>
      </c>
      <c r="E46" s="1" t="s">
        <v>5</v>
      </c>
      <c r="F46" s="1">
        <v>17</v>
      </c>
      <c r="G46" s="1">
        <v>1</v>
      </c>
    </row>
    <row r="47" spans="1:7" x14ac:dyDescent="0.3">
      <c r="A47" s="1">
        <v>2</v>
      </c>
      <c r="B47" s="1">
        <v>0</v>
      </c>
      <c r="C47" s="1" t="s">
        <v>2</v>
      </c>
      <c r="D47" s="1">
        <v>8</v>
      </c>
      <c r="E47" s="1" t="s">
        <v>5</v>
      </c>
      <c r="F47" s="1">
        <v>57</v>
      </c>
      <c r="G47" s="1">
        <v>1</v>
      </c>
    </row>
    <row r="48" spans="1:7" x14ac:dyDescent="0.3">
      <c r="A48" s="1">
        <v>2</v>
      </c>
      <c r="B48" s="1">
        <v>0</v>
      </c>
      <c r="C48" s="1" t="s">
        <v>2</v>
      </c>
      <c r="D48" s="1">
        <v>0</v>
      </c>
      <c r="E48" s="1" t="s">
        <v>5</v>
      </c>
      <c r="F48" s="1">
        <v>58</v>
      </c>
      <c r="G48" s="1">
        <v>1</v>
      </c>
    </row>
    <row r="49" spans="1:7" x14ac:dyDescent="0.3">
      <c r="A49" s="1">
        <v>2</v>
      </c>
      <c r="B49" s="1">
        <v>0</v>
      </c>
      <c r="C49" s="1" t="s">
        <v>2</v>
      </c>
      <c r="D49" s="1">
        <v>2</v>
      </c>
      <c r="E49" s="1" t="s">
        <v>5</v>
      </c>
      <c r="F49" s="1">
        <v>54</v>
      </c>
      <c r="G49" s="1">
        <v>1</v>
      </c>
    </row>
    <row r="50" spans="1:7" x14ac:dyDescent="0.3">
      <c r="A50" s="1">
        <v>2</v>
      </c>
      <c r="B50" s="1">
        <v>0</v>
      </c>
      <c r="C50" s="1" t="s">
        <v>2</v>
      </c>
      <c r="D50" s="1">
        <v>8</v>
      </c>
      <c r="E50" s="1" t="s">
        <v>5</v>
      </c>
      <c r="F50" s="1">
        <v>66</v>
      </c>
      <c r="G50" s="1">
        <v>1</v>
      </c>
    </row>
    <row r="51" spans="1:7" x14ac:dyDescent="0.3">
      <c r="A51" s="1">
        <v>2</v>
      </c>
      <c r="B51" s="1">
        <v>1</v>
      </c>
      <c r="C51" s="1" t="s">
        <v>2</v>
      </c>
      <c r="D51" s="1">
        <v>27</v>
      </c>
      <c r="E51" s="1" t="s">
        <v>5</v>
      </c>
      <c r="F51" s="1">
        <v>38</v>
      </c>
      <c r="G51" s="1">
        <v>1</v>
      </c>
    </row>
    <row r="52" spans="1:7" x14ac:dyDescent="0.3">
      <c r="A52" s="1">
        <v>2</v>
      </c>
      <c r="B52" s="1">
        <v>1</v>
      </c>
      <c r="C52" s="1" t="s">
        <v>2</v>
      </c>
      <c r="D52" s="1">
        <v>22</v>
      </c>
      <c r="E52" s="1" t="s">
        <v>5</v>
      </c>
      <c r="F52" s="1">
        <v>30</v>
      </c>
      <c r="G52" s="1">
        <v>1</v>
      </c>
    </row>
    <row r="53" spans="1:7" x14ac:dyDescent="0.3">
      <c r="A53" s="1">
        <v>2</v>
      </c>
      <c r="B53" s="1">
        <v>1</v>
      </c>
      <c r="C53" s="1" t="s">
        <v>2</v>
      </c>
      <c r="D53" s="1">
        <v>8</v>
      </c>
      <c r="E53" s="1" t="s">
        <v>5</v>
      </c>
      <c r="F53" s="1">
        <v>57</v>
      </c>
      <c r="G53" s="1">
        <v>1</v>
      </c>
    </row>
    <row r="54" spans="1:7" x14ac:dyDescent="0.3">
      <c r="A54" s="1">
        <v>2</v>
      </c>
      <c r="B54" s="1">
        <v>1</v>
      </c>
      <c r="C54" s="1" t="s">
        <v>2</v>
      </c>
      <c r="D54" s="1">
        <v>17</v>
      </c>
      <c r="E54" s="1" t="s">
        <v>5</v>
      </c>
      <c r="F54" s="1">
        <v>31</v>
      </c>
      <c r="G54" s="1">
        <v>1</v>
      </c>
    </row>
    <row r="55" spans="1:7" x14ac:dyDescent="0.3">
      <c r="A55" s="1">
        <v>2</v>
      </c>
      <c r="B55" s="1">
        <v>1</v>
      </c>
      <c r="C55" s="1" t="s">
        <v>2</v>
      </c>
      <c r="D55" s="1">
        <v>32</v>
      </c>
      <c r="E55" s="1" t="s">
        <v>5</v>
      </c>
      <c r="F55" s="1">
        <v>6</v>
      </c>
      <c r="G55" s="1">
        <v>0</v>
      </c>
    </row>
    <row r="56" spans="1:7" x14ac:dyDescent="0.3">
      <c r="A56" s="1">
        <v>2</v>
      </c>
      <c r="B56" s="1">
        <v>1</v>
      </c>
      <c r="C56" s="1" t="s">
        <v>2</v>
      </c>
      <c r="D56" s="1">
        <v>6</v>
      </c>
      <c r="E56" s="1" t="s">
        <v>5</v>
      </c>
      <c r="F56" s="1">
        <v>37</v>
      </c>
      <c r="G56" s="1">
        <v>1</v>
      </c>
    </row>
    <row r="57" spans="1:7" x14ac:dyDescent="0.3">
      <c r="A57" s="1">
        <v>2</v>
      </c>
      <c r="B57" s="1">
        <v>1</v>
      </c>
      <c r="C57" s="1" t="s">
        <v>2</v>
      </c>
      <c r="D57" s="1">
        <v>2</v>
      </c>
      <c r="E57" s="1" t="s">
        <v>5</v>
      </c>
      <c r="F57" s="1">
        <v>56</v>
      </c>
      <c r="G57" s="1">
        <v>1</v>
      </c>
    </row>
    <row r="58" spans="1:7" x14ac:dyDescent="0.3">
      <c r="A58" s="1">
        <v>2</v>
      </c>
      <c r="B58" s="1">
        <v>1</v>
      </c>
      <c r="C58" s="1" t="s">
        <v>2</v>
      </c>
      <c r="D58" s="1">
        <v>1</v>
      </c>
      <c r="E58" s="1" t="s">
        <v>5</v>
      </c>
      <c r="F58" s="1">
        <v>38</v>
      </c>
      <c r="G58" s="1">
        <v>1</v>
      </c>
    </row>
    <row r="59" spans="1:7" x14ac:dyDescent="0.3">
      <c r="A59" s="1">
        <v>2</v>
      </c>
      <c r="B59" s="1">
        <v>1</v>
      </c>
      <c r="C59" s="1" t="s">
        <v>2</v>
      </c>
      <c r="D59" s="1">
        <v>20</v>
      </c>
      <c r="E59" s="1" t="s">
        <v>5</v>
      </c>
      <c r="F59" s="1">
        <v>69</v>
      </c>
      <c r="G59" s="1">
        <v>1</v>
      </c>
    </row>
    <row r="60" spans="1:7" x14ac:dyDescent="0.3">
      <c r="A60" s="1">
        <v>2</v>
      </c>
      <c r="B60" s="1">
        <v>1</v>
      </c>
      <c r="C60" s="1" t="s">
        <v>2</v>
      </c>
      <c r="D60" s="1">
        <v>34</v>
      </c>
      <c r="E60" s="1" t="s">
        <v>5</v>
      </c>
      <c r="F60" s="1">
        <v>38</v>
      </c>
      <c r="G60" s="1">
        <v>1</v>
      </c>
    </row>
    <row r="61" spans="1:7" x14ac:dyDescent="0.3">
      <c r="A61" s="1">
        <v>2</v>
      </c>
      <c r="B61" s="1">
        <v>1</v>
      </c>
      <c r="C61" s="1" t="s">
        <v>2</v>
      </c>
      <c r="D61" s="1">
        <v>26</v>
      </c>
      <c r="E61" s="1" t="s">
        <v>5</v>
      </c>
      <c r="F61" s="1">
        <v>41</v>
      </c>
      <c r="G61" s="1">
        <v>1</v>
      </c>
    </row>
    <row r="62" spans="1:7" x14ac:dyDescent="0.3">
      <c r="A62" s="1">
        <v>2</v>
      </c>
      <c r="B62" s="1">
        <v>1</v>
      </c>
      <c r="C62" s="1" t="s">
        <v>2</v>
      </c>
      <c r="D62" s="1">
        <v>2</v>
      </c>
      <c r="E62" s="1" t="s">
        <v>5</v>
      </c>
      <c r="F62" s="1">
        <v>51</v>
      </c>
      <c r="G62" s="1">
        <v>1</v>
      </c>
    </row>
    <row r="63" spans="1:7" x14ac:dyDescent="0.3">
      <c r="A63" s="1">
        <v>2</v>
      </c>
      <c r="B63" s="1">
        <v>1</v>
      </c>
      <c r="C63" s="1" t="s">
        <v>2</v>
      </c>
      <c r="D63" s="1">
        <v>13</v>
      </c>
      <c r="E63" s="1" t="s">
        <v>5</v>
      </c>
      <c r="F63" s="1">
        <v>56</v>
      </c>
      <c r="G63" s="1">
        <v>1</v>
      </c>
    </row>
    <row r="64" spans="1:7" x14ac:dyDescent="0.3">
      <c r="A64" s="1">
        <v>2</v>
      </c>
      <c r="B64" s="1">
        <v>1</v>
      </c>
      <c r="C64" s="1" t="s">
        <v>2</v>
      </c>
      <c r="D64" s="1">
        <v>30</v>
      </c>
      <c r="E64" s="1" t="s">
        <v>5</v>
      </c>
      <c r="F64" s="1">
        <v>33</v>
      </c>
      <c r="G64" s="1">
        <v>1</v>
      </c>
    </row>
    <row r="65" spans="1:7" x14ac:dyDescent="0.3">
      <c r="A65" s="1">
        <v>2</v>
      </c>
      <c r="B65" s="1">
        <v>1</v>
      </c>
      <c r="C65" s="1" t="s">
        <v>2</v>
      </c>
      <c r="D65" s="1">
        <v>0</v>
      </c>
      <c r="E65" s="1" t="s">
        <v>5</v>
      </c>
      <c r="F65" s="1">
        <v>67</v>
      </c>
      <c r="G65" s="1">
        <v>1</v>
      </c>
    </row>
    <row r="66" spans="1:7" x14ac:dyDescent="0.3">
      <c r="A66" s="1">
        <v>2</v>
      </c>
      <c r="B66" s="1">
        <v>1</v>
      </c>
      <c r="C66" s="1" t="s">
        <v>2</v>
      </c>
      <c r="D66" s="1">
        <v>5</v>
      </c>
      <c r="E66" s="1" t="s">
        <v>5</v>
      </c>
      <c r="F66" s="1">
        <v>42</v>
      </c>
      <c r="G66" s="1">
        <v>1</v>
      </c>
    </row>
    <row r="67" spans="1:7" x14ac:dyDescent="0.3">
      <c r="A67" s="1">
        <v>2</v>
      </c>
      <c r="B67" s="1">
        <v>1</v>
      </c>
      <c r="C67" s="1" t="s">
        <v>2</v>
      </c>
      <c r="D67" s="1">
        <v>11</v>
      </c>
      <c r="E67" s="1" t="s">
        <v>5</v>
      </c>
      <c r="F67" s="1">
        <v>93</v>
      </c>
      <c r="G67" s="1">
        <v>1</v>
      </c>
    </row>
    <row r="68" spans="1:7" x14ac:dyDescent="0.3">
      <c r="A68" s="1">
        <v>2</v>
      </c>
      <c r="B68" s="1">
        <v>1</v>
      </c>
      <c r="C68" s="1" t="s">
        <v>2</v>
      </c>
      <c r="D68" s="1">
        <v>0</v>
      </c>
      <c r="E68" s="1" t="s">
        <v>5</v>
      </c>
      <c r="F68" s="1">
        <v>35</v>
      </c>
      <c r="G68" s="1">
        <v>1</v>
      </c>
    </row>
    <row r="69" spans="1:7" x14ac:dyDescent="0.3">
      <c r="A69" s="1">
        <v>2</v>
      </c>
      <c r="B69" s="1">
        <v>1</v>
      </c>
      <c r="C69" s="1" t="s">
        <v>2</v>
      </c>
      <c r="D69" s="1">
        <v>6</v>
      </c>
      <c r="E69" s="1" t="s">
        <v>5</v>
      </c>
      <c r="F69" s="1">
        <v>25</v>
      </c>
      <c r="G69" s="1">
        <v>1</v>
      </c>
    </row>
    <row r="70" spans="1:7" x14ac:dyDescent="0.3">
      <c r="A70" s="1">
        <v>2</v>
      </c>
      <c r="B70" s="1">
        <v>1</v>
      </c>
      <c r="C70" s="1" t="s">
        <v>2</v>
      </c>
      <c r="D70" s="1">
        <v>20</v>
      </c>
      <c r="E70" s="1" t="s">
        <v>5</v>
      </c>
      <c r="F70" s="1">
        <v>3</v>
      </c>
      <c r="G70" s="1">
        <v>0</v>
      </c>
    </row>
    <row r="71" spans="1:7" x14ac:dyDescent="0.3">
      <c r="A71" s="1">
        <v>2</v>
      </c>
      <c r="B71" s="1">
        <v>1</v>
      </c>
      <c r="C71" s="1" t="s">
        <v>2</v>
      </c>
      <c r="D71" s="1">
        <v>16</v>
      </c>
      <c r="E71" s="1" t="s">
        <v>5</v>
      </c>
      <c r="F71" s="1">
        <v>47</v>
      </c>
      <c r="G71" s="1">
        <v>1</v>
      </c>
    </row>
    <row r="72" spans="1:7" x14ac:dyDescent="0.3">
      <c r="A72" s="1">
        <v>2</v>
      </c>
      <c r="B72" s="1">
        <v>1</v>
      </c>
      <c r="C72" s="1" t="s">
        <v>2</v>
      </c>
      <c r="D72" s="1">
        <v>21</v>
      </c>
      <c r="E72" s="1" t="s">
        <v>5</v>
      </c>
      <c r="F72" s="1">
        <v>48</v>
      </c>
      <c r="G72" s="1">
        <v>1</v>
      </c>
    </row>
    <row r="73" spans="1:7" x14ac:dyDescent="0.3">
      <c r="A73" s="1">
        <v>2</v>
      </c>
      <c r="B73" s="1">
        <v>1</v>
      </c>
      <c r="C73" s="1" t="s">
        <v>2</v>
      </c>
      <c r="D73" s="1">
        <v>10</v>
      </c>
      <c r="E73" s="1" t="s">
        <v>5</v>
      </c>
      <c r="F73" s="1">
        <v>33</v>
      </c>
      <c r="G73" s="1">
        <v>1</v>
      </c>
    </row>
    <row r="74" spans="1:7" x14ac:dyDescent="0.3">
      <c r="A74" s="1">
        <v>2</v>
      </c>
      <c r="B74" s="1">
        <v>1</v>
      </c>
      <c r="C74" s="1" t="s">
        <v>2</v>
      </c>
      <c r="D74" s="1">
        <v>19</v>
      </c>
      <c r="E74" s="1" t="s">
        <v>5</v>
      </c>
      <c r="F74" s="1">
        <v>25</v>
      </c>
      <c r="G74" s="1">
        <v>1</v>
      </c>
    </row>
    <row r="75" spans="1:7" x14ac:dyDescent="0.3">
      <c r="A75" s="1">
        <v>2</v>
      </c>
      <c r="B75" s="1">
        <v>1</v>
      </c>
      <c r="C75" s="1" t="s">
        <v>2</v>
      </c>
      <c r="D75" s="1">
        <v>11</v>
      </c>
      <c r="E75" s="1" t="s">
        <v>5</v>
      </c>
      <c r="F75" s="1">
        <v>52</v>
      </c>
      <c r="G75" s="1">
        <v>1</v>
      </c>
    </row>
    <row r="76" spans="1:7" x14ac:dyDescent="0.3">
      <c r="A76" s="1">
        <v>2</v>
      </c>
      <c r="B76" s="1">
        <v>1</v>
      </c>
      <c r="C76" s="1" t="s">
        <v>2</v>
      </c>
      <c r="D76" s="1">
        <v>11</v>
      </c>
      <c r="E76" s="1" t="s">
        <v>5</v>
      </c>
      <c r="F76" s="1">
        <v>20</v>
      </c>
      <c r="G76" s="1">
        <v>1</v>
      </c>
    </row>
    <row r="77" spans="1:7" x14ac:dyDescent="0.3">
      <c r="A77" s="1">
        <v>2</v>
      </c>
      <c r="B77" s="1">
        <v>1</v>
      </c>
      <c r="C77" s="1" t="s">
        <v>2</v>
      </c>
      <c r="D77" s="1">
        <v>5</v>
      </c>
      <c r="E77" s="1" t="s">
        <v>5</v>
      </c>
      <c r="F77" s="1">
        <v>37</v>
      </c>
      <c r="G77" s="1">
        <v>1</v>
      </c>
    </row>
    <row r="78" spans="1:7" x14ac:dyDescent="0.3">
      <c r="A78" s="1">
        <v>2</v>
      </c>
      <c r="B78" s="1">
        <v>1</v>
      </c>
      <c r="C78" s="1" t="s">
        <v>2</v>
      </c>
      <c r="D78" s="1">
        <v>27</v>
      </c>
      <c r="E78" s="1" t="s">
        <v>5</v>
      </c>
      <c r="F78" s="1">
        <v>12</v>
      </c>
      <c r="G78" s="1">
        <v>0</v>
      </c>
    </row>
    <row r="79" spans="1:7" x14ac:dyDescent="0.3">
      <c r="A79" s="1">
        <v>2</v>
      </c>
      <c r="B79" s="1">
        <v>1</v>
      </c>
      <c r="C79" s="1" t="s">
        <v>2</v>
      </c>
      <c r="D79" s="1">
        <v>1</v>
      </c>
      <c r="E79" s="1" t="s">
        <v>5</v>
      </c>
      <c r="F79" s="1">
        <v>41</v>
      </c>
      <c r="G79" s="1">
        <v>1</v>
      </c>
    </row>
    <row r="80" spans="1:7" x14ac:dyDescent="0.3">
      <c r="A80" s="1">
        <v>2</v>
      </c>
      <c r="B80" s="1">
        <v>1</v>
      </c>
      <c r="C80" s="1" t="s">
        <v>2</v>
      </c>
      <c r="D80" s="1">
        <v>16</v>
      </c>
      <c r="E80" s="1" t="s">
        <v>5</v>
      </c>
      <c r="F80" s="1">
        <v>64</v>
      </c>
      <c r="G80" s="1">
        <v>1</v>
      </c>
    </row>
    <row r="81" spans="1:7" x14ac:dyDescent="0.3">
      <c r="A81" s="1">
        <v>2</v>
      </c>
      <c r="B81" s="1">
        <v>1</v>
      </c>
      <c r="C81" s="1" t="s">
        <v>2</v>
      </c>
      <c r="D81" s="1">
        <v>22</v>
      </c>
      <c r="E81" s="1" t="s">
        <v>5</v>
      </c>
      <c r="F81" s="1">
        <v>50</v>
      </c>
      <c r="G81" s="1">
        <v>1</v>
      </c>
    </row>
    <row r="82" spans="1:7" x14ac:dyDescent="0.3">
      <c r="A82" s="1">
        <v>2</v>
      </c>
      <c r="B82" s="1">
        <v>1</v>
      </c>
      <c r="C82" s="1" t="s">
        <v>2</v>
      </c>
      <c r="D82" s="1">
        <v>24</v>
      </c>
      <c r="E82" s="1" t="s">
        <v>5</v>
      </c>
      <c r="F82" s="1">
        <v>28</v>
      </c>
      <c r="G82" s="1">
        <v>1</v>
      </c>
    </row>
    <row r="83" spans="1:7" x14ac:dyDescent="0.3">
      <c r="A83" s="1">
        <v>2</v>
      </c>
      <c r="B83" s="1">
        <v>1</v>
      </c>
      <c r="C83" s="1" t="s">
        <v>2</v>
      </c>
      <c r="D83" s="1">
        <v>11</v>
      </c>
      <c r="E83" s="1" t="s">
        <v>5</v>
      </c>
      <c r="F83" s="1">
        <v>67</v>
      </c>
      <c r="G83" s="1">
        <v>1</v>
      </c>
    </row>
    <row r="84" spans="1:7" x14ac:dyDescent="0.3">
      <c r="A84" s="1">
        <v>2</v>
      </c>
      <c r="B84" s="1">
        <v>1</v>
      </c>
      <c r="C84" s="1" t="s">
        <v>2</v>
      </c>
      <c r="D84" s="1">
        <v>10</v>
      </c>
      <c r="E84" s="1" t="s">
        <v>5</v>
      </c>
      <c r="F84" s="1">
        <v>13</v>
      </c>
      <c r="G84" s="1">
        <v>1</v>
      </c>
    </row>
    <row r="85" spans="1:7" x14ac:dyDescent="0.3">
      <c r="A85" s="1">
        <v>2</v>
      </c>
      <c r="B85" s="1">
        <v>1</v>
      </c>
      <c r="C85" s="1" t="s">
        <v>2</v>
      </c>
      <c r="D85" s="1">
        <v>4</v>
      </c>
      <c r="E85" s="1" t="s">
        <v>5</v>
      </c>
      <c r="F85" s="1">
        <v>44</v>
      </c>
      <c r="G85" s="1">
        <v>1</v>
      </c>
    </row>
    <row r="86" spans="1:7" x14ac:dyDescent="0.3">
      <c r="A86" s="1">
        <v>2</v>
      </c>
      <c r="B86" s="1">
        <v>1</v>
      </c>
      <c r="C86" s="1" t="s">
        <v>2</v>
      </c>
      <c r="D86" s="1">
        <v>49</v>
      </c>
      <c r="E86" s="1" t="s">
        <v>5</v>
      </c>
      <c r="F86" s="1">
        <v>28</v>
      </c>
      <c r="G86" s="1">
        <v>0</v>
      </c>
    </row>
    <row r="87" spans="1:7" x14ac:dyDescent="0.3">
      <c r="A87" s="1">
        <v>2</v>
      </c>
      <c r="B87" s="1">
        <v>1</v>
      </c>
      <c r="C87" s="1" t="s">
        <v>2</v>
      </c>
      <c r="D87" s="1">
        <v>15</v>
      </c>
      <c r="E87" s="1" t="s">
        <v>5</v>
      </c>
      <c r="F87" s="1">
        <v>53</v>
      </c>
      <c r="G87" s="1">
        <v>1</v>
      </c>
    </row>
    <row r="88" spans="1:7" x14ac:dyDescent="0.3">
      <c r="A88" s="1">
        <v>2</v>
      </c>
      <c r="B88" s="1">
        <v>1</v>
      </c>
      <c r="C88" s="1" t="s">
        <v>2</v>
      </c>
      <c r="D88" s="1">
        <v>0</v>
      </c>
      <c r="E88" s="1" t="s">
        <v>5</v>
      </c>
      <c r="F88" s="1">
        <v>44</v>
      </c>
      <c r="G88" s="1">
        <v>1</v>
      </c>
    </row>
    <row r="89" spans="1:7" x14ac:dyDescent="0.3">
      <c r="A89" s="1">
        <v>2</v>
      </c>
      <c r="B89" s="1">
        <v>1</v>
      </c>
      <c r="C89" s="1" t="s">
        <v>2</v>
      </c>
      <c r="D89" s="1">
        <v>2</v>
      </c>
      <c r="E89" s="1" t="s">
        <v>5</v>
      </c>
      <c r="F89" s="1">
        <v>59</v>
      </c>
      <c r="G89" s="1">
        <v>1</v>
      </c>
    </row>
    <row r="90" spans="1:7" x14ac:dyDescent="0.3">
      <c r="A90" s="1">
        <v>2</v>
      </c>
      <c r="B90" s="1">
        <v>1</v>
      </c>
      <c r="C90" s="1" t="s">
        <v>2</v>
      </c>
      <c r="D90" s="1">
        <v>2</v>
      </c>
      <c r="E90" s="1" t="s">
        <v>5</v>
      </c>
      <c r="F90" s="1">
        <v>48</v>
      </c>
      <c r="G90" s="1">
        <v>1</v>
      </c>
    </row>
    <row r="91" spans="1:7" x14ac:dyDescent="0.3">
      <c r="A91" s="1">
        <v>2</v>
      </c>
      <c r="B91" s="1">
        <v>1</v>
      </c>
      <c r="C91" s="1" t="s">
        <v>2</v>
      </c>
      <c r="D91" s="1">
        <v>2</v>
      </c>
      <c r="E91" s="1" t="s">
        <v>5</v>
      </c>
      <c r="F91" s="1">
        <v>46</v>
      </c>
      <c r="G91" s="1">
        <v>1</v>
      </c>
    </row>
    <row r="92" spans="1:7" x14ac:dyDescent="0.3">
      <c r="A92" s="1">
        <v>2</v>
      </c>
      <c r="B92" s="1">
        <v>1</v>
      </c>
      <c r="C92" s="1" t="s">
        <v>2</v>
      </c>
      <c r="D92" s="1">
        <v>0</v>
      </c>
      <c r="E92" s="1" t="s">
        <v>5</v>
      </c>
      <c r="F92" s="1">
        <v>25</v>
      </c>
      <c r="G92" s="1">
        <v>1</v>
      </c>
    </row>
    <row r="93" spans="1:7" x14ac:dyDescent="0.3">
      <c r="A93" s="1">
        <v>2</v>
      </c>
      <c r="B93" s="1">
        <v>1</v>
      </c>
      <c r="C93" s="1" t="s">
        <v>2</v>
      </c>
      <c r="D93" s="1">
        <v>20</v>
      </c>
      <c r="E93" s="1" t="s">
        <v>5</v>
      </c>
      <c r="F93" s="1">
        <v>50</v>
      </c>
      <c r="G93" s="1">
        <v>1</v>
      </c>
    </row>
    <row r="94" spans="1:7" x14ac:dyDescent="0.3">
      <c r="A94" s="1">
        <v>2</v>
      </c>
      <c r="B94" s="1">
        <v>1</v>
      </c>
      <c r="C94" s="1" t="s">
        <v>2</v>
      </c>
      <c r="D94" s="1">
        <v>12</v>
      </c>
      <c r="E94" s="1" t="s">
        <v>5</v>
      </c>
      <c r="F94" s="1">
        <v>73</v>
      </c>
      <c r="G94" s="1">
        <v>1</v>
      </c>
    </row>
    <row r="95" spans="1:7" x14ac:dyDescent="0.3">
      <c r="A95" s="1">
        <v>2</v>
      </c>
      <c r="B95" s="1">
        <v>1</v>
      </c>
      <c r="C95" s="1" t="s">
        <v>2</v>
      </c>
      <c r="D95" s="1">
        <v>21</v>
      </c>
      <c r="E95" s="1" t="s">
        <v>5</v>
      </c>
      <c r="F95" s="1">
        <v>51</v>
      </c>
      <c r="G95" s="1">
        <v>1</v>
      </c>
    </row>
    <row r="96" spans="1:7" x14ac:dyDescent="0.3">
      <c r="A96" s="1">
        <v>2</v>
      </c>
      <c r="B96" s="1">
        <v>1</v>
      </c>
      <c r="C96" s="1" t="s">
        <v>2</v>
      </c>
      <c r="D96" s="1">
        <v>45</v>
      </c>
      <c r="E96" s="1" t="s">
        <v>5</v>
      </c>
      <c r="F96" s="1">
        <v>20</v>
      </c>
      <c r="G96" s="1">
        <v>0</v>
      </c>
    </row>
    <row r="97" spans="1:7" x14ac:dyDescent="0.3">
      <c r="A97" s="1">
        <v>2</v>
      </c>
      <c r="B97" s="1">
        <v>1</v>
      </c>
      <c r="C97" s="1" t="s">
        <v>2</v>
      </c>
      <c r="D97" s="1">
        <v>7</v>
      </c>
      <c r="E97" s="1" t="s">
        <v>5</v>
      </c>
      <c r="F97" s="1">
        <v>70</v>
      </c>
      <c r="G97" s="1">
        <v>1</v>
      </c>
    </row>
    <row r="98" spans="1:7" x14ac:dyDescent="0.3">
      <c r="A98" s="1">
        <v>2</v>
      </c>
      <c r="B98" s="1">
        <v>1</v>
      </c>
      <c r="C98" s="1" t="s">
        <v>2</v>
      </c>
      <c r="D98" s="1">
        <v>12</v>
      </c>
      <c r="E98" s="1" t="s">
        <v>5</v>
      </c>
      <c r="F98" s="1">
        <v>91</v>
      </c>
      <c r="G98" s="1">
        <v>1</v>
      </c>
    </row>
    <row r="99" spans="1:7" x14ac:dyDescent="0.3">
      <c r="A99" s="1">
        <v>2</v>
      </c>
      <c r="B99" s="1">
        <v>1</v>
      </c>
      <c r="C99" s="1" t="s">
        <v>2</v>
      </c>
      <c r="D99" s="1">
        <v>19</v>
      </c>
      <c r="E99" s="1" t="s">
        <v>5</v>
      </c>
      <c r="F99" s="1">
        <v>38</v>
      </c>
      <c r="G99" s="1">
        <v>1</v>
      </c>
    </row>
    <row r="100" spans="1:7" x14ac:dyDescent="0.3">
      <c r="A100" s="1">
        <v>2</v>
      </c>
      <c r="B100" s="1">
        <v>1</v>
      </c>
      <c r="C100" s="1" t="s">
        <v>2</v>
      </c>
      <c r="D100" s="1">
        <v>8</v>
      </c>
      <c r="E100" s="1" t="s">
        <v>5</v>
      </c>
      <c r="F100" s="1">
        <v>38</v>
      </c>
      <c r="G100" s="1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F1C6A-312E-4DC2-9CD7-4D413FEAB644}">
  <dimension ref="A1:Q100"/>
  <sheetViews>
    <sheetView topLeftCell="G1" workbookViewId="0">
      <selection activeCell="N21" sqref="N21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2</v>
      </c>
      <c r="D1" s="1">
        <v>0</v>
      </c>
      <c r="E1" s="1" t="s">
        <v>6</v>
      </c>
      <c r="F1" s="1">
        <v>39</v>
      </c>
      <c r="G1" s="1">
        <v>1</v>
      </c>
      <c r="I1" s="2"/>
      <c r="J1" s="3"/>
      <c r="K1" s="4" t="s">
        <v>7</v>
      </c>
      <c r="L1" s="4"/>
      <c r="M1" s="5" t="s">
        <v>8</v>
      </c>
      <c r="N1" s="5"/>
      <c r="O1" s="5" t="s">
        <v>9</v>
      </c>
      <c r="P1" s="5"/>
      <c r="Q1"/>
    </row>
    <row r="2" spans="1:17" x14ac:dyDescent="0.3">
      <c r="A2" s="1">
        <v>2</v>
      </c>
      <c r="B2" s="1">
        <v>0</v>
      </c>
      <c r="C2" s="1" t="s">
        <v>2</v>
      </c>
      <c r="D2" s="1">
        <v>0</v>
      </c>
      <c r="E2" s="1" t="s">
        <v>6</v>
      </c>
      <c r="F2" s="1">
        <v>53</v>
      </c>
      <c r="G2" s="1">
        <v>1</v>
      </c>
      <c r="I2" s="6"/>
      <c r="J2" s="7"/>
      <c r="K2" s="4"/>
      <c r="L2" s="4"/>
      <c r="M2" s="5"/>
      <c r="N2" s="5"/>
      <c r="O2" s="5"/>
      <c r="P2" s="5"/>
      <c r="Q2" s="8" t="s">
        <v>10</v>
      </c>
    </row>
    <row r="3" spans="1:17" x14ac:dyDescent="0.3">
      <c r="A3" s="1">
        <v>2</v>
      </c>
      <c r="B3" s="1">
        <v>0</v>
      </c>
      <c r="C3" s="1" t="s">
        <v>2</v>
      </c>
      <c r="D3" s="1">
        <v>11</v>
      </c>
      <c r="E3" s="1" t="s">
        <v>6</v>
      </c>
      <c r="F3" s="1">
        <v>46</v>
      </c>
      <c r="G3" s="1">
        <v>1</v>
      </c>
      <c r="I3" s="5" t="s">
        <v>11</v>
      </c>
      <c r="J3" s="5"/>
      <c r="K3" s="9">
        <f>COUNTIF($G$1:$G$100, 0)</f>
        <v>5</v>
      </c>
      <c r="L3" s="9"/>
      <c r="M3" s="9">
        <f>COUNTIFS($G$1:$G$100, 0, $B$1:$B$100, 0)</f>
        <v>2</v>
      </c>
      <c r="N3" s="9"/>
      <c r="O3" s="10">
        <f>COUNTIFS($G$1:$G$100, 0, $B$1:$B$100, 1)</f>
        <v>3</v>
      </c>
      <c r="P3" s="11"/>
      <c r="Q3" s="12" cm="1">
        <f t="array" ref="Q3">SUMPRODUCT(--($D$1:$D$100=$G$1:$G$100))</f>
        <v>1</v>
      </c>
    </row>
    <row r="4" spans="1:17" x14ac:dyDescent="0.3">
      <c r="A4" s="1">
        <v>2</v>
      </c>
      <c r="B4" s="1">
        <v>0</v>
      </c>
      <c r="C4" s="1" t="s">
        <v>2</v>
      </c>
      <c r="D4" s="1">
        <v>21</v>
      </c>
      <c r="E4" s="1" t="s">
        <v>6</v>
      </c>
      <c r="F4" s="1">
        <v>37</v>
      </c>
      <c r="G4" s="1">
        <v>1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2</v>
      </c>
      <c r="D5" s="1">
        <v>20</v>
      </c>
      <c r="E5" s="1" t="s">
        <v>6</v>
      </c>
      <c r="F5" s="1">
        <v>57</v>
      </c>
      <c r="G5" s="1">
        <v>1</v>
      </c>
      <c r="I5" s="5" t="s">
        <v>12</v>
      </c>
      <c r="J5" s="5"/>
      <c r="K5" s="14">
        <f>COUNTIF($G$1:$G$100, 1)</f>
        <v>95</v>
      </c>
      <c r="L5" s="9"/>
      <c r="M5" s="9">
        <f>COUNTIFS($G$1:$G$100, 1, $B$1:$B$100, 0)</f>
        <v>48</v>
      </c>
      <c r="N5" s="9"/>
      <c r="O5" s="9">
        <f>COUNTIFS($G$1:$G$100, 1, $B$1:$B$100, 1)</f>
        <v>47</v>
      </c>
      <c r="P5" s="13"/>
      <c r="Q5"/>
    </row>
    <row r="6" spans="1:17" x14ac:dyDescent="0.3">
      <c r="A6" s="1">
        <v>2</v>
      </c>
      <c r="B6" s="1">
        <v>0</v>
      </c>
      <c r="C6" s="1" t="s">
        <v>2</v>
      </c>
      <c r="D6" s="1">
        <v>1</v>
      </c>
      <c r="E6" s="1" t="s">
        <v>6</v>
      </c>
      <c r="F6" s="1">
        <v>68</v>
      </c>
      <c r="G6" s="1">
        <v>1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2</v>
      </c>
      <c r="D7" s="1">
        <v>27</v>
      </c>
      <c r="E7" s="1" t="s">
        <v>6</v>
      </c>
      <c r="F7" s="1">
        <v>56</v>
      </c>
      <c r="G7" s="1">
        <v>1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2</v>
      </c>
      <c r="D8" s="1">
        <v>2</v>
      </c>
      <c r="E8" s="1" t="s">
        <v>6</v>
      </c>
      <c r="F8" s="1">
        <v>56</v>
      </c>
      <c r="G8" s="1">
        <v>1</v>
      </c>
      <c r="I8" s="19"/>
      <c r="J8" s="20"/>
      <c r="K8" s="21" t="s">
        <v>7</v>
      </c>
      <c r="L8" s="21"/>
      <c r="M8" s="21" t="s">
        <v>13</v>
      </c>
      <c r="N8" s="21"/>
      <c r="O8" s="21" t="s">
        <v>14</v>
      </c>
      <c r="P8" s="21"/>
      <c r="Q8"/>
    </row>
    <row r="9" spans="1:17" x14ac:dyDescent="0.3">
      <c r="A9" s="1">
        <v>2</v>
      </c>
      <c r="B9" s="1">
        <v>0</v>
      </c>
      <c r="C9" s="1" t="s">
        <v>2</v>
      </c>
      <c r="D9" s="1">
        <v>25</v>
      </c>
      <c r="E9" s="1" t="s">
        <v>6</v>
      </c>
      <c r="F9" s="1">
        <v>68</v>
      </c>
      <c r="G9" s="1">
        <v>1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2</v>
      </c>
      <c r="D10" s="1">
        <v>2</v>
      </c>
      <c r="E10" s="1" t="s">
        <v>6</v>
      </c>
      <c r="F10" s="1">
        <v>45</v>
      </c>
      <c r="G10" s="1">
        <v>1</v>
      </c>
      <c r="I10" s="5" t="s">
        <v>15</v>
      </c>
      <c r="J10" s="5"/>
      <c r="K10" s="9">
        <f>AVERAGE($D$1:$D$100,)</f>
        <v>10.831683168316832</v>
      </c>
      <c r="L10" s="9"/>
      <c r="M10" s="9" cm="1">
        <f t="array" ref="M10">AVERAGE(_xlfn._xlws.FILTER($D$1:$D$100,$G$1:$G$100 = 0))</f>
        <v>16.2</v>
      </c>
      <c r="N10" s="9"/>
      <c r="O10" s="10" cm="1">
        <f t="array" ref="O10">AVERAGE(_xlfn._xlws.FILTER($D$1:$D$100,$G$1:$G$100 = 1))</f>
        <v>10.663157894736843</v>
      </c>
      <c r="P10" s="11"/>
      <c r="Q10"/>
    </row>
    <row r="11" spans="1:17" x14ac:dyDescent="0.3">
      <c r="A11" s="1">
        <v>2</v>
      </c>
      <c r="B11" s="1">
        <v>0</v>
      </c>
      <c r="C11" s="1" t="s">
        <v>2</v>
      </c>
      <c r="D11" s="1">
        <v>2</v>
      </c>
      <c r="E11" s="1" t="s">
        <v>6</v>
      </c>
      <c r="F11" s="1">
        <v>32</v>
      </c>
      <c r="G11" s="1">
        <v>1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2</v>
      </c>
      <c r="D12" s="1">
        <v>4</v>
      </c>
      <c r="E12" s="1" t="s">
        <v>6</v>
      </c>
      <c r="F12" s="1">
        <v>43</v>
      </c>
      <c r="G12" s="1">
        <v>1</v>
      </c>
      <c r="I12" s="5" t="s">
        <v>16</v>
      </c>
      <c r="J12" s="5"/>
      <c r="K12" s="9">
        <f>AVERAGE($F$1:$F$100,)</f>
        <v>49.207920792079207</v>
      </c>
      <c r="L12" s="9"/>
      <c r="M12" s="9" cm="1">
        <f t="array" ref="M12">AVERAGE(_xlfn._xlws.FILTER($F$1:$F$100,$G$1:$G$100 = 0))</f>
        <v>12.2</v>
      </c>
      <c r="N12" s="9"/>
      <c r="O12" s="9" cm="1">
        <f t="array" ref="O12">AVERAGE(_xlfn._xlws.FILTER($F$1:$F$100,$G$1:$G$100 = 1))</f>
        <v>51.673684210526318</v>
      </c>
      <c r="P12" s="13"/>
      <c r="Q12"/>
    </row>
    <row r="13" spans="1:17" x14ac:dyDescent="0.3">
      <c r="A13" s="1">
        <v>2</v>
      </c>
      <c r="B13" s="1">
        <v>0</v>
      </c>
      <c r="C13" s="1" t="s">
        <v>2</v>
      </c>
      <c r="D13" s="1">
        <v>2</v>
      </c>
      <c r="E13" s="1" t="s">
        <v>6</v>
      </c>
      <c r="F13" s="1">
        <v>38</v>
      </c>
      <c r="G13" s="1">
        <v>1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2</v>
      </c>
      <c r="D14" s="1">
        <v>3</v>
      </c>
      <c r="E14" s="1" t="s">
        <v>6</v>
      </c>
      <c r="F14" s="1">
        <v>67</v>
      </c>
      <c r="G14" s="1">
        <v>1</v>
      </c>
      <c r="I14" s="22" t="s">
        <v>17</v>
      </c>
      <c r="J14" s="11"/>
      <c r="K14" s="23" cm="1">
        <f t="array" ref="K14">AVERAGE($D$1:$D$100 - $F$1:$F$100)</f>
        <v>-38.76</v>
      </c>
      <c r="L14" s="23"/>
      <c r="M14" s="23" cm="1">
        <f t="array" ref="M14">AVERAGE(_xlfn._xlws.FILTER($D$1:$D$100 - $F$1:$F$100, G$1:G$100 = 0))</f>
        <v>4</v>
      </c>
      <c r="N14" s="23"/>
      <c r="O14" s="23" cm="1">
        <f t="array" ref="O14">AVERAGE(_xlfn._xlws.FILTER($D$1:$D$100 - $F$1:$F$100, G$1:G$100 = 1))</f>
        <v>-41.010526315789477</v>
      </c>
      <c r="P14" s="24"/>
      <c r="Q14"/>
    </row>
    <row r="15" spans="1:17" x14ac:dyDescent="0.3">
      <c r="A15" s="1">
        <v>2</v>
      </c>
      <c r="B15" s="1">
        <v>0</v>
      </c>
      <c r="C15" s="1" t="s">
        <v>2</v>
      </c>
      <c r="D15" s="1">
        <v>21</v>
      </c>
      <c r="E15" s="1" t="s">
        <v>6</v>
      </c>
      <c r="F15" s="1">
        <v>54</v>
      </c>
      <c r="G15" s="1">
        <v>1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2</v>
      </c>
      <c r="D16" s="1">
        <v>2</v>
      </c>
      <c r="E16" s="1" t="s">
        <v>6</v>
      </c>
      <c r="F16" s="1">
        <v>46</v>
      </c>
      <c r="G16" s="1">
        <v>1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2</v>
      </c>
      <c r="D17" s="1">
        <v>2</v>
      </c>
      <c r="E17" s="1" t="s">
        <v>6</v>
      </c>
      <c r="F17" s="1">
        <v>27</v>
      </c>
      <c r="G17" s="1">
        <v>1</v>
      </c>
    </row>
    <row r="18" spans="1:7" x14ac:dyDescent="0.3">
      <c r="A18" s="1">
        <v>2</v>
      </c>
      <c r="B18" s="1">
        <v>0</v>
      </c>
      <c r="C18" s="1" t="s">
        <v>2</v>
      </c>
      <c r="D18" s="1">
        <v>12</v>
      </c>
      <c r="E18" s="1" t="s">
        <v>6</v>
      </c>
      <c r="F18" s="1">
        <v>64</v>
      </c>
      <c r="G18" s="1">
        <v>1</v>
      </c>
    </row>
    <row r="19" spans="1:7" x14ac:dyDescent="0.3">
      <c r="A19" s="1">
        <v>2</v>
      </c>
      <c r="B19" s="1">
        <v>0</v>
      </c>
      <c r="C19" s="1" t="s">
        <v>2</v>
      </c>
      <c r="D19" s="1">
        <v>23</v>
      </c>
      <c r="E19" s="1" t="s">
        <v>6</v>
      </c>
      <c r="F19" s="1">
        <v>45</v>
      </c>
      <c r="G19" s="1">
        <v>1</v>
      </c>
    </row>
    <row r="20" spans="1:7" x14ac:dyDescent="0.3">
      <c r="A20" s="1">
        <v>2</v>
      </c>
      <c r="B20" s="1">
        <v>0</v>
      </c>
      <c r="C20" s="1" t="s">
        <v>2</v>
      </c>
      <c r="D20" s="1">
        <v>21</v>
      </c>
      <c r="E20" s="1" t="s">
        <v>6</v>
      </c>
      <c r="F20" s="1">
        <v>57</v>
      </c>
      <c r="G20" s="1">
        <v>1</v>
      </c>
    </row>
    <row r="21" spans="1:7" x14ac:dyDescent="0.3">
      <c r="A21" s="1">
        <v>2</v>
      </c>
      <c r="B21" s="1">
        <v>0</v>
      </c>
      <c r="C21" s="1" t="s">
        <v>2</v>
      </c>
      <c r="D21" s="1">
        <v>26</v>
      </c>
      <c r="E21" s="1" t="s">
        <v>6</v>
      </c>
      <c r="F21" s="1">
        <v>57</v>
      </c>
      <c r="G21" s="1">
        <v>1</v>
      </c>
    </row>
    <row r="22" spans="1:7" x14ac:dyDescent="0.3">
      <c r="A22" s="1">
        <v>2</v>
      </c>
      <c r="B22" s="1">
        <v>0</v>
      </c>
      <c r="C22" s="1" t="s">
        <v>2</v>
      </c>
      <c r="D22" s="1">
        <v>11</v>
      </c>
      <c r="E22" s="1" t="s">
        <v>6</v>
      </c>
      <c r="F22" s="1">
        <v>39</v>
      </c>
      <c r="G22" s="1">
        <v>1</v>
      </c>
    </row>
    <row r="23" spans="1:7" x14ac:dyDescent="0.3">
      <c r="A23" s="1">
        <v>2</v>
      </c>
      <c r="B23" s="1">
        <v>0</v>
      </c>
      <c r="C23" s="1" t="s">
        <v>2</v>
      </c>
      <c r="D23" s="1">
        <v>16</v>
      </c>
      <c r="E23" s="1" t="s">
        <v>6</v>
      </c>
      <c r="F23" s="1">
        <v>70</v>
      </c>
      <c r="G23" s="1">
        <v>1</v>
      </c>
    </row>
    <row r="24" spans="1:7" x14ac:dyDescent="0.3">
      <c r="A24" s="1">
        <v>2</v>
      </c>
      <c r="B24" s="1">
        <v>0</v>
      </c>
      <c r="C24" s="1" t="s">
        <v>2</v>
      </c>
      <c r="D24" s="1">
        <v>20</v>
      </c>
      <c r="E24" s="1" t="s">
        <v>6</v>
      </c>
      <c r="F24" s="1">
        <v>72</v>
      </c>
      <c r="G24" s="1">
        <v>1</v>
      </c>
    </row>
    <row r="25" spans="1:7" x14ac:dyDescent="0.3">
      <c r="A25" s="1">
        <v>2</v>
      </c>
      <c r="B25" s="1">
        <v>0</v>
      </c>
      <c r="C25" s="1" t="s">
        <v>2</v>
      </c>
      <c r="D25" s="1">
        <v>5</v>
      </c>
      <c r="E25" s="1" t="s">
        <v>6</v>
      </c>
      <c r="F25" s="1">
        <v>79</v>
      </c>
      <c r="G25" s="1">
        <v>1</v>
      </c>
    </row>
    <row r="26" spans="1:7" x14ac:dyDescent="0.3">
      <c r="A26" s="1">
        <v>2</v>
      </c>
      <c r="B26" s="1">
        <v>0</v>
      </c>
      <c r="C26" s="1" t="s">
        <v>2</v>
      </c>
      <c r="D26" s="1">
        <v>2</v>
      </c>
      <c r="E26" s="1" t="s">
        <v>6</v>
      </c>
      <c r="F26" s="1">
        <v>76</v>
      </c>
      <c r="G26" s="1">
        <v>1</v>
      </c>
    </row>
    <row r="27" spans="1:7" x14ac:dyDescent="0.3">
      <c r="A27" s="1">
        <v>2</v>
      </c>
      <c r="B27" s="1">
        <v>0</v>
      </c>
      <c r="C27" s="1" t="s">
        <v>2</v>
      </c>
      <c r="D27" s="1">
        <v>9</v>
      </c>
      <c r="E27" s="1" t="s">
        <v>6</v>
      </c>
      <c r="F27" s="1">
        <v>53</v>
      </c>
      <c r="G27" s="1">
        <v>1</v>
      </c>
    </row>
    <row r="28" spans="1:7" x14ac:dyDescent="0.3">
      <c r="A28" s="1">
        <v>2</v>
      </c>
      <c r="B28" s="1">
        <v>0</v>
      </c>
      <c r="C28" s="1" t="s">
        <v>2</v>
      </c>
      <c r="D28" s="1">
        <v>4</v>
      </c>
      <c r="E28" s="1" t="s">
        <v>6</v>
      </c>
      <c r="F28" s="1">
        <v>52</v>
      </c>
      <c r="G28" s="1">
        <v>1</v>
      </c>
    </row>
    <row r="29" spans="1:7" x14ac:dyDescent="0.3">
      <c r="A29" s="1">
        <v>2</v>
      </c>
      <c r="B29" s="1">
        <v>0</v>
      </c>
      <c r="C29" s="1" t="s">
        <v>2</v>
      </c>
      <c r="D29" s="1">
        <v>31</v>
      </c>
      <c r="E29" s="1" t="s">
        <v>6</v>
      </c>
      <c r="F29" s="1">
        <v>52</v>
      </c>
      <c r="G29" s="1">
        <v>1</v>
      </c>
    </row>
    <row r="30" spans="1:7" x14ac:dyDescent="0.3">
      <c r="A30" s="1">
        <v>2</v>
      </c>
      <c r="B30" s="1">
        <v>0</v>
      </c>
      <c r="C30" s="1" t="s">
        <v>2</v>
      </c>
      <c r="D30" s="1">
        <v>0</v>
      </c>
      <c r="E30" s="1" t="s">
        <v>6</v>
      </c>
      <c r="F30" s="1">
        <v>67</v>
      </c>
      <c r="G30" s="1">
        <v>1</v>
      </c>
    </row>
    <row r="31" spans="1:7" x14ac:dyDescent="0.3">
      <c r="A31" s="1">
        <v>2</v>
      </c>
      <c r="B31" s="1">
        <v>0</v>
      </c>
      <c r="C31" s="1" t="s">
        <v>2</v>
      </c>
      <c r="D31" s="1">
        <v>2</v>
      </c>
      <c r="E31" s="1" t="s">
        <v>6</v>
      </c>
      <c r="F31" s="1">
        <v>66</v>
      </c>
      <c r="G31" s="1">
        <v>1</v>
      </c>
    </row>
    <row r="32" spans="1:7" x14ac:dyDescent="0.3">
      <c r="A32" s="1">
        <v>2</v>
      </c>
      <c r="B32" s="1">
        <v>0</v>
      </c>
      <c r="C32" s="1" t="s">
        <v>2</v>
      </c>
      <c r="D32" s="1">
        <v>19</v>
      </c>
      <c r="E32" s="1" t="s">
        <v>6</v>
      </c>
      <c r="F32" s="1">
        <v>40</v>
      </c>
      <c r="G32" s="1">
        <v>1</v>
      </c>
    </row>
    <row r="33" spans="1:7" x14ac:dyDescent="0.3">
      <c r="A33" s="1">
        <v>2</v>
      </c>
      <c r="B33" s="1">
        <v>0</v>
      </c>
      <c r="C33" s="1" t="s">
        <v>2</v>
      </c>
      <c r="D33" s="1">
        <v>8</v>
      </c>
      <c r="E33" s="1" t="s">
        <v>6</v>
      </c>
      <c r="F33" s="1">
        <v>79</v>
      </c>
      <c r="G33" s="1">
        <v>1</v>
      </c>
    </row>
    <row r="34" spans="1:7" x14ac:dyDescent="0.3">
      <c r="A34" s="1">
        <v>2</v>
      </c>
      <c r="B34" s="1">
        <v>0</v>
      </c>
      <c r="C34" s="1" t="s">
        <v>2</v>
      </c>
      <c r="D34" s="1">
        <v>7</v>
      </c>
      <c r="E34" s="1" t="s">
        <v>6</v>
      </c>
      <c r="F34" s="1">
        <v>43</v>
      </c>
      <c r="G34" s="1">
        <v>1</v>
      </c>
    </row>
    <row r="35" spans="1:7" x14ac:dyDescent="0.3">
      <c r="A35" s="1">
        <v>2</v>
      </c>
      <c r="B35" s="1">
        <v>0</v>
      </c>
      <c r="C35" s="1" t="s">
        <v>2</v>
      </c>
      <c r="D35" s="1">
        <v>26</v>
      </c>
      <c r="E35" s="1" t="s">
        <v>6</v>
      </c>
      <c r="F35" s="1">
        <v>75</v>
      </c>
      <c r="G35" s="1">
        <v>1</v>
      </c>
    </row>
    <row r="36" spans="1:7" x14ac:dyDescent="0.3">
      <c r="A36" s="1">
        <v>2</v>
      </c>
      <c r="B36" s="1">
        <v>0</v>
      </c>
      <c r="C36" s="1" t="s">
        <v>2</v>
      </c>
      <c r="D36" s="1">
        <v>2</v>
      </c>
      <c r="E36" s="1" t="s">
        <v>6</v>
      </c>
      <c r="F36" s="1">
        <v>55</v>
      </c>
      <c r="G36" s="1">
        <v>1</v>
      </c>
    </row>
    <row r="37" spans="1:7" x14ac:dyDescent="0.3">
      <c r="A37" s="1">
        <v>2</v>
      </c>
      <c r="B37" s="1">
        <v>0</v>
      </c>
      <c r="C37" s="1" t="s">
        <v>2</v>
      </c>
      <c r="D37" s="1">
        <v>5</v>
      </c>
      <c r="E37" s="1" t="s">
        <v>6</v>
      </c>
      <c r="F37" s="1">
        <v>72</v>
      </c>
      <c r="G37" s="1">
        <v>1</v>
      </c>
    </row>
    <row r="38" spans="1:7" x14ac:dyDescent="0.3">
      <c r="A38" s="1">
        <v>2</v>
      </c>
      <c r="B38" s="1">
        <v>0</v>
      </c>
      <c r="C38" s="1" t="s">
        <v>2</v>
      </c>
      <c r="D38" s="1">
        <v>0</v>
      </c>
      <c r="E38" s="1" t="s">
        <v>6</v>
      </c>
      <c r="F38" s="1">
        <v>34</v>
      </c>
      <c r="G38" s="1">
        <v>1</v>
      </c>
    </row>
    <row r="39" spans="1:7" x14ac:dyDescent="0.3">
      <c r="A39" s="1">
        <v>2</v>
      </c>
      <c r="B39" s="1">
        <v>0</v>
      </c>
      <c r="C39" s="1" t="s">
        <v>2</v>
      </c>
      <c r="D39" s="1">
        <v>2</v>
      </c>
      <c r="E39" s="1" t="s">
        <v>6</v>
      </c>
      <c r="F39" s="1">
        <v>56</v>
      </c>
      <c r="G39" s="1">
        <v>1</v>
      </c>
    </row>
    <row r="40" spans="1:7" x14ac:dyDescent="0.3">
      <c r="A40" s="1">
        <v>2</v>
      </c>
      <c r="B40" s="1">
        <v>0</v>
      </c>
      <c r="C40" s="1" t="s">
        <v>2</v>
      </c>
      <c r="D40" s="1">
        <v>7</v>
      </c>
      <c r="E40" s="1" t="s">
        <v>6</v>
      </c>
      <c r="F40" s="1">
        <v>7</v>
      </c>
      <c r="G40" s="1">
        <v>0</v>
      </c>
    </row>
    <row r="41" spans="1:7" x14ac:dyDescent="0.3">
      <c r="A41" s="1">
        <v>2</v>
      </c>
      <c r="B41" s="1">
        <v>0</v>
      </c>
      <c r="C41" s="1" t="s">
        <v>2</v>
      </c>
      <c r="D41" s="1">
        <v>28</v>
      </c>
      <c r="E41" s="1" t="s">
        <v>6</v>
      </c>
      <c r="F41" s="1">
        <v>49</v>
      </c>
      <c r="G41" s="1">
        <v>1</v>
      </c>
    </row>
    <row r="42" spans="1:7" x14ac:dyDescent="0.3">
      <c r="A42" s="1">
        <v>2</v>
      </c>
      <c r="B42" s="1">
        <v>0</v>
      </c>
      <c r="C42" s="1" t="s">
        <v>2</v>
      </c>
      <c r="D42" s="1">
        <v>2</v>
      </c>
      <c r="E42" s="1" t="s">
        <v>6</v>
      </c>
      <c r="F42" s="1">
        <v>62</v>
      </c>
      <c r="G42" s="1">
        <v>1</v>
      </c>
    </row>
    <row r="43" spans="1:7" x14ac:dyDescent="0.3">
      <c r="A43" s="1">
        <v>2</v>
      </c>
      <c r="B43" s="1">
        <v>0</v>
      </c>
      <c r="C43" s="1" t="s">
        <v>2</v>
      </c>
      <c r="D43" s="1">
        <v>7</v>
      </c>
      <c r="E43" s="1" t="s">
        <v>6</v>
      </c>
      <c r="F43" s="1">
        <v>54</v>
      </c>
      <c r="G43" s="1">
        <v>1</v>
      </c>
    </row>
    <row r="44" spans="1:7" x14ac:dyDescent="0.3">
      <c r="A44" s="1">
        <v>2</v>
      </c>
      <c r="B44" s="1">
        <v>0</v>
      </c>
      <c r="C44" s="1" t="s">
        <v>2</v>
      </c>
      <c r="D44" s="1">
        <v>16</v>
      </c>
      <c r="E44" s="1" t="s">
        <v>6</v>
      </c>
      <c r="F44" s="1">
        <v>10</v>
      </c>
      <c r="G44" s="1">
        <v>0</v>
      </c>
    </row>
    <row r="45" spans="1:7" x14ac:dyDescent="0.3">
      <c r="A45" s="1">
        <v>2</v>
      </c>
      <c r="B45" s="1">
        <v>0</v>
      </c>
      <c r="C45" s="1" t="s">
        <v>2</v>
      </c>
      <c r="D45" s="1">
        <v>26</v>
      </c>
      <c r="E45" s="1" t="s">
        <v>6</v>
      </c>
      <c r="F45" s="1">
        <v>39</v>
      </c>
      <c r="G45" s="1">
        <v>1</v>
      </c>
    </row>
    <row r="46" spans="1:7" x14ac:dyDescent="0.3">
      <c r="A46" s="1">
        <v>2</v>
      </c>
      <c r="B46" s="1">
        <v>0</v>
      </c>
      <c r="C46" s="1" t="s">
        <v>2</v>
      </c>
      <c r="D46" s="1">
        <v>2</v>
      </c>
      <c r="E46" s="1" t="s">
        <v>6</v>
      </c>
      <c r="F46" s="1">
        <v>74</v>
      </c>
      <c r="G46" s="1">
        <v>1</v>
      </c>
    </row>
    <row r="47" spans="1:7" x14ac:dyDescent="0.3">
      <c r="A47" s="1">
        <v>2</v>
      </c>
      <c r="B47" s="1">
        <v>0</v>
      </c>
      <c r="C47" s="1" t="s">
        <v>2</v>
      </c>
      <c r="D47" s="1">
        <v>3</v>
      </c>
      <c r="E47" s="1" t="s">
        <v>6</v>
      </c>
      <c r="F47" s="1">
        <v>67</v>
      </c>
      <c r="G47" s="1">
        <v>1</v>
      </c>
    </row>
    <row r="48" spans="1:7" x14ac:dyDescent="0.3">
      <c r="A48" s="1">
        <v>2</v>
      </c>
      <c r="B48" s="1">
        <v>0</v>
      </c>
      <c r="C48" s="1" t="s">
        <v>2</v>
      </c>
      <c r="D48" s="1">
        <v>23</v>
      </c>
      <c r="E48" s="1" t="s">
        <v>6</v>
      </c>
      <c r="F48" s="1">
        <v>49</v>
      </c>
      <c r="G48" s="1">
        <v>1</v>
      </c>
    </row>
    <row r="49" spans="1:7" x14ac:dyDescent="0.3">
      <c r="A49" s="1">
        <v>2</v>
      </c>
      <c r="B49" s="1">
        <v>0</v>
      </c>
      <c r="C49" s="1" t="s">
        <v>2</v>
      </c>
      <c r="D49" s="1">
        <v>4</v>
      </c>
      <c r="E49" s="1" t="s">
        <v>6</v>
      </c>
      <c r="F49" s="1">
        <v>48</v>
      </c>
      <c r="G49" s="1">
        <v>1</v>
      </c>
    </row>
    <row r="50" spans="1:7" x14ac:dyDescent="0.3">
      <c r="A50" s="1">
        <v>2</v>
      </c>
      <c r="B50" s="1">
        <v>0</v>
      </c>
      <c r="C50" s="1" t="s">
        <v>2</v>
      </c>
      <c r="D50" s="1">
        <v>2</v>
      </c>
      <c r="E50" s="1" t="s">
        <v>6</v>
      </c>
      <c r="F50" s="1">
        <v>40</v>
      </c>
      <c r="G50" s="1">
        <v>1</v>
      </c>
    </row>
    <row r="51" spans="1:7" x14ac:dyDescent="0.3">
      <c r="A51" s="1">
        <v>2</v>
      </c>
      <c r="B51" s="1">
        <v>1</v>
      </c>
      <c r="C51" s="1" t="s">
        <v>2</v>
      </c>
      <c r="D51" s="1">
        <v>6</v>
      </c>
      <c r="E51" s="1" t="s">
        <v>6</v>
      </c>
      <c r="F51" s="1">
        <v>29</v>
      </c>
      <c r="G51" s="1">
        <v>1</v>
      </c>
    </row>
    <row r="52" spans="1:7" x14ac:dyDescent="0.3">
      <c r="A52" s="1">
        <v>2</v>
      </c>
      <c r="B52" s="1">
        <v>1</v>
      </c>
      <c r="C52" s="1" t="s">
        <v>2</v>
      </c>
      <c r="D52" s="1">
        <v>2</v>
      </c>
      <c r="E52" s="1" t="s">
        <v>6</v>
      </c>
      <c r="F52" s="1">
        <v>73</v>
      </c>
      <c r="G52" s="1">
        <v>1</v>
      </c>
    </row>
    <row r="53" spans="1:7" x14ac:dyDescent="0.3">
      <c r="A53" s="1">
        <v>2</v>
      </c>
      <c r="B53" s="1">
        <v>1</v>
      </c>
      <c r="C53" s="1" t="s">
        <v>2</v>
      </c>
      <c r="D53" s="1">
        <v>26</v>
      </c>
      <c r="E53" s="1" t="s">
        <v>6</v>
      </c>
      <c r="F53" s="1">
        <v>39</v>
      </c>
      <c r="G53" s="1">
        <v>1</v>
      </c>
    </row>
    <row r="54" spans="1:7" x14ac:dyDescent="0.3">
      <c r="A54" s="1">
        <v>2</v>
      </c>
      <c r="B54" s="1">
        <v>1</v>
      </c>
      <c r="C54" s="1" t="s">
        <v>2</v>
      </c>
      <c r="D54" s="1">
        <v>27</v>
      </c>
      <c r="E54" s="1" t="s">
        <v>6</v>
      </c>
      <c r="F54" s="1">
        <v>54</v>
      </c>
      <c r="G54" s="1">
        <v>1</v>
      </c>
    </row>
    <row r="55" spans="1:7" x14ac:dyDescent="0.3">
      <c r="A55" s="1">
        <v>2</v>
      </c>
      <c r="B55" s="1">
        <v>1</v>
      </c>
      <c r="C55" s="1" t="s">
        <v>2</v>
      </c>
      <c r="D55" s="1">
        <v>16</v>
      </c>
      <c r="E55" s="1" t="s">
        <v>6</v>
      </c>
      <c r="F55" s="1">
        <v>20</v>
      </c>
      <c r="G55" s="1">
        <v>1</v>
      </c>
    </row>
    <row r="56" spans="1:7" x14ac:dyDescent="0.3">
      <c r="A56" s="1">
        <v>2</v>
      </c>
      <c r="B56" s="1">
        <v>1</v>
      </c>
      <c r="C56" s="1" t="s">
        <v>2</v>
      </c>
      <c r="D56" s="1">
        <v>6</v>
      </c>
      <c r="E56" s="1" t="s">
        <v>6</v>
      </c>
      <c r="F56" s="1">
        <v>58</v>
      </c>
      <c r="G56" s="1">
        <v>1</v>
      </c>
    </row>
    <row r="57" spans="1:7" x14ac:dyDescent="0.3">
      <c r="A57" s="1">
        <v>2</v>
      </c>
      <c r="B57" s="1">
        <v>1</v>
      </c>
      <c r="C57" s="1" t="s">
        <v>2</v>
      </c>
      <c r="D57" s="1">
        <v>20</v>
      </c>
      <c r="E57" s="1" t="s">
        <v>6</v>
      </c>
      <c r="F57" s="1">
        <v>17</v>
      </c>
      <c r="G57" s="1">
        <v>0</v>
      </c>
    </row>
    <row r="58" spans="1:7" x14ac:dyDescent="0.3">
      <c r="A58" s="1">
        <v>2</v>
      </c>
      <c r="B58" s="1">
        <v>1</v>
      </c>
      <c r="C58" s="1" t="s">
        <v>2</v>
      </c>
      <c r="D58" s="1">
        <v>9</v>
      </c>
      <c r="E58" s="1" t="s">
        <v>6</v>
      </c>
      <c r="F58" s="1">
        <v>47</v>
      </c>
      <c r="G58" s="1">
        <v>1</v>
      </c>
    </row>
    <row r="59" spans="1:7" x14ac:dyDescent="0.3">
      <c r="A59" s="1">
        <v>2</v>
      </c>
      <c r="B59" s="1">
        <v>1</v>
      </c>
      <c r="C59" s="1" t="s">
        <v>2</v>
      </c>
      <c r="D59" s="1">
        <v>2</v>
      </c>
      <c r="E59" s="1" t="s">
        <v>6</v>
      </c>
      <c r="F59" s="1">
        <v>38</v>
      </c>
      <c r="G59" s="1">
        <v>1</v>
      </c>
    </row>
    <row r="60" spans="1:7" x14ac:dyDescent="0.3">
      <c r="A60" s="1">
        <v>2</v>
      </c>
      <c r="B60" s="1">
        <v>1</v>
      </c>
      <c r="C60" s="1" t="s">
        <v>2</v>
      </c>
      <c r="D60" s="1">
        <v>7</v>
      </c>
      <c r="E60" s="1" t="s">
        <v>6</v>
      </c>
      <c r="F60" s="1">
        <v>70</v>
      </c>
      <c r="G60" s="1">
        <v>1</v>
      </c>
    </row>
    <row r="61" spans="1:7" x14ac:dyDescent="0.3">
      <c r="A61" s="1">
        <v>2</v>
      </c>
      <c r="B61" s="1">
        <v>1</v>
      </c>
      <c r="C61" s="1" t="s">
        <v>2</v>
      </c>
      <c r="D61" s="1">
        <v>13</v>
      </c>
      <c r="E61" s="1" t="s">
        <v>6</v>
      </c>
      <c r="F61" s="1">
        <v>50</v>
      </c>
      <c r="G61" s="1">
        <v>1</v>
      </c>
    </row>
    <row r="62" spans="1:7" x14ac:dyDescent="0.3">
      <c r="A62" s="1">
        <v>2</v>
      </c>
      <c r="B62" s="1">
        <v>1</v>
      </c>
      <c r="C62" s="1" t="s">
        <v>2</v>
      </c>
      <c r="D62" s="1">
        <v>6</v>
      </c>
      <c r="E62" s="1" t="s">
        <v>6</v>
      </c>
      <c r="F62" s="1">
        <v>20</v>
      </c>
      <c r="G62" s="1">
        <v>1</v>
      </c>
    </row>
    <row r="63" spans="1:7" x14ac:dyDescent="0.3">
      <c r="A63" s="1">
        <v>2</v>
      </c>
      <c r="B63" s="1">
        <v>1</v>
      </c>
      <c r="C63" s="1" t="s">
        <v>2</v>
      </c>
      <c r="D63" s="1">
        <v>16</v>
      </c>
      <c r="E63" s="1" t="s">
        <v>6</v>
      </c>
      <c r="F63" s="1">
        <v>14</v>
      </c>
      <c r="G63" s="1">
        <v>0</v>
      </c>
    </row>
    <row r="64" spans="1:7" x14ac:dyDescent="0.3">
      <c r="A64" s="1">
        <v>2</v>
      </c>
      <c r="B64" s="1">
        <v>1</v>
      </c>
      <c r="C64" s="1" t="s">
        <v>2</v>
      </c>
      <c r="D64" s="1">
        <v>13</v>
      </c>
      <c r="E64" s="1" t="s">
        <v>6</v>
      </c>
      <c r="F64" s="1">
        <v>18</v>
      </c>
      <c r="G64" s="1">
        <v>1</v>
      </c>
    </row>
    <row r="65" spans="1:7" x14ac:dyDescent="0.3">
      <c r="A65" s="1">
        <v>2</v>
      </c>
      <c r="B65" s="1">
        <v>1</v>
      </c>
      <c r="C65" s="1" t="s">
        <v>2</v>
      </c>
      <c r="D65" s="1">
        <v>25</v>
      </c>
      <c r="E65" s="1" t="s">
        <v>6</v>
      </c>
      <c r="F65" s="1">
        <v>35</v>
      </c>
      <c r="G65" s="1">
        <v>1</v>
      </c>
    </row>
    <row r="66" spans="1:7" x14ac:dyDescent="0.3">
      <c r="A66" s="1">
        <v>2</v>
      </c>
      <c r="B66" s="1">
        <v>1</v>
      </c>
      <c r="C66" s="1" t="s">
        <v>2</v>
      </c>
      <c r="D66" s="1">
        <v>7</v>
      </c>
      <c r="E66" s="1" t="s">
        <v>6</v>
      </c>
      <c r="F66" s="1">
        <v>54</v>
      </c>
      <c r="G66" s="1">
        <v>1</v>
      </c>
    </row>
    <row r="67" spans="1:7" x14ac:dyDescent="0.3">
      <c r="A67" s="1">
        <v>2</v>
      </c>
      <c r="B67" s="1">
        <v>1</v>
      </c>
      <c r="C67" s="1" t="s">
        <v>2</v>
      </c>
      <c r="D67" s="1">
        <v>13</v>
      </c>
      <c r="E67" s="1" t="s">
        <v>6</v>
      </c>
      <c r="F67" s="1">
        <v>66</v>
      </c>
      <c r="G67" s="1">
        <v>1</v>
      </c>
    </row>
    <row r="68" spans="1:7" x14ac:dyDescent="0.3">
      <c r="A68" s="1">
        <v>2</v>
      </c>
      <c r="B68" s="1">
        <v>1</v>
      </c>
      <c r="C68" s="1" t="s">
        <v>2</v>
      </c>
      <c r="D68" s="1">
        <v>7</v>
      </c>
      <c r="E68" s="1" t="s">
        <v>6</v>
      </c>
      <c r="F68" s="1">
        <v>70</v>
      </c>
      <c r="G68" s="1">
        <v>1</v>
      </c>
    </row>
    <row r="69" spans="1:7" x14ac:dyDescent="0.3">
      <c r="A69" s="1">
        <v>2</v>
      </c>
      <c r="B69" s="1">
        <v>1</v>
      </c>
      <c r="C69" s="1" t="s">
        <v>2</v>
      </c>
      <c r="D69" s="1">
        <v>16</v>
      </c>
      <c r="E69" s="1" t="s">
        <v>6</v>
      </c>
      <c r="F69" s="1">
        <v>35</v>
      </c>
      <c r="G69" s="1">
        <v>1</v>
      </c>
    </row>
    <row r="70" spans="1:7" x14ac:dyDescent="0.3">
      <c r="A70" s="1">
        <v>2</v>
      </c>
      <c r="B70" s="1">
        <v>1</v>
      </c>
      <c r="C70" s="1" t="s">
        <v>2</v>
      </c>
      <c r="D70" s="1">
        <v>7</v>
      </c>
      <c r="E70" s="1" t="s">
        <v>6</v>
      </c>
      <c r="F70" s="1">
        <v>73</v>
      </c>
      <c r="G70" s="1">
        <v>1</v>
      </c>
    </row>
    <row r="71" spans="1:7" x14ac:dyDescent="0.3">
      <c r="A71" s="1">
        <v>2</v>
      </c>
      <c r="B71" s="1">
        <v>1</v>
      </c>
      <c r="C71" s="1" t="s">
        <v>2</v>
      </c>
      <c r="D71" s="1">
        <v>19</v>
      </c>
      <c r="E71" s="1" t="s">
        <v>6</v>
      </c>
      <c r="F71" s="1">
        <v>60</v>
      </c>
      <c r="G71" s="1">
        <v>1</v>
      </c>
    </row>
    <row r="72" spans="1:7" x14ac:dyDescent="0.3">
      <c r="A72" s="1">
        <v>2</v>
      </c>
      <c r="B72" s="1">
        <v>1</v>
      </c>
      <c r="C72" s="1" t="s">
        <v>2</v>
      </c>
      <c r="D72" s="1">
        <v>13</v>
      </c>
      <c r="E72" s="1" t="s">
        <v>6</v>
      </c>
      <c r="F72" s="1">
        <v>47</v>
      </c>
      <c r="G72" s="1">
        <v>1</v>
      </c>
    </row>
    <row r="73" spans="1:7" x14ac:dyDescent="0.3">
      <c r="A73" s="1">
        <v>2</v>
      </c>
      <c r="B73" s="1">
        <v>1</v>
      </c>
      <c r="C73" s="1" t="s">
        <v>2</v>
      </c>
      <c r="D73" s="1">
        <v>2</v>
      </c>
      <c r="E73" s="1" t="s">
        <v>6</v>
      </c>
      <c r="F73" s="1">
        <v>49</v>
      </c>
      <c r="G73" s="1">
        <v>1</v>
      </c>
    </row>
    <row r="74" spans="1:7" x14ac:dyDescent="0.3">
      <c r="A74" s="1">
        <v>2</v>
      </c>
      <c r="B74" s="1">
        <v>1</v>
      </c>
      <c r="C74" s="1" t="s">
        <v>2</v>
      </c>
      <c r="D74" s="1">
        <v>8</v>
      </c>
      <c r="E74" s="1" t="s">
        <v>6</v>
      </c>
      <c r="F74" s="1">
        <v>40</v>
      </c>
      <c r="G74" s="1">
        <v>1</v>
      </c>
    </row>
    <row r="75" spans="1:7" x14ac:dyDescent="0.3">
      <c r="A75" s="1">
        <v>2</v>
      </c>
      <c r="B75" s="1">
        <v>1</v>
      </c>
      <c r="C75" s="1" t="s">
        <v>2</v>
      </c>
      <c r="D75" s="1">
        <v>15</v>
      </c>
      <c r="E75" s="1" t="s">
        <v>6</v>
      </c>
      <c r="F75" s="1">
        <v>47</v>
      </c>
      <c r="G75" s="1">
        <v>1</v>
      </c>
    </row>
    <row r="76" spans="1:7" x14ac:dyDescent="0.3">
      <c r="A76" s="1">
        <v>2</v>
      </c>
      <c r="B76" s="1">
        <v>1</v>
      </c>
      <c r="C76" s="1" t="s">
        <v>2</v>
      </c>
      <c r="D76" s="1">
        <v>17</v>
      </c>
      <c r="E76" s="1" t="s">
        <v>6</v>
      </c>
      <c r="F76" s="1">
        <v>68</v>
      </c>
      <c r="G76" s="1">
        <v>1</v>
      </c>
    </row>
    <row r="77" spans="1:7" x14ac:dyDescent="0.3">
      <c r="A77" s="1">
        <v>2</v>
      </c>
      <c r="B77" s="1">
        <v>1</v>
      </c>
      <c r="C77" s="1" t="s">
        <v>2</v>
      </c>
      <c r="D77" s="1">
        <v>2</v>
      </c>
      <c r="E77" s="1" t="s">
        <v>6</v>
      </c>
      <c r="F77" s="1">
        <v>45</v>
      </c>
      <c r="G77" s="1">
        <v>1</v>
      </c>
    </row>
    <row r="78" spans="1:7" x14ac:dyDescent="0.3">
      <c r="A78" s="1">
        <v>2</v>
      </c>
      <c r="B78" s="1">
        <v>1</v>
      </c>
      <c r="C78" s="1" t="s">
        <v>2</v>
      </c>
      <c r="D78" s="1">
        <v>19</v>
      </c>
      <c r="E78" s="1" t="s">
        <v>6</v>
      </c>
      <c r="F78" s="1">
        <v>71</v>
      </c>
      <c r="G78" s="1">
        <v>1</v>
      </c>
    </row>
    <row r="79" spans="1:7" x14ac:dyDescent="0.3">
      <c r="A79" s="1">
        <v>2</v>
      </c>
      <c r="B79" s="1">
        <v>1</v>
      </c>
      <c r="C79" s="1" t="s">
        <v>2</v>
      </c>
      <c r="D79" s="1">
        <v>21</v>
      </c>
      <c r="E79" s="1" t="s">
        <v>6</v>
      </c>
      <c r="F79" s="1">
        <v>48</v>
      </c>
      <c r="G79" s="1">
        <v>1</v>
      </c>
    </row>
    <row r="80" spans="1:7" x14ac:dyDescent="0.3">
      <c r="A80" s="1">
        <v>2</v>
      </c>
      <c r="B80" s="1">
        <v>1</v>
      </c>
      <c r="C80" s="1" t="s">
        <v>2</v>
      </c>
      <c r="D80" s="1">
        <v>0</v>
      </c>
      <c r="E80" s="1" t="s">
        <v>6</v>
      </c>
      <c r="F80" s="1">
        <v>61</v>
      </c>
      <c r="G80" s="1">
        <v>1</v>
      </c>
    </row>
    <row r="81" spans="1:7" x14ac:dyDescent="0.3">
      <c r="A81" s="1">
        <v>2</v>
      </c>
      <c r="B81" s="1">
        <v>1</v>
      </c>
      <c r="C81" s="1" t="s">
        <v>2</v>
      </c>
      <c r="D81" s="1">
        <v>2</v>
      </c>
      <c r="E81" s="1" t="s">
        <v>6</v>
      </c>
      <c r="F81" s="1">
        <v>66</v>
      </c>
      <c r="G81" s="1">
        <v>1</v>
      </c>
    </row>
    <row r="82" spans="1:7" x14ac:dyDescent="0.3">
      <c r="A82" s="1">
        <v>2</v>
      </c>
      <c r="B82" s="1">
        <v>1</v>
      </c>
      <c r="C82" s="1" t="s">
        <v>2</v>
      </c>
      <c r="D82" s="1">
        <v>6</v>
      </c>
      <c r="E82" s="1" t="s">
        <v>6</v>
      </c>
      <c r="F82" s="1">
        <v>42</v>
      </c>
      <c r="G82" s="1">
        <v>1</v>
      </c>
    </row>
    <row r="83" spans="1:7" x14ac:dyDescent="0.3">
      <c r="A83" s="1">
        <v>2</v>
      </c>
      <c r="B83" s="1">
        <v>1</v>
      </c>
      <c r="C83" s="1" t="s">
        <v>2</v>
      </c>
      <c r="D83" s="1">
        <v>10</v>
      </c>
      <c r="E83" s="1" t="s">
        <v>6</v>
      </c>
      <c r="F83" s="1">
        <v>20</v>
      </c>
      <c r="G83" s="1">
        <v>1</v>
      </c>
    </row>
    <row r="84" spans="1:7" x14ac:dyDescent="0.3">
      <c r="A84" s="1">
        <v>2</v>
      </c>
      <c r="B84" s="1">
        <v>1</v>
      </c>
      <c r="C84" s="1" t="s">
        <v>2</v>
      </c>
      <c r="D84" s="1">
        <v>2</v>
      </c>
      <c r="E84" s="1" t="s">
        <v>6</v>
      </c>
      <c r="F84" s="1">
        <v>40</v>
      </c>
      <c r="G84" s="1">
        <v>1</v>
      </c>
    </row>
    <row r="85" spans="1:7" x14ac:dyDescent="0.3">
      <c r="A85" s="1">
        <v>2</v>
      </c>
      <c r="B85" s="1">
        <v>1</v>
      </c>
      <c r="C85" s="1" t="s">
        <v>2</v>
      </c>
      <c r="D85" s="1">
        <v>30</v>
      </c>
      <c r="E85" s="1" t="s">
        <v>6</v>
      </c>
      <c r="F85" s="1">
        <v>57</v>
      </c>
      <c r="G85" s="1">
        <v>1</v>
      </c>
    </row>
    <row r="86" spans="1:7" x14ac:dyDescent="0.3">
      <c r="A86" s="1">
        <v>2</v>
      </c>
      <c r="B86" s="1">
        <v>1</v>
      </c>
      <c r="C86" s="1" t="s">
        <v>2</v>
      </c>
      <c r="D86" s="1">
        <v>0</v>
      </c>
      <c r="E86" s="1" t="s">
        <v>6</v>
      </c>
      <c r="F86" s="1">
        <v>50</v>
      </c>
      <c r="G86" s="1">
        <v>1</v>
      </c>
    </row>
    <row r="87" spans="1:7" x14ac:dyDescent="0.3">
      <c r="A87" s="1">
        <v>2</v>
      </c>
      <c r="B87" s="1">
        <v>1</v>
      </c>
      <c r="C87" s="1" t="s">
        <v>2</v>
      </c>
      <c r="D87" s="1">
        <v>2</v>
      </c>
      <c r="E87" s="1" t="s">
        <v>6</v>
      </c>
      <c r="F87" s="1">
        <v>52</v>
      </c>
      <c r="G87" s="1">
        <v>1</v>
      </c>
    </row>
    <row r="88" spans="1:7" x14ac:dyDescent="0.3">
      <c r="A88" s="1">
        <v>2</v>
      </c>
      <c r="B88" s="1">
        <v>1</v>
      </c>
      <c r="C88" s="1" t="s">
        <v>2</v>
      </c>
      <c r="D88" s="1">
        <v>2</v>
      </c>
      <c r="E88" s="1" t="s">
        <v>6</v>
      </c>
      <c r="F88" s="1">
        <v>52</v>
      </c>
      <c r="G88" s="1">
        <v>1</v>
      </c>
    </row>
    <row r="89" spans="1:7" x14ac:dyDescent="0.3">
      <c r="A89" s="1">
        <v>2</v>
      </c>
      <c r="B89" s="1">
        <v>1</v>
      </c>
      <c r="C89" s="1" t="s">
        <v>2</v>
      </c>
      <c r="D89" s="1">
        <v>9</v>
      </c>
      <c r="E89" s="1" t="s">
        <v>6</v>
      </c>
      <c r="F89" s="1">
        <v>26</v>
      </c>
      <c r="G89" s="1">
        <v>1</v>
      </c>
    </row>
    <row r="90" spans="1:7" x14ac:dyDescent="0.3">
      <c r="A90" s="1">
        <v>2</v>
      </c>
      <c r="B90" s="1">
        <v>1</v>
      </c>
      <c r="C90" s="1" t="s">
        <v>2</v>
      </c>
      <c r="D90" s="1">
        <v>21</v>
      </c>
      <c r="E90" s="1" t="s">
        <v>6</v>
      </c>
      <c r="F90" s="1">
        <v>33</v>
      </c>
      <c r="G90" s="1">
        <v>1</v>
      </c>
    </row>
    <row r="91" spans="1:7" x14ac:dyDescent="0.3">
      <c r="A91" s="1">
        <v>2</v>
      </c>
      <c r="B91" s="1">
        <v>1</v>
      </c>
      <c r="C91" s="1" t="s">
        <v>2</v>
      </c>
      <c r="D91" s="1">
        <v>36</v>
      </c>
      <c r="E91" s="1" t="s">
        <v>6</v>
      </c>
      <c r="F91" s="1">
        <v>89</v>
      </c>
      <c r="G91" s="1">
        <v>1</v>
      </c>
    </row>
    <row r="92" spans="1:7" x14ac:dyDescent="0.3">
      <c r="A92" s="1">
        <v>2</v>
      </c>
      <c r="B92" s="1">
        <v>1</v>
      </c>
      <c r="C92" s="1" t="s">
        <v>2</v>
      </c>
      <c r="D92" s="1">
        <v>14</v>
      </c>
      <c r="E92" s="1" t="s">
        <v>6</v>
      </c>
      <c r="F92" s="1">
        <v>65</v>
      </c>
      <c r="G92" s="1">
        <v>1</v>
      </c>
    </row>
    <row r="93" spans="1:7" x14ac:dyDescent="0.3">
      <c r="A93" s="1">
        <v>2</v>
      </c>
      <c r="B93" s="1">
        <v>1</v>
      </c>
      <c r="C93" s="1" t="s">
        <v>2</v>
      </c>
      <c r="D93" s="1">
        <v>3</v>
      </c>
      <c r="E93" s="1" t="s">
        <v>6</v>
      </c>
      <c r="F93" s="1">
        <v>36</v>
      </c>
      <c r="G93" s="1">
        <v>1</v>
      </c>
    </row>
    <row r="94" spans="1:7" x14ac:dyDescent="0.3">
      <c r="A94" s="1">
        <v>2</v>
      </c>
      <c r="B94" s="1">
        <v>1</v>
      </c>
      <c r="C94" s="1" t="s">
        <v>2</v>
      </c>
      <c r="D94" s="1">
        <v>7</v>
      </c>
      <c r="E94" s="1" t="s">
        <v>6</v>
      </c>
      <c r="F94" s="1">
        <v>48</v>
      </c>
      <c r="G94" s="1">
        <v>1</v>
      </c>
    </row>
    <row r="95" spans="1:7" x14ac:dyDescent="0.3">
      <c r="A95" s="1">
        <v>2</v>
      </c>
      <c r="B95" s="1">
        <v>1</v>
      </c>
      <c r="C95" s="1" t="s">
        <v>2</v>
      </c>
      <c r="D95" s="1">
        <v>0</v>
      </c>
      <c r="E95" s="1" t="s">
        <v>6</v>
      </c>
      <c r="F95" s="1">
        <v>44</v>
      </c>
      <c r="G95" s="1">
        <v>1</v>
      </c>
    </row>
    <row r="96" spans="1:7" x14ac:dyDescent="0.3">
      <c r="A96" s="1">
        <v>2</v>
      </c>
      <c r="B96" s="1">
        <v>1</v>
      </c>
      <c r="C96" s="1" t="s">
        <v>2</v>
      </c>
      <c r="D96" s="1">
        <v>6</v>
      </c>
      <c r="E96" s="1" t="s">
        <v>6</v>
      </c>
      <c r="F96" s="1">
        <v>49</v>
      </c>
      <c r="G96" s="1">
        <v>1</v>
      </c>
    </row>
    <row r="97" spans="1:7" x14ac:dyDescent="0.3">
      <c r="A97" s="1">
        <v>2</v>
      </c>
      <c r="B97" s="1">
        <v>1</v>
      </c>
      <c r="C97" s="1" t="s">
        <v>2</v>
      </c>
      <c r="D97" s="1">
        <v>26</v>
      </c>
      <c r="E97" s="1" t="s">
        <v>6</v>
      </c>
      <c r="F97" s="1">
        <v>37</v>
      </c>
      <c r="G97" s="1">
        <v>1</v>
      </c>
    </row>
    <row r="98" spans="1:7" x14ac:dyDescent="0.3">
      <c r="A98" s="1">
        <v>2</v>
      </c>
      <c r="B98" s="1">
        <v>1</v>
      </c>
      <c r="C98" s="1" t="s">
        <v>2</v>
      </c>
      <c r="D98" s="1">
        <v>2</v>
      </c>
      <c r="E98" s="1" t="s">
        <v>6</v>
      </c>
      <c r="F98" s="1">
        <v>66</v>
      </c>
      <c r="G98" s="1">
        <v>1</v>
      </c>
    </row>
    <row r="99" spans="1:7" x14ac:dyDescent="0.3">
      <c r="A99" s="1">
        <v>2</v>
      </c>
      <c r="B99" s="1">
        <v>1</v>
      </c>
      <c r="C99" s="1" t="s">
        <v>2</v>
      </c>
      <c r="D99" s="1">
        <v>18</v>
      </c>
      <c r="E99" s="1" t="s">
        <v>6</v>
      </c>
      <c r="F99" s="1">
        <v>35</v>
      </c>
      <c r="G99" s="1">
        <v>1</v>
      </c>
    </row>
    <row r="100" spans="1:7" x14ac:dyDescent="0.3">
      <c r="A100" s="1">
        <v>2</v>
      </c>
      <c r="B100" s="1">
        <v>1</v>
      </c>
      <c r="C100" s="1" t="s">
        <v>2</v>
      </c>
      <c r="D100" s="1">
        <v>22</v>
      </c>
      <c r="E100" s="1" t="s">
        <v>6</v>
      </c>
      <c r="F100" s="1">
        <v>13</v>
      </c>
      <c r="G100" s="1">
        <v>0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20593-3ED9-4023-A610-F2FBE4557CC3}">
  <dimension ref="A1:Q100"/>
  <sheetViews>
    <sheetView topLeftCell="G1" workbookViewId="0">
      <selection activeCell="L20" sqref="L20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3</v>
      </c>
      <c r="D1" s="1">
        <v>24</v>
      </c>
      <c r="E1" s="1" t="s">
        <v>5</v>
      </c>
      <c r="F1" s="1">
        <v>29</v>
      </c>
      <c r="G1" s="1">
        <v>1</v>
      </c>
      <c r="I1" s="2"/>
      <c r="J1" s="3"/>
      <c r="K1" s="4" t="s">
        <v>7</v>
      </c>
      <c r="L1" s="4"/>
      <c r="M1" s="5" t="s">
        <v>8</v>
      </c>
      <c r="N1" s="5"/>
      <c r="O1" s="5" t="s">
        <v>9</v>
      </c>
      <c r="P1" s="5"/>
      <c r="Q1"/>
    </row>
    <row r="2" spans="1:17" x14ac:dyDescent="0.3">
      <c r="A2" s="1">
        <v>2</v>
      </c>
      <c r="B2" s="1">
        <v>0</v>
      </c>
      <c r="C2" s="1" t="s">
        <v>3</v>
      </c>
      <c r="D2" s="1">
        <v>6</v>
      </c>
      <c r="E2" s="1" t="s">
        <v>5</v>
      </c>
      <c r="F2" s="1">
        <v>77</v>
      </c>
      <c r="G2" s="1">
        <v>1</v>
      </c>
      <c r="I2" s="6"/>
      <c r="J2" s="7"/>
      <c r="K2" s="4"/>
      <c r="L2" s="4"/>
      <c r="M2" s="5"/>
      <c r="N2" s="5"/>
      <c r="O2" s="5"/>
      <c r="P2" s="5"/>
      <c r="Q2" s="8" t="s">
        <v>10</v>
      </c>
    </row>
    <row r="3" spans="1:17" x14ac:dyDescent="0.3">
      <c r="A3" s="1">
        <v>2</v>
      </c>
      <c r="B3" s="1">
        <v>0</v>
      </c>
      <c r="C3" s="1" t="s">
        <v>3</v>
      </c>
      <c r="D3" s="1">
        <v>2</v>
      </c>
      <c r="E3" s="1" t="s">
        <v>5</v>
      </c>
      <c r="F3" s="1">
        <v>27</v>
      </c>
      <c r="G3" s="1">
        <v>1</v>
      </c>
      <c r="I3" s="5" t="s">
        <v>11</v>
      </c>
      <c r="J3" s="5"/>
      <c r="K3" s="9">
        <f>COUNTIF($G$1:$G$100, 0)</f>
        <v>46</v>
      </c>
      <c r="L3" s="9"/>
      <c r="M3" s="9">
        <f>COUNTIFS($G$1:$G$100, 0, $B$1:$B$100, 0)</f>
        <v>23</v>
      </c>
      <c r="N3" s="9"/>
      <c r="O3" s="10">
        <f>COUNTIFS($G$1:$G$100, 0, $B$1:$B$100, 1)</f>
        <v>23</v>
      </c>
      <c r="P3" s="11"/>
      <c r="Q3" s="12" cm="1">
        <f t="array" ref="Q3">SUMPRODUCT(--($D$1:$D$100=$G$1:$G$100))</f>
        <v>0</v>
      </c>
    </row>
    <row r="4" spans="1:17" x14ac:dyDescent="0.3">
      <c r="A4" s="1">
        <v>2</v>
      </c>
      <c r="B4" s="1">
        <v>0</v>
      </c>
      <c r="C4" s="1" t="s">
        <v>3</v>
      </c>
      <c r="D4" s="1">
        <v>47</v>
      </c>
      <c r="E4" s="1" t="s">
        <v>5</v>
      </c>
      <c r="F4" s="1">
        <v>31</v>
      </c>
      <c r="G4" s="1">
        <v>0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3</v>
      </c>
      <c r="D5" s="1">
        <v>21</v>
      </c>
      <c r="E5" s="1" t="s">
        <v>5</v>
      </c>
      <c r="F5" s="1">
        <v>39</v>
      </c>
      <c r="G5" s="1">
        <v>1</v>
      </c>
      <c r="I5" s="5" t="s">
        <v>12</v>
      </c>
      <c r="J5" s="5"/>
      <c r="K5" s="14">
        <f>COUNTIF($G$1:$G$100, 1)</f>
        <v>54</v>
      </c>
      <c r="L5" s="9"/>
      <c r="M5" s="9">
        <f>COUNTIFS($G$1:$G$100, 1, $B$1:$B$100, 0)</f>
        <v>27</v>
      </c>
      <c r="N5" s="9"/>
      <c r="O5" s="9">
        <f>COUNTIFS($G$1:$G$100, 1, $B$1:$B$100, 1)</f>
        <v>27</v>
      </c>
      <c r="P5" s="13"/>
      <c r="Q5"/>
    </row>
    <row r="6" spans="1:17" x14ac:dyDescent="0.3">
      <c r="A6" s="1">
        <v>2</v>
      </c>
      <c r="B6" s="1">
        <v>0</v>
      </c>
      <c r="C6" s="1" t="s">
        <v>3</v>
      </c>
      <c r="D6" s="1">
        <v>36</v>
      </c>
      <c r="E6" s="1" t="s">
        <v>5</v>
      </c>
      <c r="F6" s="1">
        <v>35</v>
      </c>
      <c r="G6" s="1">
        <v>0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3</v>
      </c>
      <c r="D7" s="1">
        <v>25</v>
      </c>
      <c r="E7" s="1" t="s">
        <v>5</v>
      </c>
      <c r="F7" s="1">
        <v>32</v>
      </c>
      <c r="G7" s="1">
        <v>1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3</v>
      </c>
      <c r="D8" s="1">
        <v>30</v>
      </c>
      <c r="E8" s="1" t="s">
        <v>5</v>
      </c>
      <c r="F8" s="1">
        <v>22</v>
      </c>
      <c r="G8" s="1">
        <v>0</v>
      </c>
      <c r="I8" s="19"/>
      <c r="J8" s="20"/>
      <c r="K8" s="21" t="s">
        <v>7</v>
      </c>
      <c r="L8" s="21"/>
      <c r="M8" s="21" t="s">
        <v>13</v>
      </c>
      <c r="N8" s="21"/>
      <c r="O8" s="21" t="s">
        <v>14</v>
      </c>
      <c r="P8" s="21"/>
      <c r="Q8"/>
    </row>
    <row r="9" spans="1:17" x14ac:dyDescent="0.3">
      <c r="A9" s="1">
        <v>2</v>
      </c>
      <c r="B9" s="1">
        <v>0</v>
      </c>
      <c r="C9" s="1" t="s">
        <v>3</v>
      </c>
      <c r="D9" s="1">
        <v>0</v>
      </c>
      <c r="E9" s="1" t="s">
        <v>5</v>
      </c>
      <c r="F9" s="1">
        <v>68</v>
      </c>
      <c r="G9" s="1">
        <v>1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3</v>
      </c>
      <c r="D10" s="1">
        <v>41</v>
      </c>
      <c r="E10" s="1" t="s">
        <v>5</v>
      </c>
      <c r="F10" s="1">
        <v>0</v>
      </c>
      <c r="G10" s="1">
        <v>0</v>
      </c>
      <c r="I10" s="5" t="s">
        <v>15</v>
      </c>
      <c r="J10" s="5"/>
      <c r="K10" s="9">
        <f>AVERAGE($D$1:$D$100,)</f>
        <v>23.346534653465348</v>
      </c>
      <c r="L10" s="9"/>
      <c r="M10" s="9" cm="1">
        <f t="array" ref="M10">AVERAGE(_xlfn._xlws.FILTER($D$1:$D$100,$G$1:$G$100 = 0))</f>
        <v>31.391304347826086</v>
      </c>
      <c r="N10" s="9"/>
      <c r="O10" s="10" cm="1">
        <f t="array" ref="O10">AVERAGE(_xlfn._xlws.FILTER($D$1:$D$100,$G$1:$G$100 = 1))</f>
        <v>16.925925925925927</v>
      </c>
      <c r="P10" s="11"/>
      <c r="Q10"/>
    </row>
    <row r="11" spans="1:17" x14ac:dyDescent="0.3">
      <c r="A11" s="1">
        <v>2</v>
      </c>
      <c r="B11" s="1">
        <v>0</v>
      </c>
      <c r="C11" s="1" t="s">
        <v>3</v>
      </c>
      <c r="D11" s="1">
        <v>21</v>
      </c>
      <c r="E11" s="1" t="s">
        <v>5</v>
      </c>
      <c r="F11" s="1">
        <v>34</v>
      </c>
      <c r="G11" s="1">
        <v>1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3</v>
      </c>
      <c r="D12" s="1">
        <v>11</v>
      </c>
      <c r="E12" s="1" t="s">
        <v>5</v>
      </c>
      <c r="F12" s="1">
        <v>12</v>
      </c>
      <c r="G12" s="1">
        <v>1</v>
      </c>
      <c r="I12" s="5" t="s">
        <v>16</v>
      </c>
      <c r="J12" s="5"/>
      <c r="K12" s="9">
        <f>AVERAGE($F$1:$F$100,)</f>
        <v>30.683168316831683</v>
      </c>
      <c r="L12" s="9"/>
      <c r="M12" s="9" cm="1">
        <f t="array" ref="M12">AVERAGE(_xlfn._xlws.FILTER($F$1:$F$100,$G$1:$G$100 = 0))</f>
        <v>19.021739130434781</v>
      </c>
      <c r="N12" s="9"/>
      <c r="O12" s="9" cm="1">
        <f t="array" ref="O12">AVERAGE(_xlfn._xlws.FILTER($F$1:$F$100,$G$1:$G$100 = 1))</f>
        <v>41.185185185185183</v>
      </c>
      <c r="P12" s="13"/>
      <c r="Q12"/>
    </row>
    <row r="13" spans="1:17" x14ac:dyDescent="0.3">
      <c r="A13" s="1">
        <v>2</v>
      </c>
      <c r="B13" s="1">
        <v>0</v>
      </c>
      <c r="C13" s="1" t="s">
        <v>3</v>
      </c>
      <c r="D13" s="1">
        <v>16</v>
      </c>
      <c r="E13" s="1" t="s">
        <v>5</v>
      </c>
      <c r="F13" s="1">
        <v>2</v>
      </c>
      <c r="G13" s="1">
        <v>0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3</v>
      </c>
      <c r="D14" s="1">
        <v>35</v>
      </c>
      <c r="E14" s="1" t="s">
        <v>5</v>
      </c>
      <c r="F14" s="1">
        <v>20</v>
      </c>
      <c r="G14" s="1">
        <v>0</v>
      </c>
      <c r="I14" s="22" t="s">
        <v>17</v>
      </c>
      <c r="J14" s="11"/>
      <c r="K14" s="23" cm="1">
        <f t="array" ref="K14">AVERAGE($D$1:$D$100 - $F$1:$F$100)</f>
        <v>-7.41</v>
      </c>
      <c r="L14" s="23"/>
      <c r="M14" s="23" cm="1">
        <f t="array" ref="M14">AVERAGE(_xlfn._xlws.FILTER($D$1:$D$100 - $F$1:$F$100, G$1:G$100 = 0))</f>
        <v>12.369565217391305</v>
      </c>
      <c r="N14" s="23"/>
      <c r="O14" s="23" cm="1">
        <f t="array" ref="O14">AVERAGE(_xlfn._xlws.FILTER($D$1:$D$100 - $F$1:$F$100, G$1:G$100 = 1))</f>
        <v>-24.25925925925926</v>
      </c>
      <c r="P14" s="24"/>
      <c r="Q14"/>
    </row>
    <row r="15" spans="1:17" x14ac:dyDescent="0.3">
      <c r="A15" s="1">
        <v>2</v>
      </c>
      <c r="B15" s="1">
        <v>0</v>
      </c>
      <c r="C15" s="1" t="s">
        <v>3</v>
      </c>
      <c r="D15" s="1">
        <v>12</v>
      </c>
      <c r="E15" s="1" t="s">
        <v>5</v>
      </c>
      <c r="F15" s="1">
        <v>39</v>
      </c>
      <c r="G15" s="1">
        <v>1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3</v>
      </c>
      <c r="D16" s="1">
        <v>8</v>
      </c>
      <c r="E16" s="1" t="s">
        <v>5</v>
      </c>
      <c r="F16" s="1">
        <v>28</v>
      </c>
      <c r="G16" s="1">
        <v>1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3</v>
      </c>
      <c r="D17" s="1">
        <v>16</v>
      </c>
      <c r="E17" s="1" t="s">
        <v>5</v>
      </c>
      <c r="F17" s="1">
        <v>39</v>
      </c>
      <c r="G17" s="1">
        <v>1</v>
      </c>
    </row>
    <row r="18" spans="1:7" x14ac:dyDescent="0.3">
      <c r="A18" s="1">
        <v>2</v>
      </c>
      <c r="B18" s="1">
        <v>0</v>
      </c>
      <c r="C18" s="1" t="s">
        <v>3</v>
      </c>
      <c r="D18" s="1">
        <v>16</v>
      </c>
      <c r="E18" s="1" t="s">
        <v>5</v>
      </c>
      <c r="F18" s="1">
        <v>49</v>
      </c>
      <c r="G18" s="1">
        <v>1</v>
      </c>
    </row>
    <row r="19" spans="1:7" x14ac:dyDescent="0.3">
      <c r="A19" s="1">
        <v>2</v>
      </c>
      <c r="B19" s="1">
        <v>0</v>
      </c>
      <c r="C19" s="1" t="s">
        <v>3</v>
      </c>
      <c r="D19" s="1">
        <v>12</v>
      </c>
      <c r="E19" s="1" t="s">
        <v>5</v>
      </c>
      <c r="F19" s="1">
        <v>0</v>
      </c>
      <c r="G19" s="1">
        <v>0</v>
      </c>
    </row>
    <row r="20" spans="1:7" x14ac:dyDescent="0.3">
      <c r="A20" s="1">
        <v>2</v>
      </c>
      <c r="B20" s="1">
        <v>0</v>
      </c>
      <c r="C20" s="1" t="s">
        <v>3</v>
      </c>
      <c r="D20" s="1">
        <v>53</v>
      </c>
      <c r="E20" s="1" t="s">
        <v>5</v>
      </c>
      <c r="F20" s="1">
        <v>30</v>
      </c>
      <c r="G20" s="1">
        <v>0</v>
      </c>
    </row>
    <row r="21" spans="1:7" x14ac:dyDescent="0.3">
      <c r="A21" s="1">
        <v>2</v>
      </c>
      <c r="B21" s="1">
        <v>0</v>
      </c>
      <c r="C21" s="1" t="s">
        <v>3</v>
      </c>
      <c r="D21" s="1">
        <v>13</v>
      </c>
      <c r="E21" s="1" t="s">
        <v>5</v>
      </c>
      <c r="F21" s="1">
        <v>60</v>
      </c>
      <c r="G21" s="1">
        <v>1</v>
      </c>
    </row>
    <row r="22" spans="1:7" x14ac:dyDescent="0.3">
      <c r="A22" s="1">
        <v>2</v>
      </c>
      <c r="B22" s="1">
        <v>0</v>
      </c>
      <c r="C22" s="1" t="s">
        <v>3</v>
      </c>
      <c r="D22" s="1">
        <v>34</v>
      </c>
      <c r="E22" s="1" t="s">
        <v>5</v>
      </c>
      <c r="F22" s="1">
        <v>17</v>
      </c>
      <c r="G22" s="1">
        <v>0</v>
      </c>
    </row>
    <row r="23" spans="1:7" x14ac:dyDescent="0.3">
      <c r="A23" s="1">
        <v>2</v>
      </c>
      <c r="B23" s="1">
        <v>0</v>
      </c>
      <c r="C23" s="1" t="s">
        <v>3</v>
      </c>
      <c r="D23" s="1">
        <v>27</v>
      </c>
      <c r="E23" s="1" t="s">
        <v>5</v>
      </c>
      <c r="F23" s="1">
        <v>16</v>
      </c>
      <c r="G23" s="1">
        <v>0</v>
      </c>
    </row>
    <row r="24" spans="1:7" x14ac:dyDescent="0.3">
      <c r="A24" s="1">
        <v>2</v>
      </c>
      <c r="B24" s="1">
        <v>0</v>
      </c>
      <c r="C24" s="1" t="s">
        <v>3</v>
      </c>
      <c r="D24" s="1">
        <v>13</v>
      </c>
      <c r="E24" s="1" t="s">
        <v>5</v>
      </c>
      <c r="F24" s="1">
        <v>51</v>
      </c>
      <c r="G24" s="1">
        <v>1</v>
      </c>
    </row>
    <row r="25" spans="1:7" x14ac:dyDescent="0.3">
      <c r="A25" s="1">
        <v>2</v>
      </c>
      <c r="B25" s="1">
        <v>0</v>
      </c>
      <c r="C25" s="1" t="s">
        <v>3</v>
      </c>
      <c r="D25" s="1">
        <v>43</v>
      </c>
      <c r="E25" s="1" t="s">
        <v>5</v>
      </c>
      <c r="F25" s="1">
        <v>54</v>
      </c>
      <c r="G25" s="1">
        <v>1</v>
      </c>
    </row>
    <row r="26" spans="1:7" x14ac:dyDescent="0.3">
      <c r="A26" s="1">
        <v>2</v>
      </c>
      <c r="B26" s="1">
        <v>0</v>
      </c>
      <c r="C26" s="1" t="s">
        <v>3</v>
      </c>
      <c r="D26" s="1">
        <v>19</v>
      </c>
      <c r="E26" s="1" t="s">
        <v>5</v>
      </c>
      <c r="F26" s="1">
        <v>24</v>
      </c>
      <c r="G26" s="1">
        <v>1</v>
      </c>
    </row>
    <row r="27" spans="1:7" x14ac:dyDescent="0.3">
      <c r="A27" s="1">
        <v>2</v>
      </c>
      <c r="B27" s="1">
        <v>0</v>
      </c>
      <c r="C27" s="1" t="s">
        <v>3</v>
      </c>
      <c r="D27" s="1">
        <v>39</v>
      </c>
      <c r="E27" s="1" t="s">
        <v>5</v>
      </c>
      <c r="F27" s="1">
        <v>0</v>
      </c>
      <c r="G27" s="1">
        <v>0</v>
      </c>
    </row>
    <row r="28" spans="1:7" x14ac:dyDescent="0.3">
      <c r="A28" s="1">
        <v>2</v>
      </c>
      <c r="B28" s="1">
        <v>0</v>
      </c>
      <c r="C28" s="1" t="s">
        <v>3</v>
      </c>
      <c r="D28" s="1">
        <v>32</v>
      </c>
      <c r="E28" s="1" t="s">
        <v>5</v>
      </c>
      <c r="F28" s="1">
        <v>15</v>
      </c>
      <c r="G28" s="1">
        <v>0</v>
      </c>
    </row>
    <row r="29" spans="1:7" x14ac:dyDescent="0.3">
      <c r="A29" s="1">
        <v>2</v>
      </c>
      <c r="B29" s="1">
        <v>0</v>
      </c>
      <c r="C29" s="1" t="s">
        <v>3</v>
      </c>
      <c r="D29" s="1">
        <v>39</v>
      </c>
      <c r="E29" s="1" t="s">
        <v>5</v>
      </c>
      <c r="F29" s="1">
        <v>37</v>
      </c>
      <c r="G29" s="1">
        <v>0</v>
      </c>
    </row>
    <row r="30" spans="1:7" x14ac:dyDescent="0.3">
      <c r="A30" s="1">
        <v>2</v>
      </c>
      <c r="B30" s="1">
        <v>0</v>
      </c>
      <c r="C30" s="1" t="s">
        <v>3</v>
      </c>
      <c r="D30" s="1">
        <v>26</v>
      </c>
      <c r="E30" s="1" t="s">
        <v>5</v>
      </c>
      <c r="F30" s="1">
        <v>38</v>
      </c>
      <c r="G30" s="1">
        <v>1</v>
      </c>
    </row>
    <row r="31" spans="1:7" x14ac:dyDescent="0.3">
      <c r="A31" s="1">
        <v>2</v>
      </c>
      <c r="B31" s="1">
        <v>0</v>
      </c>
      <c r="C31" s="1" t="s">
        <v>3</v>
      </c>
      <c r="D31" s="1">
        <v>30</v>
      </c>
      <c r="E31" s="1" t="s">
        <v>5</v>
      </c>
      <c r="F31" s="1">
        <v>18</v>
      </c>
      <c r="G31" s="1">
        <v>0</v>
      </c>
    </row>
    <row r="32" spans="1:7" x14ac:dyDescent="0.3">
      <c r="A32" s="1">
        <v>2</v>
      </c>
      <c r="B32" s="1">
        <v>0</v>
      </c>
      <c r="C32" s="1" t="s">
        <v>3</v>
      </c>
      <c r="D32" s="1">
        <v>37</v>
      </c>
      <c r="E32" s="1" t="s">
        <v>5</v>
      </c>
      <c r="F32" s="1">
        <v>31</v>
      </c>
      <c r="G32" s="1">
        <v>0</v>
      </c>
    </row>
    <row r="33" spans="1:7" x14ac:dyDescent="0.3">
      <c r="A33" s="1">
        <v>2</v>
      </c>
      <c r="B33" s="1">
        <v>0</v>
      </c>
      <c r="C33" s="1" t="s">
        <v>3</v>
      </c>
      <c r="D33" s="1">
        <v>23</v>
      </c>
      <c r="E33" s="1" t="s">
        <v>5</v>
      </c>
      <c r="F33" s="1">
        <v>25</v>
      </c>
      <c r="G33" s="1">
        <v>1</v>
      </c>
    </row>
    <row r="34" spans="1:7" x14ac:dyDescent="0.3">
      <c r="A34" s="1">
        <v>2</v>
      </c>
      <c r="B34" s="1">
        <v>0</v>
      </c>
      <c r="C34" s="1" t="s">
        <v>3</v>
      </c>
      <c r="D34" s="1">
        <v>28</v>
      </c>
      <c r="E34" s="1" t="s">
        <v>5</v>
      </c>
      <c r="F34" s="1">
        <v>22</v>
      </c>
      <c r="G34" s="1">
        <v>0</v>
      </c>
    </row>
    <row r="35" spans="1:7" x14ac:dyDescent="0.3">
      <c r="A35" s="1">
        <v>2</v>
      </c>
      <c r="B35" s="1">
        <v>0</v>
      </c>
      <c r="C35" s="1" t="s">
        <v>3</v>
      </c>
      <c r="D35" s="1">
        <v>14</v>
      </c>
      <c r="E35" s="1" t="s">
        <v>5</v>
      </c>
      <c r="F35" s="1">
        <v>0</v>
      </c>
      <c r="G35" s="1">
        <v>0</v>
      </c>
    </row>
    <row r="36" spans="1:7" x14ac:dyDescent="0.3">
      <c r="A36" s="1">
        <v>2</v>
      </c>
      <c r="B36" s="1">
        <v>0</v>
      </c>
      <c r="C36" s="1" t="s">
        <v>3</v>
      </c>
      <c r="D36" s="1">
        <v>14</v>
      </c>
      <c r="E36" s="1" t="s">
        <v>5</v>
      </c>
      <c r="F36" s="1">
        <v>37</v>
      </c>
      <c r="G36" s="1">
        <v>1</v>
      </c>
    </row>
    <row r="37" spans="1:7" x14ac:dyDescent="0.3">
      <c r="A37" s="1">
        <v>2</v>
      </c>
      <c r="B37" s="1">
        <v>0</v>
      </c>
      <c r="C37" s="1" t="s">
        <v>3</v>
      </c>
      <c r="D37" s="1">
        <v>53</v>
      </c>
      <c r="E37" s="1" t="s">
        <v>5</v>
      </c>
      <c r="F37" s="1">
        <v>24</v>
      </c>
      <c r="G37" s="1">
        <v>0</v>
      </c>
    </row>
    <row r="38" spans="1:7" x14ac:dyDescent="0.3">
      <c r="A38" s="1">
        <v>2</v>
      </c>
      <c r="B38" s="1">
        <v>0</v>
      </c>
      <c r="C38" s="1" t="s">
        <v>3</v>
      </c>
      <c r="D38" s="1">
        <v>17</v>
      </c>
      <c r="E38" s="1" t="s">
        <v>5</v>
      </c>
      <c r="F38" s="1">
        <v>59</v>
      </c>
      <c r="G38" s="1">
        <v>1</v>
      </c>
    </row>
    <row r="39" spans="1:7" x14ac:dyDescent="0.3">
      <c r="A39" s="1">
        <v>2</v>
      </c>
      <c r="B39" s="1">
        <v>0</v>
      </c>
      <c r="C39" s="1" t="s">
        <v>3</v>
      </c>
      <c r="D39" s="1">
        <v>31</v>
      </c>
      <c r="E39" s="1" t="s">
        <v>5</v>
      </c>
      <c r="F39" s="1">
        <v>41</v>
      </c>
      <c r="G39" s="1">
        <v>1</v>
      </c>
    </row>
    <row r="40" spans="1:7" x14ac:dyDescent="0.3">
      <c r="A40" s="1">
        <v>2</v>
      </c>
      <c r="B40" s="1">
        <v>0</v>
      </c>
      <c r="C40" s="1" t="s">
        <v>3</v>
      </c>
      <c r="D40" s="1">
        <v>27</v>
      </c>
      <c r="E40" s="1" t="s">
        <v>5</v>
      </c>
      <c r="F40" s="1">
        <v>20</v>
      </c>
      <c r="G40" s="1">
        <v>0</v>
      </c>
    </row>
    <row r="41" spans="1:7" x14ac:dyDescent="0.3">
      <c r="A41" s="1">
        <v>2</v>
      </c>
      <c r="B41" s="1">
        <v>0</v>
      </c>
      <c r="C41" s="1" t="s">
        <v>3</v>
      </c>
      <c r="D41" s="1">
        <v>30</v>
      </c>
      <c r="E41" s="1" t="s">
        <v>5</v>
      </c>
      <c r="F41" s="1">
        <v>34</v>
      </c>
      <c r="G41" s="1">
        <v>1</v>
      </c>
    </row>
    <row r="42" spans="1:7" x14ac:dyDescent="0.3">
      <c r="A42" s="1">
        <v>2</v>
      </c>
      <c r="B42" s="1">
        <v>0</v>
      </c>
      <c r="C42" s="1" t="s">
        <v>3</v>
      </c>
      <c r="D42" s="1">
        <v>25</v>
      </c>
      <c r="E42" s="1" t="s">
        <v>5</v>
      </c>
      <c r="F42" s="1">
        <v>15</v>
      </c>
      <c r="G42" s="1">
        <v>0</v>
      </c>
    </row>
    <row r="43" spans="1:7" x14ac:dyDescent="0.3">
      <c r="A43" s="1">
        <v>2</v>
      </c>
      <c r="B43" s="1">
        <v>0</v>
      </c>
      <c r="C43" s="1" t="s">
        <v>3</v>
      </c>
      <c r="D43" s="1">
        <v>12</v>
      </c>
      <c r="E43" s="1" t="s">
        <v>5</v>
      </c>
      <c r="F43" s="1">
        <v>6</v>
      </c>
      <c r="G43" s="1">
        <v>0</v>
      </c>
    </row>
    <row r="44" spans="1:7" x14ac:dyDescent="0.3">
      <c r="A44" s="1">
        <v>2</v>
      </c>
      <c r="B44" s="1">
        <v>0</v>
      </c>
      <c r="C44" s="1" t="s">
        <v>3</v>
      </c>
      <c r="D44" s="1">
        <v>35</v>
      </c>
      <c r="E44" s="1" t="s">
        <v>5</v>
      </c>
      <c r="F44" s="1">
        <v>29</v>
      </c>
      <c r="G44" s="1">
        <v>0</v>
      </c>
    </row>
    <row r="45" spans="1:7" x14ac:dyDescent="0.3">
      <c r="A45" s="1">
        <v>2</v>
      </c>
      <c r="B45" s="1">
        <v>0</v>
      </c>
      <c r="C45" s="1" t="s">
        <v>3</v>
      </c>
      <c r="D45" s="1">
        <v>2</v>
      </c>
      <c r="E45" s="1" t="s">
        <v>5</v>
      </c>
      <c r="F45" s="1">
        <v>45</v>
      </c>
      <c r="G45" s="1">
        <v>1</v>
      </c>
    </row>
    <row r="46" spans="1:7" x14ac:dyDescent="0.3">
      <c r="A46" s="1">
        <v>2</v>
      </c>
      <c r="B46" s="1">
        <v>0</v>
      </c>
      <c r="C46" s="1" t="s">
        <v>3</v>
      </c>
      <c r="D46" s="1">
        <v>3</v>
      </c>
      <c r="E46" s="1" t="s">
        <v>5</v>
      </c>
      <c r="F46" s="1">
        <v>34</v>
      </c>
      <c r="G46" s="1">
        <v>1</v>
      </c>
    </row>
    <row r="47" spans="1:7" x14ac:dyDescent="0.3">
      <c r="A47" s="1">
        <v>2</v>
      </c>
      <c r="B47" s="1">
        <v>0</v>
      </c>
      <c r="C47" s="1" t="s">
        <v>3</v>
      </c>
      <c r="D47" s="1">
        <v>30</v>
      </c>
      <c r="E47" s="1" t="s">
        <v>5</v>
      </c>
      <c r="F47" s="1">
        <v>12</v>
      </c>
      <c r="G47" s="1">
        <v>0</v>
      </c>
    </row>
    <row r="48" spans="1:7" x14ac:dyDescent="0.3">
      <c r="A48" s="1">
        <v>2</v>
      </c>
      <c r="B48" s="1">
        <v>0</v>
      </c>
      <c r="C48" s="1" t="s">
        <v>3</v>
      </c>
      <c r="D48" s="1">
        <v>3</v>
      </c>
      <c r="E48" s="1" t="s">
        <v>5</v>
      </c>
      <c r="F48" s="1">
        <v>39</v>
      </c>
      <c r="G48" s="1">
        <v>1</v>
      </c>
    </row>
    <row r="49" spans="1:7" x14ac:dyDescent="0.3">
      <c r="A49" s="1">
        <v>2</v>
      </c>
      <c r="B49" s="1">
        <v>0</v>
      </c>
      <c r="C49" s="1" t="s">
        <v>3</v>
      </c>
      <c r="D49" s="1">
        <v>0</v>
      </c>
      <c r="E49" s="1" t="s">
        <v>5</v>
      </c>
      <c r="F49" s="1">
        <v>7</v>
      </c>
      <c r="G49" s="1">
        <v>1</v>
      </c>
    </row>
    <row r="50" spans="1:7" x14ac:dyDescent="0.3">
      <c r="A50" s="1">
        <v>2</v>
      </c>
      <c r="B50" s="1">
        <v>0</v>
      </c>
      <c r="C50" s="1" t="s">
        <v>3</v>
      </c>
      <c r="D50" s="1">
        <v>32</v>
      </c>
      <c r="E50" s="1" t="s">
        <v>5</v>
      </c>
      <c r="F50" s="1">
        <v>64</v>
      </c>
      <c r="G50" s="1">
        <v>1</v>
      </c>
    </row>
    <row r="51" spans="1:7" x14ac:dyDescent="0.3">
      <c r="A51" s="1">
        <v>2</v>
      </c>
      <c r="B51" s="1">
        <v>1</v>
      </c>
      <c r="C51" s="1" t="s">
        <v>3</v>
      </c>
      <c r="D51" s="1">
        <v>31</v>
      </c>
      <c r="E51" s="1" t="s">
        <v>5</v>
      </c>
      <c r="F51" s="1">
        <v>33</v>
      </c>
      <c r="G51" s="1">
        <v>1</v>
      </c>
    </row>
    <row r="52" spans="1:7" x14ac:dyDescent="0.3">
      <c r="A52" s="1">
        <v>2</v>
      </c>
      <c r="B52" s="1">
        <v>1</v>
      </c>
      <c r="C52" s="1" t="s">
        <v>3</v>
      </c>
      <c r="D52" s="1">
        <v>31</v>
      </c>
      <c r="E52" s="1" t="s">
        <v>5</v>
      </c>
      <c r="F52" s="1">
        <v>31</v>
      </c>
      <c r="G52" s="1">
        <v>0</v>
      </c>
    </row>
    <row r="53" spans="1:7" x14ac:dyDescent="0.3">
      <c r="A53" s="1">
        <v>2</v>
      </c>
      <c r="B53" s="1">
        <v>1</v>
      </c>
      <c r="C53" s="1" t="s">
        <v>3</v>
      </c>
      <c r="D53" s="1">
        <v>46</v>
      </c>
      <c r="E53" s="1" t="s">
        <v>5</v>
      </c>
      <c r="F53" s="1">
        <v>15</v>
      </c>
      <c r="G53" s="1">
        <v>0</v>
      </c>
    </row>
    <row r="54" spans="1:7" x14ac:dyDescent="0.3">
      <c r="A54" s="1">
        <v>2</v>
      </c>
      <c r="B54" s="1">
        <v>1</v>
      </c>
      <c r="C54" s="1" t="s">
        <v>3</v>
      </c>
      <c r="D54" s="1">
        <v>22</v>
      </c>
      <c r="E54" s="1" t="s">
        <v>5</v>
      </c>
      <c r="F54" s="1">
        <v>13</v>
      </c>
      <c r="G54" s="1">
        <v>0</v>
      </c>
    </row>
    <row r="55" spans="1:7" x14ac:dyDescent="0.3">
      <c r="A55" s="1">
        <v>2</v>
      </c>
      <c r="B55" s="1">
        <v>1</v>
      </c>
      <c r="C55" s="1" t="s">
        <v>3</v>
      </c>
      <c r="D55" s="1">
        <v>34</v>
      </c>
      <c r="E55" s="1" t="s">
        <v>5</v>
      </c>
      <c r="F55" s="1">
        <v>21</v>
      </c>
      <c r="G55" s="1">
        <v>0</v>
      </c>
    </row>
    <row r="56" spans="1:7" x14ac:dyDescent="0.3">
      <c r="A56" s="1">
        <v>2</v>
      </c>
      <c r="B56" s="1">
        <v>1</v>
      </c>
      <c r="C56" s="1" t="s">
        <v>3</v>
      </c>
      <c r="D56" s="1">
        <v>26</v>
      </c>
      <c r="E56" s="1" t="s">
        <v>5</v>
      </c>
      <c r="F56" s="1">
        <v>26</v>
      </c>
      <c r="G56" s="1">
        <v>0</v>
      </c>
    </row>
    <row r="57" spans="1:7" x14ac:dyDescent="0.3">
      <c r="A57" s="1">
        <v>2</v>
      </c>
      <c r="B57" s="1">
        <v>1</v>
      </c>
      <c r="C57" s="1" t="s">
        <v>3</v>
      </c>
      <c r="D57" s="1">
        <v>8</v>
      </c>
      <c r="E57" s="1" t="s">
        <v>5</v>
      </c>
      <c r="F57" s="1">
        <v>39</v>
      </c>
      <c r="G57" s="1">
        <v>1</v>
      </c>
    </row>
    <row r="58" spans="1:7" x14ac:dyDescent="0.3">
      <c r="A58" s="1">
        <v>2</v>
      </c>
      <c r="B58" s="1">
        <v>1</v>
      </c>
      <c r="C58" s="1" t="s">
        <v>3</v>
      </c>
      <c r="D58" s="1">
        <v>39</v>
      </c>
      <c r="E58" s="1" t="s">
        <v>5</v>
      </c>
      <c r="F58" s="1">
        <v>20</v>
      </c>
      <c r="G58" s="1">
        <v>0</v>
      </c>
    </row>
    <row r="59" spans="1:7" x14ac:dyDescent="0.3">
      <c r="A59" s="1">
        <v>2</v>
      </c>
      <c r="B59" s="1">
        <v>1</v>
      </c>
      <c r="C59" s="1" t="s">
        <v>3</v>
      </c>
      <c r="D59" s="1">
        <v>19</v>
      </c>
      <c r="E59" s="1" t="s">
        <v>5</v>
      </c>
      <c r="F59" s="1">
        <v>52</v>
      </c>
      <c r="G59" s="1">
        <v>1</v>
      </c>
    </row>
    <row r="60" spans="1:7" x14ac:dyDescent="0.3">
      <c r="A60" s="1">
        <v>2</v>
      </c>
      <c r="B60" s="1">
        <v>1</v>
      </c>
      <c r="C60" s="1" t="s">
        <v>3</v>
      </c>
      <c r="D60" s="1">
        <v>2</v>
      </c>
      <c r="E60" s="1" t="s">
        <v>5</v>
      </c>
      <c r="F60" s="1">
        <v>77</v>
      </c>
      <c r="G60" s="1">
        <v>1</v>
      </c>
    </row>
    <row r="61" spans="1:7" x14ac:dyDescent="0.3">
      <c r="A61" s="1">
        <v>2</v>
      </c>
      <c r="B61" s="1">
        <v>1</v>
      </c>
      <c r="C61" s="1" t="s">
        <v>3</v>
      </c>
      <c r="D61" s="1">
        <v>40</v>
      </c>
      <c r="E61" s="1" t="s">
        <v>5</v>
      </c>
      <c r="F61" s="1">
        <v>28</v>
      </c>
      <c r="G61" s="1">
        <v>0</v>
      </c>
    </row>
    <row r="62" spans="1:7" x14ac:dyDescent="0.3">
      <c r="A62" s="1">
        <v>2</v>
      </c>
      <c r="B62" s="1">
        <v>1</v>
      </c>
      <c r="C62" s="1" t="s">
        <v>3</v>
      </c>
      <c r="D62" s="1">
        <v>25</v>
      </c>
      <c r="E62" s="1" t="s">
        <v>5</v>
      </c>
      <c r="F62" s="1">
        <v>20</v>
      </c>
      <c r="G62" s="1">
        <v>0</v>
      </c>
    </row>
    <row r="63" spans="1:7" x14ac:dyDescent="0.3">
      <c r="A63" s="1">
        <v>2</v>
      </c>
      <c r="B63" s="1">
        <v>1</v>
      </c>
      <c r="C63" s="1" t="s">
        <v>3</v>
      </c>
      <c r="D63" s="1">
        <v>31</v>
      </c>
      <c r="E63" s="1" t="s">
        <v>5</v>
      </c>
      <c r="F63" s="1">
        <v>37</v>
      </c>
      <c r="G63" s="1">
        <v>1</v>
      </c>
    </row>
    <row r="64" spans="1:7" x14ac:dyDescent="0.3">
      <c r="A64" s="1">
        <v>2</v>
      </c>
      <c r="B64" s="1">
        <v>1</v>
      </c>
      <c r="C64" s="1" t="s">
        <v>3</v>
      </c>
      <c r="D64" s="1">
        <v>17</v>
      </c>
      <c r="E64" s="1" t="s">
        <v>5</v>
      </c>
      <c r="F64" s="1">
        <v>54</v>
      </c>
      <c r="G64" s="1">
        <v>1</v>
      </c>
    </row>
    <row r="65" spans="1:7" x14ac:dyDescent="0.3">
      <c r="A65" s="1">
        <v>2</v>
      </c>
      <c r="B65" s="1">
        <v>1</v>
      </c>
      <c r="C65" s="1" t="s">
        <v>3</v>
      </c>
      <c r="D65" s="1">
        <v>40</v>
      </c>
      <c r="E65" s="1" t="s">
        <v>5</v>
      </c>
      <c r="F65" s="1">
        <v>4</v>
      </c>
      <c r="G65" s="1">
        <v>0</v>
      </c>
    </row>
    <row r="66" spans="1:7" x14ac:dyDescent="0.3">
      <c r="A66" s="1">
        <v>2</v>
      </c>
      <c r="B66" s="1">
        <v>1</v>
      </c>
      <c r="C66" s="1" t="s">
        <v>3</v>
      </c>
      <c r="D66" s="1">
        <v>20</v>
      </c>
      <c r="E66" s="1" t="s">
        <v>5</v>
      </c>
      <c r="F66" s="1">
        <v>45</v>
      </c>
      <c r="G66" s="1">
        <v>1</v>
      </c>
    </row>
    <row r="67" spans="1:7" x14ac:dyDescent="0.3">
      <c r="A67" s="1">
        <v>2</v>
      </c>
      <c r="B67" s="1">
        <v>1</v>
      </c>
      <c r="C67" s="1" t="s">
        <v>3</v>
      </c>
      <c r="D67" s="1">
        <v>33</v>
      </c>
      <c r="E67" s="1" t="s">
        <v>5</v>
      </c>
      <c r="F67" s="1">
        <v>15</v>
      </c>
      <c r="G67" s="1">
        <v>0</v>
      </c>
    </row>
    <row r="68" spans="1:7" x14ac:dyDescent="0.3">
      <c r="A68" s="1">
        <v>2</v>
      </c>
      <c r="B68" s="1">
        <v>1</v>
      </c>
      <c r="C68" s="1" t="s">
        <v>3</v>
      </c>
      <c r="D68" s="1">
        <v>28</v>
      </c>
      <c r="E68" s="1" t="s">
        <v>5</v>
      </c>
      <c r="F68" s="1">
        <v>29</v>
      </c>
      <c r="G68" s="1">
        <v>1</v>
      </c>
    </row>
    <row r="69" spans="1:7" x14ac:dyDescent="0.3">
      <c r="A69" s="1">
        <v>2</v>
      </c>
      <c r="B69" s="1">
        <v>1</v>
      </c>
      <c r="C69" s="1" t="s">
        <v>3</v>
      </c>
      <c r="D69" s="1">
        <v>19</v>
      </c>
      <c r="E69" s="1" t="s">
        <v>5</v>
      </c>
      <c r="F69" s="1">
        <v>18</v>
      </c>
      <c r="G69" s="1">
        <v>0</v>
      </c>
    </row>
    <row r="70" spans="1:7" x14ac:dyDescent="0.3">
      <c r="A70" s="1">
        <v>2</v>
      </c>
      <c r="B70" s="1">
        <v>1</v>
      </c>
      <c r="C70" s="1" t="s">
        <v>3</v>
      </c>
      <c r="D70" s="1">
        <v>12</v>
      </c>
      <c r="E70" s="1" t="s">
        <v>5</v>
      </c>
      <c r="F70" s="1">
        <v>10</v>
      </c>
      <c r="G70" s="1">
        <v>0</v>
      </c>
    </row>
    <row r="71" spans="1:7" x14ac:dyDescent="0.3">
      <c r="A71" s="1">
        <v>2</v>
      </c>
      <c r="B71" s="1">
        <v>1</v>
      </c>
      <c r="C71" s="1" t="s">
        <v>3</v>
      </c>
      <c r="D71" s="1">
        <v>2</v>
      </c>
      <c r="E71" s="1" t="s">
        <v>5</v>
      </c>
      <c r="F71" s="1">
        <v>6</v>
      </c>
      <c r="G71" s="1">
        <v>1</v>
      </c>
    </row>
    <row r="72" spans="1:7" x14ac:dyDescent="0.3">
      <c r="A72" s="1">
        <v>2</v>
      </c>
      <c r="B72" s="1">
        <v>1</v>
      </c>
      <c r="C72" s="1" t="s">
        <v>3</v>
      </c>
      <c r="D72" s="1">
        <v>21</v>
      </c>
      <c r="E72" s="1" t="s">
        <v>5</v>
      </c>
      <c r="F72" s="1">
        <v>33</v>
      </c>
      <c r="G72" s="1">
        <v>1</v>
      </c>
    </row>
    <row r="73" spans="1:7" x14ac:dyDescent="0.3">
      <c r="A73" s="1">
        <v>2</v>
      </c>
      <c r="B73" s="1">
        <v>1</v>
      </c>
      <c r="C73" s="1" t="s">
        <v>3</v>
      </c>
      <c r="D73" s="1">
        <v>29</v>
      </c>
      <c r="E73" s="1" t="s">
        <v>5</v>
      </c>
      <c r="F73" s="1">
        <v>6</v>
      </c>
      <c r="G73" s="1">
        <v>0</v>
      </c>
    </row>
    <row r="74" spans="1:7" x14ac:dyDescent="0.3">
      <c r="A74" s="1">
        <v>2</v>
      </c>
      <c r="B74" s="1">
        <v>1</v>
      </c>
      <c r="C74" s="1" t="s">
        <v>3</v>
      </c>
      <c r="D74" s="1">
        <v>22</v>
      </c>
      <c r="E74" s="1" t="s">
        <v>5</v>
      </c>
      <c r="F74" s="1">
        <v>30</v>
      </c>
      <c r="G74" s="1">
        <v>1</v>
      </c>
    </row>
    <row r="75" spans="1:7" x14ac:dyDescent="0.3">
      <c r="A75" s="1">
        <v>2</v>
      </c>
      <c r="B75" s="1">
        <v>1</v>
      </c>
      <c r="C75" s="1" t="s">
        <v>3</v>
      </c>
      <c r="D75" s="1">
        <v>33</v>
      </c>
      <c r="E75" s="1" t="s">
        <v>5</v>
      </c>
      <c r="F75" s="1">
        <v>33</v>
      </c>
      <c r="G75" s="1">
        <v>0</v>
      </c>
    </row>
    <row r="76" spans="1:7" x14ac:dyDescent="0.3">
      <c r="A76" s="1">
        <v>2</v>
      </c>
      <c r="B76" s="1">
        <v>1</v>
      </c>
      <c r="C76" s="1" t="s">
        <v>3</v>
      </c>
      <c r="D76" s="1">
        <v>16</v>
      </c>
      <c r="E76" s="1" t="s">
        <v>5</v>
      </c>
      <c r="F76" s="1">
        <v>45</v>
      </c>
      <c r="G76" s="1">
        <v>1</v>
      </c>
    </row>
    <row r="77" spans="1:7" x14ac:dyDescent="0.3">
      <c r="A77" s="1">
        <v>2</v>
      </c>
      <c r="B77" s="1">
        <v>1</v>
      </c>
      <c r="C77" s="1" t="s">
        <v>3</v>
      </c>
      <c r="D77" s="1">
        <v>28</v>
      </c>
      <c r="E77" s="1" t="s">
        <v>5</v>
      </c>
      <c r="F77" s="1">
        <v>20</v>
      </c>
      <c r="G77" s="1">
        <v>0</v>
      </c>
    </row>
    <row r="78" spans="1:7" x14ac:dyDescent="0.3">
      <c r="A78" s="1">
        <v>2</v>
      </c>
      <c r="B78" s="1">
        <v>1</v>
      </c>
      <c r="C78" s="1" t="s">
        <v>3</v>
      </c>
      <c r="D78" s="1">
        <v>21</v>
      </c>
      <c r="E78" s="1" t="s">
        <v>5</v>
      </c>
      <c r="F78" s="1">
        <v>46</v>
      </c>
      <c r="G78" s="1">
        <v>1</v>
      </c>
    </row>
    <row r="79" spans="1:7" x14ac:dyDescent="0.3">
      <c r="A79" s="1">
        <v>2</v>
      </c>
      <c r="B79" s="1">
        <v>1</v>
      </c>
      <c r="C79" s="1" t="s">
        <v>3</v>
      </c>
      <c r="D79" s="1">
        <v>30</v>
      </c>
      <c r="E79" s="1" t="s">
        <v>5</v>
      </c>
      <c r="F79" s="1">
        <v>43</v>
      </c>
      <c r="G79" s="1">
        <v>1</v>
      </c>
    </row>
    <row r="80" spans="1:7" x14ac:dyDescent="0.3">
      <c r="A80" s="1">
        <v>2</v>
      </c>
      <c r="B80" s="1">
        <v>1</v>
      </c>
      <c r="C80" s="1" t="s">
        <v>3</v>
      </c>
      <c r="D80" s="1">
        <v>28</v>
      </c>
      <c r="E80" s="1" t="s">
        <v>5</v>
      </c>
      <c r="F80" s="1">
        <v>27</v>
      </c>
      <c r="G80" s="1">
        <v>0</v>
      </c>
    </row>
    <row r="81" spans="1:7" x14ac:dyDescent="0.3">
      <c r="A81" s="1">
        <v>2</v>
      </c>
      <c r="B81" s="1">
        <v>1</v>
      </c>
      <c r="C81" s="1" t="s">
        <v>3</v>
      </c>
      <c r="D81" s="1">
        <v>33</v>
      </c>
      <c r="E81" s="1" t="s">
        <v>5</v>
      </c>
      <c r="F81" s="1">
        <v>15</v>
      </c>
      <c r="G81" s="1">
        <v>0</v>
      </c>
    </row>
    <row r="82" spans="1:7" x14ac:dyDescent="0.3">
      <c r="A82" s="1">
        <v>2</v>
      </c>
      <c r="B82" s="1">
        <v>1</v>
      </c>
      <c r="C82" s="1" t="s">
        <v>3</v>
      </c>
      <c r="D82" s="1">
        <v>32</v>
      </c>
      <c r="E82" s="1" t="s">
        <v>5</v>
      </c>
      <c r="F82" s="1">
        <v>31</v>
      </c>
      <c r="G82" s="1">
        <v>0</v>
      </c>
    </row>
    <row r="83" spans="1:7" x14ac:dyDescent="0.3">
      <c r="A83" s="1">
        <v>2</v>
      </c>
      <c r="B83" s="1">
        <v>1</v>
      </c>
      <c r="C83" s="1" t="s">
        <v>3</v>
      </c>
      <c r="D83" s="1">
        <v>25</v>
      </c>
      <c r="E83" s="1" t="s">
        <v>5</v>
      </c>
      <c r="F83" s="1">
        <v>16</v>
      </c>
      <c r="G83" s="1">
        <v>0</v>
      </c>
    </row>
    <row r="84" spans="1:7" x14ac:dyDescent="0.3">
      <c r="A84" s="1">
        <v>2</v>
      </c>
      <c r="B84" s="1">
        <v>1</v>
      </c>
      <c r="C84" s="1" t="s">
        <v>3</v>
      </c>
      <c r="D84" s="1">
        <v>44</v>
      </c>
      <c r="E84" s="1" t="s">
        <v>5</v>
      </c>
      <c r="F84" s="1">
        <v>25</v>
      </c>
      <c r="G84" s="1">
        <v>0</v>
      </c>
    </row>
    <row r="85" spans="1:7" x14ac:dyDescent="0.3">
      <c r="A85" s="1">
        <v>2</v>
      </c>
      <c r="B85" s="1">
        <v>1</v>
      </c>
      <c r="C85" s="1" t="s">
        <v>3</v>
      </c>
      <c r="D85" s="1">
        <v>3</v>
      </c>
      <c r="E85" s="1" t="s">
        <v>5</v>
      </c>
      <c r="F85" s="1">
        <v>65</v>
      </c>
      <c r="G85" s="1">
        <v>1</v>
      </c>
    </row>
    <row r="86" spans="1:7" x14ac:dyDescent="0.3">
      <c r="A86" s="1">
        <v>2</v>
      </c>
      <c r="B86" s="1">
        <v>1</v>
      </c>
      <c r="C86" s="1" t="s">
        <v>3</v>
      </c>
      <c r="D86" s="1">
        <v>33</v>
      </c>
      <c r="E86" s="1" t="s">
        <v>5</v>
      </c>
      <c r="F86" s="1">
        <v>47</v>
      </c>
      <c r="G86" s="1">
        <v>1</v>
      </c>
    </row>
    <row r="87" spans="1:7" x14ac:dyDescent="0.3">
      <c r="A87" s="1">
        <v>2</v>
      </c>
      <c r="B87" s="1">
        <v>1</v>
      </c>
      <c r="C87" s="1" t="s">
        <v>3</v>
      </c>
      <c r="D87" s="1">
        <v>40</v>
      </c>
      <c r="E87" s="1" t="s">
        <v>5</v>
      </c>
      <c r="F87" s="1">
        <v>51</v>
      </c>
      <c r="G87" s="1">
        <v>1</v>
      </c>
    </row>
    <row r="88" spans="1:7" x14ac:dyDescent="0.3">
      <c r="A88" s="1">
        <v>2</v>
      </c>
      <c r="B88" s="1">
        <v>1</v>
      </c>
      <c r="C88" s="1" t="s">
        <v>3</v>
      </c>
      <c r="D88" s="1">
        <v>10</v>
      </c>
      <c r="E88" s="1" t="s">
        <v>5</v>
      </c>
      <c r="F88" s="1">
        <v>36</v>
      </c>
      <c r="G88" s="1">
        <v>1</v>
      </c>
    </row>
    <row r="89" spans="1:7" x14ac:dyDescent="0.3">
      <c r="A89" s="1">
        <v>2</v>
      </c>
      <c r="B89" s="1">
        <v>1</v>
      </c>
      <c r="C89" s="1" t="s">
        <v>3</v>
      </c>
      <c r="D89" s="1">
        <v>18</v>
      </c>
      <c r="E89" s="1" t="s">
        <v>5</v>
      </c>
      <c r="F89" s="1">
        <v>30</v>
      </c>
      <c r="G89" s="1">
        <v>1</v>
      </c>
    </row>
    <row r="90" spans="1:7" x14ac:dyDescent="0.3">
      <c r="A90" s="1">
        <v>2</v>
      </c>
      <c r="B90" s="1">
        <v>1</v>
      </c>
      <c r="C90" s="1" t="s">
        <v>3</v>
      </c>
      <c r="D90" s="1">
        <v>17</v>
      </c>
      <c r="E90" s="1" t="s">
        <v>5</v>
      </c>
      <c r="F90" s="1">
        <v>44</v>
      </c>
      <c r="G90" s="1">
        <v>1</v>
      </c>
    </row>
    <row r="91" spans="1:7" x14ac:dyDescent="0.3">
      <c r="A91" s="1">
        <v>2</v>
      </c>
      <c r="B91" s="1">
        <v>1</v>
      </c>
      <c r="C91" s="1" t="s">
        <v>3</v>
      </c>
      <c r="D91" s="1">
        <v>2</v>
      </c>
      <c r="E91" s="1" t="s">
        <v>5</v>
      </c>
      <c r="F91" s="1">
        <v>44</v>
      </c>
      <c r="G91" s="1">
        <v>1</v>
      </c>
    </row>
    <row r="92" spans="1:7" x14ac:dyDescent="0.3">
      <c r="A92" s="1">
        <v>2</v>
      </c>
      <c r="B92" s="1">
        <v>1</v>
      </c>
      <c r="C92" s="1" t="s">
        <v>3</v>
      </c>
      <c r="D92" s="1">
        <v>9</v>
      </c>
      <c r="E92" s="1" t="s">
        <v>5</v>
      </c>
      <c r="F92" s="1">
        <v>12</v>
      </c>
      <c r="G92" s="1">
        <v>1</v>
      </c>
    </row>
    <row r="93" spans="1:7" x14ac:dyDescent="0.3">
      <c r="A93" s="1">
        <v>2</v>
      </c>
      <c r="B93" s="1">
        <v>1</v>
      </c>
      <c r="C93" s="1" t="s">
        <v>3</v>
      </c>
      <c r="D93" s="1">
        <v>26</v>
      </c>
      <c r="E93" s="1" t="s">
        <v>5</v>
      </c>
      <c r="F93" s="1">
        <v>40</v>
      </c>
      <c r="G93" s="1">
        <v>1</v>
      </c>
    </row>
    <row r="94" spans="1:7" x14ac:dyDescent="0.3">
      <c r="A94" s="1">
        <v>2</v>
      </c>
      <c r="B94" s="1">
        <v>1</v>
      </c>
      <c r="C94" s="1" t="s">
        <v>3</v>
      </c>
      <c r="D94" s="1">
        <v>26</v>
      </c>
      <c r="E94" s="1" t="s">
        <v>5</v>
      </c>
      <c r="F94" s="1">
        <v>66</v>
      </c>
      <c r="G94" s="1">
        <v>1</v>
      </c>
    </row>
    <row r="95" spans="1:7" x14ac:dyDescent="0.3">
      <c r="A95" s="1">
        <v>2</v>
      </c>
      <c r="B95" s="1">
        <v>1</v>
      </c>
      <c r="C95" s="1" t="s">
        <v>3</v>
      </c>
      <c r="D95" s="1">
        <v>15</v>
      </c>
      <c r="E95" s="1" t="s">
        <v>5</v>
      </c>
      <c r="F95" s="1">
        <v>31</v>
      </c>
      <c r="G95" s="1">
        <v>1</v>
      </c>
    </row>
    <row r="96" spans="1:7" x14ac:dyDescent="0.3">
      <c r="A96" s="1">
        <v>2</v>
      </c>
      <c r="B96" s="1">
        <v>1</v>
      </c>
      <c r="C96" s="1" t="s">
        <v>3</v>
      </c>
      <c r="D96" s="1">
        <v>9</v>
      </c>
      <c r="E96" s="1" t="s">
        <v>5</v>
      </c>
      <c r="F96" s="1">
        <v>64</v>
      </c>
      <c r="G96" s="1">
        <v>1</v>
      </c>
    </row>
    <row r="97" spans="1:7" x14ac:dyDescent="0.3">
      <c r="A97" s="1">
        <v>2</v>
      </c>
      <c r="B97" s="1">
        <v>1</v>
      </c>
      <c r="C97" s="1" t="s">
        <v>3</v>
      </c>
      <c r="D97" s="1">
        <v>24</v>
      </c>
      <c r="E97" s="1" t="s">
        <v>5</v>
      </c>
      <c r="F97" s="1">
        <v>22</v>
      </c>
      <c r="G97" s="1">
        <v>0</v>
      </c>
    </row>
    <row r="98" spans="1:7" x14ac:dyDescent="0.3">
      <c r="A98" s="1">
        <v>2</v>
      </c>
      <c r="B98" s="1">
        <v>1</v>
      </c>
      <c r="C98" s="1" t="s">
        <v>3</v>
      </c>
      <c r="D98" s="1">
        <v>31</v>
      </c>
      <c r="E98" s="1" t="s">
        <v>5</v>
      </c>
      <c r="F98" s="1">
        <v>31</v>
      </c>
      <c r="G98" s="1">
        <v>0</v>
      </c>
    </row>
    <row r="99" spans="1:7" x14ac:dyDescent="0.3">
      <c r="A99" s="1">
        <v>2</v>
      </c>
      <c r="B99" s="1">
        <v>1</v>
      </c>
      <c r="C99" s="1" t="s">
        <v>3</v>
      </c>
      <c r="D99" s="1">
        <v>38</v>
      </c>
      <c r="E99" s="1" t="s">
        <v>5</v>
      </c>
      <c r="F99" s="1">
        <v>26</v>
      </c>
      <c r="G99" s="1">
        <v>0</v>
      </c>
    </row>
    <row r="100" spans="1:7" x14ac:dyDescent="0.3">
      <c r="A100" s="1">
        <v>2</v>
      </c>
      <c r="B100" s="1">
        <v>1</v>
      </c>
      <c r="C100" s="1" t="s">
        <v>3</v>
      </c>
      <c r="D100" s="1">
        <v>7</v>
      </c>
      <c r="E100" s="1" t="s">
        <v>5</v>
      </c>
      <c r="F100" s="1">
        <v>40</v>
      </c>
      <c r="G100" s="1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71BAF-F70F-4900-9DEF-85A8D4CD8485}">
  <dimension ref="A1:Q100"/>
  <sheetViews>
    <sheetView workbookViewId="0">
      <selection activeCell="I1" sqref="I1:Q16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3</v>
      </c>
      <c r="D1" s="1">
        <v>49</v>
      </c>
      <c r="E1" s="1" t="s">
        <v>0</v>
      </c>
      <c r="F1" s="1">
        <v>51</v>
      </c>
      <c r="G1" s="1">
        <v>1</v>
      </c>
      <c r="I1" s="2"/>
      <c r="J1" s="3"/>
      <c r="K1" s="4" t="s">
        <v>7</v>
      </c>
      <c r="L1" s="4"/>
      <c r="M1" s="5" t="s">
        <v>8</v>
      </c>
      <c r="N1" s="5"/>
      <c r="O1" s="5" t="s">
        <v>9</v>
      </c>
      <c r="P1" s="5"/>
      <c r="Q1"/>
    </row>
    <row r="2" spans="1:17" x14ac:dyDescent="0.3">
      <c r="A2" s="1">
        <v>2</v>
      </c>
      <c r="B2" s="1">
        <v>0</v>
      </c>
      <c r="C2" s="1" t="s">
        <v>3</v>
      </c>
      <c r="D2" s="1">
        <v>26</v>
      </c>
      <c r="E2" s="1" t="s">
        <v>0</v>
      </c>
      <c r="F2" s="1">
        <v>53</v>
      </c>
      <c r="G2" s="1">
        <v>1</v>
      </c>
      <c r="I2" s="6"/>
      <c r="J2" s="7"/>
      <c r="K2" s="4"/>
      <c r="L2" s="4"/>
      <c r="M2" s="5"/>
      <c r="N2" s="5"/>
      <c r="O2" s="5"/>
      <c r="P2" s="5"/>
      <c r="Q2" s="8" t="s">
        <v>10</v>
      </c>
    </row>
    <row r="3" spans="1:17" x14ac:dyDescent="0.3">
      <c r="A3" s="1">
        <v>2</v>
      </c>
      <c r="B3" s="1">
        <v>0</v>
      </c>
      <c r="C3" s="1" t="s">
        <v>3</v>
      </c>
      <c r="D3" s="1">
        <v>24</v>
      </c>
      <c r="E3" s="1" t="s">
        <v>0</v>
      </c>
      <c r="F3" s="1">
        <v>31</v>
      </c>
      <c r="G3" s="1">
        <v>1</v>
      </c>
      <c r="I3" s="5" t="s">
        <v>11</v>
      </c>
      <c r="J3" s="5"/>
      <c r="K3" s="9">
        <f>COUNTIF($G$1:$G$100, 0)</f>
        <v>28</v>
      </c>
      <c r="L3" s="9"/>
      <c r="M3" s="9">
        <f>COUNTIFS($G$1:$G$100, 0, $B$1:$B$100, 0)</f>
        <v>17</v>
      </c>
      <c r="N3" s="9"/>
      <c r="O3" s="10">
        <f>COUNTIFS($G$1:$G$100, 0, $B$1:$B$100, 1)</f>
        <v>11</v>
      </c>
      <c r="P3" s="11"/>
      <c r="Q3" s="12" cm="1">
        <f t="array" ref="Q3">SUMPRODUCT(--($D$1:$D$100=$G$1:$G$100))</f>
        <v>0</v>
      </c>
    </row>
    <row r="4" spans="1:17" x14ac:dyDescent="0.3">
      <c r="A4" s="1">
        <v>2</v>
      </c>
      <c r="B4" s="1">
        <v>0</v>
      </c>
      <c r="C4" s="1" t="s">
        <v>3</v>
      </c>
      <c r="D4" s="1">
        <v>29</v>
      </c>
      <c r="E4" s="1" t="s">
        <v>0</v>
      </c>
      <c r="F4" s="1">
        <v>19</v>
      </c>
      <c r="G4" s="1">
        <v>0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3</v>
      </c>
      <c r="D5" s="1">
        <v>52</v>
      </c>
      <c r="E5" s="1" t="s">
        <v>0</v>
      </c>
      <c r="F5" s="1">
        <v>40</v>
      </c>
      <c r="G5" s="1">
        <v>0</v>
      </c>
      <c r="I5" s="5" t="s">
        <v>12</v>
      </c>
      <c r="J5" s="5"/>
      <c r="K5" s="14">
        <f>COUNTIF($G$1:$G$100, 1)</f>
        <v>72</v>
      </c>
      <c r="L5" s="9"/>
      <c r="M5" s="9">
        <f>COUNTIFS($G$1:$G$100, 1, $B$1:$B$100, 0)</f>
        <v>33</v>
      </c>
      <c r="N5" s="9"/>
      <c r="O5" s="9">
        <f>COUNTIFS($G$1:$G$100, 1, $B$1:$B$100, 1)</f>
        <v>39</v>
      </c>
      <c r="P5" s="13"/>
      <c r="Q5"/>
    </row>
    <row r="6" spans="1:17" x14ac:dyDescent="0.3">
      <c r="A6" s="1">
        <v>2</v>
      </c>
      <c r="B6" s="1">
        <v>0</v>
      </c>
      <c r="C6" s="1" t="s">
        <v>3</v>
      </c>
      <c r="D6" s="1">
        <v>29</v>
      </c>
      <c r="E6" s="1" t="s">
        <v>0</v>
      </c>
      <c r="F6" s="1">
        <v>26</v>
      </c>
      <c r="G6" s="1">
        <v>0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3</v>
      </c>
      <c r="D7" s="1">
        <v>19</v>
      </c>
      <c r="E7" s="1" t="s">
        <v>0</v>
      </c>
      <c r="F7" s="1">
        <v>24</v>
      </c>
      <c r="G7" s="1">
        <v>1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3</v>
      </c>
      <c r="D8" s="1">
        <v>38</v>
      </c>
      <c r="E8" s="1" t="s">
        <v>0</v>
      </c>
      <c r="F8" s="1">
        <v>24</v>
      </c>
      <c r="G8" s="1">
        <v>0</v>
      </c>
      <c r="I8" s="19"/>
      <c r="J8" s="20"/>
      <c r="K8" s="21" t="s">
        <v>7</v>
      </c>
      <c r="L8" s="21"/>
      <c r="M8" s="21" t="s">
        <v>13</v>
      </c>
      <c r="N8" s="21"/>
      <c r="O8" s="21" t="s">
        <v>14</v>
      </c>
      <c r="P8" s="21"/>
      <c r="Q8"/>
    </row>
    <row r="9" spans="1:17" x14ac:dyDescent="0.3">
      <c r="A9" s="1">
        <v>2</v>
      </c>
      <c r="B9" s="1">
        <v>0</v>
      </c>
      <c r="C9" s="1" t="s">
        <v>3</v>
      </c>
      <c r="D9" s="1">
        <v>26</v>
      </c>
      <c r="E9" s="1" t="s">
        <v>0</v>
      </c>
      <c r="F9" s="1">
        <v>43</v>
      </c>
      <c r="G9" s="1">
        <v>1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3</v>
      </c>
      <c r="D10" s="1">
        <v>35</v>
      </c>
      <c r="E10" s="1" t="s">
        <v>0</v>
      </c>
      <c r="F10" s="1">
        <v>24</v>
      </c>
      <c r="G10" s="1">
        <v>0</v>
      </c>
      <c r="I10" s="5" t="s">
        <v>15</v>
      </c>
      <c r="J10" s="5"/>
      <c r="K10" s="9">
        <f>AVERAGE($D$1:$D$100,)</f>
        <v>24.049504950495049</v>
      </c>
      <c r="L10" s="9"/>
      <c r="M10" s="9" cm="1">
        <f t="array" ref="M10">AVERAGE(_xlfn._xlws.FILTER($D$1:$D$100,$G$1:$G$100 = 0))</f>
        <v>30.964285714285715</v>
      </c>
      <c r="N10" s="9"/>
      <c r="O10" s="10" cm="1">
        <f t="array" ref="O10">AVERAGE(_xlfn._xlws.FILTER($D$1:$D$100,$G$1:$G$100 = 1))</f>
        <v>21.694444444444443</v>
      </c>
      <c r="P10" s="11"/>
      <c r="Q10"/>
    </row>
    <row r="11" spans="1:17" x14ac:dyDescent="0.3">
      <c r="A11" s="1">
        <v>2</v>
      </c>
      <c r="B11" s="1">
        <v>0</v>
      </c>
      <c r="C11" s="1" t="s">
        <v>3</v>
      </c>
      <c r="D11" s="1">
        <v>13</v>
      </c>
      <c r="E11" s="1" t="s">
        <v>0</v>
      </c>
      <c r="F11" s="1">
        <v>30</v>
      </c>
      <c r="G11" s="1">
        <v>1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3</v>
      </c>
      <c r="D12" s="1">
        <v>24</v>
      </c>
      <c r="E12" s="1" t="s">
        <v>0</v>
      </c>
      <c r="F12" s="1">
        <v>55</v>
      </c>
      <c r="G12" s="1">
        <v>1</v>
      </c>
      <c r="I12" s="5" t="s">
        <v>16</v>
      </c>
      <c r="J12" s="5"/>
      <c r="K12" s="9">
        <f>AVERAGE($F$1:$F$100,)</f>
        <v>35.277227722772274</v>
      </c>
      <c r="L12" s="9"/>
      <c r="M12" s="9" cm="1">
        <f t="array" ref="M12">AVERAGE(_xlfn._xlws.FILTER($F$1:$F$100,$G$1:$G$100 = 0))</f>
        <v>19.071428571428573</v>
      </c>
      <c r="N12" s="9"/>
      <c r="O12" s="9" cm="1">
        <f t="array" ref="O12">AVERAGE(_xlfn._xlws.FILTER($F$1:$F$100,$G$1:$G$100 = 1))</f>
        <v>42.069444444444443</v>
      </c>
      <c r="P12" s="13"/>
      <c r="Q12"/>
    </row>
    <row r="13" spans="1:17" x14ac:dyDescent="0.3">
      <c r="A13" s="1">
        <v>2</v>
      </c>
      <c r="B13" s="1">
        <v>0</v>
      </c>
      <c r="C13" s="1" t="s">
        <v>3</v>
      </c>
      <c r="D13" s="1">
        <v>11</v>
      </c>
      <c r="E13" s="1" t="s">
        <v>0</v>
      </c>
      <c r="F13" s="1">
        <v>29</v>
      </c>
      <c r="G13" s="1">
        <v>1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3</v>
      </c>
      <c r="D14" s="1">
        <v>14</v>
      </c>
      <c r="E14" s="1" t="s">
        <v>0</v>
      </c>
      <c r="F14" s="1">
        <v>49</v>
      </c>
      <c r="G14" s="1">
        <v>1</v>
      </c>
      <c r="I14" s="22" t="s">
        <v>17</v>
      </c>
      <c r="J14" s="11"/>
      <c r="K14" s="23" cm="1">
        <f t="array" ref="K14">AVERAGE($D$1:$D$100 - $F$1:$F$100)</f>
        <v>-11.34</v>
      </c>
      <c r="L14" s="23"/>
      <c r="M14" s="23" cm="1">
        <f t="array" ref="M14">AVERAGE(_xlfn._xlws.FILTER($D$1:$D$100 - $F$1:$F$100, G$1:G$100 = 0))</f>
        <v>11.892857142857142</v>
      </c>
      <c r="N14" s="23"/>
      <c r="O14" s="23" cm="1">
        <f t="array" ref="O14">AVERAGE(_xlfn._xlws.FILTER($D$1:$D$100 - $F$1:$F$100, G$1:G$100 = 1))</f>
        <v>-20.375</v>
      </c>
      <c r="P14" s="24"/>
      <c r="Q14"/>
    </row>
    <row r="15" spans="1:17" x14ac:dyDescent="0.3">
      <c r="A15" s="1">
        <v>2</v>
      </c>
      <c r="B15" s="1">
        <v>0</v>
      </c>
      <c r="C15" s="1" t="s">
        <v>3</v>
      </c>
      <c r="D15" s="1">
        <v>35</v>
      </c>
      <c r="E15" s="1" t="s">
        <v>0</v>
      </c>
      <c r="F15" s="1">
        <v>21</v>
      </c>
      <c r="G15" s="1">
        <v>0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3</v>
      </c>
      <c r="D16" s="1">
        <v>22</v>
      </c>
      <c r="E16" s="1" t="s">
        <v>0</v>
      </c>
      <c r="F16" s="1">
        <v>20</v>
      </c>
      <c r="G16" s="1">
        <v>0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3</v>
      </c>
      <c r="D17" s="1">
        <v>20</v>
      </c>
      <c r="E17" s="1" t="s">
        <v>0</v>
      </c>
      <c r="F17" s="1">
        <v>28</v>
      </c>
      <c r="G17" s="1">
        <v>1</v>
      </c>
    </row>
    <row r="18" spans="1:7" x14ac:dyDescent="0.3">
      <c r="A18" s="1">
        <v>2</v>
      </c>
      <c r="B18" s="1">
        <v>0</v>
      </c>
      <c r="C18" s="1" t="s">
        <v>3</v>
      </c>
      <c r="D18" s="1">
        <v>31</v>
      </c>
      <c r="E18" s="1" t="s">
        <v>0</v>
      </c>
      <c r="F18" s="1">
        <v>45</v>
      </c>
      <c r="G18" s="1">
        <v>1</v>
      </c>
    </row>
    <row r="19" spans="1:7" x14ac:dyDescent="0.3">
      <c r="A19" s="1">
        <v>2</v>
      </c>
      <c r="B19" s="1">
        <v>0</v>
      </c>
      <c r="C19" s="1" t="s">
        <v>3</v>
      </c>
      <c r="D19" s="1">
        <v>19</v>
      </c>
      <c r="E19" s="1" t="s">
        <v>0</v>
      </c>
      <c r="F19" s="1">
        <v>15</v>
      </c>
      <c r="G19" s="1">
        <v>0</v>
      </c>
    </row>
    <row r="20" spans="1:7" x14ac:dyDescent="0.3">
      <c r="A20" s="1">
        <v>2</v>
      </c>
      <c r="B20" s="1">
        <v>0</v>
      </c>
      <c r="C20" s="1" t="s">
        <v>3</v>
      </c>
      <c r="D20" s="1">
        <v>33</v>
      </c>
      <c r="E20" s="1" t="s">
        <v>0</v>
      </c>
      <c r="F20" s="1">
        <v>21</v>
      </c>
      <c r="G20" s="1">
        <v>0</v>
      </c>
    </row>
    <row r="21" spans="1:7" x14ac:dyDescent="0.3">
      <c r="A21" s="1">
        <v>2</v>
      </c>
      <c r="B21" s="1">
        <v>0</v>
      </c>
      <c r="C21" s="1" t="s">
        <v>3</v>
      </c>
      <c r="D21" s="1">
        <v>36</v>
      </c>
      <c r="E21" s="1" t="s">
        <v>0</v>
      </c>
      <c r="F21" s="1">
        <v>50</v>
      </c>
      <c r="G21" s="1">
        <v>1</v>
      </c>
    </row>
    <row r="22" spans="1:7" x14ac:dyDescent="0.3">
      <c r="A22" s="1">
        <v>2</v>
      </c>
      <c r="B22" s="1">
        <v>0</v>
      </c>
      <c r="C22" s="1" t="s">
        <v>3</v>
      </c>
      <c r="D22" s="1">
        <v>2</v>
      </c>
      <c r="E22" s="1" t="s">
        <v>0</v>
      </c>
      <c r="F22" s="1">
        <v>53</v>
      </c>
      <c r="G22" s="1">
        <v>1</v>
      </c>
    </row>
    <row r="23" spans="1:7" x14ac:dyDescent="0.3">
      <c r="A23" s="1">
        <v>2</v>
      </c>
      <c r="B23" s="1">
        <v>0</v>
      </c>
      <c r="C23" s="1" t="s">
        <v>3</v>
      </c>
      <c r="D23" s="1">
        <v>21</v>
      </c>
      <c r="E23" s="1" t="s">
        <v>0</v>
      </c>
      <c r="F23" s="1">
        <v>44</v>
      </c>
      <c r="G23" s="1">
        <v>1</v>
      </c>
    </row>
    <row r="24" spans="1:7" x14ac:dyDescent="0.3">
      <c r="A24" s="1">
        <v>2</v>
      </c>
      <c r="B24" s="1">
        <v>0</v>
      </c>
      <c r="C24" s="1" t="s">
        <v>3</v>
      </c>
      <c r="D24" s="1">
        <v>6</v>
      </c>
      <c r="E24" s="1" t="s">
        <v>0</v>
      </c>
      <c r="F24" s="1">
        <v>45</v>
      </c>
      <c r="G24" s="1">
        <v>1</v>
      </c>
    </row>
    <row r="25" spans="1:7" x14ac:dyDescent="0.3">
      <c r="A25" s="1">
        <v>2</v>
      </c>
      <c r="B25" s="1">
        <v>0</v>
      </c>
      <c r="C25" s="1" t="s">
        <v>3</v>
      </c>
      <c r="D25" s="1">
        <v>38</v>
      </c>
      <c r="E25" s="1" t="s">
        <v>0</v>
      </c>
      <c r="F25" s="1">
        <v>42</v>
      </c>
      <c r="G25" s="1">
        <v>1</v>
      </c>
    </row>
    <row r="26" spans="1:7" x14ac:dyDescent="0.3">
      <c r="A26" s="1">
        <v>2</v>
      </c>
      <c r="B26" s="1">
        <v>0</v>
      </c>
      <c r="C26" s="1" t="s">
        <v>3</v>
      </c>
      <c r="D26" s="1">
        <v>12</v>
      </c>
      <c r="E26" s="1" t="s">
        <v>0</v>
      </c>
      <c r="F26" s="1">
        <v>35</v>
      </c>
      <c r="G26" s="1">
        <v>1</v>
      </c>
    </row>
    <row r="27" spans="1:7" x14ac:dyDescent="0.3">
      <c r="A27" s="1">
        <v>2</v>
      </c>
      <c r="B27" s="1">
        <v>0</v>
      </c>
      <c r="C27" s="1" t="s">
        <v>3</v>
      </c>
      <c r="D27" s="1">
        <v>51</v>
      </c>
      <c r="E27" s="1" t="s">
        <v>0</v>
      </c>
      <c r="F27" s="1">
        <v>13</v>
      </c>
      <c r="G27" s="1">
        <v>0</v>
      </c>
    </row>
    <row r="28" spans="1:7" x14ac:dyDescent="0.3">
      <c r="A28" s="1">
        <v>2</v>
      </c>
      <c r="B28" s="1">
        <v>0</v>
      </c>
      <c r="C28" s="1" t="s">
        <v>3</v>
      </c>
      <c r="D28" s="1">
        <v>36</v>
      </c>
      <c r="E28" s="1" t="s">
        <v>0</v>
      </c>
      <c r="F28" s="1">
        <v>8</v>
      </c>
      <c r="G28" s="1">
        <v>0</v>
      </c>
    </row>
    <row r="29" spans="1:7" x14ac:dyDescent="0.3">
      <c r="A29" s="1">
        <v>2</v>
      </c>
      <c r="B29" s="1">
        <v>0</v>
      </c>
      <c r="C29" s="1" t="s">
        <v>3</v>
      </c>
      <c r="D29" s="1">
        <v>33</v>
      </c>
      <c r="E29" s="1" t="s">
        <v>0</v>
      </c>
      <c r="F29" s="1">
        <v>21</v>
      </c>
      <c r="G29" s="1">
        <v>0</v>
      </c>
    </row>
    <row r="30" spans="1:7" x14ac:dyDescent="0.3">
      <c r="A30" s="1">
        <v>2</v>
      </c>
      <c r="B30" s="1">
        <v>0</v>
      </c>
      <c r="C30" s="1" t="s">
        <v>3</v>
      </c>
      <c r="D30" s="1">
        <v>33</v>
      </c>
      <c r="E30" s="1" t="s">
        <v>0</v>
      </c>
      <c r="F30" s="1">
        <v>25</v>
      </c>
      <c r="G30" s="1">
        <v>0</v>
      </c>
    </row>
    <row r="31" spans="1:7" x14ac:dyDescent="0.3">
      <c r="A31" s="1">
        <v>2</v>
      </c>
      <c r="B31" s="1">
        <v>0</v>
      </c>
      <c r="C31" s="1" t="s">
        <v>3</v>
      </c>
      <c r="D31" s="1">
        <v>32</v>
      </c>
      <c r="E31" s="1" t="s">
        <v>0</v>
      </c>
      <c r="F31" s="1">
        <v>21</v>
      </c>
      <c r="G31" s="1">
        <v>0</v>
      </c>
    </row>
    <row r="32" spans="1:7" x14ac:dyDescent="0.3">
      <c r="A32" s="1">
        <v>2</v>
      </c>
      <c r="B32" s="1">
        <v>0</v>
      </c>
      <c r="C32" s="1" t="s">
        <v>3</v>
      </c>
      <c r="D32" s="1">
        <v>44</v>
      </c>
      <c r="E32" s="1" t="s">
        <v>0</v>
      </c>
      <c r="F32" s="1">
        <v>48</v>
      </c>
      <c r="G32" s="1">
        <v>1</v>
      </c>
    </row>
    <row r="33" spans="1:7" x14ac:dyDescent="0.3">
      <c r="A33" s="1">
        <v>2</v>
      </c>
      <c r="B33" s="1">
        <v>0</v>
      </c>
      <c r="C33" s="1" t="s">
        <v>3</v>
      </c>
      <c r="D33" s="1">
        <v>18</v>
      </c>
      <c r="E33" s="1" t="s">
        <v>0</v>
      </c>
      <c r="F33" s="1">
        <v>48</v>
      </c>
      <c r="G33" s="1">
        <v>1</v>
      </c>
    </row>
    <row r="34" spans="1:7" x14ac:dyDescent="0.3">
      <c r="A34" s="1">
        <v>2</v>
      </c>
      <c r="B34" s="1">
        <v>0</v>
      </c>
      <c r="C34" s="1" t="s">
        <v>3</v>
      </c>
      <c r="D34" s="1">
        <v>2</v>
      </c>
      <c r="E34" s="1" t="s">
        <v>0</v>
      </c>
      <c r="F34" s="1">
        <v>16</v>
      </c>
      <c r="G34" s="1">
        <v>1</v>
      </c>
    </row>
    <row r="35" spans="1:7" x14ac:dyDescent="0.3">
      <c r="A35" s="1">
        <v>2</v>
      </c>
      <c r="B35" s="1">
        <v>0</v>
      </c>
      <c r="C35" s="1" t="s">
        <v>3</v>
      </c>
      <c r="D35" s="1">
        <v>2</v>
      </c>
      <c r="E35" s="1" t="s">
        <v>0</v>
      </c>
      <c r="F35" s="1">
        <v>20</v>
      </c>
      <c r="G35" s="1">
        <v>1</v>
      </c>
    </row>
    <row r="36" spans="1:7" x14ac:dyDescent="0.3">
      <c r="A36" s="1">
        <v>2</v>
      </c>
      <c r="B36" s="1">
        <v>0</v>
      </c>
      <c r="C36" s="1" t="s">
        <v>3</v>
      </c>
      <c r="D36" s="1">
        <v>32</v>
      </c>
      <c r="E36" s="1" t="s">
        <v>0</v>
      </c>
      <c r="F36" s="1">
        <v>38</v>
      </c>
      <c r="G36" s="1">
        <v>1</v>
      </c>
    </row>
    <row r="37" spans="1:7" x14ac:dyDescent="0.3">
      <c r="A37" s="1">
        <v>2</v>
      </c>
      <c r="B37" s="1">
        <v>0</v>
      </c>
      <c r="C37" s="1" t="s">
        <v>3</v>
      </c>
      <c r="D37" s="1">
        <v>11</v>
      </c>
      <c r="E37" s="1" t="s">
        <v>0</v>
      </c>
      <c r="F37" s="1">
        <v>41</v>
      </c>
      <c r="G37" s="1">
        <v>1</v>
      </c>
    </row>
    <row r="38" spans="1:7" x14ac:dyDescent="0.3">
      <c r="A38" s="1">
        <v>2</v>
      </c>
      <c r="B38" s="1">
        <v>0</v>
      </c>
      <c r="C38" s="1" t="s">
        <v>3</v>
      </c>
      <c r="D38" s="1">
        <v>32</v>
      </c>
      <c r="E38" s="1" t="s">
        <v>0</v>
      </c>
      <c r="F38" s="1">
        <v>44</v>
      </c>
      <c r="G38" s="1">
        <v>1</v>
      </c>
    </row>
    <row r="39" spans="1:7" x14ac:dyDescent="0.3">
      <c r="A39" s="1">
        <v>2</v>
      </c>
      <c r="B39" s="1">
        <v>0</v>
      </c>
      <c r="C39" s="1" t="s">
        <v>3</v>
      </c>
      <c r="D39" s="1">
        <v>24</v>
      </c>
      <c r="E39" s="1" t="s">
        <v>0</v>
      </c>
      <c r="F39" s="1">
        <v>19</v>
      </c>
      <c r="G39" s="1">
        <v>0</v>
      </c>
    </row>
    <row r="40" spans="1:7" x14ac:dyDescent="0.3">
      <c r="A40" s="1">
        <v>2</v>
      </c>
      <c r="B40" s="1">
        <v>0</v>
      </c>
      <c r="C40" s="1" t="s">
        <v>3</v>
      </c>
      <c r="D40" s="1">
        <v>3</v>
      </c>
      <c r="E40" s="1" t="s">
        <v>0</v>
      </c>
      <c r="F40" s="1">
        <v>46</v>
      </c>
      <c r="G40" s="1">
        <v>1</v>
      </c>
    </row>
    <row r="41" spans="1:7" x14ac:dyDescent="0.3">
      <c r="A41" s="1">
        <v>2</v>
      </c>
      <c r="B41" s="1">
        <v>0</v>
      </c>
      <c r="C41" s="1" t="s">
        <v>3</v>
      </c>
      <c r="D41" s="1">
        <v>21</v>
      </c>
      <c r="E41" s="1" t="s">
        <v>0</v>
      </c>
      <c r="F41" s="1">
        <v>6</v>
      </c>
      <c r="G41" s="1">
        <v>0</v>
      </c>
    </row>
    <row r="42" spans="1:7" x14ac:dyDescent="0.3">
      <c r="A42" s="1">
        <v>2</v>
      </c>
      <c r="B42" s="1">
        <v>0</v>
      </c>
      <c r="C42" s="1" t="s">
        <v>3</v>
      </c>
      <c r="D42" s="1">
        <v>25</v>
      </c>
      <c r="E42" s="1" t="s">
        <v>0</v>
      </c>
      <c r="F42" s="1">
        <v>52</v>
      </c>
      <c r="G42" s="1">
        <v>1</v>
      </c>
    </row>
    <row r="43" spans="1:7" x14ac:dyDescent="0.3">
      <c r="A43" s="1">
        <v>2</v>
      </c>
      <c r="B43" s="1">
        <v>0</v>
      </c>
      <c r="C43" s="1" t="s">
        <v>3</v>
      </c>
      <c r="D43" s="1">
        <v>14</v>
      </c>
      <c r="E43" s="1" t="s">
        <v>0</v>
      </c>
      <c r="F43" s="1">
        <v>26</v>
      </c>
      <c r="G43" s="1">
        <v>1</v>
      </c>
    </row>
    <row r="44" spans="1:7" x14ac:dyDescent="0.3">
      <c r="A44" s="1">
        <v>2</v>
      </c>
      <c r="B44" s="1">
        <v>0</v>
      </c>
      <c r="C44" s="1" t="s">
        <v>3</v>
      </c>
      <c r="D44" s="1">
        <v>26</v>
      </c>
      <c r="E44" s="1" t="s">
        <v>0</v>
      </c>
      <c r="F44" s="1">
        <v>51</v>
      </c>
      <c r="G44" s="1">
        <v>1</v>
      </c>
    </row>
    <row r="45" spans="1:7" x14ac:dyDescent="0.3">
      <c r="A45" s="1">
        <v>2</v>
      </c>
      <c r="B45" s="1">
        <v>0</v>
      </c>
      <c r="C45" s="1" t="s">
        <v>3</v>
      </c>
      <c r="D45" s="1">
        <v>36</v>
      </c>
      <c r="E45" s="1" t="s">
        <v>0</v>
      </c>
      <c r="F45" s="1">
        <v>35</v>
      </c>
      <c r="G45" s="1">
        <v>0</v>
      </c>
    </row>
    <row r="46" spans="1:7" x14ac:dyDescent="0.3">
      <c r="A46" s="1">
        <v>2</v>
      </c>
      <c r="B46" s="1">
        <v>0</v>
      </c>
      <c r="C46" s="1" t="s">
        <v>3</v>
      </c>
      <c r="D46" s="1">
        <v>36</v>
      </c>
      <c r="E46" s="1" t="s">
        <v>0</v>
      </c>
      <c r="F46" s="1">
        <v>56</v>
      </c>
      <c r="G46" s="1">
        <v>1</v>
      </c>
    </row>
    <row r="47" spans="1:7" x14ac:dyDescent="0.3">
      <c r="A47" s="1">
        <v>2</v>
      </c>
      <c r="B47" s="1">
        <v>0</v>
      </c>
      <c r="C47" s="1" t="s">
        <v>3</v>
      </c>
      <c r="D47" s="1">
        <v>23</v>
      </c>
      <c r="E47" s="1" t="s">
        <v>0</v>
      </c>
      <c r="F47" s="1">
        <v>30</v>
      </c>
      <c r="G47" s="1">
        <v>1</v>
      </c>
    </row>
    <row r="48" spans="1:7" x14ac:dyDescent="0.3">
      <c r="A48" s="1">
        <v>2</v>
      </c>
      <c r="B48" s="1">
        <v>0</v>
      </c>
      <c r="C48" s="1" t="s">
        <v>3</v>
      </c>
      <c r="D48" s="1">
        <v>4</v>
      </c>
      <c r="E48" s="1" t="s">
        <v>0</v>
      </c>
      <c r="F48" s="1">
        <v>9</v>
      </c>
      <c r="G48" s="1">
        <v>1</v>
      </c>
    </row>
    <row r="49" spans="1:7" x14ac:dyDescent="0.3">
      <c r="A49" s="1">
        <v>2</v>
      </c>
      <c r="B49" s="1">
        <v>0</v>
      </c>
      <c r="C49" s="1" t="s">
        <v>3</v>
      </c>
      <c r="D49" s="1">
        <v>29</v>
      </c>
      <c r="E49" s="1" t="s">
        <v>0</v>
      </c>
      <c r="F49" s="1">
        <v>60</v>
      </c>
      <c r="G49" s="1">
        <v>1</v>
      </c>
    </row>
    <row r="50" spans="1:7" x14ac:dyDescent="0.3">
      <c r="A50" s="1">
        <v>2</v>
      </c>
      <c r="B50" s="1">
        <v>0</v>
      </c>
      <c r="C50" s="1" t="s">
        <v>3</v>
      </c>
      <c r="D50" s="1">
        <v>18</v>
      </c>
      <c r="E50" s="1" t="s">
        <v>0</v>
      </c>
      <c r="F50" s="1">
        <v>42</v>
      </c>
      <c r="G50" s="1">
        <v>1</v>
      </c>
    </row>
    <row r="51" spans="1:7" x14ac:dyDescent="0.3">
      <c r="A51" s="1">
        <v>2</v>
      </c>
      <c r="B51" s="1">
        <v>1</v>
      </c>
      <c r="C51" s="1" t="s">
        <v>3</v>
      </c>
      <c r="D51" s="1">
        <v>38</v>
      </c>
      <c r="E51" s="1" t="s">
        <v>0</v>
      </c>
      <c r="F51" s="1">
        <v>54</v>
      </c>
      <c r="G51" s="1">
        <v>1</v>
      </c>
    </row>
    <row r="52" spans="1:7" x14ac:dyDescent="0.3">
      <c r="A52" s="1">
        <v>2</v>
      </c>
      <c r="B52" s="1">
        <v>1</v>
      </c>
      <c r="C52" s="1" t="s">
        <v>3</v>
      </c>
      <c r="D52" s="1">
        <v>8</v>
      </c>
      <c r="E52" s="1" t="s">
        <v>0</v>
      </c>
      <c r="F52" s="1">
        <v>41</v>
      </c>
      <c r="G52" s="1">
        <v>1</v>
      </c>
    </row>
    <row r="53" spans="1:7" x14ac:dyDescent="0.3">
      <c r="A53" s="1">
        <v>2</v>
      </c>
      <c r="B53" s="1">
        <v>1</v>
      </c>
      <c r="C53" s="1" t="s">
        <v>3</v>
      </c>
      <c r="D53" s="1">
        <v>30</v>
      </c>
      <c r="E53" s="1" t="s">
        <v>0</v>
      </c>
      <c r="F53" s="1">
        <v>35</v>
      </c>
      <c r="G53" s="1">
        <v>1</v>
      </c>
    </row>
    <row r="54" spans="1:7" x14ac:dyDescent="0.3">
      <c r="A54" s="1">
        <v>2</v>
      </c>
      <c r="B54" s="1">
        <v>1</v>
      </c>
      <c r="C54" s="1" t="s">
        <v>3</v>
      </c>
      <c r="D54" s="1">
        <v>14</v>
      </c>
      <c r="E54" s="1" t="s">
        <v>0</v>
      </c>
      <c r="F54" s="1">
        <v>38</v>
      </c>
      <c r="G54" s="1">
        <v>1</v>
      </c>
    </row>
    <row r="55" spans="1:7" x14ac:dyDescent="0.3">
      <c r="A55" s="1">
        <v>2</v>
      </c>
      <c r="B55" s="1">
        <v>1</v>
      </c>
      <c r="C55" s="1" t="s">
        <v>3</v>
      </c>
      <c r="D55" s="1">
        <v>26</v>
      </c>
      <c r="E55" s="1" t="s">
        <v>0</v>
      </c>
      <c r="F55" s="1">
        <v>66</v>
      </c>
      <c r="G55" s="1">
        <v>1</v>
      </c>
    </row>
    <row r="56" spans="1:7" x14ac:dyDescent="0.3">
      <c r="A56" s="1">
        <v>2</v>
      </c>
      <c r="B56" s="1">
        <v>1</v>
      </c>
      <c r="C56" s="1" t="s">
        <v>3</v>
      </c>
      <c r="D56" s="1">
        <v>48</v>
      </c>
      <c r="E56" s="1" t="s">
        <v>0</v>
      </c>
      <c r="F56" s="1">
        <v>53</v>
      </c>
      <c r="G56" s="1">
        <v>1</v>
      </c>
    </row>
    <row r="57" spans="1:7" x14ac:dyDescent="0.3">
      <c r="A57" s="1">
        <v>2</v>
      </c>
      <c r="B57" s="1">
        <v>1</v>
      </c>
      <c r="C57" s="1" t="s">
        <v>3</v>
      </c>
      <c r="D57" s="1">
        <v>15</v>
      </c>
      <c r="E57" s="1" t="s">
        <v>0</v>
      </c>
      <c r="F57" s="1">
        <v>35</v>
      </c>
      <c r="G57" s="1">
        <v>1</v>
      </c>
    </row>
    <row r="58" spans="1:7" x14ac:dyDescent="0.3">
      <c r="A58" s="1">
        <v>2</v>
      </c>
      <c r="B58" s="1">
        <v>1</v>
      </c>
      <c r="C58" s="1" t="s">
        <v>3</v>
      </c>
      <c r="D58" s="1">
        <v>13</v>
      </c>
      <c r="E58" s="1" t="s">
        <v>0</v>
      </c>
      <c r="F58" s="1">
        <v>26</v>
      </c>
      <c r="G58" s="1">
        <v>1</v>
      </c>
    </row>
    <row r="59" spans="1:7" x14ac:dyDescent="0.3">
      <c r="A59" s="1">
        <v>2</v>
      </c>
      <c r="B59" s="1">
        <v>1</v>
      </c>
      <c r="C59" s="1" t="s">
        <v>3</v>
      </c>
      <c r="D59" s="1">
        <v>17</v>
      </c>
      <c r="E59" s="1" t="s">
        <v>0</v>
      </c>
      <c r="F59" s="1">
        <v>20</v>
      </c>
      <c r="G59" s="1">
        <v>1</v>
      </c>
    </row>
    <row r="60" spans="1:7" x14ac:dyDescent="0.3">
      <c r="A60" s="1">
        <v>2</v>
      </c>
      <c r="B60" s="1">
        <v>1</v>
      </c>
      <c r="C60" s="1" t="s">
        <v>3</v>
      </c>
      <c r="D60" s="1">
        <v>21</v>
      </c>
      <c r="E60" s="1" t="s">
        <v>0</v>
      </c>
      <c r="F60" s="1">
        <v>37</v>
      </c>
      <c r="G60" s="1">
        <v>1</v>
      </c>
    </row>
    <row r="61" spans="1:7" x14ac:dyDescent="0.3">
      <c r="A61" s="1">
        <v>2</v>
      </c>
      <c r="B61" s="1">
        <v>1</v>
      </c>
      <c r="C61" s="1" t="s">
        <v>3</v>
      </c>
      <c r="D61" s="1">
        <v>21</v>
      </c>
      <c r="E61" s="1" t="s">
        <v>0</v>
      </c>
      <c r="F61" s="1">
        <v>43</v>
      </c>
      <c r="G61" s="1">
        <v>1</v>
      </c>
    </row>
    <row r="62" spans="1:7" x14ac:dyDescent="0.3">
      <c r="A62" s="1">
        <v>2</v>
      </c>
      <c r="B62" s="1">
        <v>1</v>
      </c>
      <c r="C62" s="1" t="s">
        <v>3</v>
      </c>
      <c r="D62" s="1">
        <v>15</v>
      </c>
      <c r="E62" s="1" t="s">
        <v>0</v>
      </c>
      <c r="F62" s="1">
        <v>76</v>
      </c>
      <c r="G62" s="1">
        <v>1</v>
      </c>
    </row>
    <row r="63" spans="1:7" x14ac:dyDescent="0.3">
      <c r="A63" s="1">
        <v>2</v>
      </c>
      <c r="B63" s="1">
        <v>1</v>
      </c>
      <c r="C63" s="1" t="s">
        <v>3</v>
      </c>
      <c r="D63" s="1">
        <v>6</v>
      </c>
      <c r="E63" s="1" t="s">
        <v>0</v>
      </c>
      <c r="F63" s="1">
        <v>41</v>
      </c>
      <c r="G63" s="1">
        <v>1</v>
      </c>
    </row>
    <row r="64" spans="1:7" x14ac:dyDescent="0.3">
      <c r="A64" s="1">
        <v>2</v>
      </c>
      <c r="B64" s="1">
        <v>1</v>
      </c>
      <c r="C64" s="1" t="s">
        <v>3</v>
      </c>
      <c r="D64" s="1">
        <v>53</v>
      </c>
      <c r="E64" s="1" t="s">
        <v>0</v>
      </c>
      <c r="F64" s="1">
        <v>8</v>
      </c>
      <c r="G64" s="1">
        <v>0</v>
      </c>
    </row>
    <row r="65" spans="1:7" x14ac:dyDescent="0.3">
      <c r="A65" s="1">
        <v>2</v>
      </c>
      <c r="B65" s="1">
        <v>1</v>
      </c>
      <c r="C65" s="1" t="s">
        <v>3</v>
      </c>
      <c r="D65" s="1">
        <v>25</v>
      </c>
      <c r="E65" s="1" t="s">
        <v>0</v>
      </c>
      <c r="F65" s="1">
        <v>64</v>
      </c>
      <c r="G65" s="1">
        <v>1</v>
      </c>
    </row>
    <row r="66" spans="1:7" x14ac:dyDescent="0.3">
      <c r="A66" s="1">
        <v>2</v>
      </c>
      <c r="B66" s="1">
        <v>1</v>
      </c>
      <c r="C66" s="1" t="s">
        <v>3</v>
      </c>
      <c r="D66" s="1">
        <v>13</v>
      </c>
      <c r="E66" s="1" t="s">
        <v>0</v>
      </c>
      <c r="F66" s="1">
        <v>57</v>
      </c>
      <c r="G66" s="1">
        <v>1</v>
      </c>
    </row>
    <row r="67" spans="1:7" x14ac:dyDescent="0.3">
      <c r="A67" s="1">
        <v>2</v>
      </c>
      <c r="B67" s="1">
        <v>1</v>
      </c>
      <c r="C67" s="1" t="s">
        <v>3</v>
      </c>
      <c r="D67" s="1">
        <v>21</v>
      </c>
      <c r="E67" s="1" t="s">
        <v>0</v>
      </c>
      <c r="F67" s="1">
        <v>33</v>
      </c>
      <c r="G67" s="1">
        <v>1</v>
      </c>
    </row>
    <row r="68" spans="1:7" x14ac:dyDescent="0.3">
      <c r="A68" s="1">
        <v>2</v>
      </c>
      <c r="B68" s="1">
        <v>1</v>
      </c>
      <c r="C68" s="1" t="s">
        <v>3</v>
      </c>
      <c r="D68" s="1">
        <v>6</v>
      </c>
      <c r="E68" s="1" t="s">
        <v>0</v>
      </c>
      <c r="F68" s="1">
        <v>31</v>
      </c>
      <c r="G68" s="1">
        <v>1</v>
      </c>
    </row>
    <row r="69" spans="1:7" x14ac:dyDescent="0.3">
      <c r="A69" s="1">
        <v>2</v>
      </c>
      <c r="B69" s="1">
        <v>1</v>
      </c>
      <c r="C69" s="1" t="s">
        <v>3</v>
      </c>
      <c r="D69" s="1">
        <v>38</v>
      </c>
      <c r="E69" s="1" t="s">
        <v>0</v>
      </c>
      <c r="F69" s="1">
        <v>27</v>
      </c>
      <c r="G69" s="1">
        <v>0</v>
      </c>
    </row>
    <row r="70" spans="1:7" x14ac:dyDescent="0.3">
      <c r="A70" s="1">
        <v>2</v>
      </c>
      <c r="B70" s="1">
        <v>1</v>
      </c>
      <c r="C70" s="1" t="s">
        <v>3</v>
      </c>
      <c r="D70" s="1">
        <v>33</v>
      </c>
      <c r="E70" s="1" t="s">
        <v>0</v>
      </c>
      <c r="F70" s="1">
        <v>53</v>
      </c>
      <c r="G70" s="1">
        <v>1</v>
      </c>
    </row>
    <row r="71" spans="1:7" x14ac:dyDescent="0.3">
      <c r="A71" s="1">
        <v>2</v>
      </c>
      <c r="B71" s="1">
        <v>1</v>
      </c>
      <c r="C71" s="1" t="s">
        <v>3</v>
      </c>
      <c r="D71" s="1">
        <v>19</v>
      </c>
      <c r="E71" s="1" t="s">
        <v>0</v>
      </c>
      <c r="F71" s="1">
        <v>7</v>
      </c>
      <c r="G71" s="1">
        <v>0</v>
      </c>
    </row>
    <row r="72" spans="1:7" x14ac:dyDescent="0.3">
      <c r="A72" s="1">
        <v>2</v>
      </c>
      <c r="B72" s="1">
        <v>1</v>
      </c>
      <c r="C72" s="1" t="s">
        <v>3</v>
      </c>
      <c r="D72" s="1">
        <v>27</v>
      </c>
      <c r="E72" s="1" t="s">
        <v>0</v>
      </c>
      <c r="F72" s="1">
        <v>33</v>
      </c>
      <c r="G72" s="1">
        <v>1</v>
      </c>
    </row>
    <row r="73" spans="1:7" x14ac:dyDescent="0.3">
      <c r="A73" s="1">
        <v>2</v>
      </c>
      <c r="B73" s="1">
        <v>1</v>
      </c>
      <c r="C73" s="1" t="s">
        <v>3</v>
      </c>
      <c r="D73" s="1">
        <v>25</v>
      </c>
      <c r="E73" s="1" t="s">
        <v>0</v>
      </c>
      <c r="F73" s="1">
        <v>45</v>
      </c>
      <c r="G73" s="1">
        <v>1</v>
      </c>
    </row>
    <row r="74" spans="1:7" x14ac:dyDescent="0.3">
      <c r="A74" s="1">
        <v>2</v>
      </c>
      <c r="B74" s="1">
        <v>1</v>
      </c>
      <c r="C74" s="1" t="s">
        <v>3</v>
      </c>
      <c r="D74" s="1">
        <v>24</v>
      </c>
      <c r="E74" s="1" t="s">
        <v>0</v>
      </c>
      <c r="F74" s="1">
        <v>44</v>
      </c>
      <c r="G74" s="1">
        <v>1</v>
      </c>
    </row>
    <row r="75" spans="1:7" x14ac:dyDescent="0.3">
      <c r="A75" s="1">
        <v>2</v>
      </c>
      <c r="B75" s="1">
        <v>1</v>
      </c>
      <c r="C75" s="1" t="s">
        <v>3</v>
      </c>
      <c r="D75" s="1">
        <v>39</v>
      </c>
      <c r="E75" s="1" t="s">
        <v>0</v>
      </c>
      <c r="F75" s="1">
        <v>42</v>
      </c>
      <c r="G75" s="1">
        <v>1</v>
      </c>
    </row>
    <row r="76" spans="1:7" x14ac:dyDescent="0.3">
      <c r="A76" s="1">
        <v>2</v>
      </c>
      <c r="B76" s="1">
        <v>1</v>
      </c>
      <c r="C76" s="1" t="s">
        <v>3</v>
      </c>
      <c r="D76" s="1">
        <v>34</v>
      </c>
      <c r="E76" s="1" t="s">
        <v>0</v>
      </c>
      <c r="F76" s="1">
        <v>29</v>
      </c>
      <c r="G76" s="1">
        <v>0</v>
      </c>
    </row>
    <row r="77" spans="1:7" x14ac:dyDescent="0.3">
      <c r="A77" s="1">
        <v>2</v>
      </c>
      <c r="B77" s="1">
        <v>1</v>
      </c>
      <c r="C77" s="1" t="s">
        <v>3</v>
      </c>
      <c r="D77" s="1">
        <v>40</v>
      </c>
      <c r="E77" s="1" t="s">
        <v>0</v>
      </c>
      <c r="F77" s="1">
        <v>22</v>
      </c>
      <c r="G77" s="1">
        <v>0</v>
      </c>
    </row>
    <row r="78" spans="1:7" x14ac:dyDescent="0.3">
      <c r="A78" s="1">
        <v>2</v>
      </c>
      <c r="B78" s="1">
        <v>1</v>
      </c>
      <c r="C78" s="1" t="s">
        <v>3</v>
      </c>
      <c r="D78" s="1">
        <v>22</v>
      </c>
      <c r="E78" s="1" t="s">
        <v>0</v>
      </c>
      <c r="F78" s="1">
        <v>66</v>
      </c>
      <c r="G78" s="1">
        <v>1</v>
      </c>
    </row>
    <row r="79" spans="1:7" x14ac:dyDescent="0.3">
      <c r="A79" s="1">
        <v>2</v>
      </c>
      <c r="B79" s="1">
        <v>1</v>
      </c>
      <c r="C79" s="1" t="s">
        <v>3</v>
      </c>
      <c r="D79" s="1">
        <v>6</v>
      </c>
      <c r="E79" s="1" t="s">
        <v>0</v>
      </c>
      <c r="F79" s="1">
        <v>43</v>
      </c>
      <c r="G79" s="1">
        <v>1</v>
      </c>
    </row>
    <row r="80" spans="1:7" x14ac:dyDescent="0.3">
      <c r="A80" s="1">
        <v>2</v>
      </c>
      <c r="B80" s="1">
        <v>1</v>
      </c>
      <c r="C80" s="1" t="s">
        <v>3</v>
      </c>
      <c r="D80" s="1">
        <v>19</v>
      </c>
      <c r="E80" s="1" t="s">
        <v>0</v>
      </c>
      <c r="F80" s="1">
        <v>11</v>
      </c>
      <c r="G80" s="1">
        <v>0</v>
      </c>
    </row>
    <row r="81" spans="1:7" x14ac:dyDescent="0.3">
      <c r="A81" s="1">
        <v>2</v>
      </c>
      <c r="B81" s="1">
        <v>1</v>
      </c>
      <c r="C81" s="1" t="s">
        <v>3</v>
      </c>
      <c r="D81" s="1">
        <v>21</v>
      </c>
      <c r="E81" s="1" t="s">
        <v>0</v>
      </c>
      <c r="F81" s="1">
        <v>35</v>
      </c>
      <c r="G81" s="1">
        <v>1</v>
      </c>
    </row>
    <row r="82" spans="1:7" x14ac:dyDescent="0.3">
      <c r="A82" s="1">
        <v>2</v>
      </c>
      <c r="B82" s="1">
        <v>1</v>
      </c>
      <c r="C82" s="1" t="s">
        <v>3</v>
      </c>
      <c r="D82" s="1">
        <v>17</v>
      </c>
      <c r="E82" s="1" t="s">
        <v>0</v>
      </c>
      <c r="F82" s="1">
        <v>10</v>
      </c>
      <c r="G82" s="1">
        <v>0</v>
      </c>
    </row>
    <row r="83" spans="1:7" x14ac:dyDescent="0.3">
      <c r="A83" s="1">
        <v>2</v>
      </c>
      <c r="B83" s="1">
        <v>1</v>
      </c>
      <c r="C83" s="1" t="s">
        <v>3</v>
      </c>
      <c r="D83" s="1">
        <v>21</v>
      </c>
      <c r="E83" s="1" t="s">
        <v>0</v>
      </c>
      <c r="F83" s="1">
        <v>15</v>
      </c>
      <c r="G83" s="1">
        <v>0</v>
      </c>
    </row>
    <row r="84" spans="1:7" x14ac:dyDescent="0.3">
      <c r="A84" s="1">
        <v>2</v>
      </c>
      <c r="B84" s="1">
        <v>1</v>
      </c>
      <c r="C84" s="1" t="s">
        <v>3</v>
      </c>
      <c r="D84" s="1">
        <v>32</v>
      </c>
      <c r="E84" s="1" t="s">
        <v>0</v>
      </c>
      <c r="F84" s="1">
        <v>42</v>
      </c>
      <c r="G84" s="1">
        <v>1</v>
      </c>
    </row>
    <row r="85" spans="1:7" x14ac:dyDescent="0.3">
      <c r="A85" s="1">
        <v>2</v>
      </c>
      <c r="B85" s="1">
        <v>1</v>
      </c>
      <c r="C85" s="1" t="s">
        <v>3</v>
      </c>
      <c r="D85" s="1">
        <v>13</v>
      </c>
      <c r="E85" s="1" t="s">
        <v>0</v>
      </c>
      <c r="F85" s="1">
        <v>53</v>
      </c>
      <c r="G85" s="1">
        <v>1</v>
      </c>
    </row>
    <row r="86" spans="1:7" x14ac:dyDescent="0.3">
      <c r="A86" s="1">
        <v>2</v>
      </c>
      <c r="B86" s="1">
        <v>1</v>
      </c>
      <c r="C86" s="1" t="s">
        <v>3</v>
      </c>
      <c r="D86" s="1">
        <v>36</v>
      </c>
      <c r="E86" s="1" t="s">
        <v>0</v>
      </c>
      <c r="F86" s="1">
        <v>49</v>
      </c>
      <c r="G86" s="1">
        <v>1</v>
      </c>
    </row>
    <row r="87" spans="1:7" x14ac:dyDescent="0.3">
      <c r="A87" s="1">
        <v>2</v>
      </c>
      <c r="B87" s="1">
        <v>1</v>
      </c>
      <c r="C87" s="1" t="s">
        <v>3</v>
      </c>
      <c r="D87" s="1">
        <v>25</v>
      </c>
      <c r="E87" s="1" t="s">
        <v>0</v>
      </c>
      <c r="F87" s="1">
        <v>45</v>
      </c>
      <c r="G87" s="1">
        <v>1</v>
      </c>
    </row>
    <row r="88" spans="1:7" x14ac:dyDescent="0.3">
      <c r="A88" s="1">
        <v>2</v>
      </c>
      <c r="B88" s="1">
        <v>1</v>
      </c>
      <c r="C88" s="1" t="s">
        <v>3</v>
      </c>
      <c r="D88" s="1">
        <v>18</v>
      </c>
      <c r="E88" s="1" t="s">
        <v>0</v>
      </c>
      <c r="F88" s="1">
        <v>19</v>
      </c>
      <c r="G88" s="1">
        <v>1</v>
      </c>
    </row>
    <row r="89" spans="1:7" x14ac:dyDescent="0.3">
      <c r="A89" s="1">
        <v>2</v>
      </c>
      <c r="B89" s="1">
        <v>1</v>
      </c>
      <c r="C89" s="1" t="s">
        <v>3</v>
      </c>
      <c r="D89" s="1">
        <v>34</v>
      </c>
      <c r="E89" s="1" t="s">
        <v>0</v>
      </c>
      <c r="F89" s="1">
        <v>24</v>
      </c>
      <c r="G89" s="1">
        <v>0</v>
      </c>
    </row>
    <row r="90" spans="1:7" x14ac:dyDescent="0.3">
      <c r="A90" s="1">
        <v>2</v>
      </c>
      <c r="B90" s="1">
        <v>1</v>
      </c>
      <c r="C90" s="1" t="s">
        <v>3</v>
      </c>
      <c r="D90" s="1">
        <v>22</v>
      </c>
      <c r="E90" s="1" t="s">
        <v>0</v>
      </c>
      <c r="F90" s="1">
        <v>28</v>
      </c>
      <c r="G90" s="1">
        <v>1</v>
      </c>
    </row>
    <row r="91" spans="1:7" x14ac:dyDescent="0.3">
      <c r="A91" s="1">
        <v>2</v>
      </c>
      <c r="B91" s="1">
        <v>1</v>
      </c>
      <c r="C91" s="1" t="s">
        <v>3</v>
      </c>
      <c r="D91" s="1">
        <v>16</v>
      </c>
      <c r="E91" s="1" t="s">
        <v>0</v>
      </c>
      <c r="F91" s="1">
        <v>33</v>
      </c>
      <c r="G91" s="1">
        <v>1</v>
      </c>
    </row>
    <row r="92" spans="1:7" x14ac:dyDescent="0.3">
      <c r="A92" s="1">
        <v>2</v>
      </c>
      <c r="B92" s="1">
        <v>1</v>
      </c>
      <c r="C92" s="1" t="s">
        <v>3</v>
      </c>
      <c r="D92" s="1">
        <v>10</v>
      </c>
      <c r="E92" s="1" t="s">
        <v>0</v>
      </c>
      <c r="F92" s="1">
        <v>51</v>
      </c>
      <c r="G92" s="1">
        <v>1</v>
      </c>
    </row>
    <row r="93" spans="1:7" x14ac:dyDescent="0.3">
      <c r="A93" s="1">
        <v>2</v>
      </c>
      <c r="B93" s="1">
        <v>1</v>
      </c>
      <c r="C93" s="1" t="s">
        <v>3</v>
      </c>
      <c r="D93" s="1">
        <v>16</v>
      </c>
      <c r="E93" s="1" t="s">
        <v>0</v>
      </c>
      <c r="F93" s="1">
        <v>39</v>
      </c>
      <c r="G93" s="1">
        <v>1</v>
      </c>
    </row>
    <row r="94" spans="1:7" x14ac:dyDescent="0.3">
      <c r="A94" s="1">
        <v>2</v>
      </c>
      <c r="B94" s="1">
        <v>1</v>
      </c>
      <c r="C94" s="1" t="s">
        <v>3</v>
      </c>
      <c r="D94" s="1">
        <v>10</v>
      </c>
      <c r="E94" s="1" t="s">
        <v>0</v>
      </c>
      <c r="F94" s="1">
        <v>2</v>
      </c>
      <c r="G94" s="1">
        <v>0</v>
      </c>
    </row>
    <row r="95" spans="1:7" x14ac:dyDescent="0.3">
      <c r="A95" s="1">
        <v>2</v>
      </c>
      <c r="B95" s="1">
        <v>1</v>
      </c>
      <c r="C95" s="1" t="s">
        <v>3</v>
      </c>
      <c r="D95" s="1">
        <v>24</v>
      </c>
      <c r="E95" s="1" t="s">
        <v>0</v>
      </c>
      <c r="F95" s="1">
        <v>21</v>
      </c>
      <c r="G95" s="1">
        <v>0</v>
      </c>
    </row>
    <row r="96" spans="1:7" x14ac:dyDescent="0.3">
      <c r="A96" s="1">
        <v>2</v>
      </c>
      <c r="B96" s="1">
        <v>1</v>
      </c>
      <c r="C96" s="1" t="s">
        <v>3</v>
      </c>
      <c r="D96" s="1">
        <v>30</v>
      </c>
      <c r="E96" s="1" t="s">
        <v>0</v>
      </c>
      <c r="F96" s="1">
        <v>43</v>
      </c>
      <c r="G96" s="1">
        <v>1</v>
      </c>
    </row>
    <row r="97" spans="1:7" x14ac:dyDescent="0.3">
      <c r="A97" s="1">
        <v>2</v>
      </c>
      <c r="B97" s="1">
        <v>1</v>
      </c>
      <c r="C97" s="1" t="s">
        <v>3</v>
      </c>
      <c r="D97" s="1">
        <v>20</v>
      </c>
      <c r="E97" s="1" t="s">
        <v>0</v>
      </c>
      <c r="F97" s="1">
        <v>54</v>
      </c>
      <c r="G97" s="1">
        <v>1</v>
      </c>
    </row>
    <row r="98" spans="1:7" x14ac:dyDescent="0.3">
      <c r="A98" s="1">
        <v>2</v>
      </c>
      <c r="B98" s="1">
        <v>1</v>
      </c>
      <c r="C98" s="1" t="s">
        <v>3</v>
      </c>
      <c r="D98" s="1">
        <v>21</v>
      </c>
      <c r="E98" s="1" t="s">
        <v>0</v>
      </c>
      <c r="F98" s="1">
        <v>34</v>
      </c>
      <c r="G98" s="1">
        <v>1</v>
      </c>
    </row>
    <row r="99" spans="1:7" x14ac:dyDescent="0.3">
      <c r="A99" s="1">
        <v>2</v>
      </c>
      <c r="B99" s="1">
        <v>1</v>
      </c>
      <c r="C99" s="1" t="s">
        <v>3</v>
      </c>
      <c r="D99" s="1">
        <v>48</v>
      </c>
      <c r="E99" s="1" t="s">
        <v>0</v>
      </c>
      <c r="F99" s="1">
        <v>55</v>
      </c>
      <c r="G99" s="1">
        <v>1</v>
      </c>
    </row>
    <row r="100" spans="1:7" x14ac:dyDescent="0.3">
      <c r="A100" s="1">
        <v>2</v>
      </c>
      <c r="B100" s="1">
        <v>1</v>
      </c>
      <c r="C100" s="1" t="s">
        <v>3</v>
      </c>
      <c r="D100" s="1">
        <v>30</v>
      </c>
      <c r="E100" s="1" t="s">
        <v>0</v>
      </c>
      <c r="F100" s="1">
        <v>39</v>
      </c>
      <c r="G100" s="1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4CE1C-2411-448E-9D3E-2931389BCB0E}">
  <dimension ref="A1:Q100"/>
  <sheetViews>
    <sheetView workbookViewId="0">
      <selection activeCell="J23" sqref="J23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3</v>
      </c>
      <c r="D1" s="1">
        <v>23</v>
      </c>
      <c r="E1" s="1" t="s">
        <v>2</v>
      </c>
      <c r="F1" s="1">
        <v>2</v>
      </c>
      <c r="G1" s="1">
        <v>0</v>
      </c>
      <c r="I1" s="2"/>
      <c r="J1" s="3"/>
      <c r="K1" s="4" t="s">
        <v>7</v>
      </c>
      <c r="L1" s="4"/>
      <c r="M1" s="5" t="s">
        <v>8</v>
      </c>
      <c r="N1" s="5"/>
      <c r="O1" s="5" t="s">
        <v>9</v>
      </c>
      <c r="P1" s="5"/>
      <c r="Q1"/>
    </row>
    <row r="2" spans="1:17" x14ac:dyDescent="0.3">
      <c r="A2" s="1">
        <v>2</v>
      </c>
      <c r="B2" s="1">
        <v>0</v>
      </c>
      <c r="C2" s="1" t="s">
        <v>3</v>
      </c>
      <c r="D2" s="1">
        <v>10</v>
      </c>
      <c r="E2" s="1" t="s">
        <v>2</v>
      </c>
      <c r="F2" s="1">
        <v>0</v>
      </c>
      <c r="G2" s="1">
        <v>0</v>
      </c>
      <c r="I2" s="6"/>
      <c r="J2" s="7"/>
      <c r="K2" s="4"/>
      <c r="L2" s="4"/>
      <c r="M2" s="5"/>
      <c r="N2" s="5"/>
      <c r="O2" s="5"/>
      <c r="P2" s="5"/>
      <c r="Q2" s="8" t="s">
        <v>10</v>
      </c>
    </row>
    <row r="3" spans="1:17" x14ac:dyDescent="0.3">
      <c r="A3" s="1">
        <v>2</v>
      </c>
      <c r="B3" s="1">
        <v>0</v>
      </c>
      <c r="C3" s="1" t="s">
        <v>3</v>
      </c>
      <c r="D3" s="1">
        <v>37</v>
      </c>
      <c r="E3" s="1" t="s">
        <v>2</v>
      </c>
      <c r="F3" s="1">
        <v>3</v>
      </c>
      <c r="G3" s="1">
        <v>0</v>
      </c>
      <c r="I3" s="5" t="s">
        <v>11</v>
      </c>
      <c r="J3" s="5"/>
      <c r="K3" s="9">
        <f>COUNTIF($G$1:$G$100, 0)</f>
        <v>89</v>
      </c>
      <c r="L3" s="9"/>
      <c r="M3" s="9">
        <f>COUNTIFS($G$1:$G$100, 0, $B$1:$B$100, 0)</f>
        <v>47</v>
      </c>
      <c r="N3" s="9"/>
      <c r="O3" s="10">
        <f>COUNTIFS($G$1:$G$100, 0, $B$1:$B$100, 1)</f>
        <v>42</v>
      </c>
      <c r="P3" s="11"/>
      <c r="Q3" s="12" cm="1">
        <f t="array" ref="Q3">SUMPRODUCT(--($D$1:$D$100=$G$1:$G$100))</f>
        <v>0</v>
      </c>
    </row>
    <row r="4" spans="1:17" x14ac:dyDescent="0.3">
      <c r="A4" s="1">
        <v>2</v>
      </c>
      <c r="B4" s="1">
        <v>0</v>
      </c>
      <c r="C4" s="1" t="s">
        <v>3</v>
      </c>
      <c r="D4" s="1">
        <v>22</v>
      </c>
      <c r="E4" s="1" t="s">
        <v>2</v>
      </c>
      <c r="F4" s="1">
        <v>4</v>
      </c>
      <c r="G4" s="1">
        <v>0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3</v>
      </c>
      <c r="D5" s="1">
        <v>27</v>
      </c>
      <c r="E5" s="1" t="s">
        <v>2</v>
      </c>
      <c r="F5" s="1">
        <v>18</v>
      </c>
      <c r="G5" s="1">
        <v>0</v>
      </c>
      <c r="I5" s="5" t="s">
        <v>12</v>
      </c>
      <c r="J5" s="5"/>
      <c r="K5" s="14">
        <f>COUNTIF($G$1:$G$100, 1)</f>
        <v>11</v>
      </c>
      <c r="L5" s="9"/>
      <c r="M5" s="9">
        <f>COUNTIFS($G$1:$G$100, 1, $B$1:$B$100, 0)</f>
        <v>3</v>
      </c>
      <c r="N5" s="9"/>
      <c r="O5" s="9">
        <f>COUNTIFS($G$1:$G$100, 1, $B$1:$B$100, 1)</f>
        <v>8</v>
      </c>
      <c r="P5" s="13"/>
      <c r="Q5"/>
    </row>
    <row r="6" spans="1:17" x14ac:dyDescent="0.3">
      <c r="A6" s="1">
        <v>2</v>
      </c>
      <c r="B6" s="1">
        <v>0</v>
      </c>
      <c r="C6" s="1" t="s">
        <v>3</v>
      </c>
      <c r="D6" s="1">
        <v>21</v>
      </c>
      <c r="E6" s="1" t="s">
        <v>2</v>
      </c>
      <c r="F6" s="1">
        <v>2</v>
      </c>
      <c r="G6" s="1">
        <v>0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3</v>
      </c>
      <c r="D7" s="1">
        <v>40</v>
      </c>
      <c r="E7" s="1" t="s">
        <v>2</v>
      </c>
      <c r="F7" s="1">
        <v>23</v>
      </c>
      <c r="G7" s="1">
        <v>0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3</v>
      </c>
      <c r="D8" s="1">
        <v>46</v>
      </c>
      <c r="E8" s="1" t="s">
        <v>2</v>
      </c>
      <c r="F8" s="1">
        <v>21</v>
      </c>
      <c r="G8" s="1">
        <v>0</v>
      </c>
      <c r="I8" s="19"/>
      <c r="J8" s="20"/>
      <c r="K8" s="21" t="s">
        <v>7</v>
      </c>
      <c r="L8" s="21"/>
      <c r="M8" s="21" t="s">
        <v>13</v>
      </c>
      <c r="N8" s="21"/>
      <c r="O8" s="21" t="s">
        <v>14</v>
      </c>
      <c r="P8" s="21"/>
      <c r="Q8"/>
    </row>
    <row r="9" spans="1:17" x14ac:dyDescent="0.3">
      <c r="A9" s="1">
        <v>2</v>
      </c>
      <c r="B9" s="1">
        <v>0</v>
      </c>
      <c r="C9" s="1" t="s">
        <v>3</v>
      </c>
      <c r="D9" s="1">
        <v>35</v>
      </c>
      <c r="E9" s="1" t="s">
        <v>2</v>
      </c>
      <c r="F9" s="1">
        <v>0</v>
      </c>
      <c r="G9" s="1">
        <v>0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3</v>
      </c>
      <c r="D10" s="1">
        <v>41</v>
      </c>
      <c r="E10" s="1" t="s">
        <v>2</v>
      </c>
      <c r="F10" s="1">
        <v>15</v>
      </c>
      <c r="G10" s="1">
        <v>0</v>
      </c>
      <c r="I10" s="5" t="s">
        <v>15</v>
      </c>
      <c r="J10" s="5"/>
      <c r="K10" s="9">
        <f>AVERAGE($D$1:$D$100,)</f>
        <v>30</v>
      </c>
      <c r="L10" s="9"/>
      <c r="M10" s="9" cm="1">
        <f t="array" ref="M10">AVERAGE(_xlfn._xlws.FILTER($D$1:$D$100,$G$1:$G$100 = 0))</f>
        <v>32.202247191011239</v>
      </c>
      <c r="N10" s="9"/>
      <c r="O10" s="10" cm="1">
        <f t="array" ref="O10">AVERAGE(_xlfn._xlws.FILTER($D$1:$D$100,$G$1:$G$100 = 1))</f>
        <v>14.909090909090908</v>
      </c>
      <c r="P10" s="11"/>
      <c r="Q10"/>
    </row>
    <row r="11" spans="1:17" x14ac:dyDescent="0.3">
      <c r="A11" s="1">
        <v>2</v>
      </c>
      <c r="B11" s="1">
        <v>0</v>
      </c>
      <c r="C11" s="1" t="s">
        <v>3</v>
      </c>
      <c r="D11" s="1">
        <v>41</v>
      </c>
      <c r="E11" s="1" t="s">
        <v>2</v>
      </c>
      <c r="F11" s="1">
        <v>10</v>
      </c>
      <c r="G11" s="1">
        <v>0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3</v>
      </c>
      <c r="D12" s="1">
        <v>11</v>
      </c>
      <c r="E12" s="1" t="s">
        <v>2</v>
      </c>
      <c r="F12" s="1">
        <v>3</v>
      </c>
      <c r="G12" s="1">
        <v>0</v>
      </c>
      <c r="I12" s="5" t="s">
        <v>16</v>
      </c>
      <c r="J12" s="5"/>
      <c r="K12" s="9">
        <f>AVERAGE($F$1:$F$100,)</f>
        <v>10.316831683168317</v>
      </c>
      <c r="L12" s="9"/>
      <c r="M12" s="9" cm="1">
        <f t="array" ref="M12">AVERAGE(_xlfn._xlws.FILTER($F$1:$F$100,$G$1:$G$100 = 0))</f>
        <v>8.7640449438202239</v>
      </c>
      <c r="N12" s="9"/>
      <c r="O12" s="9" cm="1">
        <f t="array" ref="O12">AVERAGE(_xlfn._xlws.FILTER($F$1:$F$100,$G$1:$G$100 = 1))</f>
        <v>23.818181818181817</v>
      </c>
      <c r="P12" s="13"/>
      <c r="Q12"/>
    </row>
    <row r="13" spans="1:17" x14ac:dyDescent="0.3">
      <c r="A13" s="1">
        <v>2</v>
      </c>
      <c r="B13" s="1">
        <v>0</v>
      </c>
      <c r="C13" s="1" t="s">
        <v>3</v>
      </c>
      <c r="D13" s="1">
        <v>15</v>
      </c>
      <c r="E13" s="1" t="s">
        <v>2</v>
      </c>
      <c r="F13" s="1">
        <v>0</v>
      </c>
      <c r="G13" s="1">
        <v>0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3</v>
      </c>
      <c r="D14" s="1">
        <v>21</v>
      </c>
      <c r="E14" s="1" t="s">
        <v>2</v>
      </c>
      <c r="F14" s="1">
        <v>8</v>
      </c>
      <c r="G14" s="1">
        <v>0</v>
      </c>
      <c r="I14" s="22" t="s">
        <v>17</v>
      </c>
      <c r="J14" s="11"/>
      <c r="K14" s="23" cm="1">
        <f t="array" ref="K14">AVERAGE($D$1:$D$100 - $F$1:$F$100)</f>
        <v>19.88</v>
      </c>
      <c r="L14" s="23"/>
      <c r="M14" s="23" cm="1">
        <f t="array" ref="M14">AVERAGE(_xlfn._xlws.FILTER($D$1:$D$100 - $F$1:$F$100, G$1:G$100 = 0))</f>
        <v>23.438202247191011</v>
      </c>
      <c r="N14" s="23"/>
      <c r="O14" s="23" cm="1">
        <f t="array" ref="O14">AVERAGE(_xlfn._xlws.FILTER($D$1:$D$100 - $F$1:$F$100, G$1:G$100 = 1))</f>
        <v>-8.9090909090909083</v>
      </c>
      <c r="P14" s="24"/>
      <c r="Q14"/>
    </row>
    <row r="15" spans="1:17" x14ac:dyDescent="0.3">
      <c r="A15" s="1">
        <v>2</v>
      </c>
      <c r="B15" s="1">
        <v>0</v>
      </c>
      <c r="C15" s="1" t="s">
        <v>3</v>
      </c>
      <c r="D15" s="1">
        <v>49</v>
      </c>
      <c r="E15" s="1" t="s">
        <v>2</v>
      </c>
      <c r="F15" s="1">
        <v>0</v>
      </c>
      <c r="G15" s="1">
        <v>0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3</v>
      </c>
      <c r="D16" s="1">
        <v>38</v>
      </c>
      <c r="E16" s="1" t="s">
        <v>2</v>
      </c>
      <c r="F16" s="1">
        <v>26</v>
      </c>
      <c r="G16" s="1">
        <v>0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3</v>
      </c>
      <c r="D17" s="1">
        <v>53</v>
      </c>
      <c r="E17" s="1" t="s">
        <v>2</v>
      </c>
      <c r="F17" s="1">
        <v>2</v>
      </c>
      <c r="G17" s="1">
        <v>0</v>
      </c>
    </row>
    <row r="18" spans="1:7" x14ac:dyDescent="0.3">
      <c r="A18" s="1">
        <v>2</v>
      </c>
      <c r="B18" s="1">
        <v>0</v>
      </c>
      <c r="C18" s="1" t="s">
        <v>3</v>
      </c>
      <c r="D18" s="1">
        <v>59</v>
      </c>
      <c r="E18" s="1" t="s">
        <v>2</v>
      </c>
      <c r="F18" s="1">
        <v>7</v>
      </c>
      <c r="G18" s="1">
        <v>0</v>
      </c>
    </row>
    <row r="19" spans="1:7" x14ac:dyDescent="0.3">
      <c r="A19" s="1">
        <v>2</v>
      </c>
      <c r="B19" s="1">
        <v>0</v>
      </c>
      <c r="C19" s="1" t="s">
        <v>3</v>
      </c>
      <c r="D19" s="1">
        <v>10</v>
      </c>
      <c r="E19" s="1" t="s">
        <v>2</v>
      </c>
      <c r="F19" s="1">
        <v>14</v>
      </c>
      <c r="G19" s="1">
        <v>1</v>
      </c>
    </row>
    <row r="20" spans="1:7" x14ac:dyDescent="0.3">
      <c r="A20" s="1">
        <v>2</v>
      </c>
      <c r="B20" s="1">
        <v>0</v>
      </c>
      <c r="C20" s="1" t="s">
        <v>3</v>
      </c>
      <c r="D20" s="1">
        <v>32</v>
      </c>
      <c r="E20" s="1" t="s">
        <v>2</v>
      </c>
      <c r="F20" s="1">
        <v>0</v>
      </c>
      <c r="G20" s="1">
        <v>0</v>
      </c>
    </row>
    <row r="21" spans="1:7" x14ac:dyDescent="0.3">
      <c r="A21" s="1">
        <v>2</v>
      </c>
      <c r="B21" s="1">
        <v>0</v>
      </c>
      <c r="C21" s="1" t="s">
        <v>3</v>
      </c>
      <c r="D21" s="1">
        <v>2</v>
      </c>
      <c r="E21" s="1" t="s">
        <v>2</v>
      </c>
      <c r="F21" s="1">
        <v>29</v>
      </c>
      <c r="G21" s="1">
        <v>1</v>
      </c>
    </row>
    <row r="22" spans="1:7" x14ac:dyDescent="0.3">
      <c r="A22" s="1">
        <v>2</v>
      </c>
      <c r="B22" s="1">
        <v>0</v>
      </c>
      <c r="C22" s="1" t="s">
        <v>3</v>
      </c>
      <c r="D22" s="1">
        <v>27</v>
      </c>
      <c r="E22" s="1" t="s">
        <v>2</v>
      </c>
      <c r="F22" s="1">
        <v>0</v>
      </c>
      <c r="G22" s="1">
        <v>0</v>
      </c>
    </row>
    <row r="23" spans="1:7" x14ac:dyDescent="0.3">
      <c r="A23" s="1">
        <v>2</v>
      </c>
      <c r="B23" s="1">
        <v>0</v>
      </c>
      <c r="C23" s="1" t="s">
        <v>3</v>
      </c>
      <c r="D23" s="1">
        <v>30</v>
      </c>
      <c r="E23" s="1" t="s">
        <v>2</v>
      </c>
      <c r="F23" s="1">
        <v>6</v>
      </c>
      <c r="G23" s="1">
        <v>0</v>
      </c>
    </row>
    <row r="24" spans="1:7" x14ac:dyDescent="0.3">
      <c r="A24" s="1">
        <v>2</v>
      </c>
      <c r="B24" s="1">
        <v>0</v>
      </c>
      <c r="C24" s="1" t="s">
        <v>3</v>
      </c>
      <c r="D24" s="1">
        <v>12</v>
      </c>
      <c r="E24" s="1" t="s">
        <v>2</v>
      </c>
      <c r="F24" s="1">
        <v>2</v>
      </c>
      <c r="G24" s="1">
        <v>0</v>
      </c>
    </row>
    <row r="25" spans="1:7" x14ac:dyDescent="0.3">
      <c r="A25" s="1">
        <v>2</v>
      </c>
      <c r="B25" s="1">
        <v>0</v>
      </c>
      <c r="C25" s="1" t="s">
        <v>3</v>
      </c>
      <c r="D25" s="1">
        <v>42</v>
      </c>
      <c r="E25" s="1" t="s">
        <v>2</v>
      </c>
      <c r="F25" s="1">
        <v>34</v>
      </c>
      <c r="G25" s="1">
        <v>0</v>
      </c>
    </row>
    <row r="26" spans="1:7" x14ac:dyDescent="0.3">
      <c r="A26" s="1">
        <v>2</v>
      </c>
      <c r="B26" s="1">
        <v>0</v>
      </c>
      <c r="C26" s="1" t="s">
        <v>3</v>
      </c>
      <c r="D26" s="1">
        <v>44</v>
      </c>
      <c r="E26" s="1" t="s">
        <v>2</v>
      </c>
      <c r="F26" s="1">
        <v>5</v>
      </c>
      <c r="G26" s="1">
        <v>0</v>
      </c>
    </row>
    <row r="27" spans="1:7" x14ac:dyDescent="0.3">
      <c r="A27" s="1">
        <v>2</v>
      </c>
      <c r="B27" s="1">
        <v>0</v>
      </c>
      <c r="C27" s="1" t="s">
        <v>3</v>
      </c>
      <c r="D27" s="1">
        <v>65</v>
      </c>
      <c r="E27" s="1" t="s">
        <v>2</v>
      </c>
      <c r="F27" s="1">
        <v>4</v>
      </c>
      <c r="G27" s="1">
        <v>0</v>
      </c>
    </row>
    <row r="28" spans="1:7" x14ac:dyDescent="0.3">
      <c r="A28" s="1">
        <v>2</v>
      </c>
      <c r="B28" s="1">
        <v>0</v>
      </c>
      <c r="C28" s="1" t="s">
        <v>3</v>
      </c>
      <c r="D28" s="1">
        <v>25</v>
      </c>
      <c r="E28" s="1" t="s">
        <v>2</v>
      </c>
      <c r="F28" s="1">
        <v>0</v>
      </c>
      <c r="G28" s="1">
        <v>0</v>
      </c>
    </row>
    <row r="29" spans="1:7" x14ac:dyDescent="0.3">
      <c r="A29" s="1">
        <v>2</v>
      </c>
      <c r="B29" s="1">
        <v>0</v>
      </c>
      <c r="C29" s="1" t="s">
        <v>3</v>
      </c>
      <c r="D29" s="1">
        <v>33</v>
      </c>
      <c r="E29" s="1" t="s">
        <v>2</v>
      </c>
      <c r="F29" s="1">
        <v>11</v>
      </c>
      <c r="G29" s="1">
        <v>0</v>
      </c>
    </row>
    <row r="30" spans="1:7" x14ac:dyDescent="0.3">
      <c r="A30" s="1">
        <v>2</v>
      </c>
      <c r="B30" s="1">
        <v>0</v>
      </c>
      <c r="C30" s="1" t="s">
        <v>3</v>
      </c>
      <c r="D30" s="1">
        <v>39</v>
      </c>
      <c r="E30" s="1" t="s">
        <v>2</v>
      </c>
      <c r="F30" s="1">
        <v>15</v>
      </c>
      <c r="G30" s="1">
        <v>0</v>
      </c>
    </row>
    <row r="31" spans="1:7" x14ac:dyDescent="0.3">
      <c r="A31" s="1">
        <v>2</v>
      </c>
      <c r="B31" s="1">
        <v>0</v>
      </c>
      <c r="C31" s="1" t="s">
        <v>3</v>
      </c>
      <c r="D31" s="1">
        <v>43</v>
      </c>
      <c r="E31" s="1" t="s">
        <v>2</v>
      </c>
      <c r="F31" s="1">
        <v>14</v>
      </c>
      <c r="G31" s="1">
        <v>0</v>
      </c>
    </row>
    <row r="32" spans="1:7" x14ac:dyDescent="0.3">
      <c r="A32" s="1">
        <v>2</v>
      </c>
      <c r="B32" s="1">
        <v>0</v>
      </c>
      <c r="C32" s="1" t="s">
        <v>3</v>
      </c>
      <c r="D32" s="1">
        <v>22</v>
      </c>
      <c r="E32" s="1" t="s">
        <v>2</v>
      </c>
      <c r="F32" s="1">
        <v>5</v>
      </c>
      <c r="G32" s="1">
        <v>0</v>
      </c>
    </row>
    <row r="33" spans="1:7" x14ac:dyDescent="0.3">
      <c r="A33" s="1">
        <v>2</v>
      </c>
      <c r="B33" s="1">
        <v>0</v>
      </c>
      <c r="C33" s="1" t="s">
        <v>3</v>
      </c>
      <c r="D33" s="1">
        <v>44</v>
      </c>
      <c r="E33" s="1" t="s">
        <v>2</v>
      </c>
      <c r="F33" s="1">
        <v>22</v>
      </c>
      <c r="G33" s="1">
        <v>0</v>
      </c>
    </row>
    <row r="34" spans="1:7" x14ac:dyDescent="0.3">
      <c r="A34" s="1">
        <v>2</v>
      </c>
      <c r="B34" s="1">
        <v>0</v>
      </c>
      <c r="C34" s="1" t="s">
        <v>3</v>
      </c>
      <c r="D34" s="1">
        <v>8</v>
      </c>
      <c r="E34" s="1" t="s">
        <v>2</v>
      </c>
      <c r="F34" s="1">
        <v>11</v>
      </c>
      <c r="G34" s="1">
        <v>1</v>
      </c>
    </row>
    <row r="35" spans="1:7" x14ac:dyDescent="0.3">
      <c r="A35" s="1">
        <v>2</v>
      </c>
      <c r="B35" s="1">
        <v>0</v>
      </c>
      <c r="C35" s="1" t="s">
        <v>3</v>
      </c>
      <c r="D35" s="1">
        <v>10</v>
      </c>
      <c r="E35" s="1" t="s">
        <v>2</v>
      </c>
      <c r="F35" s="1">
        <v>2</v>
      </c>
      <c r="G35" s="1">
        <v>0</v>
      </c>
    </row>
    <row r="36" spans="1:7" x14ac:dyDescent="0.3">
      <c r="A36" s="1">
        <v>2</v>
      </c>
      <c r="B36" s="1">
        <v>0</v>
      </c>
      <c r="C36" s="1" t="s">
        <v>3</v>
      </c>
      <c r="D36" s="1">
        <v>30</v>
      </c>
      <c r="E36" s="1" t="s">
        <v>2</v>
      </c>
      <c r="F36" s="1">
        <v>6</v>
      </c>
      <c r="G36" s="1">
        <v>0</v>
      </c>
    </row>
    <row r="37" spans="1:7" x14ac:dyDescent="0.3">
      <c r="A37" s="1">
        <v>2</v>
      </c>
      <c r="B37" s="1">
        <v>0</v>
      </c>
      <c r="C37" s="1" t="s">
        <v>3</v>
      </c>
      <c r="D37" s="1">
        <v>38</v>
      </c>
      <c r="E37" s="1" t="s">
        <v>2</v>
      </c>
      <c r="F37" s="1">
        <v>22</v>
      </c>
      <c r="G37" s="1">
        <v>0</v>
      </c>
    </row>
    <row r="38" spans="1:7" x14ac:dyDescent="0.3">
      <c r="A38" s="1">
        <v>2</v>
      </c>
      <c r="B38" s="1">
        <v>0</v>
      </c>
      <c r="C38" s="1" t="s">
        <v>3</v>
      </c>
      <c r="D38" s="1">
        <v>22</v>
      </c>
      <c r="E38" s="1" t="s">
        <v>2</v>
      </c>
      <c r="F38" s="1">
        <v>2</v>
      </c>
      <c r="G38" s="1">
        <v>0</v>
      </c>
    </row>
    <row r="39" spans="1:7" x14ac:dyDescent="0.3">
      <c r="A39" s="1">
        <v>2</v>
      </c>
      <c r="B39" s="1">
        <v>0</v>
      </c>
      <c r="C39" s="1" t="s">
        <v>3</v>
      </c>
      <c r="D39" s="1">
        <v>38</v>
      </c>
      <c r="E39" s="1" t="s">
        <v>2</v>
      </c>
      <c r="F39" s="1">
        <v>32</v>
      </c>
      <c r="G39" s="1">
        <v>0</v>
      </c>
    </row>
    <row r="40" spans="1:7" x14ac:dyDescent="0.3">
      <c r="A40" s="1">
        <v>2</v>
      </c>
      <c r="B40" s="1">
        <v>0</v>
      </c>
      <c r="C40" s="1" t="s">
        <v>3</v>
      </c>
      <c r="D40" s="1">
        <v>32</v>
      </c>
      <c r="E40" s="1" t="s">
        <v>2</v>
      </c>
      <c r="F40" s="1">
        <v>2</v>
      </c>
      <c r="G40" s="1">
        <v>0</v>
      </c>
    </row>
    <row r="41" spans="1:7" x14ac:dyDescent="0.3">
      <c r="A41" s="1">
        <v>2</v>
      </c>
      <c r="B41" s="1">
        <v>0</v>
      </c>
      <c r="C41" s="1" t="s">
        <v>3</v>
      </c>
      <c r="D41" s="1">
        <v>38</v>
      </c>
      <c r="E41" s="1" t="s">
        <v>2</v>
      </c>
      <c r="F41" s="1">
        <v>20</v>
      </c>
      <c r="G41" s="1">
        <v>0</v>
      </c>
    </row>
    <row r="42" spans="1:7" x14ac:dyDescent="0.3">
      <c r="A42" s="1">
        <v>2</v>
      </c>
      <c r="B42" s="1">
        <v>0</v>
      </c>
      <c r="C42" s="1" t="s">
        <v>3</v>
      </c>
      <c r="D42" s="1">
        <v>36</v>
      </c>
      <c r="E42" s="1" t="s">
        <v>2</v>
      </c>
      <c r="F42" s="1">
        <v>3</v>
      </c>
      <c r="G42" s="1">
        <v>0</v>
      </c>
    </row>
    <row r="43" spans="1:7" x14ac:dyDescent="0.3">
      <c r="A43" s="1">
        <v>2</v>
      </c>
      <c r="B43" s="1">
        <v>0</v>
      </c>
      <c r="C43" s="1" t="s">
        <v>3</v>
      </c>
      <c r="D43" s="1">
        <v>18</v>
      </c>
      <c r="E43" s="1" t="s">
        <v>2</v>
      </c>
      <c r="F43" s="1">
        <v>10</v>
      </c>
      <c r="G43" s="1">
        <v>0</v>
      </c>
    </row>
    <row r="44" spans="1:7" x14ac:dyDescent="0.3">
      <c r="A44" s="1">
        <v>2</v>
      </c>
      <c r="B44" s="1">
        <v>0</v>
      </c>
      <c r="C44" s="1" t="s">
        <v>3</v>
      </c>
      <c r="D44" s="1">
        <v>28</v>
      </c>
      <c r="E44" s="1" t="s">
        <v>2</v>
      </c>
      <c r="F44" s="1">
        <v>8</v>
      </c>
      <c r="G44" s="1">
        <v>0</v>
      </c>
    </row>
    <row r="45" spans="1:7" x14ac:dyDescent="0.3">
      <c r="A45" s="1">
        <v>2</v>
      </c>
      <c r="B45" s="1">
        <v>0</v>
      </c>
      <c r="C45" s="1" t="s">
        <v>3</v>
      </c>
      <c r="D45" s="1">
        <v>36</v>
      </c>
      <c r="E45" s="1" t="s">
        <v>2</v>
      </c>
      <c r="F45" s="1">
        <v>14</v>
      </c>
      <c r="G45" s="1">
        <v>0</v>
      </c>
    </row>
    <row r="46" spans="1:7" x14ac:dyDescent="0.3">
      <c r="A46" s="1">
        <v>2</v>
      </c>
      <c r="B46" s="1">
        <v>0</v>
      </c>
      <c r="C46" s="1" t="s">
        <v>3</v>
      </c>
      <c r="D46" s="1">
        <v>39</v>
      </c>
      <c r="E46" s="1" t="s">
        <v>2</v>
      </c>
      <c r="F46" s="1">
        <v>17</v>
      </c>
      <c r="G46" s="1">
        <v>0</v>
      </c>
    </row>
    <row r="47" spans="1:7" x14ac:dyDescent="0.3">
      <c r="A47" s="1">
        <v>2</v>
      </c>
      <c r="B47" s="1">
        <v>0</v>
      </c>
      <c r="C47" s="1" t="s">
        <v>3</v>
      </c>
      <c r="D47" s="1">
        <v>36</v>
      </c>
      <c r="E47" s="1" t="s">
        <v>2</v>
      </c>
      <c r="F47" s="1">
        <v>2</v>
      </c>
      <c r="G47" s="1">
        <v>0</v>
      </c>
    </row>
    <row r="48" spans="1:7" x14ac:dyDescent="0.3">
      <c r="A48" s="1">
        <v>2</v>
      </c>
      <c r="B48" s="1">
        <v>0</v>
      </c>
      <c r="C48" s="1" t="s">
        <v>3</v>
      </c>
      <c r="D48" s="1">
        <v>38</v>
      </c>
      <c r="E48" s="1" t="s">
        <v>2</v>
      </c>
      <c r="F48" s="1">
        <v>2</v>
      </c>
      <c r="G48" s="1">
        <v>0</v>
      </c>
    </row>
    <row r="49" spans="1:7" x14ac:dyDescent="0.3">
      <c r="A49" s="1">
        <v>2</v>
      </c>
      <c r="B49" s="1">
        <v>0</v>
      </c>
      <c r="C49" s="1" t="s">
        <v>3</v>
      </c>
      <c r="D49" s="1">
        <v>21</v>
      </c>
      <c r="E49" s="1" t="s">
        <v>2</v>
      </c>
      <c r="F49" s="1">
        <v>0</v>
      </c>
      <c r="G49" s="1">
        <v>0</v>
      </c>
    </row>
    <row r="50" spans="1:7" x14ac:dyDescent="0.3">
      <c r="A50" s="1">
        <v>2</v>
      </c>
      <c r="B50" s="1">
        <v>0</v>
      </c>
      <c r="C50" s="1" t="s">
        <v>3</v>
      </c>
      <c r="D50" s="1">
        <v>34</v>
      </c>
      <c r="E50" s="1" t="s">
        <v>2</v>
      </c>
      <c r="F50" s="1">
        <v>5</v>
      </c>
      <c r="G50" s="1">
        <v>0</v>
      </c>
    </row>
    <row r="51" spans="1:7" x14ac:dyDescent="0.3">
      <c r="A51" s="1">
        <v>2</v>
      </c>
      <c r="B51" s="1">
        <v>1</v>
      </c>
      <c r="C51" s="1" t="s">
        <v>3</v>
      </c>
      <c r="D51" s="1">
        <v>52</v>
      </c>
      <c r="E51" s="1" t="s">
        <v>2</v>
      </c>
      <c r="F51" s="1">
        <v>12</v>
      </c>
      <c r="G51" s="1">
        <v>0</v>
      </c>
    </row>
    <row r="52" spans="1:7" x14ac:dyDescent="0.3">
      <c r="A52" s="1">
        <v>2</v>
      </c>
      <c r="B52" s="1">
        <v>1</v>
      </c>
      <c r="C52" s="1" t="s">
        <v>3</v>
      </c>
      <c r="D52" s="1">
        <v>37</v>
      </c>
      <c r="E52" s="1" t="s">
        <v>2</v>
      </c>
      <c r="F52" s="1">
        <v>5</v>
      </c>
      <c r="G52" s="1">
        <v>0</v>
      </c>
    </row>
    <row r="53" spans="1:7" x14ac:dyDescent="0.3">
      <c r="A53" s="1">
        <v>2</v>
      </c>
      <c r="B53" s="1">
        <v>1</v>
      </c>
      <c r="C53" s="1" t="s">
        <v>3</v>
      </c>
      <c r="D53" s="1">
        <v>21</v>
      </c>
      <c r="E53" s="1" t="s">
        <v>2</v>
      </c>
      <c r="F53" s="1">
        <v>14</v>
      </c>
      <c r="G53" s="1">
        <v>0</v>
      </c>
    </row>
    <row r="54" spans="1:7" x14ac:dyDescent="0.3">
      <c r="A54" s="1">
        <v>2</v>
      </c>
      <c r="B54" s="1">
        <v>1</v>
      </c>
      <c r="C54" s="1" t="s">
        <v>3</v>
      </c>
      <c r="D54" s="1">
        <v>38</v>
      </c>
      <c r="E54" s="1" t="s">
        <v>2</v>
      </c>
      <c r="F54" s="1">
        <v>19</v>
      </c>
      <c r="G54" s="1">
        <v>0</v>
      </c>
    </row>
    <row r="55" spans="1:7" x14ac:dyDescent="0.3">
      <c r="A55" s="1">
        <v>2</v>
      </c>
      <c r="B55" s="1">
        <v>1</v>
      </c>
      <c r="C55" s="1" t="s">
        <v>3</v>
      </c>
      <c r="D55" s="1">
        <v>23</v>
      </c>
      <c r="E55" s="1" t="s">
        <v>2</v>
      </c>
      <c r="F55" s="1">
        <v>5</v>
      </c>
      <c r="G55" s="1">
        <v>0</v>
      </c>
    </row>
    <row r="56" spans="1:7" x14ac:dyDescent="0.3">
      <c r="A56" s="1">
        <v>2</v>
      </c>
      <c r="B56" s="1">
        <v>1</v>
      </c>
      <c r="C56" s="1" t="s">
        <v>3</v>
      </c>
      <c r="D56" s="1">
        <v>21</v>
      </c>
      <c r="E56" s="1" t="s">
        <v>2</v>
      </c>
      <c r="F56" s="1">
        <v>2</v>
      </c>
      <c r="G56" s="1">
        <v>0</v>
      </c>
    </row>
    <row r="57" spans="1:7" x14ac:dyDescent="0.3">
      <c r="A57" s="1">
        <v>2</v>
      </c>
      <c r="B57" s="1">
        <v>1</v>
      </c>
      <c r="C57" s="1" t="s">
        <v>3</v>
      </c>
      <c r="D57" s="1">
        <v>31</v>
      </c>
      <c r="E57" s="1" t="s">
        <v>2</v>
      </c>
      <c r="F57" s="1">
        <v>1</v>
      </c>
      <c r="G57" s="1">
        <v>0</v>
      </c>
    </row>
    <row r="58" spans="1:7" x14ac:dyDescent="0.3">
      <c r="A58" s="1">
        <v>2</v>
      </c>
      <c r="B58" s="1">
        <v>1</v>
      </c>
      <c r="C58" s="1" t="s">
        <v>3</v>
      </c>
      <c r="D58" s="1">
        <v>22</v>
      </c>
      <c r="E58" s="1" t="s">
        <v>2</v>
      </c>
      <c r="F58" s="1">
        <v>33</v>
      </c>
      <c r="G58" s="1">
        <v>1</v>
      </c>
    </row>
    <row r="59" spans="1:7" x14ac:dyDescent="0.3">
      <c r="A59" s="1">
        <v>2</v>
      </c>
      <c r="B59" s="1">
        <v>1</v>
      </c>
      <c r="C59" s="1" t="s">
        <v>3</v>
      </c>
      <c r="D59" s="1">
        <v>46</v>
      </c>
      <c r="E59" s="1" t="s">
        <v>2</v>
      </c>
      <c r="F59" s="1">
        <v>0</v>
      </c>
      <c r="G59" s="1">
        <v>0</v>
      </c>
    </row>
    <row r="60" spans="1:7" x14ac:dyDescent="0.3">
      <c r="A60" s="1">
        <v>2</v>
      </c>
      <c r="B60" s="1">
        <v>1</v>
      </c>
      <c r="C60" s="1" t="s">
        <v>3</v>
      </c>
      <c r="D60" s="1">
        <v>25</v>
      </c>
      <c r="E60" s="1" t="s">
        <v>2</v>
      </c>
      <c r="F60" s="1">
        <v>15</v>
      </c>
      <c r="G60" s="1">
        <v>0</v>
      </c>
    </row>
    <row r="61" spans="1:7" x14ac:dyDescent="0.3">
      <c r="A61" s="1">
        <v>2</v>
      </c>
      <c r="B61" s="1">
        <v>1</v>
      </c>
      <c r="C61" s="1" t="s">
        <v>3</v>
      </c>
      <c r="D61" s="1">
        <v>45</v>
      </c>
      <c r="E61" s="1" t="s">
        <v>2</v>
      </c>
      <c r="F61" s="1">
        <v>2</v>
      </c>
      <c r="G61" s="1">
        <v>0</v>
      </c>
    </row>
    <row r="62" spans="1:7" x14ac:dyDescent="0.3">
      <c r="A62" s="1">
        <v>2</v>
      </c>
      <c r="B62" s="1">
        <v>1</v>
      </c>
      <c r="C62" s="1" t="s">
        <v>3</v>
      </c>
      <c r="D62" s="1">
        <v>18</v>
      </c>
      <c r="E62" s="1" t="s">
        <v>2</v>
      </c>
      <c r="F62" s="1">
        <v>13</v>
      </c>
      <c r="G62" s="1">
        <v>0</v>
      </c>
    </row>
    <row r="63" spans="1:7" x14ac:dyDescent="0.3">
      <c r="A63" s="1">
        <v>2</v>
      </c>
      <c r="B63" s="1">
        <v>1</v>
      </c>
      <c r="C63" s="1" t="s">
        <v>3</v>
      </c>
      <c r="D63" s="1">
        <v>48</v>
      </c>
      <c r="E63" s="1" t="s">
        <v>2</v>
      </c>
      <c r="F63" s="1">
        <v>2</v>
      </c>
      <c r="G63" s="1">
        <v>0</v>
      </c>
    </row>
    <row r="64" spans="1:7" x14ac:dyDescent="0.3">
      <c r="A64" s="1">
        <v>2</v>
      </c>
      <c r="B64" s="1">
        <v>1</v>
      </c>
      <c r="C64" s="1" t="s">
        <v>3</v>
      </c>
      <c r="D64" s="1">
        <v>48</v>
      </c>
      <c r="E64" s="1" t="s">
        <v>2</v>
      </c>
      <c r="F64" s="1">
        <v>18</v>
      </c>
      <c r="G64" s="1">
        <v>0</v>
      </c>
    </row>
    <row r="65" spans="1:7" x14ac:dyDescent="0.3">
      <c r="A65" s="1">
        <v>2</v>
      </c>
      <c r="B65" s="1">
        <v>1</v>
      </c>
      <c r="C65" s="1" t="s">
        <v>3</v>
      </c>
      <c r="D65" s="1">
        <v>11</v>
      </c>
      <c r="E65" s="1" t="s">
        <v>2</v>
      </c>
      <c r="F65" s="1">
        <v>13</v>
      </c>
      <c r="G65" s="1">
        <v>1</v>
      </c>
    </row>
    <row r="66" spans="1:7" x14ac:dyDescent="0.3">
      <c r="A66" s="1">
        <v>2</v>
      </c>
      <c r="B66" s="1">
        <v>1</v>
      </c>
      <c r="C66" s="1" t="s">
        <v>3</v>
      </c>
      <c r="D66" s="1">
        <v>22</v>
      </c>
      <c r="E66" s="1" t="s">
        <v>2</v>
      </c>
      <c r="F66" s="1">
        <v>16</v>
      </c>
      <c r="G66" s="1">
        <v>0</v>
      </c>
    </row>
    <row r="67" spans="1:7" x14ac:dyDescent="0.3">
      <c r="A67" s="1">
        <v>2</v>
      </c>
      <c r="B67" s="1">
        <v>1</v>
      </c>
      <c r="C67" s="1" t="s">
        <v>3</v>
      </c>
      <c r="D67" s="1">
        <v>34</v>
      </c>
      <c r="E67" s="1" t="s">
        <v>2</v>
      </c>
      <c r="F67" s="1">
        <v>12</v>
      </c>
      <c r="G67" s="1">
        <v>0</v>
      </c>
    </row>
    <row r="68" spans="1:7" x14ac:dyDescent="0.3">
      <c r="A68" s="1">
        <v>2</v>
      </c>
      <c r="B68" s="1">
        <v>1</v>
      </c>
      <c r="C68" s="1" t="s">
        <v>3</v>
      </c>
      <c r="D68" s="1">
        <v>30</v>
      </c>
      <c r="E68" s="1" t="s">
        <v>2</v>
      </c>
      <c r="F68" s="1">
        <v>25</v>
      </c>
      <c r="G68" s="1">
        <v>0</v>
      </c>
    </row>
    <row r="69" spans="1:7" x14ac:dyDescent="0.3">
      <c r="A69" s="1">
        <v>2</v>
      </c>
      <c r="B69" s="1">
        <v>1</v>
      </c>
      <c r="C69" s="1" t="s">
        <v>3</v>
      </c>
      <c r="D69" s="1">
        <v>11</v>
      </c>
      <c r="E69" s="1" t="s">
        <v>2</v>
      </c>
      <c r="F69" s="1">
        <v>9</v>
      </c>
      <c r="G69" s="1">
        <v>0</v>
      </c>
    </row>
    <row r="70" spans="1:7" x14ac:dyDescent="0.3">
      <c r="A70" s="1">
        <v>2</v>
      </c>
      <c r="B70" s="1">
        <v>1</v>
      </c>
      <c r="C70" s="1" t="s">
        <v>3</v>
      </c>
      <c r="D70" s="1">
        <v>23</v>
      </c>
      <c r="E70" s="1" t="s">
        <v>2</v>
      </c>
      <c r="F70" s="1">
        <v>26</v>
      </c>
      <c r="G70" s="1">
        <v>1</v>
      </c>
    </row>
    <row r="71" spans="1:7" x14ac:dyDescent="0.3">
      <c r="A71" s="1">
        <v>2</v>
      </c>
      <c r="B71" s="1">
        <v>1</v>
      </c>
      <c r="C71" s="1" t="s">
        <v>3</v>
      </c>
      <c r="D71" s="1">
        <v>46</v>
      </c>
      <c r="E71" s="1" t="s">
        <v>2</v>
      </c>
      <c r="F71" s="1">
        <v>26</v>
      </c>
      <c r="G71" s="1">
        <v>0</v>
      </c>
    </row>
    <row r="72" spans="1:7" x14ac:dyDescent="0.3">
      <c r="A72" s="1">
        <v>2</v>
      </c>
      <c r="B72" s="1">
        <v>1</v>
      </c>
      <c r="C72" s="1" t="s">
        <v>3</v>
      </c>
      <c r="D72" s="1">
        <v>27</v>
      </c>
      <c r="E72" s="1" t="s">
        <v>2</v>
      </c>
      <c r="F72" s="1">
        <v>2</v>
      </c>
      <c r="G72" s="1">
        <v>0</v>
      </c>
    </row>
    <row r="73" spans="1:7" x14ac:dyDescent="0.3">
      <c r="A73" s="1">
        <v>2</v>
      </c>
      <c r="B73" s="1">
        <v>1</v>
      </c>
      <c r="C73" s="1" t="s">
        <v>3</v>
      </c>
      <c r="D73" s="1">
        <v>29</v>
      </c>
      <c r="E73" s="1" t="s">
        <v>2</v>
      </c>
      <c r="F73" s="1">
        <v>13</v>
      </c>
      <c r="G73" s="1">
        <v>0</v>
      </c>
    </row>
    <row r="74" spans="1:7" x14ac:dyDescent="0.3">
      <c r="A74" s="1">
        <v>2</v>
      </c>
      <c r="B74" s="1">
        <v>1</v>
      </c>
      <c r="C74" s="1" t="s">
        <v>3</v>
      </c>
      <c r="D74" s="1">
        <v>53</v>
      </c>
      <c r="E74" s="1" t="s">
        <v>2</v>
      </c>
      <c r="F74" s="1">
        <v>2</v>
      </c>
      <c r="G74" s="1">
        <v>0</v>
      </c>
    </row>
    <row r="75" spans="1:7" x14ac:dyDescent="0.3">
      <c r="A75" s="1">
        <v>2</v>
      </c>
      <c r="B75" s="1">
        <v>1</v>
      </c>
      <c r="C75" s="1" t="s">
        <v>3</v>
      </c>
      <c r="D75" s="1">
        <v>36</v>
      </c>
      <c r="E75" s="1" t="s">
        <v>2</v>
      </c>
      <c r="F75" s="1">
        <v>5</v>
      </c>
      <c r="G75" s="1">
        <v>0</v>
      </c>
    </row>
    <row r="76" spans="1:7" x14ac:dyDescent="0.3">
      <c r="A76" s="1">
        <v>2</v>
      </c>
      <c r="B76" s="1">
        <v>1</v>
      </c>
      <c r="C76" s="1" t="s">
        <v>3</v>
      </c>
      <c r="D76" s="1">
        <v>2</v>
      </c>
      <c r="E76" s="1" t="s">
        <v>2</v>
      </c>
      <c r="F76" s="1">
        <v>24</v>
      </c>
      <c r="G76" s="1">
        <v>1</v>
      </c>
    </row>
    <row r="77" spans="1:7" x14ac:dyDescent="0.3">
      <c r="A77" s="1">
        <v>2</v>
      </c>
      <c r="B77" s="1">
        <v>1</v>
      </c>
      <c r="C77" s="1" t="s">
        <v>3</v>
      </c>
      <c r="D77" s="1">
        <v>44</v>
      </c>
      <c r="E77" s="1" t="s">
        <v>2</v>
      </c>
      <c r="F77" s="1">
        <v>9</v>
      </c>
      <c r="G77" s="1">
        <v>0</v>
      </c>
    </row>
    <row r="78" spans="1:7" x14ac:dyDescent="0.3">
      <c r="A78" s="1">
        <v>2</v>
      </c>
      <c r="B78" s="1">
        <v>1</v>
      </c>
      <c r="C78" s="1" t="s">
        <v>3</v>
      </c>
      <c r="D78" s="1">
        <v>52</v>
      </c>
      <c r="E78" s="1" t="s">
        <v>2</v>
      </c>
      <c r="F78" s="1">
        <v>13</v>
      </c>
      <c r="G78" s="1">
        <v>0</v>
      </c>
    </row>
    <row r="79" spans="1:7" x14ac:dyDescent="0.3">
      <c r="A79" s="1">
        <v>2</v>
      </c>
      <c r="B79" s="1">
        <v>1</v>
      </c>
      <c r="C79" s="1" t="s">
        <v>3</v>
      </c>
      <c r="D79" s="1">
        <v>37</v>
      </c>
      <c r="E79" s="1" t="s">
        <v>2</v>
      </c>
      <c r="F79" s="1">
        <v>0</v>
      </c>
      <c r="G79" s="1">
        <v>0</v>
      </c>
    </row>
    <row r="80" spans="1:7" x14ac:dyDescent="0.3">
      <c r="A80" s="1">
        <v>2</v>
      </c>
      <c r="B80" s="1">
        <v>1</v>
      </c>
      <c r="C80" s="1" t="s">
        <v>3</v>
      </c>
      <c r="D80" s="1">
        <v>29</v>
      </c>
      <c r="E80" s="1" t="s">
        <v>2</v>
      </c>
      <c r="F80" s="1">
        <v>11</v>
      </c>
      <c r="G80" s="1">
        <v>0</v>
      </c>
    </row>
    <row r="81" spans="1:7" x14ac:dyDescent="0.3">
      <c r="A81" s="1">
        <v>2</v>
      </c>
      <c r="B81" s="1">
        <v>1</v>
      </c>
      <c r="C81" s="1" t="s">
        <v>3</v>
      </c>
      <c r="D81" s="1">
        <v>33</v>
      </c>
      <c r="E81" s="1" t="s">
        <v>2</v>
      </c>
      <c r="F81" s="1">
        <v>0</v>
      </c>
      <c r="G81" s="1">
        <v>0</v>
      </c>
    </row>
    <row r="82" spans="1:7" x14ac:dyDescent="0.3">
      <c r="A82" s="1">
        <v>2</v>
      </c>
      <c r="B82" s="1">
        <v>1</v>
      </c>
      <c r="C82" s="1" t="s">
        <v>3</v>
      </c>
      <c r="D82" s="1">
        <v>24</v>
      </c>
      <c r="E82" s="1" t="s">
        <v>2</v>
      </c>
      <c r="F82" s="1">
        <v>14</v>
      </c>
      <c r="G82" s="1">
        <v>0</v>
      </c>
    </row>
    <row r="83" spans="1:7" x14ac:dyDescent="0.3">
      <c r="A83" s="1">
        <v>2</v>
      </c>
      <c r="B83" s="1">
        <v>1</v>
      </c>
      <c r="C83" s="1" t="s">
        <v>3</v>
      </c>
      <c r="D83" s="1">
        <v>23</v>
      </c>
      <c r="E83" s="1" t="s">
        <v>2</v>
      </c>
      <c r="F83" s="1">
        <v>5</v>
      </c>
      <c r="G83" s="1">
        <v>0</v>
      </c>
    </row>
    <row r="84" spans="1:7" x14ac:dyDescent="0.3">
      <c r="A84" s="1">
        <v>2</v>
      </c>
      <c r="B84" s="1">
        <v>1</v>
      </c>
      <c r="C84" s="1" t="s">
        <v>3</v>
      </c>
      <c r="D84" s="1">
        <v>19</v>
      </c>
      <c r="E84" s="1" t="s">
        <v>2</v>
      </c>
      <c r="F84" s="1">
        <v>30</v>
      </c>
      <c r="G84" s="1">
        <v>1</v>
      </c>
    </row>
    <row r="85" spans="1:7" x14ac:dyDescent="0.3">
      <c r="A85" s="1">
        <v>2</v>
      </c>
      <c r="B85" s="1">
        <v>1</v>
      </c>
      <c r="C85" s="1" t="s">
        <v>3</v>
      </c>
      <c r="D85" s="1">
        <v>24</v>
      </c>
      <c r="E85" s="1" t="s">
        <v>2</v>
      </c>
      <c r="F85" s="1">
        <v>27</v>
      </c>
      <c r="G85" s="1">
        <v>1</v>
      </c>
    </row>
    <row r="86" spans="1:7" x14ac:dyDescent="0.3">
      <c r="A86" s="1">
        <v>2</v>
      </c>
      <c r="B86" s="1">
        <v>1</v>
      </c>
      <c r="C86" s="1" t="s">
        <v>3</v>
      </c>
      <c r="D86" s="1">
        <v>35</v>
      </c>
      <c r="E86" s="1" t="s">
        <v>2</v>
      </c>
      <c r="F86" s="1">
        <v>0</v>
      </c>
      <c r="G86" s="1">
        <v>0</v>
      </c>
    </row>
    <row r="87" spans="1:7" x14ac:dyDescent="0.3">
      <c r="A87" s="1">
        <v>2</v>
      </c>
      <c r="B87" s="1">
        <v>1</v>
      </c>
      <c r="C87" s="1" t="s">
        <v>3</v>
      </c>
      <c r="D87" s="1">
        <v>15</v>
      </c>
      <c r="E87" s="1" t="s">
        <v>2</v>
      </c>
      <c r="F87" s="1">
        <v>2</v>
      </c>
      <c r="G87" s="1">
        <v>0</v>
      </c>
    </row>
    <row r="88" spans="1:7" x14ac:dyDescent="0.3">
      <c r="A88" s="1">
        <v>2</v>
      </c>
      <c r="B88" s="1">
        <v>1</v>
      </c>
      <c r="C88" s="1" t="s">
        <v>3</v>
      </c>
      <c r="D88" s="1">
        <v>42</v>
      </c>
      <c r="E88" s="1" t="s">
        <v>2</v>
      </c>
      <c r="F88" s="1">
        <v>0</v>
      </c>
      <c r="G88" s="1">
        <v>0</v>
      </c>
    </row>
    <row r="89" spans="1:7" x14ac:dyDescent="0.3">
      <c r="A89" s="1">
        <v>2</v>
      </c>
      <c r="B89" s="1">
        <v>1</v>
      </c>
      <c r="C89" s="1" t="s">
        <v>3</v>
      </c>
      <c r="D89" s="1">
        <v>11</v>
      </c>
      <c r="E89" s="1" t="s">
        <v>2</v>
      </c>
      <c r="F89" s="1">
        <v>3</v>
      </c>
      <c r="G89" s="1">
        <v>0</v>
      </c>
    </row>
    <row r="90" spans="1:7" x14ac:dyDescent="0.3">
      <c r="A90" s="1">
        <v>2</v>
      </c>
      <c r="B90" s="1">
        <v>1</v>
      </c>
      <c r="C90" s="1" t="s">
        <v>3</v>
      </c>
      <c r="D90" s="1">
        <v>53</v>
      </c>
      <c r="E90" s="1" t="s">
        <v>2</v>
      </c>
      <c r="F90" s="1">
        <v>15</v>
      </c>
      <c r="G90" s="1">
        <v>0</v>
      </c>
    </row>
    <row r="91" spans="1:7" x14ac:dyDescent="0.3">
      <c r="A91" s="1">
        <v>2</v>
      </c>
      <c r="B91" s="1">
        <v>1</v>
      </c>
      <c r="C91" s="1" t="s">
        <v>3</v>
      </c>
      <c r="D91" s="1">
        <v>31</v>
      </c>
      <c r="E91" s="1" t="s">
        <v>2</v>
      </c>
      <c r="F91" s="1">
        <v>8</v>
      </c>
      <c r="G91" s="1">
        <v>0</v>
      </c>
    </row>
    <row r="92" spans="1:7" x14ac:dyDescent="0.3">
      <c r="A92" s="1">
        <v>2</v>
      </c>
      <c r="B92" s="1">
        <v>1</v>
      </c>
      <c r="C92" s="1" t="s">
        <v>3</v>
      </c>
      <c r="D92" s="1">
        <v>21</v>
      </c>
      <c r="E92" s="1" t="s">
        <v>2</v>
      </c>
      <c r="F92" s="1">
        <v>0</v>
      </c>
      <c r="G92" s="1">
        <v>0</v>
      </c>
    </row>
    <row r="93" spans="1:7" x14ac:dyDescent="0.3">
      <c r="A93" s="1">
        <v>2</v>
      </c>
      <c r="B93" s="1">
        <v>1</v>
      </c>
      <c r="C93" s="1" t="s">
        <v>3</v>
      </c>
      <c r="D93" s="1">
        <v>19</v>
      </c>
      <c r="E93" s="1" t="s">
        <v>2</v>
      </c>
      <c r="F93" s="1">
        <v>20</v>
      </c>
      <c r="G93" s="1">
        <v>1</v>
      </c>
    </row>
    <row r="94" spans="1:7" x14ac:dyDescent="0.3">
      <c r="A94" s="1">
        <v>2</v>
      </c>
      <c r="B94" s="1">
        <v>1</v>
      </c>
      <c r="C94" s="1" t="s">
        <v>3</v>
      </c>
      <c r="D94" s="1">
        <v>14</v>
      </c>
      <c r="E94" s="1" t="s">
        <v>2</v>
      </c>
      <c r="F94" s="1">
        <v>8</v>
      </c>
      <c r="G94" s="1">
        <v>0</v>
      </c>
    </row>
    <row r="95" spans="1:7" x14ac:dyDescent="0.3">
      <c r="A95" s="1">
        <v>2</v>
      </c>
      <c r="B95" s="1">
        <v>1</v>
      </c>
      <c r="C95" s="1" t="s">
        <v>3</v>
      </c>
      <c r="D95" s="1">
        <v>19</v>
      </c>
      <c r="E95" s="1" t="s">
        <v>2</v>
      </c>
      <c r="F95" s="1">
        <v>18</v>
      </c>
      <c r="G95" s="1">
        <v>0</v>
      </c>
    </row>
    <row r="96" spans="1:7" x14ac:dyDescent="0.3">
      <c r="A96" s="1">
        <v>2</v>
      </c>
      <c r="B96" s="1">
        <v>1</v>
      </c>
      <c r="C96" s="1" t="s">
        <v>3</v>
      </c>
      <c r="D96" s="1">
        <v>15</v>
      </c>
      <c r="E96" s="1" t="s">
        <v>2</v>
      </c>
      <c r="F96" s="1">
        <v>0</v>
      </c>
      <c r="G96" s="1">
        <v>0</v>
      </c>
    </row>
    <row r="97" spans="1:7" x14ac:dyDescent="0.3">
      <c r="A97" s="1">
        <v>2</v>
      </c>
      <c r="B97" s="1">
        <v>1</v>
      </c>
      <c r="C97" s="1" t="s">
        <v>3</v>
      </c>
      <c r="D97" s="1">
        <v>24</v>
      </c>
      <c r="E97" s="1" t="s">
        <v>2</v>
      </c>
      <c r="F97" s="1">
        <v>35</v>
      </c>
      <c r="G97" s="1">
        <v>1</v>
      </c>
    </row>
    <row r="98" spans="1:7" x14ac:dyDescent="0.3">
      <c r="A98" s="1">
        <v>2</v>
      </c>
      <c r="B98" s="1">
        <v>1</v>
      </c>
      <c r="C98" s="1" t="s">
        <v>3</v>
      </c>
      <c r="D98" s="1">
        <v>42</v>
      </c>
      <c r="E98" s="1" t="s">
        <v>2</v>
      </c>
      <c r="F98" s="1">
        <v>24</v>
      </c>
      <c r="G98" s="1">
        <v>0</v>
      </c>
    </row>
    <row r="99" spans="1:7" x14ac:dyDescent="0.3">
      <c r="A99" s="1">
        <v>2</v>
      </c>
      <c r="B99" s="1">
        <v>1</v>
      </c>
      <c r="C99" s="1" t="s">
        <v>3</v>
      </c>
      <c r="D99" s="1">
        <v>27</v>
      </c>
      <c r="E99" s="1" t="s">
        <v>2</v>
      </c>
      <c r="F99" s="1">
        <v>9</v>
      </c>
      <c r="G99" s="1">
        <v>0</v>
      </c>
    </row>
    <row r="100" spans="1:7" x14ac:dyDescent="0.3">
      <c r="A100" s="1">
        <v>2</v>
      </c>
      <c r="B100" s="1">
        <v>1</v>
      </c>
      <c r="C100" s="1" t="s">
        <v>3</v>
      </c>
      <c r="D100" s="1">
        <v>17</v>
      </c>
      <c r="E100" s="1" t="s">
        <v>2</v>
      </c>
      <c r="F100" s="1">
        <v>14</v>
      </c>
      <c r="G100" s="1">
        <v>0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597DF-333C-4915-8913-5DF7A8E8CE52}">
  <dimension ref="A1:Q100"/>
  <sheetViews>
    <sheetView topLeftCell="G1" workbookViewId="0">
      <selection activeCell="M22" sqref="M22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3</v>
      </c>
      <c r="D1" s="1">
        <v>19</v>
      </c>
      <c r="E1" s="1" t="s">
        <v>6</v>
      </c>
      <c r="F1" s="1">
        <v>75</v>
      </c>
      <c r="G1" s="1">
        <v>1</v>
      </c>
      <c r="I1" s="2"/>
      <c r="J1" s="3"/>
      <c r="K1" s="4" t="s">
        <v>7</v>
      </c>
      <c r="L1" s="4"/>
      <c r="M1" s="5" t="s">
        <v>8</v>
      </c>
      <c r="N1" s="5"/>
      <c r="O1" s="5" t="s">
        <v>9</v>
      </c>
      <c r="P1" s="5"/>
      <c r="Q1"/>
    </row>
    <row r="2" spans="1:17" x14ac:dyDescent="0.3">
      <c r="A2" s="1">
        <v>2</v>
      </c>
      <c r="B2" s="1">
        <v>0</v>
      </c>
      <c r="C2" s="1" t="s">
        <v>3</v>
      </c>
      <c r="D2" s="1">
        <v>32</v>
      </c>
      <c r="E2" s="1" t="s">
        <v>6</v>
      </c>
      <c r="F2" s="1">
        <v>29</v>
      </c>
      <c r="G2" s="1">
        <v>0</v>
      </c>
      <c r="I2" s="6"/>
      <c r="J2" s="7"/>
      <c r="K2" s="4"/>
      <c r="L2" s="4"/>
      <c r="M2" s="5"/>
      <c r="N2" s="5"/>
      <c r="O2" s="5"/>
      <c r="P2" s="5"/>
      <c r="Q2" s="8" t="s">
        <v>10</v>
      </c>
    </row>
    <row r="3" spans="1:17" x14ac:dyDescent="0.3">
      <c r="A3" s="1">
        <v>2</v>
      </c>
      <c r="B3" s="1">
        <v>0</v>
      </c>
      <c r="C3" s="1" t="s">
        <v>3</v>
      </c>
      <c r="D3" s="1">
        <v>23</v>
      </c>
      <c r="E3" s="1" t="s">
        <v>6</v>
      </c>
      <c r="F3" s="1">
        <v>62</v>
      </c>
      <c r="G3" s="1">
        <v>1</v>
      </c>
      <c r="I3" s="5" t="s">
        <v>11</v>
      </c>
      <c r="J3" s="5"/>
      <c r="K3" s="9">
        <f>COUNTIF($G$1:$G$100, 0)</f>
        <v>17</v>
      </c>
      <c r="L3" s="9"/>
      <c r="M3" s="9">
        <f>COUNTIFS($G$1:$G$100, 0, $B$1:$B$100, 0)</f>
        <v>12</v>
      </c>
      <c r="N3" s="9"/>
      <c r="O3" s="10">
        <f>COUNTIFS($G$1:$G$100, 0, $B$1:$B$100, 1)</f>
        <v>5</v>
      </c>
      <c r="P3" s="11"/>
      <c r="Q3" s="12" cm="1">
        <f t="array" ref="Q3">SUMPRODUCT(--($D$1:$D$100=$G$1:$G$100))</f>
        <v>0</v>
      </c>
    </row>
    <row r="4" spans="1:17" x14ac:dyDescent="0.3">
      <c r="A4" s="1">
        <v>2</v>
      </c>
      <c r="B4" s="1">
        <v>0</v>
      </c>
      <c r="C4" s="1" t="s">
        <v>3</v>
      </c>
      <c r="D4" s="1">
        <v>18</v>
      </c>
      <c r="E4" s="1" t="s">
        <v>6</v>
      </c>
      <c r="F4" s="1">
        <v>31</v>
      </c>
      <c r="G4" s="1">
        <v>1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3</v>
      </c>
      <c r="D5" s="1">
        <v>12</v>
      </c>
      <c r="E5" s="1" t="s">
        <v>6</v>
      </c>
      <c r="F5" s="1">
        <v>57</v>
      </c>
      <c r="G5" s="1">
        <v>1</v>
      </c>
      <c r="I5" s="5" t="s">
        <v>12</v>
      </c>
      <c r="J5" s="5"/>
      <c r="K5" s="14">
        <f>COUNTIF($G$1:$G$100, 1)</f>
        <v>83</v>
      </c>
      <c r="L5" s="9"/>
      <c r="M5" s="9">
        <f>COUNTIFS($G$1:$G$100, 1, $B$1:$B$100, 0)</f>
        <v>38</v>
      </c>
      <c r="N5" s="9"/>
      <c r="O5" s="9">
        <f>COUNTIFS($G$1:$G$100, 1, $B$1:$B$100, 1)</f>
        <v>45</v>
      </c>
      <c r="P5" s="13"/>
      <c r="Q5"/>
    </row>
    <row r="6" spans="1:17" x14ac:dyDescent="0.3">
      <c r="A6" s="1">
        <v>2</v>
      </c>
      <c r="B6" s="1">
        <v>0</v>
      </c>
      <c r="C6" s="1" t="s">
        <v>3</v>
      </c>
      <c r="D6" s="1">
        <v>28</v>
      </c>
      <c r="E6" s="1" t="s">
        <v>6</v>
      </c>
      <c r="F6" s="1">
        <v>16</v>
      </c>
      <c r="G6" s="1">
        <v>0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3</v>
      </c>
      <c r="D7" s="1">
        <v>33</v>
      </c>
      <c r="E7" s="1" t="s">
        <v>6</v>
      </c>
      <c r="F7" s="1">
        <v>24</v>
      </c>
      <c r="G7" s="1">
        <v>0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3</v>
      </c>
      <c r="D8" s="1">
        <v>25</v>
      </c>
      <c r="E8" s="1" t="s">
        <v>6</v>
      </c>
      <c r="F8" s="1">
        <v>18</v>
      </c>
      <c r="G8" s="1">
        <v>0</v>
      </c>
      <c r="I8" s="19"/>
      <c r="J8" s="20"/>
      <c r="K8" s="21" t="s">
        <v>7</v>
      </c>
      <c r="L8" s="21"/>
      <c r="M8" s="21" t="s">
        <v>13</v>
      </c>
      <c r="N8" s="21"/>
      <c r="O8" s="21" t="s">
        <v>14</v>
      </c>
      <c r="P8" s="21"/>
      <c r="Q8"/>
    </row>
    <row r="9" spans="1:17" x14ac:dyDescent="0.3">
      <c r="A9" s="1">
        <v>2</v>
      </c>
      <c r="B9" s="1">
        <v>0</v>
      </c>
      <c r="C9" s="1" t="s">
        <v>3</v>
      </c>
      <c r="D9" s="1">
        <v>30</v>
      </c>
      <c r="E9" s="1" t="s">
        <v>6</v>
      </c>
      <c r="F9" s="1">
        <v>7</v>
      </c>
      <c r="G9" s="1">
        <v>0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3</v>
      </c>
      <c r="D10" s="1">
        <v>18</v>
      </c>
      <c r="E10" s="1" t="s">
        <v>6</v>
      </c>
      <c r="F10" s="1">
        <v>37</v>
      </c>
      <c r="G10" s="1">
        <v>1</v>
      </c>
      <c r="I10" s="5" t="s">
        <v>15</v>
      </c>
      <c r="J10" s="5"/>
      <c r="K10" s="9">
        <f>AVERAGE($D$1:$D$100,)</f>
        <v>20.10891089108911</v>
      </c>
      <c r="L10" s="9"/>
      <c r="M10" s="9" cm="1">
        <f t="array" ref="M10">AVERAGE(_xlfn._xlws.FILTER($D$1:$D$100,$G$1:$G$100 = 0))</f>
        <v>28.352941176470587</v>
      </c>
      <c r="N10" s="9"/>
      <c r="O10" s="10" cm="1">
        <f t="array" ref="O10">AVERAGE(_xlfn._xlws.FILTER($D$1:$D$100,$G$1:$G$100 = 1))</f>
        <v>18.662650602409638</v>
      </c>
      <c r="P10" s="11"/>
      <c r="Q10"/>
    </row>
    <row r="11" spans="1:17" x14ac:dyDescent="0.3">
      <c r="A11" s="1">
        <v>2</v>
      </c>
      <c r="B11" s="1">
        <v>0</v>
      </c>
      <c r="C11" s="1" t="s">
        <v>3</v>
      </c>
      <c r="D11" s="1">
        <v>19</v>
      </c>
      <c r="E11" s="1" t="s">
        <v>6</v>
      </c>
      <c r="F11" s="1">
        <v>33</v>
      </c>
      <c r="G11" s="1">
        <v>1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3</v>
      </c>
      <c r="D12" s="1">
        <v>47</v>
      </c>
      <c r="E12" s="1" t="s">
        <v>6</v>
      </c>
      <c r="F12" s="1">
        <v>41</v>
      </c>
      <c r="G12" s="1">
        <v>0</v>
      </c>
      <c r="I12" s="5" t="s">
        <v>16</v>
      </c>
      <c r="J12" s="5"/>
      <c r="K12" s="9">
        <f>AVERAGE($F$1:$F$100,)</f>
        <v>39.554455445544555</v>
      </c>
      <c r="L12" s="9"/>
      <c r="M12" s="9" cm="1">
        <f t="array" ref="M12">AVERAGE(_xlfn._xlws.FILTER($F$1:$F$100,$G$1:$G$100 = 0))</f>
        <v>20.058823529411764</v>
      </c>
      <c r="N12" s="9"/>
      <c r="O12" s="9" cm="1">
        <f t="array" ref="O12">AVERAGE(_xlfn._xlws.FILTER($F$1:$F$100,$G$1:$G$100 = 1))</f>
        <v>44.024096385542165</v>
      </c>
      <c r="P12" s="13"/>
      <c r="Q12"/>
    </row>
    <row r="13" spans="1:17" x14ac:dyDescent="0.3">
      <c r="A13" s="1">
        <v>2</v>
      </c>
      <c r="B13" s="1">
        <v>0</v>
      </c>
      <c r="C13" s="1" t="s">
        <v>3</v>
      </c>
      <c r="D13" s="1">
        <v>13</v>
      </c>
      <c r="E13" s="1" t="s">
        <v>6</v>
      </c>
      <c r="F13" s="1">
        <v>46</v>
      </c>
      <c r="G13" s="1">
        <v>1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3</v>
      </c>
      <c r="D14" s="1">
        <v>36</v>
      </c>
      <c r="E14" s="1" t="s">
        <v>6</v>
      </c>
      <c r="F14" s="1">
        <v>33</v>
      </c>
      <c r="G14" s="1">
        <v>0</v>
      </c>
      <c r="I14" s="22" t="s">
        <v>17</v>
      </c>
      <c r="J14" s="11"/>
      <c r="K14" s="23" cm="1">
        <f t="array" ref="K14">AVERAGE($D$1:$D$100 - $F$1:$F$100)</f>
        <v>-19.64</v>
      </c>
      <c r="L14" s="23"/>
      <c r="M14" s="23" cm="1">
        <f t="array" ref="M14">AVERAGE(_xlfn._xlws.FILTER($D$1:$D$100 - $F$1:$F$100, G$1:G$100 = 0))</f>
        <v>8.2941176470588243</v>
      </c>
      <c r="N14" s="23"/>
      <c r="O14" s="23" cm="1">
        <f t="array" ref="O14">AVERAGE(_xlfn._xlws.FILTER($D$1:$D$100 - $F$1:$F$100, G$1:G$100 = 1))</f>
        <v>-25.361445783132531</v>
      </c>
      <c r="P14" s="24"/>
      <c r="Q14"/>
    </row>
    <row r="15" spans="1:17" x14ac:dyDescent="0.3">
      <c r="A15" s="1">
        <v>2</v>
      </c>
      <c r="B15" s="1">
        <v>0</v>
      </c>
      <c r="C15" s="1" t="s">
        <v>3</v>
      </c>
      <c r="D15" s="1">
        <v>30</v>
      </c>
      <c r="E15" s="1" t="s">
        <v>6</v>
      </c>
      <c r="F15" s="1">
        <v>40</v>
      </c>
      <c r="G15" s="1">
        <v>1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3</v>
      </c>
      <c r="D16" s="1">
        <v>20</v>
      </c>
      <c r="E16" s="1" t="s">
        <v>6</v>
      </c>
      <c r="F16" s="1">
        <v>34</v>
      </c>
      <c r="G16" s="1">
        <v>1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3</v>
      </c>
      <c r="D17" s="1">
        <v>16</v>
      </c>
      <c r="E17" s="1" t="s">
        <v>6</v>
      </c>
      <c r="F17" s="1">
        <v>5</v>
      </c>
      <c r="G17" s="1">
        <v>0</v>
      </c>
    </row>
    <row r="18" spans="1:7" x14ac:dyDescent="0.3">
      <c r="A18" s="1">
        <v>2</v>
      </c>
      <c r="B18" s="1">
        <v>0</v>
      </c>
      <c r="C18" s="1" t="s">
        <v>3</v>
      </c>
      <c r="D18" s="1">
        <v>23</v>
      </c>
      <c r="E18" s="1" t="s">
        <v>6</v>
      </c>
      <c r="F18" s="1">
        <v>25</v>
      </c>
      <c r="G18" s="1">
        <v>1</v>
      </c>
    </row>
    <row r="19" spans="1:7" x14ac:dyDescent="0.3">
      <c r="A19" s="1">
        <v>2</v>
      </c>
      <c r="B19" s="1">
        <v>0</v>
      </c>
      <c r="C19" s="1" t="s">
        <v>3</v>
      </c>
      <c r="D19" s="1">
        <v>43</v>
      </c>
      <c r="E19" s="1" t="s">
        <v>6</v>
      </c>
      <c r="F19" s="1">
        <v>38</v>
      </c>
      <c r="G19" s="1">
        <v>0</v>
      </c>
    </row>
    <row r="20" spans="1:7" x14ac:dyDescent="0.3">
      <c r="A20" s="1">
        <v>2</v>
      </c>
      <c r="B20" s="1">
        <v>0</v>
      </c>
      <c r="C20" s="1" t="s">
        <v>3</v>
      </c>
      <c r="D20" s="1">
        <v>13</v>
      </c>
      <c r="E20" s="1" t="s">
        <v>6</v>
      </c>
      <c r="F20" s="1">
        <v>72</v>
      </c>
      <c r="G20" s="1">
        <v>1</v>
      </c>
    </row>
    <row r="21" spans="1:7" x14ac:dyDescent="0.3">
      <c r="A21" s="1">
        <v>2</v>
      </c>
      <c r="B21" s="1">
        <v>0</v>
      </c>
      <c r="C21" s="1" t="s">
        <v>3</v>
      </c>
      <c r="D21" s="1">
        <v>35</v>
      </c>
      <c r="E21" s="1" t="s">
        <v>6</v>
      </c>
      <c r="F21" s="1">
        <v>56</v>
      </c>
      <c r="G21" s="1">
        <v>1</v>
      </c>
    </row>
    <row r="22" spans="1:7" x14ac:dyDescent="0.3">
      <c r="A22" s="1">
        <v>2</v>
      </c>
      <c r="B22" s="1">
        <v>0</v>
      </c>
      <c r="C22" s="1" t="s">
        <v>3</v>
      </c>
      <c r="D22" s="1">
        <v>5</v>
      </c>
      <c r="E22" s="1" t="s">
        <v>6</v>
      </c>
      <c r="F22" s="1">
        <v>81</v>
      </c>
      <c r="G22" s="1">
        <v>1</v>
      </c>
    </row>
    <row r="23" spans="1:7" x14ac:dyDescent="0.3">
      <c r="A23" s="1">
        <v>2</v>
      </c>
      <c r="B23" s="1">
        <v>0</v>
      </c>
      <c r="C23" s="1" t="s">
        <v>3</v>
      </c>
      <c r="D23" s="1">
        <v>33</v>
      </c>
      <c r="E23" s="1" t="s">
        <v>6</v>
      </c>
      <c r="F23" s="1">
        <v>18</v>
      </c>
      <c r="G23" s="1">
        <v>0</v>
      </c>
    </row>
    <row r="24" spans="1:7" x14ac:dyDescent="0.3">
      <c r="A24" s="1">
        <v>2</v>
      </c>
      <c r="B24" s="1">
        <v>0</v>
      </c>
      <c r="C24" s="1" t="s">
        <v>3</v>
      </c>
      <c r="D24" s="1">
        <v>23</v>
      </c>
      <c r="E24" s="1" t="s">
        <v>6</v>
      </c>
      <c r="F24" s="1">
        <v>25</v>
      </c>
      <c r="G24" s="1">
        <v>1</v>
      </c>
    </row>
    <row r="25" spans="1:7" x14ac:dyDescent="0.3">
      <c r="A25" s="1">
        <v>2</v>
      </c>
      <c r="B25" s="1">
        <v>0</v>
      </c>
      <c r="C25" s="1" t="s">
        <v>3</v>
      </c>
      <c r="D25" s="1">
        <v>14</v>
      </c>
      <c r="E25" s="1" t="s">
        <v>6</v>
      </c>
      <c r="F25" s="1">
        <v>57</v>
      </c>
      <c r="G25" s="1">
        <v>1</v>
      </c>
    </row>
    <row r="26" spans="1:7" x14ac:dyDescent="0.3">
      <c r="A26" s="1">
        <v>2</v>
      </c>
      <c r="B26" s="1">
        <v>0</v>
      </c>
      <c r="C26" s="1" t="s">
        <v>3</v>
      </c>
      <c r="D26" s="1">
        <v>21</v>
      </c>
      <c r="E26" s="1" t="s">
        <v>6</v>
      </c>
      <c r="F26" s="1">
        <v>26</v>
      </c>
      <c r="G26" s="1">
        <v>1</v>
      </c>
    </row>
    <row r="27" spans="1:7" x14ac:dyDescent="0.3">
      <c r="A27" s="1">
        <v>2</v>
      </c>
      <c r="B27" s="1">
        <v>0</v>
      </c>
      <c r="C27" s="1" t="s">
        <v>3</v>
      </c>
      <c r="D27" s="1">
        <v>23</v>
      </c>
      <c r="E27" s="1" t="s">
        <v>6</v>
      </c>
      <c r="F27" s="1">
        <v>50</v>
      </c>
      <c r="G27" s="1">
        <v>1</v>
      </c>
    </row>
    <row r="28" spans="1:7" x14ac:dyDescent="0.3">
      <c r="A28" s="1">
        <v>2</v>
      </c>
      <c r="B28" s="1">
        <v>0</v>
      </c>
      <c r="C28" s="1" t="s">
        <v>3</v>
      </c>
      <c r="D28" s="1">
        <v>15</v>
      </c>
      <c r="E28" s="1" t="s">
        <v>6</v>
      </c>
      <c r="F28" s="1">
        <v>40</v>
      </c>
      <c r="G28" s="1">
        <v>1</v>
      </c>
    </row>
    <row r="29" spans="1:7" x14ac:dyDescent="0.3">
      <c r="A29" s="1">
        <v>2</v>
      </c>
      <c r="B29" s="1">
        <v>0</v>
      </c>
      <c r="C29" s="1" t="s">
        <v>3</v>
      </c>
      <c r="D29" s="1">
        <v>6</v>
      </c>
      <c r="E29" s="1" t="s">
        <v>6</v>
      </c>
      <c r="F29" s="1">
        <v>21</v>
      </c>
      <c r="G29" s="1">
        <v>1</v>
      </c>
    </row>
    <row r="30" spans="1:7" x14ac:dyDescent="0.3">
      <c r="A30" s="1">
        <v>2</v>
      </c>
      <c r="B30" s="1">
        <v>0</v>
      </c>
      <c r="C30" s="1" t="s">
        <v>3</v>
      </c>
      <c r="D30" s="1">
        <v>15</v>
      </c>
      <c r="E30" s="1" t="s">
        <v>6</v>
      </c>
      <c r="F30" s="1">
        <v>35</v>
      </c>
      <c r="G30" s="1">
        <v>1</v>
      </c>
    </row>
    <row r="31" spans="1:7" x14ac:dyDescent="0.3">
      <c r="A31" s="1">
        <v>2</v>
      </c>
      <c r="B31" s="1">
        <v>0</v>
      </c>
      <c r="C31" s="1" t="s">
        <v>3</v>
      </c>
      <c r="D31" s="1">
        <v>6</v>
      </c>
      <c r="E31" s="1" t="s">
        <v>6</v>
      </c>
      <c r="F31" s="1">
        <v>46</v>
      </c>
      <c r="G31" s="1">
        <v>1</v>
      </c>
    </row>
    <row r="32" spans="1:7" x14ac:dyDescent="0.3">
      <c r="A32" s="1">
        <v>2</v>
      </c>
      <c r="B32" s="1">
        <v>0</v>
      </c>
      <c r="C32" s="1" t="s">
        <v>3</v>
      </c>
      <c r="D32" s="1">
        <v>28</v>
      </c>
      <c r="E32" s="1" t="s">
        <v>6</v>
      </c>
      <c r="F32" s="1">
        <v>64</v>
      </c>
      <c r="G32" s="1">
        <v>1</v>
      </c>
    </row>
    <row r="33" spans="1:7" x14ac:dyDescent="0.3">
      <c r="A33" s="1">
        <v>2</v>
      </c>
      <c r="B33" s="1">
        <v>0</v>
      </c>
      <c r="C33" s="1" t="s">
        <v>3</v>
      </c>
      <c r="D33" s="1">
        <v>0</v>
      </c>
      <c r="E33" s="1" t="s">
        <v>6</v>
      </c>
      <c r="F33" s="1">
        <v>13</v>
      </c>
      <c r="G33" s="1">
        <v>1</v>
      </c>
    </row>
    <row r="34" spans="1:7" x14ac:dyDescent="0.3">
      <c r="A34" s="1">
        <v>2</v>
      </c>
      <c r="B34" s="1">
        <v>0</v>
      </c>
      <c r="C34" s="1" t="s">
        <v>3</v>
      </c>
      <c r="D34" s="1">
        <v>7</v>
      </c>
      <c r="E34" s="1" t="s">
        <v>6</v>
      </c>
      <c r="F34" s="1">
        <v>22</v>
      </c>
      <c r="G34" s="1">
        <v>1</v>
      </c>
    </row>
    <row r="35" spans="1:7" x14ac:dyDescent="0.3">
      <c r="A35" s="1">
        <v>2</v>
      </c>
      <c r="B35" s="1">
        <v>0</v>
      </c>
      <c r="C35" s="1" t="s">
        <v>3</v>
      </c>
      <c r="D35" s="1">
        <v>12</v>
      </c>
      <c r="E35" s="1" t="s">
        <v>6</v>
      </c>
      <c r="F35" s="1">
        <v>57</v>
      </c>
      <c r="G35" s="1">
        <v>1</v>
      </c>
    </row>
    <row r="36" spans="1:7" x14ac:dyDescent="0.3">
      <c r="A36" s="1">
        <v>2</v>
      </c>
      <c r="B36" s="1">
        <v>0</v>
      </c>
      <c r="C36" s="1" t="s">
        <v>3</v>
      </c>
      <c r="D36" s="1">
        <v>7</v>
      </c>
      <c r="E36" s="1" t="s">
        <v>6</v>
      </c>
      <c r="F36" s="1">
        <v>40</v>
      </c>
      <c r="G36" s="1">
        <v>1</v>
      </c>
    </row>
    <row r="37" spans="1:7" x14ac:dyDescent="0.3">
      <c r="A37" s="1">
        <v>2</v>
      </c>
      <c r="B37" s="1">
        <v>0</v>
      </c>
      <c r="C37" s="1" t="s">
        <v>3</v>
      </c>
      <c r="D37" s="1">
        <v>35</v>
      </c>
      <c r="E37" s="1" t="s">
        <v>6</v>
      </c>
      <c r="F37" s="1">
        <v>60</v>
      </c>
      <c r="G37" s="1">
        <v>1</v>
      </c>
    </row>
    <row r="38" spans="1:7" x14ac:dyDescent="0.3">
      <c r="A38" s="1">
        <v>2</v>
      </c>
      <c r="B38" s="1">
        <v>0</v>
      </c>
      <c r="C38" s="1" t="s">
        <v>3</v>
      </c>
      <c r="D38" s="1">
        <v>11</v>
      </c>
      <c r="E38" s="1" t="s">
        <v>6</v>
      </c>
      <c r="F38" s="1">
        <v>28</v>
      </c>
      <c r="G38" s="1">
        <v>1</v>
      </c>
    </row>
    <row r="39" spans="1:7" x14ac:dyDescent="0.3">
      <c r="A39" s="1">
        <v>2</v>
      </c>
      <c r="B39" s="1">
        <v>0</v>
      </c>
      <c r="C39" s="1" t="s">
        <v>3</v>
      </c>
      <c r="D39" s="1">
        <v>39</v>
      </c>
      <c r="E39" s="1" t="s">
        <v>6</v>
      </c>
      <c r="F39" s="1">
        <v>64</v>
      </c>
      <c r="G39" s="1">
        <v>1</v>
      </c>
    </row>
    <row r="40" spans="1:7" x14ac:dyDescent="0.3">
      <c r="A40" s="1">
        <v>2</v>
      </c>
      <c r="B40" s="1">
        <v>0</v>
      </c>
      <c r="C40" s="1" t="s">
        <v>3</v>
      </c>
      <c r="D40" s="1">
        <v>28</v>
      </c>
      <c r="E40" s="1" t="s">
        <v>6</v>
      </c>
      <c r="F40" s="1">
        <v>52</v>
      </c>
      <c r="G40" s="1">
        <v>1</v>
      </c>
    </row>
    <row r="41" spans="1:7" x14ac:dyDescent="0.3">
      <c r="A41" s="1">
        <v>2</v>
      </c>
      <c r="B41" s="1">
        <v>0</v>
      </c>
      <c r="C41" s="1" t="s">
        <v>3</v>
      </c>
      <c r="D41" s="1">
        <v>18</v>
      </c>
      <c r="E41" s="1" t="s">
        <v>6</v>
      </c>
      <c r="F41" s="1">
        <v>57</v>
      </c>
      <c r="G41" s="1">
        <v>1</v>
      </c>
    </row>
    <row r="42" spans="1:7" x14ac:dyDescent="0.3">
      <c r="A42" s="1">
        <v>2</v>
      </c>
      <c r="B42" s="1">
        <v>0</v>
      </c>
      <c r="C42" s="1" t="s">
        <v>3</v>
      </c>
      <c r="D42" s="1">
        <v>29</v>
      </c>
      <c r="E42" s="1" t="s">
        <v>6</v>
      </c>
      <c r="F42" s="1">
        <v>53</v>
      </c>
      <c r="G42" s="1">
        <v>1</v>
      </c>
    </row>
    <row r="43" spans="1:7" x14ac:dyDescent="0.3">
      <c r="A43" s="1">
        <v>2</v>
      </c>
      <c r="B43" s="1">
        <v>0</v>
      </c>
      <c r="C43" s="1" t="s">
        <v>3</v>
      </c>
      <c r="D43" s="1">
        <v>21</v>
      </c>
      <c r="E43" s="1" t="s">
        <v>6</v>
      </c>
      <c r="F43" s="1">
        <v>21</v>
      </c>
      <c r="G43" s="1">
        <v>0</v>
      </c>
    </row>
    <row r="44" spans="1:7" x14ac:dyDescent="0.3">
      <c r="A44" s="1">
        <v>2</v>
      </c>
      <c r="B44" s="1">
        <v>0</v>
      </c>
      <c r="C44" s="1" t="s">
        <v>3</v>
      </c>
      <c r="D44" s="1">
        <v>5</v>
      </c>
      <c r="E44" s="1" t="s">
        <v>6</v>
      </c>
      <c r="F44" s="1">
        <v>22</v>
      </c>
      <c r="G44" s="1">
        <v>1</v>
      </c>
    </row>
    <row r="45" spans="1:7" x14ac:dyDescent="0.3">
      <c r="A45" s="1">
        <v>2</v>
      </c>
      <c r="B45" s="1">
        <v>0</v>
      </c>
      <c r="C45" s="1" t="s">
        <v>3</v>
      </c>
      <c r="D45" s="1">
        <v>24</v>
      </c>
      <c r="E45" s="1" t="s">
        <v>6</v>
      </c>
      <c r="F45" s="1">
        <v>38</v>
      </c>
      <c r="G45" s="1">
        <v>1</v>
      </c>
    </row>
    <row r="46" spans="1:7" x14ac:dyDescent="0.3">
      <c r="A46" s="1">
        <v>2</v>
      </c>
      <c r="B46" s="1">
        <v>0</v>
      </c>
      <c r="C46" s="1" t="s">
        <v>3</v>
      </c>
      <c r="D46" s="1">
        <v>16</v>
      </c>
      <c r="E46" s="1" t="s">
        <v>6</v>
      </c>
      <c r="F46" s="1">
        <v>11</v>
      </c>
      <c r="G46" s="1">
        <v>0</v>
      </c>
    </row>
    <row r="47" spans="1:7" x14ac:dyDescent="0.3">
      <c r="A47" s="1">
        <v>2</v>
      </c>
      <c r="B47" s="1">
        <v>0</v>
      </c>
      <c r="C47" s="1" t="s">
        <v>3</v>
      </c>
      <c r="D47" s="1">
        <v>18</v>
      </c>
      <c r="E47" s="1" t="s">
        <v>6</v>
      </c>
      <c r="F47" s="1">
        <v>25</v>
      </c>
      <c r="G47" s="1">
        <v>1</v>
      </c>
    </row>
    <row r="48" spans="1:7" x14ac:dyDescent="0.3">
      <c r="A48" s="1">
        <v>2</v>
      </c>
      <c r="B48" s="1">
        <v>0</v>
      </c>
      <c r="C48" s="1" t="s">
        <v>3</v>
      </c>
      <c r="D48" s="1">
        <v>27</v>
      </c>
      <c r="E48" s="1" t="s">
        <v>6</v>
      </c>
      <c r="F48" s="1">
        <v>36</v>
      </c>
      <c r="G48" s="1">
        <v>1</v>
      </c>
    </row>
    <row r="49" spans="1:7" x14ac:dyDescent="0.3">
      <c r="A49" s="1">
        <v>2</v>
      </c>
      <c r="B49" s="1">
        <v>0</v>
      </c>
      <c r="C49" s="1" t="s">
        <v>3</v>
      </c>
      <c r="D49" s="1">
        <v>23</v>
      </c>
      <c r="E49" s="1" t="s">
        <v>6</v>
      </c>
      <c r="F49" s="1">
        <v>28</v>
      </c>
      <c r="G49" s="1">
        <v>1</v>
      </c>
    </row>
    <row r="50" spans="1:7" x14ac:dyDescent="0.3">
      <c r="A50" s="1">
        <v>2</v>
      </c>
      <c r="B50" s="1">
        <v>0</v>
      </c>
      <c r="C50" s="1" t="s">
        <v>3</v>
      </c>
      <c r="D50" s="1">
        <v>15</v>
      </c>
      <c r="E50" s="1" t="s">
        <v>6</v>
      </c>
      <c r="F50" s="1">
        <v>41</v>
      </c>
      <c r="G50" s="1">
        <v>1</v>
      </c>
    </row>
    <row r="51" spans="1:7" x14ac:dyDescent="0.3">
      <c r="A51" s="1">
        <v>2</v>
      </c>
      <c r="B51" s="1">
        <v>1</v>
      </c>
      <c r="C51" s="1" t="s">
        <v>3</v>
      </c>
      <c r="D51" s="1">
        <v>15</v>
      </c>
      <c r="E51" s="1" t="s">
        <v>6</v>
      </c>
      <c r="F51" s="1">
        <v>31</v>
      </c>
      <c r="G51" s="1">
        <v>1</v>
      </c>
    </row>
    <row r="52" spans="1:7" x14ac:dyDescent="0.3">
      <c r="A52" s="1">
        <v>2</v>
      </c>
      <c r="B52" s="1">
        <v>1</v>
      </c>
      <c r="C52" s="1" t="s">
        <v>3</v>
      </c>
      <c r="D52" s="1">
        <v>39</v>
      </c>
      <c r="E52" s="1" t="s">
        <v>6</v>
      </c>
      <c r="F52" s="1">
        <v>51</v>
      </c>
      <c r="G52" s="1">
        <v>1</v>
      </c>
    </row>
    <row r="53" spans="1:7" x14ac:dyDescent="0.3">
      <c r="A53" s="1">
        <v>2</v>
      </c>
      <c r="B53" s="1">
        <v>1</v>
      </c>
      <c r="C53" s="1" t="s">
        <v>3</v>
      </c>
      <c r="D53" s="1">
        <v>13</v>
      </c>
      <c r="E53" s="1" t="s">
        <v>6</v>
      </c>
      <c r="F53" s="1">
        <v>16</v>
      </c>
      <c r="G53" s="1">
        <v>1</v>
      </c>
    </row>
    <row r="54" spans="1:7" x14ac:dyDescent="0.3">
      <c r="A54" s="1">
        <v>2</v>
      </c>
      <c r="B54" s="1">
        <v>1</v>
      </c>
      <c r="C54" s="1" t="s">
        <v>3</v>
      </c>
      <c r="D54" s="1">
        <v>21</v>
      </c>
      <c r="E54" s="1" t="s">
        <v>6</v>
      </c>
      <c r="F54" s="1">
        <v>22</v>
      </c>
      <c r="G54" s="1">
        <v>1</v>
      </c>
    </row>
    <row r="55" spans="1:7" x14ac:dyDescent="0.3">
      <c r="A55" s="1">
        <v>2</v>
      </c>
      <c r="B55" s="1">
        <v>1</v>
      </c>
      <c r="C55" s="1" t="s">
        <v>3</v>
      </c>
      <c r="D55" s="1">
        <v>17</v>
      </c>
      <c r="E55" s="1" t="s">
        <v>6</v>
      </c>
      <c r="F55" s="1">
        <v>23</v>
      </c>
      <c r="G55" s="1">
        <v>1</v>
      </c>
    </row>
    <row r="56" spans="1:7" x14ac:dyDescent="0.3">
      <c r="A56" s="1">
        <v>2</v>
      </c>
      <c r="B56" s="1">
        <v>1</v>
      </c>
      <c r="C56" s="1" t="s">
        <v>3</v>
      </c>
      <c r="D56" s="1">
        <v>28</v>
      </c>
      <c r="E56" s="1" t="s">
        <v>6</v>
      </c>
      <c r="F56" s="1">
        <v>34</v>
      </c>
      <c r="G56" s="1">
        <v>1</v>
      </c>
    </row>
    <row r="57" spans="1:7" x14ac:dyDescent="0.3">
      <c r="A57" s="1">
        <v>2</v>
      </c>
      <c r="B57" s="1">
        <v>1</v>
      </c>
      <c r="C57" s="1" t="s">
        <v>3</v>
      </c>
      <c r="D57" s="1">
        <v>15</v>
      </c>
      <c r="E57" s="1" t="s">
        <v>6</v>
      </c>
      <c r="F57" s="1">
        <v>56</v>
      </c>
      <c r="G57" s="1">
        <v>1</v>
      </c>
    </row>
    <row r="58" spans="1:7" x14ac:dyDescent="0.3">
      <c r="A58" s="1">
        <v>2</v>
      </c>
      <c r="B58" s="1">
        <v>1</v>
      </c>
      <c r="C58" s="1" t="s">
        <v>3</v>
      </c>
      <c r="D58" s="1">
        <v>32</v>
      </c>
      <c r="E58" s="1" t="s">
        <v>6</v>
      </c>
      <c r="F58" s="1">
        <v>52</v>
      </c>
      <c r="G58" s="1">
        <v>1</v>
      </c>
    </row>
    <row r="59" spans="1:7" x14ac:dyDescent="0.3">
      <c r="A59" s="1">
        <v>2</v>
      </c>
      <c r="B59" s="1">
        <v>1</v>
      </c>
      <c r="C59" s="1" t="s">
        <v>3</v>
      </c>
      <c r="D59" s="1">
        <v>10</v>
      </c>
      <c r="E59" s="1" t="s">
        <v>6</v>
      </c>
      <c r="F59" s="1">
        <v>22</v>
      </c>
      <c r="G59" s="1">
        <v>1</v>
      </c>
    </row>
    <row r="60" spans="1:7" x14ac:dyDescent="0.3">
      <c r="A60" s="1">
        <v>2</v>
      </c>
      <c r="B60" s="1">
        <v>1</v>
      </c>
      <c r="C60" s="1" t="s">
        <v>3</v>
      </c>
      <c r="D60" s="1">
        <v>25</v>
      </c>
      <c r="E60" s="1" t="s">
        <v>6</v>
      </c>
      <c r="F60" s="1">
        <v>12</v>
      </c>
      <c r="G60" s="1">
        <v>0</v>
      </c>
    </row>
    <row r="61" spans="1:7" x14ac:dyDescent="0.3">
      <c r="A61" s="1">
        <v>2</v>
      </c>
      <c r="B61" s="1">
        <v>1</v>
      </c>
      <c r="C61" s="1" t="s">
        <v>3</v>
      </c>
      <c r="D61" s="1">
        <v>9</v>
      </c>
      <c r="E61" s="1" t="s">
        <v>6</v>
      </c>
      <c r="F61" s="1">
        <v>60</v>
      </c>
      <c r="G61" s="1">
        <v>1</v>
      </c>
    </row>
    <row r="62" spans="1:7" x14ac:dyDescent="0.3">
      <c r="A62" s="1">
        <v>2</v>
      </c>
      <c r="B62" s="1">
        <v>1</v>
      </c>
      <c r="C62" s="1" t="s">
        <v>3</v>
      </c>
      <c r="D62" s="1">
        <v>34</v>
      </c>
      <c r="E62" s="1" t="s">
        <v>6</v>
      </c>
      <c r="F62" s="1">
        <v>38</v>
      </c>
      <c r="G62" s="1">
        <v>1</v>
      </c>
    </row>
    <row r="63" spans="1:7" x14ac:dyDescent="0.3">
      <c r="A63" s="1">
        <v>2</v>
      </c>
      <c r="B63" s="1">
        <v>1</v>
      </c>
      <c r="C63" s="1" t="s">
        <v>3</v>
      </c>
      <c r="D63" s="1">
        <v>36</v>
      </c>
      <c r="E63" s="1" t="s">
        <v>6</v>
      </c>
      <c r="F63" s="1">
        <v>48</v>
      </c>
      <c r="G63" s="1">
        <v>1</v>
      </c>
    </row>
    <row r="64" spans="1:7" x14ac:dyDescent="0.3">
      <c r="A64" s="1">
        <v>2</v>
      </c>
      <c r="B64" s="1">
        <v>1</v>
      </c>
      <c r="C64" s="1" t="s">
        <v>3</v>
      </c>
      <c r="D64" s="1">
        <v>2</v>
      </c>
      <c r="E64" s="1" t="s">
        <v>6</v>
      </c>
      <c r="F64" s="1">
        <v>60</v>
      </c>
      <c r="G64" s="1">
        <v>1</v>
      </c>
    </row>
    <row r="65" spans="1:7" x14ac:dyDescent="0.3">
      <c r="A65" s="1">
        <v>2</v>
      </c>
      <c r="B65" s="1">
        <v>1</v>
      </c>
      <c r="C65" s="1" t="s">
        <v>3</v>
      </c>
      <c r="D65" s="1">
        <v>31</v>
      </c>
      <c r="E65" s="1" t="s">
        <v>6</v>
      </c>
      <c r="F65" s="1">
        <v>24</v>
      </c>
      <c r="G65" s="1">
        <v>0</v>
      </c>
    </row>
    <row r="66" spans="1:7" x14ac:dyDescent="0.3">
      <c r="A66" s="1">
        <v>2</v>
      </c>
      <c r="B66" s="1">
        <v>1</v>
      </c>
      <c r="C66" s="1" t="s">
        <v>3</v>
      </c>
      <c r="D66" s="1">
        <v>11</v>
      </c>
      <c r="E66" s="1" t="s">
        <v>6</v>
      </c>
      <c r="F66" s="1">
        <v>40</v>
      </c>
      <c r="G66" s="1">
        <v>1</v>
      </c>
    </row>
    <row r="67" spans="1:7" x14ac:dyDescent="0.3">
      <c r="A67" s="1">
        <v>2</v>
      </c>
      <c r="B67" s="1">
        <v>1</v>
      </c>
      <c r="C67" s="1" t="s">
        <v>3</v>
      </c>
      <c r="D67" s="1">
        <v>16</v>
      </c>
      <c r="E67" s="1" t="s">
        <v>6</v>
      </c>
      <c r="F67" s="1">
        <v>45</v>
      </c>
      <c r="G67" s="1">
        <v>1</v>
      </c>
    </row>
    <row r="68" spans="1:7" x14ac:dyDescent="0.3">
      <c r="A68" s="1">
        <v>2</v>
      </c>
      <c r="B68" s="1">
        <v>1</v>
      </c>
      <c r="C68" s="1" t="s">
        <v>3</v>
      </c>
      <c r="D68" s="1">
        <v>16</v>
      </c>
      <c r="E68" s="1" t="s">
        <v>6</v>
      </c>
      <c r="F68" s="1">
        <v>9</v>
      </c>
      <c r="G68" s="1">
        <v>0</v>
      </c>
    </row>
    <row r="69" spans="1:7" x14ac:dyDescent="0.3">
      <c r="A69" s="1">
        <v>2</v>
      </c>
      <c r="B69" s="1">
        <v>1</v>
      </c>
      <c r="C69" s="1" t="s">
        <v>3</v>
      </c>
      <c r="D69" s="1">
        <v>31</v>
      </c>
      <c r="E69" s="1" t="s">
        <v>6</v>
      </c>
      <c r="F69" s="1">
        <v>55</v>
      </c>
      <c r="G69" s="1">
        <v>1</v>
      </c>
    </row>
    <row r="70" spans="1:7" x14ac:dyDescent="0.3">
      <c r="A70" s="1">
        <v>2</v>
      </c>
      <c r="B70" s="1">
        <v>1</v>
      </c>
      <c r="C70" s="1" t="s">
        <v>3</v>
      </c>
      <c r="D70" s="1">
        <v>8</v>
      </c>
      <c r="E70" s="1" t="s">
        <v>6</v>
      </c>
      <c r="F70" s="1">
        <v>40</v>
      </c>
      <c r="G70" s="1">
        <v>1</v>
      </c>
    </row>
    <row r="71" spans="1:7" x14ac:dyDescent="0.3">
      <c r="A71" s="1">
        <v>2</v>
      </c>
      <c r="B71" s="1">
        <v>1</v>
      </c>
      <c r="C71" s="1" t="s">
        <v>3</v>
      </c>
      <c r="D71" s="1">
        <v>22</v>
      </c>
      <c r="E71" s="1" t="s">
        <v>6</v>
      </c>
      <c r="F71" s="1">
        <v>34</v>
      </c>
      <c r="G71" s="1">
        <v>1</v>
      </c>
    </row>
    <row r="72" spans="1:7" x14ac:dyDescent="0.3">
      <c r="A72" s="1">
        <v>2</v>
      </c>
      <c r="B72" s="1">
        <v>1</v>
      </c>
      <c r="C72" s="1" t="s">
        <v>3</v>
      </c>
      <c r="D72" s="1">
        <v>14</v>
      </c>
      <c r="E72" s="1" t="s">
        <v>6</v>
      </c>
      <c r="F72" s="1">
        <v>19</v>
      </c>
      <c r="G72" s="1">
        <v>1</v>
      </c>
    </row>
    <row r="73" spans="1:7" x14ac:dyDescent="0.3">
      <c r="A73" s="1">
        <v>2</v>
      </c>
      <c r="B73" s="1">
        <v>1</v>
      </c>
      <c r="C73" s="1" t="s">
        <v>3</v>
      </c>
      <c r="D73" s="1">
        <v>14</v>
      </c>
      <c r="E73" s="1" t="s">
        <v>6</v>
      </c>
      <c r="F73" s="1">
        <v>64</v>
      </c>
      <c r="G73" s="1">
        <v>1</v>
      </c>
    </row>
    <row r="74" spans="1:7" x14ac:dyDescent="0.3">
      <c r="A74" s="1">
        <v>2</v>
      </c>
      <c r="B74" s="1">
        <v>1</v>
      </c>
      <c r="C74" s="1" t="s">
        <v>3</v>
      </c>
      <c r="D74" s="1">
        <v>29</v>
      </c>
      <c r="E74" s="1" t="s">
        <v>6</v>
      </c>
      <c r="F74" s="1">
        <v>34</v>
      </c>
      <c r="G74" s="1">
        <v>1</v>
      </c>
    </row>
    <row r="75" spans="1:7" x14ac:dyDescent="0.3">
      <c r="A75" s="1">
        <v>2</v>
      </c>
      <c r="B75" s="1">
        <v>1</v>
      </c>
      <c r="C75" s="1" t="s">
        <v>3</v>
      </c>
      <c r="D75" s="1">
        <v>2</v>
      </c>
      <c r="E75" s="1" t="s">
        <v>6</v>
      </c>
      <c r="F75" s="1">
        <v>70</v>
      </c>
      <c r="G75" s="1">
        <v>1</v>
      </c>
    </row>
    <row r="76" spans="1:7" x14ac:dyDescent="0.3">
      <c r="A76" s="1">
        <v>2</v>
      </c>
      <c r="B76" s="1">
        <v>1</v>
      </c>
      <c r="C76" s="1" t="s">
        <v>3</v>
      </c>
      <c r="D76" s="1">
        <v>19</v>
      </c>
      <c r="E76" s="1" t="s">
        <v>6</v>
      </c>
      <c r="F76" s="1">
        <v>57</v>
      </c>
      <c r="G76" s="1">
        <v>1</v>
      </c>
    </row>
    <row r="77" spans="1:7" x14ac:dyDescent="0.3">
      <c r="A77" s="1">
        <v>2</v>
      </c>
      <c r="B77" s="1">
        <v>1</v>
      </c>
      <c r="C77" s="1" t="s">
        <v>3</v>
      </c>
      <c r="D77" s="1">
        <v>36</v>
      </c>
      <c r="E77" s="1" t="s">
        <v>6</v>
      </c>
      <c r="F77" s="1">
        <v>50</v>
      </c>
      <c r="G77" s="1">
        <v>1</v>
      </c>
    </row>
    <row r="78" spans="1:7" x14ac:dyDescent="0.3">
      <c r="A78" s="1">
        <v>2</v>
      </c>
      <c r="B78" s="1">
        <v>1</v>
      </c>
      <c r="C78" s="1" t="s">
        <v>3</v>
      </c>
      <c r="D78" s="1">
        <v>11</v>
      </c>
      <c r="E78" s="1" t="s">
        <v>6</v>
      </c>
      <c r="F78" s="1">
        <v>56</v>
      </c>
      <c r="G78" s="1">
        <v>1</v>
      </c>
    </row>
    <row r="79" spans="1:7" x14ac:dyDescent="0.3">
      <c r="A79" s="1">
        <v>2</v>
      </c>
      <c r="B79" s="1">
        <v>1</v>
      </c>
      <c r="C79" s="1" t="s">
        <v>3</v>
      </c>
      <c r="D79" s="1">
        <v>12</v>
      </c>
      <c r="E79" s="1" t="s">
        <v>6</v>
      </c>
      <c r="F79" s="1">
        <v>16</v>
      </c>
      <c r="G79" s="1">
        <v>1</v>
      </c>
    </row>
    <row r="80" spans="1:7" x14ac:dyDescent="0.3">
      <c r="A80" s="1">
        <v>2</v>
      </c>
      <c r="B80" s="1">
        <v>1</v>
      </c>
      <c r="C80" s="1" t="s">
        <v>3</v>
      </c>
      <c r="D80" s="1">
        <v>5</v>
      </c>
      <c r="E80" s="1" t="s">
        <v>6</v>
      </c>
      <c r="F80" s="1">
        <v>27</v>
      </c>
      <c r="G80" s="1">
        <v>1</v>
      </c>
    </row>
    <row r="81" spans="1:7" x14ac:dyDescent="0.3">
      <c r="A81" s="1">
        <v>2</v>
      </c>
      <c r="B81" s="1">
        <v>1</v>
      </c>
      <c r="C81" s="1" t="s">
        <v>3</v>
      </c>
      <c r="D81" s="1">
        <v>17</v>
      </c>
      <c r="E81" s="1" t="s">
        <v>6</v>
      </c>
      <c r="F81" s="1">
        <v>36</v>
      </c>
      <c r="G81" s="1">
        <v>1</v>
      </c>
    </row>
    <row r="82" spans="1:7" x14ac:dyDescent="0.3">
      <c r="A82" s="1">
        <v>2</v>
      </c>
      <c r="B82" s="1">
        <v>1</v>
      </c>
      <c r="C82" s="1" t="s">
        <v>3</v>
      </c>
      <c r="D82" s="1">
        <v>16</v>
      </c>
      <c r="E82" s="1" t="s">
        <v>6</v>
      </c>
      <c r="F82" s="1">
        <v>28</v>
      </c>
      <c r="G82" s="1">
        <v>1</v>
      </c>
    </row>
    <row r="83" spans="1:7" x14ac:dyDescent="0.3">
      <c r="A83" s="1">
        <v>2</v>
      </c>
      <c r="B83" s="1">
        <v>1</v>
      </c>
      <c r="C83" s="1" t="s">
        <v>3</v>
      </c>
      <c r="D83" s="1">
        <v>2</v>
      </c>
      <c r="E83" s="1" t="s">
        <v>6</v>
      </c>
      <c r="F83" s="1">
        <v>57</v>
      </c>
      <c r="G83" s="1">
        <v>1</v>
      </c>
    </row>
    <row r="84" spans="1:7" x14ac:dyDescent="0.3">
      <c r="A84" s="1">
        <v>2</v>
      </c>
      <c r="B84" s="1">
        <v>1</v>
      </c>
      <c r="C84" s="1" t="s">
        <v>3</v>
      </c>
      <c r="D84" s="1">
        <v>16</v>
      </c>
      <c r="E84" s="1" t="s">
        <v>6</v>
      </c>
      <c r="F84" s="1">
        <v>71</v>
      </c>
      <c r="G84" s="1">
        <v>1</v>
      </c>
    </row>
    <row r="85" spans="1:7" x14ac:dyDescent="0.3">
      <c r="A85" s="1">
        <v>2</v>
      </c>
      <c r="B85" s="1">
        <v>1</v>
      </c>
      <c r="C85" s="1" t="s">
        <v>3</v>
      </c>
      <c r="D85" s="1">
        <v>21</v>
      </c>
      <c r="E85" s="1" t="s">
        <v>6</v>
      </c>
      <c r="F85" s="1">
        <v>25</v>
      </c>
      <c r="G85" s="1">
        <v>1</v>
      </c>
    </row>
    <row r="86" spans="1:7" x14ac:dyDescent="0.3">
      <c r="A86" s="1">
        <v>2</v>
      </c>
      <c r="B86" s="1">
        <v>1</v>
      </c>
      <c r="C86" s="1" t="s">
        <v>3</v>
      </c>
      <c r="D86" s="1">
        <v>27</v>
      </c>
      <c r="E86" s="1" t="s">
        <v>6</v>
      </c>
      <c r="F86" s="1">
        <v>41</v>
      </c>
      <c r="G86" s="1">
        <v>1</v>
      </c>
    </row>
    <row r="87" spans="1:7" x14ac:dyDescent="0.3">
      <c r="A87" s="1">
        <v>2</v>
      </c>
      <c r="B87" s="1">
        <v>1</v>
      </c>
      <c r="C87" s="1" t="s">
        <v>3</v>
      </c>
      <c r="D87" s="1">
        <v>31</v>
      </c>
      <c r="E87" s="1" t="s">
        <v>6</v>
      </c>
      <c r="F87" s="1">
        <v>40</v>
      </c>
      <c r="G87" s="1">
        <v>1</v>
      </c>
    </row>
    <row r="88" spans="1:7" x14ac:dyDescent="0.3">
      <c r="A88" s="1">
        <v>2</v>
      </c>
      <c r="B88" s="1">
        <v>1</v>
      </c>
      <c r="C88" s="1" t="s">
        <v>3</v>
      </c>
      <c r="D88" s="1">
        <v>2</v>
      </c>
      <c r="E88" s="1" t="s">
        <v>6</v>
      </c>
      <c r="F88" s="1">
        <v>94</v>
      </c>
      <c r="G88" s="1">
        <v>1</v>
      </c>
    </row>
    <row r="89" spans="1:7" x14ac:dyDescent="0.3">
      <c r="A89" s="1">
        <v>2</v>
      </c>
      <c r="B89" s="1">
        <v>1</v>
      </c>
      <c r="C89" s="1" t="s">
        <v>3</v>
      </c>
      <c r="D89" s="1">
        <v>30</v>
      </c>
      <c r="E89" s="1" t="s">
        <v>6</v>
      </c>
      <c r="F89" s="1">
        <v>20</v>
      </c>
      <c r="G89" s="1">
        <v>0</v>
      </c>
    </row>
    <row r="90" spans="1:7" x14ac:dyDescent="0.3">
      <c r="A90" s="1">
        <v>2</v>
      </c>
      <c r="B90" s="1">
        <v>1</v>
      </c>
      <c r="C90" s="1" t="s">
        <v>3</v>
      </c>
      <c r="D90" s="1">
        <v>25</v>
      </c>
      <c r="E90" s="1" t="s">
        <v>6</v>
      </c>
      <c r="F90" s="1">
        <v>57</v>
      </c>
      <c r="G90" s="1">
        <v>1</v>
      </c>
    </row>
    <row r="91" spans="1:7" x14ac:dyDescent="0.3">
      <c r="A91" s="1">
        <v>2</v>
      </c>
      <c r="B91" s="1">
        <v>1</v>
      </c>
      <c r="C91" s="1" t="s">
        <v>3</v>
      </c>
      <c r="D91" s="1">
        <v>28</v>
      </c>
      <c r="E91" s="1" t="s">
        <v>6</v>
      </c>
      <c r="F91" s="1">
        <v>53</v>
      </c>
      <c r="G91" s="1">
        <v>1</v>
      </c>
    </row>
    <row r="92" spans="1:7" x14ac:dyDescent="0.3">
      <c r="A92" s="1">
        <v>2</v>
      </c>
      <c r="B92" s="1">
        <v>1</v>
      </c>
      <c r="C92" s="1" t="s">
        <v>3</v>
      </c>
      <c r="D92" s="1">
        <v>23</v>
      </c>
      <c r="E92" s="1" t="s">
        <v>6</v>
      </c>
      <c r="F92" s="1">
        <v>40</v>
      </c>
      <c r="G92" s="1">
        <v>1</v>
      </c>
    </row>
    <row r="93" spans="1:7" x14ac:dyDescent="0.3">
      <c r="A93" s="1">
        <v>2</v>
      </c>
      <c r="B93" s="1">
        <v>1</v>
      </c>
      <c r="C93" s="1" t="s">
        <v>3</v>
      </c>
      <c r="D93" s="1">
        <v>22</v>
      </c>
      <c r="E93" s="1" t="s">
        <v>6</v>
      </c>
      <c r="F93" s="1">
        <v>94</v>
      </c>
      <c r="G93" s="1">
        <v>1</v>
      </c>
    </row>
    <row r="94" spans="1:7" x14ac:dyDescent="0.3">
      <c r="A94" s="1">
        <v>2</v>
      </c>
      <c r="B94" s="1">
        <v>1</v>
      </c>
      <c r="C94" s="1" t="s">
        <v>3</v>
      </c>
      <c r="D94" s="1">
        <v>12</v>
      </c>
      <c r="E94" s="1" t="s">
        <v>6</v>
      </c>
      <c r="F94" s="1">
        <v>41</v>
      </c>
      <c r="G94" s="1">
        <v>1</v>
      </c>
    </row>
    <row r="95" spans="1:7" x14ac:dyDescent="0.3">
      <c r="A95" s="1">
        <v>2</v>
      </c>
      <c r="B95" s="1">
        <v>1</v>
      </c>
      <c r="C95" s="1" t="s">
        <v>3</v>
      </c>
      <c r="D95" s="1">
        <v>19</v>
      </c>
      <c r="E95" s="1" t="s">
        <v>6</v>
      </c>
      <c r="F95" s="1">
        <v>27</v>
      </c>
      <c r="G95" s="1">
        <v>1</v>
      </c>
    </row>
    <row r="96" spans="1:7" x14ac:dyDescent="0.3">
      <c r="A96" s="1">
        <v>2</v>
      </c>
      <c r="B96" s="1">
        <v>1</v>
      </c>
      <c r="C96" s="1" t="s">
        <v>3</v>
      </c>
      <c r="D96" s="1">
        <v>20</v>
      </c>
      <c r="E96" s="1" t="s">
        <v>6</v>
      </c>
      <c r="F96" s="1">
        <v>15</v>
      </c>
      <c r="G96" s="1">
        <v>0</v>
      </c>
    </row>
    <row r="97" spans="1:7" x14ac:dyDescent="0.3">
      <c r="A97" s="1">
        <v>2</v>
      </c>
      <c r="B97" s="1">
        <v>1</v>
      </c>
      <c r="C97" s="1" t="s">
        <v>3</v>
      </c>
      <c r="D97" s="1">
        <v>19</v>
      </c>
      <c r="E97" s="1" t="s">
        <v>6</v>
      </c>
      <c r="F97" s="1">
        <v>38</v>
      </c>
      <c r="G97" s="1">
        <v>1</v>
      </c>
    </row>
    <row r="98" spans="1:7" x14ac:dyDescent="0.3">
      <c r="A98" s="1">
        <v>2</v>
      </c>
      <c r="B98" s="1">
        <v>1</v>
      </c>
      <c r="C98" s="1" t="s">
        <v>3</v>
      </c>
      <c r="D98" s="1">
        <v>28</v>
      </c>
      <c r="E98" s="1" t="s">
        <v>6</v>
      </c>
      <c r="F98" s="1">
        <v>58</v>
      </c>
      <c r="G98" s="1">
        <v>1</v>
      </c>
    </row>
    <row r="99" spans="1:7" x14ac:dyDescent="0.3">
      <c r="A99" s="1">
        <v>2</v>
      </c>
      <c r="B99" s="1">
        <v>1</v>
      </c>
      <c r="C99" s="1" t="s">
        <v>3</v>
      </c>
      <c r="D99" s="1">
        <v>7</v>
      </c>
      <c r="E99" s="1" t="s">
        <v>6</v>
      </c>
      <c r="F99" s="1">
        <v>43</v>
      </c>
      <c r="G99" s="1">
        <v>1</v>
      </c>
    </row>
    <row r="100" spans="1:7" x14ac:dyDescent="0.3">
      <c r="A100" s="1">
        <v>2</v>
      </c>
      <c r="B100" s="1">
        <v>1</v>
      </c>
      <c r="C100" s="1" t="s">
        <v>3</v>
      </c>
      <c r="D100" s="1">
        <v>36</v>
      </c>
      <c r="E100" s="1" t="s">
        <v>6</v>
      </c>
      <c r="F100" s="1">
        <v>42</v>
      </c>
      <c r="G100" s="1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68CBB-5E8D-405A-AE73-191B4FB19E0C}">
  <dimension ref="A1:Q100"/>
  <sheetViews>
    <sheetView topLeftCell="G1" workbookViewId="0">
      <selection activeCell="Q21" sqref="Q21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3</v>
      </c>
      <c r="D1" s="1">
        <v>29</v>
      </c>
      <c r="E1" s="1" t="s">
        <v>4</v>
      </c>
      <c r="F1" s="1">
        <v>10</v>
      </c>
      <c r="G1" s="1">
        <v>0</v>
      </c>
      <c r="I1" s="2"/>
      <c r="J1" s="3"/>
      <c r="K1" s="4" t="s">
        <v>7</v>
      </c>
      <c r="L1" s="4"/>
      <c r="M1" s="5" t="s">
        <v>8</v>
      </c>
      <c r="N1" s="5"/>
      <c r="O1" s="5" t="s">
        <v>9</v>
      </c>
      <c r="P1" s="5"/>
      <c r="Q1"/>
    </row>
    <row r="2" spans="1:17" x14ac:dyDescent="0.3">
      <c r="A2" s="1">
        <v>2</v>
      </c>
      <c r="B2" s="1">
        <v>0</v>
      </c>
      <c r="C2" s="1" t="s">
        <v>3</v>
      </c>
      <c r="D2" s="1">
        <v>13</v>
      </c>
      <c r="E2" s="1" t="s">
        <v>4</v>
      </c>
      <c r="F2" s="1">
        <v>25</v>
      </c>
      <c r="G2" s="1">
        <v>1</v>
      </c>
      <c r="I2" s="6"/>
      <c r="J2" s="7"/>
      <c r="K2" s="4"/>
      <c r="L2" s="4"/>
      <c r="M2" s="5"/>
      <c r="N2" s="5"/>
      <c r="O2" s="5"/>
      <c r="P2" s="5"/>
      <c r="Q2" s="8" t="s">
        <v>10</v>
      </c>
    </row>
    <row r="3" spans="1:17" x14ac:dyDescent="0.3">
      <c r="A3" s="1">
        <v>2</v>
      </c>
      <c r="B3" s="1">
        <v>0</v>
      </c>
      <c r="C3" s="1" t="s">
        <v>3</v>
      </c>
      <c r="D3" s="1">
        <v>23</v>
      </c>
      <c r="E3" s="1" t="s">
        <v>4</v>
      </c>
      <c r="F3" s="1">
        <v>20</v>
      </c>
      <c r="G3" s="1">
        <v>0</v>
      </c>
      <c r="I3" s="5" t="s">
        <v>11</v>
      </c>
      <c r="J3" s="5"/>
      <c r="K3" s="9">
        <f>COUNTIF($G$1:$G$100, 0)</f>
        <v>83</v>
      </c>
      <c r="L3" s="9"/>
      <c r="M3" s="9">
        <f>COUNTIFS($G$1:$G$100, 0, $B$1:$B$100, 0)</f>
        <v>42</v>
      </c>
      <c r="N3" s="9"/>
      <c r="O3" s="10">
        <f>COUNTIFS($G$1:$G$100, 0, $B$1:$B$100, 1)</f>
        <v>41</v>
      </c>
      <c r="P3" s="11"/>
      <c r="Q3" s="12" cm="1">
        <f t="array" ref="Q3">SUMPRODUCT(--($D$1:$D$100=$G$1:$G$100))</f>
        <v>0</v>
      </c>
    </row>
    <row r="4" spans="1:17" x14ac:dyDescent="0.3">
      <c r="A4" s="1">
        <v>2</v>
      </c>
      <c r="B4" s="1">
        <v>0</v>
      </c>
      <c r="C4" s="1" t="s">
        <v>3</v>
      </c>
      <c r="D4" s="1">
        <v>49</v>
      </c>
      <c r="E4" s="1" t="s">
        <v>4</v>
      </c>
      <c r="F4" s="1">
        <v>28</v>
      </c>
      <c r="G4" s="1">
        <v>0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3</v>
      </c>
      <c r="D5" s="1">
        <v>29</v>
      </c>
      <c r="E5" s="1" t="s">
        <v>4</v>
      </c>
      <c r="F5" s="1">
        <v>5</v>
      </c>
      <c r="G5" s="1">
        <v>0</v>
      </c>
      <c r="I5" s="5" t="s">
        <v>12</v>
      </c>
      <c r="J5" s="5"/>
      <c r="K5" s="14">
        <f>COUNTIF($G$1:$G$100, 1)</f>
        <v>17</v>
      </c>
      <c r="L5" s="9"/>
      <c r="M5" s="9">
        <f>COUNTIFS($G$1:$G$100, 1, $B$1:$B$100, 0)</f>
        <v>8</v>
      </c>
      <c r="N5" s="9"/>
      <c r="O5" s="9">
        <f>COUNTIFS($G$1:$G$100, 1, $B$1:$B$100, 1)</f>
        <v>9</v>
      </c>
      <c r="P5" s="13"/>
      <c r="Q5"/>
    </row>
    <row r="6" spans="1:17" x14ac:dyDescent="0.3">
      <c r="A6" s="1">
        <v>2</v>
      </c>
      <c r="B6" s="1">
        <v>0</v>
      </c>
      <c r="C6" s="1" t="s">
        <v>3</v>
      </c>
      <c r="D6" s="1">
        <v>31</v>
      </c>
      <c r="E6" s="1" t="s">
        <v>4</v>
      </c>
      <c r="F6" s="1">
        <v>9</v>
      </c>
      <c r="G6" s="1">
        <v>0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3</v>
      </c>
      <c r="D7" s="1">
        <v>41</v>
      </c>
      <c r="E7" s="1" t="s">
        <v>4</v>
      </c>
      <c r="F7" s="1">
        <v>26</v>
      </c>
      <c r="G7" s="1">
        <v>0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3</v>
      </c>
      <c r="D8" s="1">
        <v>38</v>
      </c>
      <c r="E8" s="1" t="s">
        <v>4</v>
      </c>
      <c r="F8" s="1">
        <v>2</v>
      </c>
      <c r="G8" s="1">
        <v>0</v>
      </c>
      <c r="I8" s="19"/>
      <c r="J8" s="20"/>
      <c r="K8" s="21" t="s">
        <v>7</v>
      </c>
      <c r="L8" s="21"/>
      <c r="M8" s="21" t="s">
        <v>13</v>
      </c>
      <c r="N8" s="21"/>
      <c r="O8" s="21" t="s">
        <v>14</v>
      </c>
      <c r="P8" s="21"/>
      <c r="Q8"/>
    </row>
    <row r="9" spans="1:17" x14ac:dyDescent="0.3">
      <c r="A9" s="1">
        <v>2</v>
      </c>
      <c r="B9" s="1">
        <v>0</v>
      </c>
      <c r="C9" s="1" t="s">
        <v>3</v>
      </c>
      <c r="D9" s="1">
        <v>25</v>
      </c>
      <c r="E9" s="1" t="s">
        <v>4</v>
      </c>
      <c r="F9" s="1">
        <v>31</v>
      </c>
      <c r="G9" s="1">
        <v>1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3</v>
      </c>
      <c r="D10" s="1">
        <v>60</v>
      </c>
      <c r="E10" s="1" t="s">
        <v>4</v>
      </c>
      <c r="F10" s="1">
        <v>4</v>
      </c>
      <c r="G10" s="1">
        <v>0</v>
      </c>
      <c r="I10" s="5" t="s">
        <v>15</v>
      </c>
      <c r="J10" s="5"/>
      <c r="K10" s="9">
        <f>AVERAGE($D$1:$D$100,)</f>
        <v>34.059405940594061</v>
      </c>
      <c r="L10" s="9"/>
      <c r="M10" s="9" cm="1">
        <f t="array" ref="M10">AVERAGE(_xlfn._xlws.FILTER($D$1:$D$100,$G$1:$G$100 = 0))</f>
        <v>37.012048192771083</v>
      </c>
      <c r="N10" s="9"/>
      <c r="O10" s="10" cm="1">
        <f t="array" ref="O10">AVERAGE(_xlfn._xlws.FILTER($D$1:$D$100,$G$1:$G$100 = 1))</f>
        <v>21.647058823529413</v>
      </c>
      <c r="P10" s="11"/>
      <c r="Q10"/>
    </row>
    <row r="11" spans="1:17" x14ac:dyDescent="0.3">
      <c r="A11" s="1">
        <v>2</v>
      </c>
      <c r="B11" s="1">
        <v>0</v>
      </c>
      <c r="C11" s="1" t="s">
        <v>3</v>
      </c>
      <c r="D11" s="1">
        <v>15</v>
      </c>
      <c r="E11" s="1" t="s">
        <v>4</v>
      </c>
      <c r="F11" s="1">
        <v>29</v>
      </c>
      <c r="G11" s="1">
        <v>1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3</v>
      </c>
      <c r="D12" s="1">
        <v>34</v>
      </c>
      <c r="E12" s="1" t="s">
        <v>4</v>
      </c>
      <c r="F12" s="1">
        <v>15</v>
      </c>
      <c r="G12" s="1">
        <v>0</v>
      </c>
      <c r="I12" s="5" t="s">
        <v>16</v>
      </c>
      <c r="J12" s="5"/>
      <c r="K12" s="9">
        <f>AVERAGE($F$1:$F$100,)</f>
        <v>16.455445544554454</v>
      </c>
      <c r="L12" s="9"/>
      <c r="M12" s="9" cm="1">
        <f t="array" ref="M12">AVERAGE(_xlfn._xlws.FILTER($F$1:$F$100,$G$1:$G$100 = 0))</f>
        <v>13.096385542168674</v>
      </c>
      <c r="N12" s="9"/>
      <c r="O12" s="9" cm="1">
        <f t="array" ref="O12">AVERAGE(_xlfn._xlws.FILTER($F$1:$F$100,$G$1:$G$100 = 1))</f>
        <v>33.823529411764703</v>
      </c>
      <c r="P12" s="13"/>
      <c r="Q12"/>
    </row>
    <row r="13" spans="1:17" x14ac:dyDescent="0.3">
      <c r="A13" s="1">
        <v>2</v>
      </c>
      <c r="B13" s="1">
        <v>0</v>
      </c>
      <c r="C13" s="1" t="s">
        <v>3</v>
      </c>
      <c r="D13" s="1">
        <v>29</v>
      </c>
      <c r="E13" s="1" t="s">
        <v>4</v>
      </c>
      <c r="F13" s="1">
        <v>41</v>
      </c>
      <c r="G13" s="1">
        <v>1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3</v>
      </c>
      <c r="D14" s="1">
        <v>19</v>
      </c>
      <c r="E14" s="1" t="s">
        <v>4</v>
      </c>
      <c r="F14" s="1">
        <v>3</v>
      </c>
      <c r="G14" s="1">
        <v>0</v>
      </c>
      <c r="I14" s="22" t="s">
        <v>17</v>
      </c>
      <c r="J14" s="11"/>
      <c r="K14" s="23" cm="1">
        <f t="array" ref="K14">AVERAGE($D$1:$D$100 - $F$1:$F$100)</f>
        <v>17.78</v>
      </c>
      <c r="L14" s="23"/>
      <c r="M14" s="23" cm="1">
        <f t="array" ref="M14">AVERAGE(_xlfn._xlws.FILTER($D$1:$D$100 - $F$1:$F$100, G$1:G$100 = 0))</f>
        <v>23.91566265060241</v>
      </c>
      <c r="N14" s="23"/>
      <c r="O14" s="23" cm="1">
        <f t="array" ref="O14">AVERAGE(_xlfn._xlws.FILTER($D$1:$D$100 - $F$1:$F$100, G$1:G$100 = 1))</f>
        <v>-12.176470588235293</v>
      </c>
      <c r="P14" s="24"/>
      <c r="Q14"/>
    </row>
    <row r="15" spans="1:17" x14ac:dyDescent="0.3">
      <c r="A15" s="1">
        <v>2</v>
      </c>
      <c r="B15" s="1">
        <v>0</v>
      </c>
      <c r="C15" s="1" t="s">
        <v>3</v>
      </c>
      <c r="D15" s="1">
        <v>29</v>
      </c>
      <c r="E15" s="1" t="s">
        <v>4</v>
      </c>
      <c r="F15" s="1">
        <v>22</v>
      </c>
      <c r="G15" s="1">
        <v>0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3</v>
      </c>
      <c r="D16" s="1">
        <v>35</v>
      </c>
      <c r="E16" s="1" t="s">
        <v>4</v>
      </c>
      <c r="F16" s="1">
        <v>22</v>
      </c>
      <c r="G16" s="1">
        <v>0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3</v>
      </c>
      <c r="D17" s="1">
        <v>33</v>
      </c>
      <c r="E17" s="1" t="s">
        <v>4</v>
      </c>
      <c r="F17" s="1">
        <v>31</v>
      </c>
      <c r="G17" s="1">
        <v>0</v>
      </c>
    </row>
    <row r="18" spans="1:7" x14ac:dyDescent="0.3">
      <c r="A18" s="1">
        <v>2</v>
      </c>
      <c r="B18" s="1">
        <v>0</v>
      </c>
      <c r="C18" s="1" t="s">
        <v>3</v>
      </c>
      <c r="D18" s="1">
        <v>18</v>
      </c>
      <c r="E18" s="1" t="s">
        <v>4</v>
      </c>
      <c r="F18" s="1">
        <v>0</v>
      </c>
      <c r="G18" s="1">
        <v>0</v>
      </c>
    </row>
    <row r="19" spans="1:7" x14ac:dyDescent="0.3">
      <c r="A19" s="1">
        <v>2</v>
      </c>
      <c r="B19" s="1">
        <v>0</v>
      </c>
      <c r="C19" s="1" t="s">
        <v>3</v>
      </c>
      <c r="D19" s="1">
        <v>30</v>
      </c>
      <c r="E19" s="1" t="s">
        <v>4</v>
      </c>
      <c r="F19" s="1">
        <v>5</v>
      </c>
      <c r="G19" s="1">
        <v>0</v>
      </c>
    </row>
    <row r="20" spans="1:7" x14ac:dyDescent="0.3">
      <c r="A20" s="1">
        <v>2</v>
      </c>
      <c r="B20" s="1">
        <v>0</v>
      </c>
      <c r="C20" s="1" t="s">
        <v>3</v>
      </c>
      <c r="D20" s="1">
        <v>34</v>
      </c>
      <c r="E20" s="1" t="s">
        <v>4</v>
      </c>
      <c r="F20" s="1">
        <v>8</v>
      </c>
      <c r="G20" s="1">
        <v>0</v>
      </c>
    </row>
    <row r="21" spans="1:7" x14ac:dyDescent="0.3">
      <c r="A21" s="1">
        <v>2</v>
      </c>
      <c r="B21" s="1">
        <v>0</v>
      </c>
      <c r="C21" s="1" t="s">
        <v>3</v>
      </c>
      <c r="D21" s="1">
        <v>52</v>
      </c>
      <c r="E21" s="1" t="s">
        <v>4</v>
      </c>
      <c r="F21" s="1">
        <v>30</v>
      </c>
      <c r="G21" s="1">
        <v>0</v>
      </c>
    </row>
    <row r="22" spans="1:7" x14ac:dyDescent="0.3">
      <c r="A22" s="1">
        <v>2</v>
      </c>
      <c r="B22" s="1">
        <v>0</v>
      </c>
      <c r="C22" s="1" t="s">
        <v>3</v>
      </c>
      <c r="D22" s="1">
        <v>5</v>
      </c>
      <c r="E22" s="1" t="s">
        <v>4</v>
      </c>
      <c r="F22" s="1">
        <v>12</v>
      </c>
      <c r="G22" s="1">
        <v>1</v>
      </c>
    </row>
    <row r="23" spans="1:7" x14ac:dyDescent="0.3">
      <c r="A23" s="1">
        <v>2</v>
      </c>
      <c r="B23" s="1">
        <v>0</v>
      </c>
      <c r="C23" s="1" t="s">
        <v>3</v>
      </c>
      <c r="D23" s="1">
        <v>31</v>
      </c>
      <c r="E23" s="1" t="s">
        <v>4</v>
      </c>
      <c r="F23" s="1">
        <v>24</v>
      </c>
      <c r="G23" s="1">
        <v>0</v>
      </c>
    </row>
    <row r="24" spans="1:7" x14ac:dyDescent="0.3">
      <c r="A24" s="1">
        <v>2</v>
      </c>
      <c r="B24" s="1">
        <v>0</v>
      </c>
      <c r="C24" s="1" t="s">
        <v>3</v>
      </c>
      <c r="D24" s="1">
        <v>9</v>
      </c>
      <c r="E24" s="1" t="s">
        <v>4</v>
      </c>
      <c r="F24" s="1">
        <v>14</v>
      </c>
      <c r="G24" s="1">
        <v>1</v>
      </c>
    </row>
    <row r="25" spans="1:7" x14ac:dyDescent="0.3">
      <c r="A25" s="1">
        <v>2</v>
      </c>
      <c r="B25" s="1">
        <v>0</v>
      </c>
      <c r="C25" s="1" t="s">
        <v>3</v>
      </c>
      <c r="D25" s="1">
        <v>82</v>
      </c>
      <c r="E25" s="1" t="s">
        <v>4</v>
      </c>
      <c r="F25" s="1">
        <v>16</v>
      </c>
      <c r="G25" s="1">
        <v>0</v>
      </c>
    </row>
    <row r="26" spans="1:7" x14ac:dyDescent="0.3">
      <c r="A26" s="1">
        <v>2</v>
      </c>
      <c r="B26" s="1">
        <v>0</v>
      </c>
      <c r="C26" s="1" t="s">
        <v>3</v>
      </c>
      <c r="D26" s="1">
        <v>32</v>
      </c>
      <c r="E26" s="1" t="s">
        <v>4</v>
      </c>
      <c r="F26" s="1">
        <v>19</v>
      </c>
      <c r="G26" s="1">
        <v>0</v>
      </c>
    </row>
    <row r="27" spans="1:7" x14ac:dyDescent="0.3">
      <c r="A27" s="1">
        <v>2</v>
      </c>
      <c r="B27" s="1">
        <v>0</v>
      </c>
      <c r="C27" s="1" t="s">
        <v>3</v>
      </c>
      <c r="D27" s="1">
        <v>34</v>
      </c>
      <c r="E27" s="1" t="s">
        <v>4</v>
      </c>
      <c r="F27" s="1">
        <v>39</v>
      </c>
      <c r="G27" s="1">
        <v>1</v>
      </c>
    </row>
    <row r="28" spans="1:7" x14ac:dyDescent="0.3">
      <c r="A28" s="1">
        <v>2</v>
      </c>
      <c r="B28" s="1">
        <v>0</v>
      </c>
      <c r="C28" s="1" t="s">
        <v>3</v>
      </c>
      <c r="D28" s="1">
        <v>27</v>
      </c>
      <c r="E28" s="1" t="s">
        <v>4</v>
      </c>
      <c r="F28" s="1">
        <v>21</v>
      </c>
      <c r="G28" s="1">
        <v>0</v>
      </c>
    </row>
    <row r="29" spans="1:7" x14ac:dyDescent="0.3">
      <c r="A29" s="1">
        <v>2</v>
      </c>
      <c r="B29" s="1">
        <v>0</v>
      </c>
      <c r="C29" s="1" t="s">
        <v>3</v>
      </c>
      <c r="D29" s="1">
        <v>46</v>
      </c>
      <c r="E29" s="1" t="s">
        <v>4</v>
      </c>
      <c r="F29" s="1">
        <v>4</v>
      </c>
      <c r="G29" s="1">
        <v>0</v>
      </c>
    </row>
    <row r="30" spans="1:7" x14ac:dyDescent="0.3">
      <c r="A30" s="1">
        <v>2</v>
      </c>
      <c r="B30" s="1">
        <v>0</v>
      </c>
      <c r="C30" s="1" t="s">
        <v>3</v>
      </c>
      <c r="D30" s="1">
        <v>37</v>
      </c>
      <c r="E30" s="1" t="s">
        <v>4</v>
      </c>
      <c r="F30" s="1">
        <v>30</v>
      </c>
      <c r="G30" s="1">
        <v>0</v>
      </c>
    </row>
    <row r="31" spans="1:7" x14ac:dyDescent="0.3">
      <c r="A31" s="1">
        <v>2</v>
      </c>
      <c r="B31" s="1">
        <v>0</v>
      </c>
      <c r="C31" s="1" t="s">
        <v>3</v>
      </c>
      <c r="D31" s="1">
        <v>25</v>
      </c>
      <c r="E31" s="1" t="s">
        <v>4</v>
      </c>
      <c r="F31" s="1">
        <v>7</v>
      </c>
      <c r="G31" s="1">
        <v>0</v>
      </c>
    </row>
    <row r="32" spans="1:7" x14ac:dyDescent="0.3">
      <c r="A32" s="1">
        <v>2</v>
      </c>
      <c r="B32" s="1">
        <v>0</v>
      </c>
      <c r="C32" s="1" t="s">
        <v>3</v>
      </c>
      <c r="D32" s="1">
        <v>25</v>
      </c>
      <c r="E32" s="1" t="s">
        <v>4</v>
      </c>
      <c r="F32" s="1">
        <v>2</v>
      </c>
      <c r="G32" s="1">
        <v>0</v>
      </c>
    </row>
    <row r="33" spans="1:7" x14ac:dyDescent="0.3">
      <c r="A33" s="1">
        <v>2</v>
      </c>
      <c r="B33" s="1">
        <v>0</v>
      </c>
      <c r="C33" s="1" t="s">
        <v>3</v>
      </c>
      <c r="D33" s="1">
        <v>16</v>
      </c>
      <c r="E33" s="1" t="s">
        <v>4</v>
      </c>
      <c r="F33" s="1">
        <v>0</v>
      </c>
      <c r="G33" s="1">
        <v>0</v>
      </c>
    </row>
    <row r="34" spans="1:7" x14ac:dyDescent="0.3">
      <c r="A34" s="1">
        <v>2</v>
      </c>
      <c r="B34" s="1">
        <v>0</v>
      </c>
      <c r="C34" s="1" t="s">
        <v>3</v>
      </c>
      <c r="D34" s="1">
        <v>30</v>
      </c>
      <c r="E34" s="1" t="s">
        <v>4</v>
      </c>
      <c r="F34" s="1">
        <v>2</v>
      </c>
      <c r="G34" s="1">
        <v>0</v>
      </c>
    </row>
    <row r="35" spans="1:7" x14ac:dyDescent="0.3">
      <c r="A35" s="1">
        <v>2</v>
      </c>
      <c r="B35" s="1">
        <v>0</v>
      </c>
      <c r="C35" s="1" t="s">
        <v>3</v>
      </c>
      <c r="D35" s="1">
        <v>43</v>
      </c>
      <c r="E35" s="1" t="s">
        <v>4</v>
      </c>
      <c r="F35" s="1">
        <v>25</v>
      </c>
      <c r="G35" s="1">
        <v>0</v>
      </c>
    </row>
    <row r="36" spans="1:7" x14ac:dyDescent="0.3">
      <c r="A36" s="1">
        <v>2</v>
      </c>
      <c r="B36" s="1">
        <v>0</v>
      </c>
      <c r="C36" s="1" t="s">
        <v>3</v>
      </c>
      <c r="D36" s="1">
        <v>38</v>
      </c>
      <c r="E36" s="1" t="s">
        <v>4</v>
      </c>
      <c r="F36" s="1">
        <v>2</v>
      </c>
      <c r="G36" s="1">
        <v>0</v>
      </c>
    </row>
    <row r="37" spans="1:7" x14ac:dyDescent="0.3">
      <c r="A37" s="1">
        <v>2</v>
      </c>
      <c r="B37" s="1">
        <v>0</v>
      </c>
      <c r="C37" s="1" t="s">
        <v>3</v>
      </c>
      <c r="D37" s="1">
        <v>60</v>
      </c>
      <c r="E37" s="1" t="s">
        <v>4</v>
      </c>
      <c r="F37" s="1">
        <v>5</v>
      </c>
      <c r="G37" s="1">
        <v>0</v>
      </c>
    </row>
    <row r="38" spans="1:7" x14ac:dyDescent="0.3">
      <c r="A38" s="1">
        <v>2</v>
      </c>
      <c r="B38" s="1">
        <v>0</v>
      </c>
      <c r="C38" s="1" t="s">
        <v>3</v>
      </c>
      <c r="D38" s="1">
        <v>63</v>
      </c>
      <c r="E38" s="1" t="s">
        <v>4</v>
      </c>
      <c r="F38" s="1">
        <v>25</v>
      </c>
      <c r="G38" s="1">
        <v>0</v>
      </c>
    </row>
    <row r="39" spans="1:7" x14ac:dyDescent="0.3">
      <c r="A39" s="1">
        <v>2</v>
      </c>
      <c r="B39" s="1">
        <v>0</v>
      </c>
      <c r="C39" s="1" t="s">
        <v>3</v>
      </c>
      <c r="D39" s="1">
        <v>32</v>
      </c>
      <c r="E39" s="1" t="s">
        <v>4</v>
      </c>
      <c r="F39" s="1">
        <v>2</v>
      </c>
      <c r="G39" s="1">
        <v>0</v>
      </c>
    </row>
    <row r="40" spans="1:7" x14ac:dyDescent="0.3">
      <c r="A40" s="1">
        <v>2</v>
      </c>
      <c r="B40" s="1">
        <v>0</v>
      </c>
      <c r="C40" s="1" t="s">
        <v>3</v>
      </c>
      <c r="D40" s="1">
        <v>44</v>
      </c>
      <c r="E40" s="1" t="s">
        <v>4</v>
      </c>
      <c r="F40" s="1">
        <v>5</v>
      </c>
      <c r="G40" s="1">
        <v>0</v>
      </c>
    </row>
    <row r="41" spans="1:7" x14ac:dyDescent="0.3">
      <c r="A41" s="1">
        <v>2</v>
      </c>
      <c r="B41" s="1">
        <v>0</v>
      </c>
      <c r="C41" s="1" t="s">
        <v>3</v>
      </c>
      <c r="D41" s="1">
        <v>31</v>
      </c>
      <c r="E41" s="1" t="s">
        <v>4</v>
      </c>
      <c r="F41" s="1">
        <v>2</v>
      </c>
      <c r="G41" s="1">
        <v>0</v>
      </c>
    </row>
    <row r="42" spans="1:7" x14ac:dyDescent="0.3">
      <c r="A42" s="1">
        <v>2</v>
      </c>
      <c r="B42" s="1">
        <v>0</v>
      </c>
      <c r="C42" s="1" t="s">
        <v>3</v>
      </c>
      <c r="D42" s="1">
        <v>26</v>
      </c>
      <c r="E42" s="1" t="s">
        <v>4</v>
      </c>
      <c r="F42" s="1">
        <v>7</v>
      </c>
      <c r="G42" s="1">
        <v>0</v>
      </c>
    </row>
    <row r="43" spans="1:7" x14ac:dyDescent="0.3">
      <c r="A43" s="1">
        <v>2</v>
      </c>
      <c r="B43" s="1">
        <v>0</v>
      </c>
      <c r="C43" s="1" t="s">
        <v>3</v>
      </c>
      <c r="D43" s="1">
        <v>14</v>
      </c>
      <c r="E43" s="1" t="s">
        <v>4</v>
      </c>
      <c r="F43" s="1">
        <v>35</v>
      </c>
      <c r="G43" s="1">
        <v>1</v>
      </c>
    </row>
    <row r="44" spans="1:7" x14ac:dyDescent="0.3">
      <c r="A44" s="1">
        <v>2</v>
      </c>
      <c r="B44" s="1">
        <v>0</v>
      </c>
      <c r="C44" s="1" t="s">
        <v>3</v>
      </c>
      <c r="D44" s="1">
        <v>31</v>
      </c>
      <c r="E44" s="1" t="s">
        <v>4</v>
      </c>
      <c r="F44" s="1">
        <v>2</v>
      </c>
      <c r="G44" s="1">
        <v>0</v>
      </c>
    </row>
    <row r="45" spans="1:7" x14ac:dyDescent="0.3">
      <c r="A45" s="1">
        <v>2</v>
      </c>
      <c r="B45" s="1">
        <v>0</v>
      </c>
      <c r="C45" s="1" t="s">
        <v>3</v>
      </c>
      <c r="D45" s="1">
        <v>41</v>
      </c>
      <c r="E45" s="1" t="s">
        <v>4</v>
      </c>
      <c r="F45" s="1">
        <v>16</v>
      </c>
      <c r="G45" s="1">
        <v>0</v>
      </c>
    </row>
    <row r="46" spans="1:7" x14ac:dyDescent="0.3">
      <c r="A46" s="1">
        <v>2</v>
      </c>
      <c r="B46" s="1">
        <v>0</v>
      </c>
      <c r="C46" s="1" t="s">
        <v>3</v>
      </c>
      <c r="D46" s="1">
        <v>42</v>
      </c>
      <c r="E46" s="1" t="s">
        <v>4</v>
      </c>
      <c r="F46" s="1">
        <v>10</v>
      </c>
      <c r="G46" s="1">
        <v>0</v>
      </c>
    </row>
    <row r="47" spans="1:7" x14ac:dyDescent="0.3">
      <c r="A47" s="1">
        <v>2</v>
      </c>
      <c r="B47" s="1">
        <v>0</v>
      </c>
      <c r="C47" s="1" t="s">
        <v>3</v>
      </c>
      <c r="D47" s="1">
        <v>27</v>
      </c>
      <c r="E47" s="1" t="s">
        <v>4</v>
      </c>
      <c r="F47" s="1">
        <v>20</v>
      </c>
      <c r="G47" s="1">
        <v>0</v>
      </c>
    </row>
    <row r="48" spans="1:7" x14ac:dyDescent="0.3">
      <c r="A48" s="1">
        <v>2</v>
      </c>
      <c r="B48" s="1">
        <v>0</v>
      </c>
      <c r="C48" s="1" t="s">
        <v>3</v>
      </c>
      <c r="D48" s="1">
        <v>47</v>
      </c>
      <c r="E48" s="1" t="s">
        <v>4</v>
      </c>
      <c r="F48" s="1">
        <v>12</v>
      </c>
      <c r="G48" s="1">
        <v>0</v>
      </c>
    </row>
    <row r="49" spans="1:7" x14ac:dyDescent="0.3">
      <c r="A49" s="1">
        <v>2</v>
      </c>
      <c r="B49" s="1">
        <v>0</v>
      </c>
      <c r="C49" s="1" t="s">
        <v>3</v>
      </c>
      <c r="D49" s="1">
        <v>54</v>
      </c>
      <c r="E49" s="1" t="s">
        <v>4</v>
      </c>
      <c r="F49" s="1">
        <v>36</v>
      </c>
      <c r="G49" s="1">
        <v>0</v>
      </c>
    </row>
    <row r="50" spans="1:7" x14ac:dyDescent="0.3">
      <c r="A50" s="1">
        <v>2</v>
      </c>
      <c r="B50" s="1">
        <v>0</v>
      </c>
      <c r="C50" s="1" t="s">
        <v>3</v>
      </c>
      <c r="D50" s="1">
        <v>39</v>
      </c>
      <c r="E50" s="1" t="s">
        <v>4</v>
      </c>
      <c r="F50" s="1">
        <v>15</v>
      </c>
      <c r="G50" s="1">
        <v>0</v>
      </c>
    </row>
    <row r="51" spans="1:7" x14ac:dyDescent="0.3">
      <c r="A51" s="1">
        <v>2</v>
      </c>
      <c r="B51" s="1">
        <v>1</v>
      </c>
      <c r="C51" s="1" t="s">
        <v>3</v>
      </c>
      <c r="D51" s="1">
        <v>22</v>
      </c>
      <c r="E51" s="1" t="s">
        <v>4</v>
      </c>
      <c r="F51" s="1">
        <v>9</v>
      </c>
      <c r="G51" s="1">
        <v>0</v>
      </c>
    </row>
    <row r="52" spans="1:7" x14ac:dyDescent="0.3">
      <c r="A52" s="1">
        <v>2</v>
      </c>
      <c r="B52" s="1">
        <v>1</v>
      </c>
      <c r="C52" s="1" t="s">
        <v>3</v>
      </c>
      <c r="D52" s="1">
        <v>25</v>
      </c>
      <c r="E52" s="1" t="s">
        <v>4</v>
      </c>
      <c r="F52" s="1">
        <v>52</v>
      </c>
      <c r="G52" s="1">
        <v>1</v>
      </c>
    </row>
    <row r="53" spans="1:7" x14ac:dyDescent="0.3">
      <c r="A53" s="1">
        <v>2</v>
      </c>
      <c r="B53" s="1">
        <v>1</v>
      </c>
      <c r="C53" s="1" t="s">
        <v>3</v>
      </c>
      <c r="D53" s="1">
        <v>15</v>
      </c>
      <c r="E53" s="1" t="s">
        <v>4</v>
      </c>
      <c r="F53" s="1">
        <v>41</v>
      </c>
      <c r="G53" s="1">
        <v>1</v>
      </c>
    </row>
    <row r="54" spans="1:7" x14ac:dyDescent="0.3">
      <c r="A54" s="1">
        <v>2</v>
      </c>
      <c r="B54" s="1">
        <v>1</v>
      </c>
      <c r="C54" s="1" t="s">
        <v>3</v>
      </c>
      <c r="D54" s="1">
        <v>94</v>
      </c>
      <c r="E54" s="1" t="s">
        <v>4</v>
      </c>
      <c r="F54" s="1">
        <v>2</v>
      </c>
      <c r="G54" s="1">
        <v>0</v>
      </c>
    </row>
    <row r="55" spans="1:7" x14ac:dyDescent="0.3">
      <c r="A55" s="1">
        <v>2</v>
      </c>
      <c r="B55" s="1">
        <v>1</v>
      </c>
      <c r="C55" s="1" t="s">
        <v>3</v>
      </c>
      <c r="D55" s="1">
        <v>20</v>
      </c>
      <c r="E55" s="1" t="s">
        <v>4</v>
      </c>
      <c r="F55" s="1">
        <v>0</v>
      </c>
      <c r="G55" s="1">
        <v>0</v>
      </c>
    </row>
    <row r="56" spans="1:7" x14ac:dyDescent="0.3">
      <c r="A56" s="1">
        <v>2</v>
      </c>
      <c r="B56" s="1">
        <v>1</v>
      </c>
      <c r="C56" s="1" t="s">
        <v>3</v>
      </c>
      <c r="D56" s="1">
        <v>16</v>
      </c>
      <c r="E56" s="1" t="s">
        <v>4</v>
      </c>
      <c r="F56" s="1">
        <v>41</v>
      </c>
      <c r="G56" s="1">
        <v>1</v>
      </c>
    </row>
    <row r="57" spans="1:7" x14ac:dyDescent="0.3">
      <c r="A57" s="1">
        <v>2</v>
      </c>
      <c r="B57" s="1">
        <v>1</v>
      </c>
      <c r="C57" s="1" t="s">
        <v>3</v>
      </c>
      <c r="D57" s="1">
        <v>36</v>
      </c>
      <c r="E57" s="1" t="s">
        <v>4</v>
      </c>
      <c r="F57" s="1">
        <v>15</v>
      </c>
      <c r="G57" s="1">
        <v>0</v>
      </c>
    </row>
    <row r="58" spans="1:7" x14ac:dyDescent="0.3">
      <c r="A58" s="1">
        <v>2</v>
      </c>
      <c r="B58" s="1">
        <v>1</v>
      </c>
      <c r="C58" s="1" t="s">
        <v>3</v>
      </c>
      <c r="D58" s="1">
        <v>39</v>
      </c>
      <c r="E58" s="1" t="s">
        <v>4</v>
      </c>
      <c r="F58" s="1">
        <v>27</v>
      </c>
      <c r="G58" s="1">
        <v>0</v>
      </c>
    </row>
    <row r="59" spans="1:7" x14ac:dyDescent="0.3">
      <c r="A59" s="1">
        <v>2</v>
      </c>
      <c r="B59" s="1">
        <v>1</v>
      </c>
      <c r="C59" s="1" t="s">
        <v>3</v>
      </c>
      <c r="D59" s="1">
        <v>37</v>
      </c>
      <c r="E59" s="1" t="s">
        <v>4</v>
      </c>
      <c r="F59" s="1">
        <v>18</v>
      </c>
      <c r="G59" s="1">
        <v>0</v>
      </c>
    </row>
    <row r="60" spans="1:7" x14ac:dyDescent="0.3">
      <c r="A60" s="1">
        <v>2</v>
      </c>
      <c r="B60" s="1">
        <v>1</v>
      </c>
      <c r="C60" s="1" t="s">
        <v>3</v>
      </c>
      <c r="D60" s="1">
        <v>35</v>
      </c>
      <c r="E60" s="1" t="s">
        <v>4</v>
      </c>
      <c r="F60" s="1">
        <v>29</v>
      </c>
      <c r="G60" s="1">
        <v>0</v>
      </c>
    </row>
    <row r="61" spans="1:7" x14ac:dyDescent="0.3">
      <c r="A61" s="1">
        <v>2</v>
      </c>
      <c r="B61" s="1">
        <v>1</v>
      </c>
      <c r="C61" s="1" t="s">
        <v>3</v>
      </c>
      <c r="D61" s="1">
        <v>47</v>
      </c>
      <c r="E61" s="1" t="s">
        <v>4</v>
      </c>
      <c r="F61" s="1">
        <v>2</v>
      </c>
      <c r="G61" s="1">
        <v>0</v>
      </c>
    </row>
    <row r="62" spans="1:7" x14ac:dyDescent="0.3">
      <c r="A62" s="1">
        <v>2</v>
      </c>
      <c r="B62" s="1">
        <v>1</v>
      </c>
      <c r="C62" s="1" t="s">
        <v>3</v>
      </c>
      <c r="D62" s="1">
        <v>37</v>
      </c>
      <c r="E62" s="1" t="s">
        <v>4</v>
      </c>
      <c r="F62" s="1">
        <v>25</v>
      </c>
      <c r="G62" s="1">
        <v>0</v>
      </c>
    </row>
    <row r="63" spans="1:7" x14ac:dyDescent="0.3">
      <c r="A63" s="1">
        <v>2</v>
      </c>
      <c r="B63" s="1">
        <v>1</v>
      </c>
      <c r="C63" s="1" t="s">
        <v>3</v>
      </c>
      <c r="D63" s="1">
        <v>52</v>
      </c>
      <c r="E63" s="1" t="s">
        <v>4</v>
      </c>
      <c r="F63" s="1">
        <v>2</v>
      </c>
      <c r="G63" s="1">
        <v>0</v>
      </c>
    </row>
    <row r="64" spans="1:7" x14ac:dyDescent="0.3">
      <c r="A64" s="1">
        <v>2</v>
      </c>
      <c r="B64" s="1">
        <v>1</v>
      </c>
      <c r="C64" s="1" t="s">
        <v>3</v>
      </c>
      <c r="D64" s="1">
        <v>42</v>
      </c>
      <c r="E64" s="1" t="s">
        <v>4</v>
      </c>
      <c r="F64" s="1">
        <v>18</v>
      </c>
      <c r="G64" s="1">
        <v>0</v>
      </c>
    </row>
    <row r="65" spans="1:7" x14ac:dyDescent="0.3">
      <c r="A65" s="1">
        <v>2</v>
      </c>
      <c r="B65" s="1">
        <v>1</v>
      </c>
      <c r="C65" s="1" t="s">
        <v>3</v>
      </c>
      <c r="D65" s="1">
        <v>38</v>
      </c>
      <c r="E65" s="1" t="s">
        <v>4</v>
      </c>
      <c r="F65" s="1">
        <v>0</v>
      </c>
      <c r="G65" s="1">
        <v>0</v>
      </c>
    </row>
    <row r="66" spans="1:7" x14ac:dyDescent="0.3">
      <c r="A66" s="1">
        <v>2</v>
      </c>
      <c r="B66" s="1">
        <v>1</v>
      </c>
      <c r="C66" s="1" t="s">
        <v>3</v>
      </c>
      <c r="D66" s="1">
        <v>35</v>
      </c>
      <c r="E66" s="1" t="s">
        <v>4</v>
      </c>
      <c r="F66" s="1">
        <v>3</v>
      </c>
      <c r="G66" s="1">
        <v>0</v>
      </c>
    </row>
    <row r="67" spans="1:7" x14ac:dyDescent="0.3">
      <c r="A67" s="1">
        <v>2</v>
      </c>
      <c r="B67" s="1">
        <v>1</v>
      </c>
      <c r="C67" s="1" t="s">
        <v>3</v>
      </c>
      <c r="D67" s="1">
        <v>28</v>
      </c>
      <c r="E67" s="1" t="s">
        <v>4</v>
      </c>
      <c r="F67" s="1">
        <v>14</v>
      </c>
      <c r="G67" s="1">
        <v>0</v>
      </c>
    </row>
    <row r="68" spans="1:7" x14ac:dyDescent="0.3">
      <c r="A68" s="1">
        <v>2</v>
      </c>
      <c r="B68" s="1">
        <v>1</v>
      </c>
      <c r="C68" s="1" t="s">
        <v>3</v>
      </c>
      <c r="D68" s="1">
        <v>21</v>
      </c>
      <c r="E68" s="1" t="s">
        <v>4</v>
      </c>
      <c r="F68" s="1">
        <v>14</v>
      </c>
      <c r="G68" s="1">
        <v>0</v>
      </c>
    </row>
    <row r="69" spans="1:7" x14ac:dyDescent="0.3">
      <c r="A69" s="1">
        <v>2</v>
      </c>
      <c r="B69" s="1">
        <v>1</v>
      </c>
      <c r="C69" s="1" t="s">
        <v>3</v>
      </c>
      <c r="D69" s="1">
        <v>42</v>
      </c>
      <c r="E69" s="1" t="s">
        <v>4</v>
      </c>
      <c r="F69" s="1">
        <v>17</v>
      </c>
      <c r="G69" s="1">
        <v>0</v>
      </c>
    </row>
    <row r="70" spans="1:7" x14ac:dyDescent="0.3">
      <c r="A70" s="1">
        <v>2</v>
      </c>
      <c r="B70" s="1">
        <v>1</v>
      </c>
      <c r="C70" s="1" t="s">
        <v>3</v>
      </c>
      <c r="D70" s="1">
        <v>23</v>
      </c>
      <c r="E70" s="1" t="s">
        <v>4</v>
      </c>
      <c r="F70" s="1">
        <v>29</v>
      </c>
      <c r="G70" s="1">
        <v>1</v>
      </c>
    </row>
    <row r="71" spans="1:7" x14ac:dyDescent="0.3">
      <c r="A71" s="1">
        <v>2</v>
      </c>
      <c r="B71" s="1">
        <v>1</v>
      </c>
      <c r="C71" s="1" t="s">
        <v>3</v>
      </c>
      <c r="D71" s="1">
        <v>33</v>
      </c>
      <c r="E71" s="1" t="s">
        <v>4</v>
      </c>
      <c r="F71" s="1">
        <v>24</v>
      </c>
      <c r="G71" s="1">
        <v>0</v>
      </c>
    </row>
    <row r="72" spans="1:7" x14ac:dyDescent="0.3">
      <c r="A72" s="1">
        <v>2</v>
      </c>
      <c r="B72" s="1">
        <v>1</v>
      </c>
      <c r="C72" s="1" t="s">
        <v>3</v>
      </c>
      <c r="D72" s="1">
        <v>43</v>
      </c>
      <c r="E72" s="1" t="s">
        <v>4</v>
      </c>
      <c r="F72" s="1">
        <v>23</v>
      </c>
      <c r="G72" s="1">
        <v>0</v>
      </c>
    </row>
    <row r="73" spans="1:7" x14ac:dyDescent="0.3">
      <c r="A73" s="1">
        <v>2</v>
      </c>
      <c r="B73" s="1">
        <v>1</v>
      </c>
      <c r="C73" s="1" t="s">
        <v>3</v>
      </c>
      <c r="D73" s="1">
        <v>33</v>
      </c>
      <c r="E73" s="1" t="s">
        <v>4</v>
      </c>
      <c r="F73" s="1">
        <v>22</v>
      </c>
      <c r="G73" s="1">
        <v>0</v>
      </c>
    </row>
    <row r="74" spans="1:7" x14ac:dyDescent="0.3">
      <c r="A74" s="1">
        <v>2</v>
      </c>
      <c r="B74" s="1">
        <v>1</v>
      </c>
      <c r="C74" s="1" t="s">
        <v>3</v>
      </c>
      <c r="D74" s="1">
        <v>22</v>
      </c>
      <c r="E74" s="1" t="s">
        <v>4</v>
      </c>
      <c r="F74" s="1">
        <v>6</v>
      </c>
      <c r="G74" s="1">
        <v>0</v>
      </c>
    </row>
    <row r="75" spans="1:7" x14ac:dyDescent="0.3">
      <c r="A75" s="1">
        <v>2</v>
      </c>
      <c r="B75" s="1">
        <v>1</v>
      </c>
      <c r="C75" s="1" t="s">
        <v>3</v>
      </c>
      <c r="D75" s="1">
        <v>32</v>
      </c>
      <c r="E75" s="1" t="s">
        <v>4</v>
      </c>
      <c r="F75" s="1">
        <v>2</v>
      </c>
      <c r="G75" s="1">
        <v>0</v>
      </c>
    </row>
    <row r="76" spans="1:7" x14ac:dyDescent="0.3">
      <c r="A76" s="1">
        <v>2</v>
      </c>
      <c r="B76" s="1">
        <v>1</v>
      </c>
      <c r="C76" s="1" t="s">
        <v>3</v>
      </c>
      <c r="D76" s="1">
        <v>38</v>
      </c>
      <c r="E76" s="1" t="s">
        <v>4</v>
      </c>
      <c r="F76" s="1">
        <v>2</v>
      </c>
      <c r="G76" s="1">
        <v>0</v>
      </c>
    </row>
    <row r="77" spans="1:7" x14ac:dyDescent="0.3">
      <c r="A77" s="1">
        <v>2</v>
      </c>
      <c r="B77" s="1">
        <v>1</v>
      </c>
      <c r="C77" s="1" t="s">
        <v>3</v>
      </c>
      <c r="D77" s="1">
        <v>33</v>
      </c>
      <c r="E77" s="1" t="s">
        <v>4</v>
      </c>
      <c r="F77" s="1">
        <v>0</v>
      </c>
      <c r="G77" s="1">
        <v>0</v>
      </c>
    </row>
    <row r="78" spans="1:7" x14ac:dyDescent="0.3">
      <c r="A78" s="1">
        <v>2</v>
      </c>
      <c r="B78" s="1">
        <v>1</v>
      </c>
      <c r="C78" s="1" t="s">
        <v>3</v>
      </c>
      <c r="D78" s="1">
        <v>35</v>
      </c>
      <c r="E78" s="1" t="s">
        <v>4</v>
      </c>
      <c r="F78" s="1">
        <v>19</v>
      </c>
      <c r="G78" s="1">
        <v>0</v>
      </c>
    </row>
    <row r="79" spans="1:7" x14ac:dyDescent="0.3">
      <c r="A79" s="1">
        <v>2</v>
      </c>
      <c r="B79" s="1">
        <v>1</v>
      </c>
      <c r="C79" s="1" t="s">
        <v>3</v>
      </c>
      <c r="D79" s="1">
        <v>24</v>
      </c>
      <c r="E79" s="1" t="s">
        <v>4</v>
      </c>
      <c r="F79" s="1">
        <v>39</v>
      </c>
      <c r="G79" s="1">
        <v>1</v>
      </c>
    </row>
    <row r="80" spans="1:7" x14ac:dyDescent="0.3">
      <c r="A80" s="1">
        <v>2</v>
      </c>
      <c r="B80" s="1">
        <v>1</v>
      </c>
      <c r="C80" s="1" t="s">
        <v>3</v>
      </c>
      <c r="D80" s="1">
        <v>16</v>
      </c>
      <c r="E80" s="1" t="s">
        <v>4</v>
      </c>
      <c r="F80" s="1">
        <v>25</v>
      </c>
      <c r="G80" s="1">
        <v>1</v>
      </c>
    </row>
    <row r="81" spans="1:7" x14ac:dyDescent="0.3">
      <c r="A81" s="1">
        <v>2</v>
      </c>
      <c r="B81" s="1">
        <v>1</v>
      </c>
      <c r="C81" s="1" t="s">
        <v>3</v>
      </c>
      <c r="D81" s="1">
        <v>45</v>
      </c>
      <c r="E81" s="1" t="s">
        <v>4</v>
      </c>
      <c r="F81" s="1">
        <v>2</v>
      </c>
      <c r="G81" s="1">
        <v>0</v>
      </c>
    </row>
    <row r="82" spans="1:7" x14ac:dyDescent="0.3">
      <c r="A82" s="1">
        <v>2</v>
      </c>
      <c r="B82" s="1">
        <v>1</v>
      </c>
      <c r="C82" s="1" t="s">
        <v>3</v>
      </c>
      <c r="D82" s="1">
        <v>49</v>
      </c>
      <c r="E82" s="1" t="s">
        <v>4</v>
      </c>
      <c r="F82" s="1">
        <v>33</v>
      </c>
      <c r="G82" s="1">
        <v>0</v>
      </c>
    </row>
    <row r="83" spans="1:7" x14ac:dyDescent="0.3">
      <c r="A83" s="1">
        <v>2</v>
      </c>
      <c r="B83" s="1">
        <v>1</v>
      </c>
      <c r="C83" s="1" t="s">
        <v>3</v>
      </c>
      <c r="D83" s="1">
        <v>37</v>
      </c>
      <c r="E83" s="1" t="s">
        <v>4</v>
      </c>
      <c r="F83" s="1">
        <v>25</v>
      </c>
      <c r="G83" s="1">
        <v>0</v>
      </c>
    </row>
    <row r="84" spans="1:7" x14ac:dyDescent="0.3">
      <c r="A84" s="1">
        <v>2</v>
      </c>
      <c r="B84" s="1">
        <v>1</v>
      </c>
      <c r="C84" s="1" t="s">
        <v>3</v>
      </c>
      <c r="D84" s="1">
        <v>41</v>
      </c>
      <c r="E84" s="1" t="s">
        <v>4</v>
      </c>
      <c r="F84" s="1">
        <v>16</v>
      </c>
      <c r="G84" s="1">
        <v>0</v>
      </c>
    </row>
    <row r="85" spans="1:7" x14ac:dyDescent="0.3">
      <c r="A85" s="1">
        <v>2</v>
      </c>
      <c r="B85" s="1">
        <v>1</v>
      </c>
      <c r="C85" s="1" t="s">
        <v>3</v>
      </c>
      <c r="D85" s="1">
        <v>40</v>
      </c>
      <c r="E85" s="1" t="s">
        <v>4</v>
      </c>
      <c r="F85" s="1">
        <v>24</v>
      </c>
      <c r="G85" s="1">
        <v>0</v>
      </c>
    </row>
    <row r="86" spans="1:7" x14ac:dyDescent="0.3">
      <c r="A86" s="1">
        <v>2</v>
      </c>
      <c r="B86" s="1">
        <v>1</v>
      </c>
      <c r="C86" s="1" t="s">
        <v>3</v>
      </c>
      <c r="D86" s="1">
        <v>21</v>
      </c>
      <c r="E86" s="1" t="s">
        <v>4</v>
      </c>
      <c r="F86" s="1">
        <v>2</v>
      </c>
      <c r="G86" s="1">
        <v>0</v>
      </c>
    </row>
    <row r="87" spans="1:7" x14ac:dyDescent="0.3">
      <c r="A87" s="1">
        <v>2</v>
      </c>
      <c r="B87" s="1">
        <v>1</v>
      </c>
      <c r="C87" s="1" t="s">
        <v>3</v>
      </c>
      <c r="D87" s="1">
        <v>41</v>
      </c>
      <c r="E87" s="1" t="s">
        <v>4</v>
      </c>
      <c r="F87" s="1">
        <v>2</v>
      </c>
      <c r="G87" s="1">
        <v>0</v>
      </c>
    </row>
    <row r="88" spans="1:7" x14ac:dyDescent="0.3">
      <c r="A88" s="1">
        <v>2</v>
      </c>
      <c r="B88" s="1">
        <v>1</v>
      </c>
      <c r="C88" s="1" t="s">
        <v>3</v>
      </c>
      <c r="D88" s="1">
        <v>32</v>
      </c>
      <c r="E88" s="1" t="s">
        <v>4</v>
      </c>
      <c r="F88" s="1">
        <v>7</v>
      </c>
      <c r="G88" s="1">
        <v>0</v>
      </c>
    </row>
    <row r="89" spans="1:7" x14ac:dyDescent="0.3">
      <c r="A89" s="1">
        <v>2</v>
      </c>
      <c r="B89" s="1">
        <v>1</v>
      </c>
      <c r="C89" s="1" t="s">
        <v>3</v>
      </c>
      <c r="D89" s="1">
        <v>56</v>
      </c>
      <c r="E89" s="1" t="s">
        <v>4</v>
      </c>
      <c r="F89" s="1">
        <v>17</v>
      </c>
      <c r="G89" s="1">
        <v>0</v>
      </c>
    </row>
    <row r="90" spans="1:7" x14ac:dyDescent="0.3">
      <c r="A90" s="1">
        <v>2</v>
      </c>
      <c r="B90" s="1">
        <v>1</v>
      </c>
      <c r="C90" s="1" t="s">
        <v>3</v>
      </c>
      <c r="D90" s="1">
        <v>31</v>
      </c>
      <c r="E90" s="1" t="s">
        <v>4</v>
      </c>
      <c r="F90" s="1">
        <v>3</v>
      </c>
      <c r="G90" s="1">
        <v>0</v>
      </c>
    </row>
    <row r="91" spans="1:7" x14ac:dyDescent="0.3">
      <c r="A91" s="1">
        <v>2</v>
      </c>
      <c r="B91" s="1">
        <v>1</v>
      </c>
      <c r="C91" s="1" t="s">
        <v>3</v>
      </c>
      <c r="D91" s="1">
        <v>32</v>
      </c>
      <c r="E91" s="1" t="s">
        <v>4</v>
      </c>
      <c r="F91" s="1">
        <v>7</v>
      </c>
      <c r="G91" s="1">
        <v>0</v>
      </c>
    </row>
    <row r="92" spans="1:7" x14ac:dyDescent="0.3">
      <c r="A92" s="1">
        <v>2</v>
      </c>
      <c r="B92" s="1">
        <v>1</v>
      </c>
      <c r="C92" s="1" t="s">
        <v>3</v>
      </c>
      <c r="D92" s="1">
        <v>38</v>
      </c>
      <c r="E92" s="1" t="s">
        <v>4</v>
      </c>
      <c r="F92" s="1">
        <v>25</v>
      </c>
      <c r="G92" s="1">
        <v>0</v>
      </c>
    </row>
    <row r="93" spans="1:7" x14ac:dyDescent="0.3">
      <c r="A93" s="1">
        <v>2</v>
      </c>
      <c r="B93" s="1">
        <v>1</v>
      </c>
      <c r="C93" s="1" t="s">
        <v>3</v>
      </c>
      <c r="D93" s="1">
        <v>27</v>
      </c>
      <c r="E93" s="1" t="s">
        <v>4</v>
      </c>
      <c r="F93" s="1">
        <v>24</v>
      </c>
      <c r="G93" s="1">
        <v>0</v>
      </c>
    </row>
    <row r="94" spans="1:7" x14ac:dyDescent="0.3">
      <c r="A94" s="1">
        <v>2</v>
      </c>
      <c r="B94" s="1">
        <v>1</v>
      </c>
      <c r="C94" s="1" t="s">
        <v>3</v>
      </c>
      <c r="D94" s="1">
        <v>44</v>
      </c>
      <c r="E94" s="1" t="s">
        <v>4</v>
      </c>
      <c r="F94" s="1">
        <v>47</v>
      </c>
      <c r="G94" s="1">
        <v>1</v>
      </c>
    </row>
    <row r="95" spans="1:7" x14ac:dyDescent="0.3">
      <c r="A95" s="1">
        <v>2</v>
      </c>
      <c r="B95" s="1">
        <v>1</v>
      </c>
      <c r="C95" s="1" t="s">
        <v>3</v>
      </c>
      <c r="D95" s="1">
        <v>12</v>
      </c>
      <c r="E95" s="1" t="s">
        <v>4</v>
      </c>
      <c r="F95" s="1">
        <v>11</v>
      </c>
      <c r="G95" s="1">
        <v>0</v>
      </c>
    </row>
    <row r="96" spans="1:7" x14ac:dyDescent="0.3">
      <c r="A96" s="1">
        <v>2</v>
      </c>
      <c r="B96" s="1">
        <v>1</v>
      </c>
      <c r="C96" s="1" t="s">
        <v>3</v>
      </c>
      <c r="D96" s="1">
        <v>47</v>
      </c>
      <c r="E96" s="1" t="s">
        <v>4</v>
      </c>
      <c r="F96" s="1">
        <v>54</v>
      </c>
      <c r="G96" s="1">
        <v>1</v>
      </c>
    </row>
    <row r="97" spans="1:7" x14ac:dyDescent="0.3">
      <c r="A97" s="1">
        <v>2</v>
      </c>
      <c r="B97" s="1">
        <v>1</v>
      </c>
      <c r="C97" s="1" t="s">
        <v>3</v>
      </c>
      <c r="D97" s="1">
        <v>14</v>
      </c>
      <c r="E97" s="1" t="s">
        <v>4</v>
      </c>
      <c r="F97" s="1">
        <v>21</v>
      </c>
      <c r="G97" s="1">
        <v>1</v>
      </c>
    </row>
    <row r="98" spans="1:7" x14ac:dyDescent="0.3">
      <c r="A98" s="1">
        <v>2</v>
      </c>
      <c r="B98" s="1">
        <v>1</v>
      </c>
      <c r="C98" s="1" t="s">
        <v>3</v>
      </c>
      <c r="D98" s="1">
        <v>41</v>
      </c>
      <c r="E98" s="1" t="s">
        <v>4</v>
      </c>
      <c r="F98" s="1">
        <v>14</v>
      </c>
      <c r="G98" s="1">
        <v>0</v>
      </c>
    </row>
    <row r="99" spans="1:7" x14ac:dyDescent="0.3">
      <c r="A99" s="1">
        <v>2</v>
      </c>
      <c r="B99" s="1">
        <v>1</v>
      </c>
      <c r="C99" s="1" t="s">
        <v>3</v>
      </c>
      <c r="D99" s="1">
        <v>50</v>
      </c>
      <c r="E99" s="1" t="s">
        <v>4</v>
      </c>
      <c r="F99" s="1">
        <v>22</v>
      </c>
      <c r="G99" s="1">
        <v>0</v>
      </c>
    </row>
    <row r="100" spans="1:7" x14ac:dyDescent="0.3">
      <c r="A100" s="1">
        <v>2</v>
      </c>
      <c r="B100" s="1">
        <v>1</v>
      </c>
      <c r="C100" s="1" t="s">
        <v>3</v>
      </c>
      <c r="D100" s="1">
        <v>32</v>
      </c>
      <c r="E100" s="1" t="s">
        <v>4</v>
      </c>
      <c r="F100" s="1">
        <v>11</v>
      </c>
      <c r="G100" s="1">
        <v>0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A3449-5B96-480E-98A7-5ADBDD94A345}">
  <dimension ref="A1:Q100"/>
  <sheetViews>
    <sheetView topLeftCell="G1" workbookViewId="0">
      <selection activeCell="K24" sqref="K24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4</v>
      </c>
      <c r="D1" s="1">
        <v>25</v>
      </c>
      <c r="E1" s="1" t="s">
        <v>5</v>
      </c>
      <c r="F1" s="1">
        <v>28</v>
      </c>
      <c r="G1" s="1">
        <v>1</v>
      </c>
      <c r="I1" s="2"/>
      <c r="J1" s="3"/>
      <c r="K1" s="4" t="s">
        <v>7</v>
      </c>
      <c r="L1" s="4"/>
      <c r="M1" s="5" t="s">
        <v>8</v>
      </c>
      <c r="N1" s="5"/>
      <c r="O1" s="5" t="s">
        <v>9</v>
      </c>
      <c r="P1" s="5"/>
      <c r="Q1"/>
    </row>
    <row r="2" spans="1:17" x14ac:dyDescent="0.3">
      <c r="A2" s="1">
        <v>2</v>
      </c>
      <c r="B2" s="1">
        <v>0</v>
      </c>
      <c r="C2" s="1" t="s">
        <v>4</v>
      </c>
      <c r="D2" s="1">
        <v>21</v>
      </c>
      <c r="E2" s="1" t="s">
        <v>5</v>
      </c>
      <c r="F2" s="1">
        <v>37</v>
      </c>
      <c r="G2" s="1">
        <v>1</v>
      </c>
      <c r="I2" s="6"/>
      <c r="J2" s="7"/>
      <c r="K2" s="4"/>
      <c r="L2" s="4"/>
      <c r="M2" s="5"/>
      <c r="N2" s="5"/>
      <c r="O2" s="5"/>
      <c r="P2" s="5"/>
      <c r="Q2" s="8" t="s">
        <v>10</v>
      </c>
    </row>
    <row r="3" spans="1:17" x14ac:dyDescent="0.3">
      <c r="A3" s="1">
        <v>2</v>
      </c>
      <c r="B3" s="1">
        <v>0</v>
      </c>
      <c r="C3" s="1" t="s">
        <v>4</v>
      </c>
      <c r="D3" s="1">
        <v>41</v>
      </c>
      <c r="E3" s="1" t="s">
        <v>5</v>
      </c>
      <c r="F3" s="1">
        <v>64</v>
      </c>
      <c r="G3" s="1">
        <v>1</v>
      </c>
      <c r="I3" s="5" t="s">
        <v>11</v>
      </c>
      <c r="J3" s="5"/>
      <c r="K3" s="9">
        <f>COUNTIF($G$1:$G$100, 0)</f>
        <v>22</v>
      </c>
      <c r="L3" s="9"/>
      <c r="M3" s="9">
        <f>COUNTIFS($G$1:$G$100, 0, $B$1:$B$100, 0)</f>
        <v>11</v>
      </c>
      <c r="N3" s="9"/>
      <c r="O3" s="10">
        <f>COUNTIFS($G$1:$G$100, 0, $B$1:$B$100, 1)</f>
        <v>11</v>
      </c>
      <c r="P3" s="11"/>
      <c r="Q3" s="12" cm="1">
        <f t="array" ref="Q3">SUMPRODUCT(--($D$1:$D$100=$G$1:$G$100))</f>
        <v>1</v>
      </c>
    </row>
    <row r="4" spans="1:17" x14ac:dyDescent="0.3">
      <c r="A4" s="1">
        <v>2</v>
      </c>
      <c r="B4" s="1">
        <v>0</v>
      </c>
      <c r="C4" s="1" t="s">
        <v>4</v>
      </c>
      <c r="D4" s="1">
        <v>2</v>
      </c>
      <c r="E4" s="1" t="s">
        <v>5</v>
      </c>
      <c r="F4" s="1">
        <v>56</v>
      </c>
      <c r="G4" s="1">
        <v>1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4</v>
      </c>
      <c r="D5" s="1">
        <v>40</v>
      </c>
      <c r="E5" s="1" t="s">
        <v>5</v>
      </c>
      <c r="F5" s="1">
        <v>0</v>
      </c>
      <c r="G5" s="1">
        <v>0</v>
      </c>
      <c r="I5" s="5" t="s">
        <v>12</v>
      </c>
      <c r="J5" s="5"/>
      <c r="K5" s="14">
        <f>COUNTIF($G$1:$G$100, 1)</f>
        <v>78</v>
      </c>
      <c r="L5" s="9"/>
      <c r="M5" s="9">
        <f>COUNTIFS($G$1:$G$100, 1, $B$1:$B$100, 0)</f>
        <v>39</v>
      </c>
      <c r="N5" s="9"/>
      <c r="O5" s="9">
        <f>COUNTIFS($G$1:$G$100, 1, $B$1:$B$100, 1)</f>
        <v>39</v>
      </c>
      <c r="P5" s="13"/>
      <c r="Q5"/>
    </row>
    <row r="6" spans="1:17" x14ac:dyDescent="0.3">
      <c r="A6" s="1">
        <v>2</v>
      </c>
      <c r="B6" s="1">
        <v>0</v>
      </c>
      <c r="C6" s="1" t="s">
        <v>4</v>
      </c>
      <c r="D6" s="1">
        <v>15</v>
      </c>
      <c r="E6" s="1" t="s">
        <v>5</v>
      </c>
      <c r="F6" s="1">
        <v>41</v>
      </c>
      <c r="G6" s="1">
        <v>1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4</v>
      </c>
      <c r="D7" s="1">
        <v>2</v>
      </c>
      <c r="E7" s="1" t="s">
        <v>5</v>
      </c>
      <c r="F7" s="1">
        <v>9</v>
      </c>
      <c r="G7" s="1">
        <v>1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4</v>
      </c>
      <c r="D8" s="1">
        <v>17</v>
      </c>
      <c r="E8" s="1" t="s">
        <v>5</v>
      </c>
      <c r="F8" s="1">
        <v>2</v>
      </c>
      <c r="G8" s="1">
        <v>0</v>
      </c>
      <c r="I8" s="19"/>
      <c r="J8" s="20"/>
      <c r="K8" s="21" t="s">
        <v>7</v>
      </c>
      <c r="L8" s="21"/>
      <c r="M8" s="21" t="s">
        <v>13</v>
      </c>
      <c r="N8" s="21"/>
      <c r="O8" s="21" t="s">
        <v>14</v>
      </c>
      <c r="P8" s="21"/>
      <c r="Q8"/>
    </row>
    <row r="9" spans="1:17" x14ac:dyDescent="0.3">
      <c r="A9" s="1">
        <v>2</v>
      </c>
      <c r="B9" s="1">
        <v>0</v>
      </c>
      <c r="C9" s="1" t="s">
        <v>4</v>
      </c>
      <c r="D9" s="1">
        <v>15</v>
      </c>
      <c r="E9" s="1" t="s">
        <v>5</v>
      </c>
      <c r="F9" s="1">
        <v>58</v>
      </c>
      <c r="G9" s="1">
        <v>1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4</v>
      </c>
      <c r="D10" s="1">
        <v>11</v>
      </c>
      <c r="E10" s="1" t="s">
        <v>5</v>
      </c>
      <c r="F10" s="1">
        <v>36</v>
      </c>
      <c r="G10" s="1">
        <v>1</v>
      </c>
      <c r="I10" s="5" t="s">
        <v>15</v>
      </c>
      <c r="J10" s="5"/>
      <c r="K10" s="9">
        <f>AVERAGE($D$1:$D$100,)</f>
        <v>17.465346534653467</v>
      </c>
      <c r="L10" s="9"/>
      <c r="M10" s="9" cm="1">
        <f t="array" ref="M10">AVERAGE(_xlfn._xlws.FILTER($D$1:$D$100,$G$1:$G$100 = 0))</f>
        <v>37.454545454545453</v>
      </c>
      <c r="N10" s="9"/>
      <c r="O10" s="10" cm="1">
        <f t="array" ref="O10">AVERAGE(_xlfn._xlws.FILTER($D$1:$D$100,$G$1:$G$100 = 1))</f>
        <v>12.051282051282051</v>
      </c>
      <c r="P10" s="11"/>
      <c r="Q10"/>
    </row>
    <row r="11" spans="1:17" x14ac:dyDescent="0.3">
      <c r="A11" s="1">
        <v>2</v>
      </c>
      <c r="B11" s="1">
        <v>0</v>
      </c>
      <c r="C11" s="1" t="s">
        <v>4</v>
      </c>
      <c r="D11" s="1">
        <v>19</v>
      </c>
      <c r="E11" s="1" t="s">
        <v>5</v>
      </c>
      <c r="F11" s="1">
        <v>52</v>
      </c>
      <c r="G11" s="1">
        <v>1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4</v>
      </c>
      <c r="D12" s="1">
        <v>2</v>
      </c>
      <c r="E12" s="1" t="s">
        <v>5</v>
      </c>
      <c r="F12" s="1">
        <v>47</v>
      </c>
      <c r="G12" s="1">
        <v>1</v>
      </c>
      <c r="I12" s="5" t="s">
        <v>16</v>
      </c>
      <c r="J12" s="5"/>
      <c r="K12" s="9">
        <f>AVERAGE($F$1:$F$100,)</f>
        <v>36.970297029702969</v>
      </c>
      <c r="L12" s="9"/>
      <c r="M12" s="9" cm="1">
        <f t="array" ref="M12">AVERAGE(_xlfn._xlws.FILTER($F$1:$F$100,$G$1:$G$100 = 0))</f>
        <v>14.363636363636363</v>
      </c>
      <c r="N12" s="9"/>
      <c r="O12" s="9" cm="1">
        <f t="array" ref="O12">AVERAGE(_xlfn._xlws.FILTER($F$1:$F$100,$G$1:$G$100 = 1))</f>
        <v>43.820512820512818</v>
      </c>
      <c r="P12" s="13"/>
      <c r="Q12"/>
    </row>
    <row r="13" spans="1:17" x14ac:dyDescent="0.3">
      <c r="A13" s="1">
        <v>2</v>
      </c>
      <c r="B13" s="1">
        <v>0</v>
      </c>
      <c r="C13" s="1" t="s">
        <v>4</v>
      </c>
      <c r="D13" s="1">
        <v>37</v>
      </c>
      <c r="E13" s="1" t="s">
        <v>5</v>
      </c>
      <c r="F13" s="1">
        <v>22</v>
      </c>
      <c r="G13" s="1">
        <v>0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4</v>
      </c>
      <c r="D14" s="1">
        <v>18</v>
      </c>
      <c r="E14" s="1" t="s">
        <v>5</v>
      </c>
      <c r="F14" s="1">
        <v>4</v>
      </c>
      <c r="G14" s="1">
        <v>0</v>
      </c>
      <c r="I14" s="22" t="s">
        <v>17</v>
      </c>
      <c r="J14" s="11"/>
      <c r="K14" s="23" cm="1">
        <f t="array" ref="K14">AVERAGE($D$1:$D$100 - $F$1:$F$100)</f>
        <v>-19.7</v>
      </c>
      <c r="L14" s="23"/>
      <c r="M14" s="23" cm="1">
        <f t="array" ref="M14">AVERAGE(_xlfn._xlws.FILTER($D$1:$D$100 - $F$1:$F$100, G$1:G$100 = 0))</f>
        <v>23.09090909090909</v>
      </c>
      <c r="N14" s="23"/>
      <c r="O14" s="23" cm="1">
        <f t="array" ref="O14">AVERAGE(_xlfn._xlws.FILTER($D$1:$D$100 - $F$1:$F$100, G$1:G$100 = 1))</f>
        <v>-31.76923076923077</v>
      </c>
      <c r="P14" s="24"/>
      <c r="Q14"/>
    </row>
    <row r="15" spans="1:17" x14ac:dyDescent="0.3">
      <c r="A15" s="1">
        <v>2</v>
      </c>
      <c r="B15" s="1">
        <v>0</v>
      </c>
      <c r="C15" s="1" t="s">
        <v>4</v>
      </c>
      <c r="D15" s="1">
        <v>34</v>
      </c>
      <c r="E15" s="1" t="s">
        <v>5</v>
      </c>
      <c r="F15" s="1">
        <v>23</v>
      </c>
      <c r="G15" s="1">
        <v>0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4</v>
      </c>
      <c r="D16" s="1">
        <v>29</v>
      </c>
      <c r="E16" s="1" t="s">
        <v>5</v>
      </c>
      <c r="F16" s="1">
        <v>63</v>
      </c>
      <c r="G16" s="1">
        <v>1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4</v>
      </c>
      <c r="D17" s="1">
        <v>3</v>
      </c>
      <c r="E17" s="1" t="s">
        <v>5</v>
      </c>
      <c r="F17" s="1">
        <v>45</v>
      </c>
      <c r="G17" s="1">
        <v>1</v>
      </c>
    </row>
    <row r="18" spans="1:7" x14ac:dyDescent="0.3">
      <c r="A18" s="1">
        <v>2</v>
      </c>
      <c r="B18" s="1">
        <v>0</v>
      </c>
      <c r="C18" s="1" t="s">
        <v>4</v>
      </c>
      <c r="D18" s="1">
        <v>6</v>
      </c>
      <c r="E18" s="1" t="s">
        <v>5</v>
      </c>
      <c r="F18" s="1">
        <v>45</v>
      </c>
      <c r="G18" s="1">
        <v>1</v>
      </c>
    </row>
    <row r="19" spans="1:7" x14ac:dyDescent="0.3">
      <c r="A19" s="1">
        <v>2</v>
      </c>
      <c r="B19" s="1">
        <v>0</v>
      </c>
      <c r="C19" s="1" t="s">
        <v>4</v>
      </c>
      <c r="D19" s="1">
        <v>44</v>
      </c>
      <c r="E19" s="1" t="s">
        <v>5</v>
      </c>
      <c r="F19" s="1">
        <v>16</v>
      </c>
      <c r="G19" s="1">
        <v>0</v>
      </c>
    </row>
    <row r="20" spans="1:7" x14ac:dyDescent="0.3">
      <c r="A20" s="1">
        <v>2</v>
      </c>
      <c r="B20" s="1">
        <v>0</v>
      </c>
      <c r="C20" s="1" t="s">
        <v>4</v>
      </c>
      <c r="D20" s="1">
        <v>8</v>
      </c>
      <c r="E20" s="1" t="s">
        <v>5</v>
      </c>
      <c r="F20" s="1">
        <v>40</v>
      </c>
      <c r="G20" s="1">
        <v>1</v>
      </c>
    </row>
    <row r="21" spans="1:7" x14ac:dyDescent="0.3">
      <c r="A21" s="1">
        <v>2</v>
      </c>
      <c r="B21" s="1">
        <v>0</v>
      </c>
      <c r="C21" s="1" t="s">
        <v>4</v>
      </c>
      <c r="D21" s="1">
        <v>5</v>
      </c>
      <c r="E21" s="1" t="s">
        <v>5</v>
      </c>
      <c r="F21" s="1">
        <v>40</v>
      </c>
      <c r="G21" s="1">
        <v>1</v>
      </c>
    </row>
    <row r="22" spans="1:7" x14ac:dyDescent="0.3">
      <c r="A22" s="1">
        <v>2</v>
      </c>
      <c r="B22" s="1">
        <v>0</v>
      </c>
      <c r="C22" s="1" t="s">
        <v>4</v>
      </c>
      <c r="D22" s="1">
        <v>24</v>
      </c>
      <c r="E22" s="1" t="s">
        <v>5</v>
      </c>
      <c r="F22" s="1">
        <v>30</v>
      </c>
      <c r="G22" s="1">
        <v>1</v>
      </c>
    </row>
    <row r="23" spans="1:7" x14ac:dyDescent="0.3">
      <c r="A23" s="1">
        <v>2</v>
      </c>
      <c r="B23" s="1">
        <v>0</v>
      </c>
      <c r="C23" s="1" t="s">
        <v>4</v>
      </c>
      <c r="D23" s="1">
        <v>47</v>
      </c>
      <c r="E23" s="1" t="s">
        <v>5</v>
      </c>
      <c r="F23" s="1">
        <v>45</v>
      </c>
      <c r="G23" s="1">
        <v>0</v>
      </c>
    </row>
    <row r="24" spans="1:7" x14ac:dyDescent="0.3">
      <c r="A24" s="1">
        <v>2</v>
      </c>
      <c r="B24" s="1">
        <v>0</v>
      </c>
      <c r="C24" s="1" t="s">
        <v>4</v>
      </c>
      <c r="D24" s="1">
        <v>20</v>
      </c>
      <c r="E24" s="1" t="s">
        <v>5</v>
      </c>
      <c r="F24" s="1">
        <v>31</v>
      </c>
      <c r="G24" s="1">
        <v>1</v>
      </c>
    </row>
    <row r="25" spans="1:7" x14ac:dyDescent="0.3">
      <c r="A25" s="1">
        <v>2</v>
      </c>
      <c r="B25" s="1">
        <v>0</v>
      </c>
      <c r="C25" s="1" t="s">
        <v>4</v>
      </c>
      <c r="D25" s="1">
        <v>2</v>
      </c>
      <c r="E25" s="1" t="s">
        <v>5</v>
      </c>
      <c r="F25" s="1">
        <v>66</v>
      </c>
      <c r="G25" s="1">
        <v>1</v>
      </c>
    </row>
    <row r="26" spans="1:7" x14ac:dyDescent="0.3">
      <c r="A26" s="1">
        <v>2</v>
      </c>
      <c r="B26" s="1">
        <v>0</v>
      </c>
      <c r="C26" s="1" t="s">
        <v>4</v>
      </c>
      <c r="D26" s="1">
        <v>52</v>
      </c>
      <c r="E26" s="1" t="s">
        <v>5</v>
      </c>
      <c r="F26" s="1">
        <v>16</v>
      </c>
      <c r="G26" s="1">
        <v>0</v>
      </c>
    </row>
    <row r="27" spans="1:7" x14ac:dyDescent="0.3">
      <c r="A27" s="1">
        <v>2</v>
      </c>
      <c r="B27" s="1">
        <v>0</v>
      </c>
      <c r="C27" s="1" t="s">
        <v>4</v>
      </c>
      <c r="D27" s="1">
        <v>18</v>
      </c>
      <c r="E27" s="1" t="s">
        <v>5</v>
      </c>
      <c r="F27" s="1">
        <v>34</v>
      </c>
      <c r="G27" s="1">
        <v>1</v>
      </c>
    </row>
    <row r="28" spans="1:7" x14ac:dyDescent="0.3">
      <c r="A28" s="1">
        <v>2</v>
      </c>
      <c r="B28" s="1">
        <v>0</v>
      </c>
      <c r="C28" s="1" t="s">
        <v>4</v>
      </c>
      <c r="D28" s="1">
        <v>2</v>
      </c>
      <c r="E28" s="1" t="s">
        <v>5</v>
      </c>
      <c r="F28" s="1">
        <v>47</v>
      </c>
      <c r="G28" s="1">
        <v>1</v>
      </c>
    </row>
    <row r="29" spans="1:7" x14ac:dyDescent="0.3">
      <c r="A29" s="1">
        <v>2</v>
      </c>
      <c r="B29" s="1">
        <v>0</v>
      </c>
      <c r="C29" s="1" t="s">
        <v>4</v>
      </c>
      <c r="D29" s="1">
        <v>5</v>
      </c>
      <c r="E29" s="1" t="s">
        <v>5</v>
      </c>
      <c r="F29" s="1">
        <v>39</v>
      </c>
      <c r="G29" s="1">
        <v>1</v>
      </c>
    </row>
    <row r="30" spans="1:7" x14ac:dyDescent="0.3">
      <c r="A30" s="1">
        <v>2</v>
      </c>
      <c r="B30" s="1">
        <v>0</v>
      </c>
      <c r="C30" s="1" t="s">
        <v>4</v>
      </c>
      <c r="D30" s="1">
        <v>20</v>
      </c>
      <c r="E30" s="1" t="s">
        <v>5</v>
      </c>
      <c r="F30" s="1">
        <v>59</v>
      </c>
      <c r="G30" s="1">
        <v>1</v>
      </c>
    </row>
    <row r="31" spans="1:7" x14ac:dyDescent="0.3">
      <c r="A31" s="1">
        <v>2</v>
      </c>
      <c r="B31" s="1">
        <v>0</v>
      </c>
      <c r="C31" s="1" t="s">
        <v>4</v>
      </c>
      <c r="D31" s="1">
        <v>17</v>
      </c>
      <c r="E31" s="1" t="s">
        <v>5</v>
      </c>
      <c r="F31" s="1">
        <v>30</v>
      </c>
      <c r="G31" s="1">
        <v>1</v>
      </c>
    </row>
    <row r="32" spans="1:7" x14ac:dyDescent="0.3">
      <c r="A32" s="1">
        <v>2</v>
      </c>
      <c r="B32" s="1">
        <v>0</v>
      </c>
      <c r="C32" s="1" t="s">
        <v>4</v>
      </c>
      <c r="D32" s="1">
        <v>11</v>
      </c>
      <c r="E32" s="1" t="s">
        <v>5</v>
      </c>
      <c r="F32" s="1">
        <v>28</v>
      </c>
      <c r="G32" s="1">
        <v>1</v>
      </c>
    </row>
    <row r="33" spans="1:7" x14ac:dyDescent="0.3">
      <c r="A33" s="1">
        <v>2</v>
      </c>
      <c r="B33" s="1">
        <v>0</v>
      </c>
      <c r="C33" s="1" t="s">
        <v>4</v>
      </c>
      <c r="D33" s="1">
        <v>5</v>
      </c>
      <c r="E33" s="1" t="s">
        <v>5</v>
      </c>
      <c r="F33" s="1">
        <v>54</v>
      </c>
      <c r="G33" s="1">
        <v>1</v>
      </c>
    </row>
    <row r="34" spans="1:7" x14ac:dyDescent="0.3">
      <c r="A34" s="1">
        <v>2</v>
      </c>
      <c r="B34" s="1">
        <v>0</v>
      </c>
      <c r="C34" s="1" t="s">
        <v>4</v>
      </c>
      <c r="D34" s="1">
        <v>24</v>
      </c>
      <c r="E34" s="1" t="s">
        <v>5</v>
      </c>
      <c r="F34" s="1">
        <v>48</v>
      </c>
      <c r="G34" s="1">
        <v>1</v>
      </c>
    </row>
    <row r="35" spans="1:7" x14ac:dyDescent="0.3">
      <c r="A35" s="1">
        <v>2</v>
      </c>
      <c r="B35" s="1">
        <v>0</v>
      </c>
      <c r="C35" s="1" t="s">
        <v>4</v>
      </c>
      <c r="D35" s="1">
        <v>2</v>
      </c>
      <c r="E35" s="1" t="s">
        <v>5</v>
      </c>
      <c r="F35" s="1">
        <v>25</v>
      </c>
      <c r="G35" s="1">
        <v>1</v>
      </c>
    </row>
    <row r="36" spans="1:7" x14ac:dyDescent="0.3">
      <c r="A36" s="1">
        <v>2</v>
      </c>
      <c r="B36" s="1">
        <v>0</v>
      </c>
      <c r="C36" s="1" t="s">
        <v>4</v>
      </c>
      <c r="D36" s="1">
        <v>0</v>
      </c>
      <c r="E36" s="1" t="s">
        <v>5</v>
      </c>
      <c r="F36" s="1">
        <v>51</v>
      </c>
      <c r="G36" s="1">
        <v>1</v>
      </c>
    </row>
    <row r="37" spans="1:7" x14ac:dyDescent="0.3">
      <c r="A37" s="1">
        <v>2</v>
      </c>
      <c r="B37" s="1">
        <v>0</v>
      </c>
      <c r="C37" s="1" t="s">
        <v>4</v>
      </c>
      <c r="D37" s="1">
        <v>67</v>
      </c>
      <c r="E37" s="1" t="s">
        <v>5</v>
      </c>
      <c r="F37" s="1">
        <v>17</v>
      </c>
      <c r="G37" s="1">
        <v>0</v>
      </c>
    </row>
    <row r="38" spans="1:7" x14ac:dyDescent="0.3">
      <c r="A38" s="1">
        <v>2</v>
      </c>
      <c r="B38" s="1">
        <v>0</v>
      </c>
      <c r="C38" s="1" t="s">
        <v>4</v>
      </c>
      <c r="D38" s="1">
        <v>8</v>
      </c>
      <c r="E38" s="1" t="s">
        <v>5</v>
      </c>
      <c r="F38" s="1">
        <v>27</v>
      </c>
      <c r="G38" s="1">
        <v>1</v>
      </c>
    </row>
    <row r="39" spans="1:7" x14ac:dyDescent="0.3">
      <c r="A39" s="1">
        <v>2</v>
      </c>
      <c r="B39" s="1">
        <v>0</v>
      </c>
      <c r="C39" s="1" t="s">
        <v>4</v>
      </c>
      <c r="D39" s="1">
        <v>16</v>
      </c>
      <c r="E39" s="1" t="s">
        <v>5</v>
      </c>
      <c r="F39" s="1">
        <v>29</v>
      </c>
      <c r="G39" s="1">
        <v>1</v>
      </c>
    </row>
    <row r="40" spans="1:7" x14ac:dyDescent="0.3">
      <c r="A40" s="1">
        <v>2</v>
      </c>
      <c r="B40" s="1">
        <v>0</v>
      </c>
      <c r="C40" s="1" t="s">
        <v>4</v>
      </c>
      <c r="D40" s="1">
        <v>9</v>
      </c>
      <c r="E40" s="1" t="s">
        <v>5</v>
      </c>
      <c r="F40" s="1">
        <v>18</v>
      </c>
      <c r="G40" s="1">
        <v>1</v>
      </c>
    </row>
    <row r="41" spans="1:7" x14ac:dyDescent="0.3">
      <c r="A41" s="1">
        <v>2</v>
      </c>
      <c r="B41" s="1">
        <v>0</v>
      </c>
      <c r="C41" s="1" t="s">
        <v>4</v>
      </c>
      <c r="D41" s="1">
        <v>5</v>
      </c>
      <c r="E41" s="1" t="s">
        <v>5</v>
      </c>
      <c r="F41" s="1">
        <v>72</v>
      </c>
      <c r="G41" s="1">
        <v>1</v>
      </c>
    </row>
    <row r="42" spans="1:7" x14ac:dyDescent="0.3">
      <c r="A42" s="1">
        <v>2</v>
      </c>
      <c r="B42" s="1">
        <v>0</v>
      </c>
      <c r="C42" s="1" t="s">
        <v>4</v>
      </c>
      <c r="D42" s="1">
        <v>2</v>
      </c>
      <c r="E42" s="1" t="s">
        <v>5</v>
      </c>
      <c r="F42" s="1">
        <v>44</v>
      </c>
      <c r="G42" s="1">
        <v>1</v>
      </c>
    </row>
    <row r="43" spans="1:7" x14ac:dyDescent="0.3">
      <c r="A43" s="1">
        <v>2</v>
      </c>
      <c r="B43" s="1">
        <v>0</v>
      </c>
      <c r="C43" s="1" t="s">
        <v>4</v>
      </c>
      <c r="D43" s="1">
        <v>7</v>
      </c>
      <c r="E43" s="1" t="s">
        <v>5</v>
      </c>
      <c r="F43" s="1">
        <v>50</v>
      </c>
      <c r="G43" s="1">
        <v>1</v>
      </c>
    </row>
    <row r="44" spans="1:7" x14ac:dyDescent="0.3">
      <c r="A44" s="1">
        <v>2</v>
      </c>
      <c r="B44" s="1">
        <v>0</v>
      </c>
      <c r="C44" s="1" t="s">
        <v>4</v>
      </c>
      <c r="D44" s="1">
        <v>4</v>
      </c>
      <c r="E44" s="1" t="s">
        <v>5</v>
      </c>
      <c r="F44" s="1">
        <v>28</v>
      </c>
      <c r="G44" s="1">
        <v>1</v>
      </c>
    </row>
    <row r="45" spans="1:7" x14ac:dyDescent="0.3">
      <c r="A45" s="1">
        <v>2</v>
      </c>
      <c r="B45" s="1">
        <v>0</v>
      </c>
      <c r="C45" s="1" t="s">
        <v>4</v>
      </c>
      <c r="D45" s="1">
        <v>8</v>
      </c>
      <c r="E45" s="1" t="s">
        <v>5</v>
      </c>
      <c r="F45" s="1">
        <v>51</v>
      </c>
      <c r="G45" s="1">
        <v>1</v>
      </c>
    </row>
    <row r="46" spans="1:7" x14ac:dyDescent="0.3">
      <c r="A46" s="1">
        <v>2</v>
      </c>
      <c r="B46" s="1">
        <v>0</v>
      </c>
      <c r="C46" s="1" t="s">
        <v>4</v>
      </c>
      <c r="D46" s="1">
        <v>6</v>
      </c>
      <c r="E46" s="1" t="s">
        <v>5</v>
      </c>
      <c r="F46" s="1">
        <v>43</v>
      </c>
      <c r="G46" s="1">
        <v>1</v>
      </c>
    </row>
    <row r="47" spans="1:7" x14ac:dyDescent="0.3">
      <c r="A47" s="1">
        <v>2</v>
      </c>
      <c r="B47" s="1">
        <v>0</v>
      </c>
      <c r="C47" s="1" t="s">
        <v>4</v>
      </c>
      <c r="D47" s="1">
        <v>5</v>
      </c>
      <c r="E47" s="1" t="s">
        <v>5</v>
      </c>
      <c r="F47" s="1">
        <v>32</v>
      </c>
      <c r="G47" s="1">
        <v>1</v>
      </c>
    </row>
    <row r="48" spans="1:7" x14ac:dyDescent="0.3">
      <c r="A48" s="1">
        <v>2</v>
      </c>
      <c r="B48" s="1">
        <v>0</v>
      </c>
      <c r="C48" s="1" t="s">
        <v>4</v>
      </c>
      <c r="D48" s="1">
        <v>29</v>
      </c>
      <c r="E48" s="1" t="s">
        <v>5</v>
      </c>
      <c r="F48" s="1">
        <v>14</v>
      </c>
      <c r="G48" s="1">
        <v>0</v>
      </c>
    </row>
    <row r="49" spans="1:7" x14ac:dyDescent="0.3">
      <c r="A49" s="1">
        <v>2</v>
      </c>
      <c r="B49" s="1">
        <v>0</v>
      </c>
      <c r="C49" s="1" t="s">
        <v>4</v>
      </c>
      <c r="D49" s="1">
        <v>24</v>
      </c>
      <c r="E49" s="1" t="s">
        <v>5</v>
      </c>
      <c r="F49" s="1">
        <v>20</v>
      </c>
      <c r="G49" s="1">
        <v>0</v>
      </c>
    </row>
    <row r="50" spans="1:7" x14ac:dyDescent="0.3">
      <c r="A50" s="1">
        <v>2</v>
      </c>
      <c r="B50" s="1">
        <v>0</v>
      </c>
      <c r="C50" s="1" t="s">
        <v>4</v>
      </c>
      <c r="D50" s="1">
        <v>14</v>
      </c>
      <c r="E50" s="1" t="s">
        <v>5</v>
      </c>
      <c r="F50" s="1">
        <v>46</v>
      </c>
      <c r="G50" s="1">
        <v>1</v>
      </c>
    </row>
    <row r="51" spans="1:7" x14ac:dyDescent="0.3">
      <c r="A51" s="1">
        <v>2</v>
      </c>
      <c r="B51" s="1">
        <v>1</v>
      </c>
      <c r="C51" s="1" t="s">
        <v>4</v>
      </c>
      <c r="D51" s="1">
        <v>68</v>
      </c>
      <c r="E51" s="1" t="s">
        <v>5</v>
      </c>
      <c r="F51" s="1">
        <v>11</v>
      </c>
      <c r="G51" s="1">
        <v>0</v>
      </c>
    </row>
    <row r="52" spans="1:7" x14ac:dyDescent="0.3">
      <c r="A52" s="1">
        <v>2</v>
      </c>
      <c r="B52" s="1">
        <v>1</v>
      </c>
      <c r="C52" s="1" t="s">
        <v>4</v>
      </c>
      <c r="D52" s="1">
        <v>2</v>
      </c>
      <c r="E52" s="1" t="s">
        <v>5</v>
      </c>
      <c r="F52" s="1">
        <v>30</v>
      </c>
      <c r="G52" s="1">
        <v>1</v>
      </c>
    </row>
    <row r="53" spans="1:7" x14ac:dyDescent="0.3">
      <c r="A53" s="1">
        <v>2</v>
      </c>
      <c r="B53" s="1">
        <v>1</v>
      </c>
      <c r="C53" s="1" t="s">
        <v>4</v>
      </c>
      <c r="D53" s="1">
        <v>4</v>
      </c>
      <c r="E53" s="1" t="s">
        <v>5</v>
      </c>
      <c r="F53" s="1">
        <v>37</v>
      </c>
      <c r="G53" s="1">
        <v>1</v>
      </c>
    </row>
    <row r="54" spans="1:7" x14ac:dyDescent="0.3">
      <c r="A54" s="1">
        <v>2</v>
      </c>
      <c r="B54" s="1">
        <v>1</v>
      </c>
      <c r="C54" s="1" t="s">
        <v>4</v>
      </c>
      <c r="D54" s="1">
        <v>13</v>
      </c>
      <c r="E54" s="1" t="s">
        <v>5</v>
      </c>
      <c r="F54" s="1">
        <v>56</v>
      </c>
      <c r="G54" s="1">
        <v>1</v>
      </c>
    </row>
    <row r="55" spans="1:7" x14ac:dyDescent="0.3">
      <c r="A55" s="1">
        <v>2</v>
      </c>
      <c r="B55" s="1">
        <v>1</v>
      </c>
      <c r="C55" s="1" t="s">
        <v>4</v>
      </c>
      <c r="D55" s="1">
        <v>2</v>
      </c>
      <c r="E55" s="1" t="s">
        <v>5</v>
      </c>
      <c r="F55" s="1">
        <v>21</v>
      </c>
      <c r="G55" s="1">
        <v>1</v>
      </c>
    </row>
    <row r="56" spans="1:7" x14ac:dyDescent="0.3">
      <c r="A56" s="1">
        <v>2</v>
      </c>
      <c r="B56" s="1">
        <v>1</v>
      </c>
      <c r="C56" s="1" t="s">
        <v>4</v>
      </c>
      <c r="D56" s="1">
        <v>10</v>
      </c>
      <c r="E56" s="1" t="s">
        <v>5</v>
      </c>
      <c r="F56" s="1">
        <v>53</v>
      </c>
      <c r="G56" s="1">
        <v>1</v>
      </c>
    </row>
    <row r="57" spans="1:7" x14ac:dyDescent="0.3">
      <c r="A57" s="1">
        <v>2</v>
      </c>
      <c r="B57" s="1">
        <v>1</v>
      </c>
      <c r="C57" s="1" t="s">
        <v>4</v>
      </c>
      <c r="D57" s="1">
        <v>8</v>
      </c>
      <c r="E57" s="1" t="s">
        <v>5</v>
      </c>
      <c r="F57" s="1">
        <v>84</v>
      </c>
      <c r="G57" s="1">
        <v>1</v>
      </c>
    </row>
    <row r="58" spans="1:7" x14ac:dyDescent="0.3">
      <c r="A58" s="1">
        <v>2</v>
      </c>
      <c r="B58" s="1">
        <v>1</v>
      </c>
      <c r="C58" s="1" t="s">
        <v>4</v>
      </c>
      <c r="D58" s="1">
        <v>28</v>
      </c>
      <c r="E58" s="1" t="s">
        <v>5</v>
      </c>
      <c r="F58" s="1">
        <v>51</v>
      </c>
      <c r="G58" s="1">
        <v>1</v>
      </c>
    </row>
    <row r="59" spans="1:7" x14ac:dyDescent="0.3">
      <c r="A59" s="1">
        <v>2</v>
      </c>
      <c r="B59" s="1">
        <v>1</v>
      </c>
      <c r="C59" s="1" t="s">
        <v>4</v>
      </c>
      <c r="D59" s="1">
        <v>23</v>
      </c>
      <c r="E59" s="1" t="s">
        <v>5</v>
      </c>
      <c r="F59" s="1">
        <v>27</v>
      </c>
      <c r="G59" s="1">
        <v>1</v>
      </c>
    </row>
    <row r="60" spans="1:7" x14ac:dyDescent="0.3">
      <c r="A60" s="1">
        <v>2</v>
      </c>
      <c r="B60" s="1">
        <v>1</v>
      </c>
      <c r="C60" s="1" t="s">
        <v>4</v>
      </c>
      <c r="D60" s="1">
        <v>9</v>
      </c>
      <c r="E60" s="1" t="s">
        <v>5</v>
      </c>
      <c r="F60" s="1">
        <v>13</v>
      </c>
      <c r="G60" s="1">
        <v>1</v>
      </c>
    </row>
    <row r="61" spans="1:7" x14ac:dyDescent="0.3">
      <c r="A61" s="1">
        <v>2</v>
      </c>
      <c r="B61" s="1">
        <v>1</v>
      </c>
      <c r="C61" s="1" t="s">
        <v>4</v>
      </c>
      <c r="D61" s="1">
        <v>2</v>
      </c>
      <c r="E61" s="1" t="s">
        <v>5</v>
      </c>
      <c r="F61" s="1">
        <v>36</v>
      </c>
      <c r="G61" s="1">
        <v>1</v>
      </c>
    </row>
    <row r="62" spans="1:7" x14ac:dyDescent="0.3">
      <c r="A62" s="1">
        <v>2</v>
      </c>
      <c r="B62" s="1">
        <v>1</v>
      </c>
      <c r="C62" s="1" t="s">
        <v>4</v>
      </c>
      <c r="D62" s="1">
        <v>19</v>
      </c>
      <c r="E62" s="1" t="s">
        <v>5</v>
      </c>
      <c r="F62" s="1">
        <v>31</v>
      </c>
      <c r="G62" s="1">
        <v>1</v>
      </c>
    </row>
    <row r="63" spans="1:7" x14ac:dyDescent="0.3">
      <c r="A63" s="1">
        <v>2</v>
      </c>
      <c r="B63" s="1">
        <v>1</v>
      </c>
      <c r="C63" s="1" t="s">
        <v>4</v>
      </c>
      <c r="D63" s="1">
        <v>1</v>
      </c>
      <c r="E63" s="1" t="s">
        <v>5</v>
      </c>
      <c r="F63" s="1">
        <v>64</v>
      </c>
      <c r="G63" s="1">
        <v>1</v>
      </c>
    </row>
    <row r="64" spans="1:7" x14ac:dyDescent="0.3">
      <c r="A64" s="1">
        <v>2</v>
      </c>
      <c r="B64" s="1">
        <v>1</v>
      </c>
      <c r="C64" s="1" t="s">
        <v>4</v>
      </c>
      <c r="D64" s="1">
        <v>43</v>
      </c>
      <c r="E64" s="1" t="s">
        <v>5</v>
      </c>
      <c r="F64" s="1">
        <v>12</v>
      </c>
      <c r="G64" s="1">
        <v>0</v>
      </c>
    </row>
    <row r="65" spans="1:7" x14ac:dyDescent="0.3">
      <c r="A65" s="1">
        <v>2</v>
      </c>
      <c r="B65" s="1">
        <v>1</v>
      </c>
      <c r="C65" s="1" t="s">
        <v>4</v>
      </c>
      <c r="D65" s="1">
        <v>2</v>
      </c>
      <c r="E65" s="1" t="s">
        <v>5</v>
      </c>
      <c r="F65" s="1">
        <v>52</v>
      </c>
      <c r="G65" s="1">
        <v>1</v>
      </c>
    </row>
    <row r="66" spans="1:7" x14ac:dyDescent="0.3">
      <c r="A66" s="1">
        <v>2</v>
      </c>
      <c r="B66" s="1">
        <v>1</v>
      </c>
      <c r="C66" s="1" t="s">
        <v>4</v>
      </c>
      <c r="D66" s="1">
        <v>35</v>
      </c>
      <c r="E66" s="1" t="s">
        <v>5</v>
      </c>
      <c r="F66" s="1">
        <v>64</v>
      </c>
      <c r="G66" s="1">
        <v>1</v>
      </c>
    </row>
    <row r="67" spans="1:7" x14ac:dyDescent="0.3">
      <c r="A67" s="1">
        <v>2</v>
      </c>
      <c r="B67" s="1">
        <v>1</v>
      </c>
      <c r="C67" s="1" t="s">
        <v>4</v>
      </c>
      <c r="D67" s="1">
        <v>3</v>
      </c>
      <c r="E67" s="1" t="s">
        <v>5</v>
      </c>
      <c r="F67" s="1">
        <v>59</v>
      </c>
      <c r="G67" s="1">
        <v>1</v>
      </c>
    </row>
    <row r="68" spans="1:7" x14ac:dyDescent="0.3">
      <c r="A68" s="1">
        <v>2</v>
      </c>
      <c r="B68" s="1">
        <v>1</v>
      </c>
      <c r="C68" s="1" t="s">
        <v>4</v>
      </c>
      <c r="D68" s="1">
        <v>24</v>
      </c>
      <c r="E68" s="1" t="s">
        <v>5</v>
      </c>
      <c r="F68" s="1">
        <v>28</v>
      </c>
      <c r="G68" s="1">
        <v>1</v>
      </c>
    </row>
    <row r="69" spans="1:7" x14ac:dyDescent="0.3">
      <c r="A69" s="1">
        <v>2</v>
      </c>
      <c r="B69" s="1">
        <v>1</v>
      </c>
      <c r="C69" s="1" t="s">
        <v>4</v>
      </c>
      <c r="D69" s="1">
        <v>15</v>
      </c>
      <c r="E69" s="1" t="s">
        <v>5</v>
      </c>
      <c r="F69" s="1">
        <v>81</v>
      </c>
      <c r="G69" s="1">
        <v>1</v>
      </c>
    </row>
    <row r="70" spans="1:7" x14ac:dyDescent="0.3">
      <c r="A70" s="1">
        <v>2</v>
      </c>
      <c r="B70" s="1">
        <v>1</v>
      </c>
      <c r="C70" s="1" t="s">
        <v>4</v>
      </c>
      <c r="D70" s="1">
        <v>56</v>
      </c>
      <c r="E70" s="1" t="s">
        <v>5</v>
      </c>
      <c r="F70" s="1">
        <v>0</v>
      </c>
      <c r="G70" s="1">
        <v>0</v>
      </c>
    </row>
    <row r="71" spans="1:7" x14ac:dyDescent="0.3">
      <c r="A71" s="1">
        <v>2</v>
      </c>
      <c r="B71" s="1">
        <v>1</v>
      </c>
      <c r="C71" s="1" t="s">
        <v>4</v>
      </c>
      <c r="D71" s="1">
        <v>2</v>
      </c>
      <c r="E71" s="1" t="s">
        <v>5</v>
      </c>
      <c r="F71" s="1">
        <v>45</v>
      </c>
      <c r="G71" s="1">
        <v>1</v>
      </c>
    </row>
    <row r="72" spans="1:7" x14ac:dyDescent="0.3">
      <c r="A72" s="1">
        <v>2</v>
      </c>
      <c r="B72" s="1">
        <v>1</v>
      </c>
      <c r="C72" s="1" t="s">
        <v>4</v>
      </c>
      <c r="D72" s="1">
        <v>0</v>
      </c>
      <c r="E72" s="1" t="s">
        <v>5</v>
      </c>
      <c r="F72" s="1">
        <v>34</v>
      </c>
      <c r="G72" s="1">
        <v>1</v>
      </c>
    </row>
    <row r="73" spans="1:7" x14ac:dyDescent="0.3">
      <c r="A73" s="1">
        <v>2</v>
      </c>
      <c r="B73" s="1">
        <v>1</v>
      </c>
      <c r="C73" s="1" t="s">
        <v>4</v>
      </c>
      <c r="D73" s="1">
        <v>12</v>
      </c>
      <c r="E73" s="1" t="s">
        <v>5</v>
      </c>
      <c r="F73" s="1">
        <v>0</v>
      </c>
      <c r="G73" s="1">
        <v>0</v>
      </c>
    </row>
    <row r="74" spans="1:7" x14ac:dyDescent="0.3">
      <c r="A74" s="1">
        <v>2</v>
      </c>
      <c r="B74" s="1">
        <v>1</v>
      </c>
      <c r="C74" s="1" t="s">
        <v>4</v>
      </c>
      <c r="D74" s="1">
        <v>22</v>
      </c>
      <c r="E74" s="1" t="s">
        <v>5</v>
      </c>
      <c r="F74" s="1">
        <v>19</v>
      </c>
      <c r="G74" s="1">
        <v>0</v>
      </c>
    </row>
    <row r="75" spans="1:7" x14ac:dyDescent="0.3">
      <c r="A75" s="1">
        <v>2</v>
      </c>
      <c r="B75" s="1">
        <v>1</v>
      </c>
      <c r="C75" s="1" t="s">
        <v>4</v>
      </c>
      <c r="D75" s="1">
        <v>34</v>
      </c>
      <c r="E75" s="1" t="s">
        <v>5</v>
      </c>
      <c r="F75" s="1">
        <v>0</v>
      </c>
      <c r="G75" s="1">
        <v>0</v>
      </c>
    </row>
    <row r="76" spans="1:7" x14ac:dyDescent="0.3">
      <c r="A76" s="1">
        <v>2</v>
      </c>
      <c r="B76" s="1">
        <v>1</v>
      </c>
      <c r="C76" s="1" t="s">
        <v>4</v>
      </c>
      <c r="D76" s="1">
        <v>20</v>
      </c>
      <c r="E76" s="1" t="s">
        <v>5</v>
      </c>
      <c r="F76" s="1">
        <v>63</v>
      </c>
      <c r="G76" s="1">
        <v>1</v>
      </c>
    </row>
    <row r="77" spans="1:7" x14ac:dyDescent="0.3">
      <c r="A77" s="1">
        <v>2</v>
      </c>
      <c r="B77" s="1">
        <v>1</v>
      </c>
      <c r="C77" s="1" t="s">
        <v>4</v>
      </c>
      <c r="D77" s="1">
        <v>29</v>
      </c>
      <c r="E77" s="1" t="s">
        <v>5</v>
      </c>
      <c r="F77" s="1">
        <v>49</v>
      </c>
      <c r="G77" s="1">
        <v>1</v>
      </c>
    </row>
    <row r="78" spans="1:7" x14ac:dyDescent="0.3">
      <c r="A78" s="1">
        <v>2</v>
      </c>
      <c r="B78" s="1">
        <v>1</v>
      </c>
      <c r="C78" s="1" t="s">
        <v>4</v>
      </c>
      <c r="D78" s="1">
        <v>22</v>
      </c>
      <c r="E78" s="1" t="s">
        <v>5</v>
      </c>
      <c r="F78" s="1">
        <v>72</v>
      </c>
      <c r="G78" s="1">
        <v>1</v>
      </c>
    </row>
    <row r="79" spans="1:7" x14ac:dyDescent="0.3">
      <c r="A79" s="1">
        <v>2</v>
      </c>
      <c r="B79" s="1">
        <v>1</v>
      </c>
      <c r="C79" s="1" t="s">
        <v>4</v>
      </c>
      <c r="D79" s="1">
        <v>14</v>
      </c>
      <c r="E79" s="1" t="s">
        <v>5</v>
      </c>
      <c r="F79" s="1">
        <v>45</v>
      </c>
      <c r="G79" s="1">
        <v>1</v>
      </c>
    </row>
    <row r="80" spans="1:7" x14ac:dyDescent="0.3">
      <c r="A80" s="1">
        <v>2</v>
      </c>
      <c r="B80" s="1">
        <v>1</v>
      </c>
      <c r="C80" s="1" t="s">
        <v>4</v>
      </c>
      <c r="D80" s="1">
        <v>34</v>
      </c>
      <c r="E80" s="1" t="s">
        <v>5</v>
      </c>
      <c r="F80" s="1">
        <v>16</v>
      </c>
      <c r="G80" s="1">
        <v>0</v>
      </c>
    </row>
    <row r="81" spans="1:7" x14ac:dyDescent="0.3">
      <c r="A81" s="1">
        <v>2</v>
      </c>
      <c r="B81" s="1">
        <v>1</v>
      </c>
      <c r="C81" s="1" t="s">
        <v>4</v>
      </c>
      <c r="D81" s="1">
        <v>19</v>
      </c>
      <c r="E81" s="1" t="s">
        <v>5</v>
      </c>
      <c r="F81" s="1">
        <v>54</v>
      </c>
      <c r="G81" s="1">
        <v>1</v>
      </c>
    </row>
    <row r="82" spans="1:7" x14ac:dyDescent="0.3">
      <c r="A82" s="1">
        <v>2</v>
      </c>
      <c r="B82" s="1">
        <v>1</v>
      </c>
      <c r="C82" s="1" t="s">
        <v>4</v>
      </c>
      <c r="D82" s="1">
        <v>27</v>
      </c>
      <c r="E82" s="1" t="s">
        <v>5</v>
      </c>
      <c r="F82" s="1">
        <v>19</v>
      </c>
      <c r="G82" s="1">
        <v>0</v>
      </c>
    </row>
    <row r="83" spans="1:7" x14ac:dyDescent="0.3">
      <c r="A83" s="1">
        <v>2</v>
      </c>
      <c r="B83" s="1">
        <v>1</v>
      </c>
      <c r="C83" s="1" t="s">
        <v>4</v>
      </c>
      <c r="D83" s="1">
        <v>16</v>
      </c>
      <c r="E83" s="1" t="s">
        <v>5</v>
      </c>
      <c r="F83" s="1">
        <v>40</v>
      </c>
      <c r="G83" s="1">
        <v>1</v>
      </c>
    </row>
    <row r="84" spans="1:7" x14ac:dyDescent="0.3">
      <c r="A84" s="1">
        <v>2</v>
      </c>
      <c r="B84" s="1">
        <v>1</v>
      </c>
      <c r="C84" s="1" t="s">
        <v>4</v>
      </c>
      <c r="D84" s="1">
        <v>10</v>
      </c>
      <c r="E84" s="1" t="s">
        <v>5</v>
      </c>
      <c r="F84" s="1">
        <v>28</v>
      </c>
      <c r="G84" s="1">
        <v>1</v>
      </c>
    </row>
    <row r="85" spans="1:7" x14ac:dyDescent="0.3">
      <c r="A85" s="1">
        <v>2</v>
      </c>
      <c r="B85" s="1">
        <v>1</v>
      </c>
      <c r="C85" s="1" t="s">
        <v>4</v>
      </c>
      <c r="D85" s="1">
        <v>2</v>
      </c>
      <c r="E85" s="1" t="s">
        <v>5</v>
      </c>
      <c r="F85" s="1">
        <v>25</v>
      </c>
      <c r="G85" s="1">
        <v>1</v>
      </c>
    </row>
    <row r="86" spans="1:7" x14ac:dyDescent="0.3">
      <c r="A86" s="1">
        <v>2</v>
      </c>
      <c r="B86" s="1">
        <v>1</v>
      </c>
      <c r="C86" s="1" t="s">
        <v>4</v>
      </c>
      <c r="D86" s="1">
        <v>41</v>
      </c>
      <c r="E86" s="1" t="s">
        <v>5</v>
      </c>
      <c r="F86" s="1">
        <v>24</v>
      </c>
      <c r="G86" s="1">
        <v>0</v>
      </c>
    </row>
    <row r="87" spans="1:7" x14ac:dyDescent="0.3">
      <c r="A87" s="1">
        <v>2</v>
      </c>
      <c r="B87" s="1">
        <v>1</v>
      </c>
      <c r="C87" s="1" t="s">
        <v>4</v>
      </c>
      <c r="D87" s="1">
        <v>41</v>
      </c>
      <c r="E87" s="1" t="s">
        <v>5</v>
      </c>
      <c r="F87" s="1">
        <v>4</v>
      </c>
      <c r="G87" s="1">
        <v>0</v>
      </c>
    </row>
    <row r="88" spans="1:7" x14ac:dyDescent="0.3">
      <c r="A88" s="1">
        <v>2</v>
      </c>
      <c r="B88" s="1">
        <v>1</v>
      </c>
      <c r="C88" s="1" t="s">
        <v>4</v>
      </c>
      <c r="D88" s="1">
        <v>7</v>
      </c>
      <c r="E88" s="1" t="s">
        <v>5</v>
      </c>
      <c r="F88" s="1">
        <v>28</v>
      </c>
      <c r="G88" s="1">
        <v>1</v>
      </c>
    </row>
    <row r="89" spans="1:7" x14ac:dyDescent="0.3">
      <c r="A89" s="1">
        <v>2</v>
      </c>
      <c r="B89" s="1">
        <v>1</v>
      </c>
      <c r="C89" s="1" t="s">
        <v>4</v>
      </c>
      <c r="D89" s="1">
        <v>39</v>
      </c>
      <c r="E89" s="1" t="s">
        <v>5</v>
      </c>
      <c r="F89" s="1">
        <v>46</v>
      </c>
      <c r="G89" s="1">
        <v>1</v>
      </c>
    </row>
    <row r="90" spans="1:7" x14ac:dyDescent="0.3">
      <c r="A90" s="1">
        <v>2</v>
      </c>
      <c r="B90" s="1">
        <v>1</v>
      </c>
      <c r="C90" s="1" t="s">
        <v>4</v>
      </c>
      <c r="D90" s="1">
        <v>30</v>
      </c>
      <c r="E90" s="1" t="s">
        <v>5</v>
      </c>
      <c r="F90" s="1">
        <v>31</v>
      </c>
      <c r="G90" s="1">
        <v>1</v>
      </c>
    </row>
    <row r="91" spans="1:7" x14ac:dyDescent="0.3">
      <c r="A91" s="1">
        <v>2</v>
      </c>
      <c r="B91" s="1">
        <v>1</v>
      </c>
      <c r="C91" s="1" t="s">
        <v>4</v>
      </c>
      <c r="D91" s="1">
        <v>19</v>
      </c>
      <c r="E91" s="1" t="s">
        <v>5</v>
      </c>
      <c r="F91" s="1">
        <v>41</v>
      </c>
      <c r="G91" s="1">
        <v>1</v>
      </c>
    </row>
    <row r="92" spans="1:7" x14ac:dyDescent="0.3">
      <c r="A92" s="1">
        <v>2</v>
      </c>
      <c r="B92" s="1">
        <v>1</v>
      </c>
      <c r="C92" s="1" t="s">
        <v>4</v>
      </c>
      <c r="D92" s="1">
        <v>21</v>
      </c>
      <c r="E92" s="1" t="s">
        <v>5</v>
      </c>
      <c r="F92" s="1">
        <v>49</v>
      </c>
      <c r="G92" s="1">
        <v>1</v>
      </c>
    </row>
    <row r="93" spans="1:7" x14ac:dyDescent="0.3">
      <c r="A93" s="1">
        <v>2</v>
      </c>
      <c r="B93" s="1">
        <v>1</v>
      </c>
      <c r="C93" s="1" t="s">
        <v>4</v>
      </c>
      <c r="D93" s="1">
        <v>5</v>
      </c>
      <c r="E93" s="1" t="s">
        <v>5</v>
      </c>
      <c r="F93" s="1">
        <v>38</v>
      </c>
      <c r="G93" s="1">
        <v>1</v>
      </c>
    </row>
    <row r="94" spans="1:7" x14ac:dyDescent="0.3">
      <c r="A94" s="1">
        <v>2</v>
      </c>
      <c r="B94" s="1">
        <v>1</v>
      </c>
      <c r="C94" s="1" t="s">
        <v>4</v>
      </c>
      <c r="D94" s="1">
        <v>16</v>
      </c>
      <c r="E94" s="1" t="s">
        <v>5</v>
      </c>
      <c r="F94" s="1">
        <v>52</v>
      </c>
      <c r="G94" s="1">
        <v>1</v>
      </c>
    </row>
    <row r="95" spans="1:7" x14ac:dyDescent="0.3">
      <c r="A95" s="1">
        <v>2</v>
      </c>
      <c r="B95" s="1">
        <v>1</v>
      </c>
      <c r="C95" s="1" t="s">
        <v>4</v>
      </c>
      <c r="D95" s="1">
        <v>13</v>
      </c>
      <c r="E95" s="1" t="s">
        <v>5</v>
      </c>
      <c r="F95" s="1">
        <v>35</v>
      </c>
      <c r="G95" s="1">
        <v>1</v>
      </c>
    </row>
    <row r="96" spans="1:7" x14ac:dyDescent="0.3">
      <c r="A96" s="1">
        <v>2</v>
      </c>
      <c r="B96" s="1">
        <v>1</v>
      </c>
      <c r="C96" s="1" t="s">
        <v>4</v>
      </c>
      <c r="D96" s="1">
        <v>9</v>
      </c>
      <c r="E96" s="1" t="s">
        <v>5</v>
      </c>
      <c r="F96" s="1">
        <v>53</v>
      </c>
      <c r="G96" s="1">
        <v>1</v>
      </c>
    </row>
    <row r="97" spans="1:7" x14ac:dyDescent="0.3">
      <c r="A97" s="1">
        <v>2</v>
      </c>
      <c r="B97" s="1">
        <v>1</v>
      </c>
      <c r="C97" s="1" t="s">
        <v>4</v>
      </c>
      <c r="D97" s="1">
        <v>0</v>
      </c>
      <c r="E97" s="1" t="s">
        <v>5</v>
      </c>
      <c r="F97" s="1">
        <v>46</v>
      </c>
      <c r="G97" s="1">
        <v>1</v>
      </c>
    </row>
    <row r="98" spans="1:7" x14ac:dyDescent="0.3">
      <c r="A98" s="1">
        <v>2</v>
      </c>
      <c r="B98" s="1">
        <v>1</v>
      </c>
      <c r="C98" s="1" t="s">
        <v>4</v>
      </c>
      <c r="D98" s="1">
        <v>7</v>
      </c>
      <c r="E98" s="1" t="s">
        <v>5</v>
      </c>
      <c r="F98" s="1">
        <v>39</v>
      </c>
      <c r="G98" s="1">
        <v>1</v>
      </c>
    </row>
    <row r="99" spans="1:7" x14ac:dyDescent="0.3">
      <c r="A99" s="1">
        <v>2</v>
      </c>
      <c r="B99" s="1">
        <v>1</v>
      </c>
      <c r="C99" s="1" t="s">
        <v>4</v>
      </c>
      <c r="D99" s="1">
        <v>37</v>
      </c>
      <c r="E99" s="1" t="s">
        <v>5</v>
      </c>
      <c r="F99" s="1">
        <v>32</v>
      </c>
      <c r="G99" s="1">
        <v>0</v>
      </c>
    </row>
    <row r="100" spans="1:7" x14ac:dyDescent="0.3">
      <c r="A100" s="1">
        <v>2</v>
      </c>
      <c r="B100" s="1">
        <v>1</v>
      </c>
      <c r="C100" s="1" t="s">
        <v>4</v>
      </c>
      <c r="D100" s="1">
        <v>2</v>
      </c>
      <c r="E100" s="1" t="s">
        <v>5</v>
      </c>
      <c r="F100" s="1">
        <v>75</v>
      </c>
      <c r="G100" s="1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2521E-C5B9-4C40-A322-187114F6162B}">
  <dimension ref="A1:Q100"/>
  <sheetViews>
    <sheetView topLeftCell="F1" workbookViewId="0">
      <selection activeCell="N25" sqref="N25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4</v>
      </c>
      <c r="D1" s="1">
        <v>21</v>
      </c>
      <c r="E1" s="1" t="s">
        <v>6</v>
      </c>
      <c r="F1" s="1">
        <v>65</v>
      </c>
      <c r="G1" s="1">
        <v>1</v>
      </c>
      <c r="I1" s="2"/>
      <c r="J1" s="3"/>
      <c r="K1" s="4" t="s">
        <v>7</v>
      </c>
      <c r="L1" s="4"/>
      <c r="M1" s="5" t="s">
        <v>8</v>
      </c>
      <c r="N1" s="5"/>
      <c r="O1" s="5" t="s">
        <v>9</v>
      </c>
      <c r="P1" s="5"/>
      <c r="Q1"/>
    </row>
    <row r="2" spans="1:17" x14ac:dyDescent="0.3">
      <c r="A2" s="1">
        <v>2</v>
      </c>
      <c r="B2" s="1">
        <v>0</v>
      </c>
      <c r="C2" s="1" t="s">
        <v>4</v>
      </c>
      <c r="D2" s="1">
        <v>2</v>
      </c>
      <c r="E2" s="1" t="s">
        <v>6</v>
      </c>
      <c r="F2" s="1">
        <v>68</v>
      </c>
      <c r="G2" s="1">
        <v>1</v>
      </c>
      <c r="I2" s="6"/>
      <c r="J2" s="7"/>
      <c r="K2" s="4"/>
      <c r="L2" s="4"/>
      <c r="M2" s="5"/>
      <c r="N2" s="5"/>
      <c r="O2" s="5"/>
      <c r="P2" s="5"/>
      <c r="Q2" s="8" t="s">
        <v>10</v>
      </c>
    </row>
    <row r="3" spans="1:17" x14ac:dyDescent="0.3">
      <c r="A3" s="1">
        <v>2</v>
      </c>
      <c r="B3" s="1">
        <v>0</v>
      </c>
      <c r="C3" s="1" t="s">
        <v>4</v>
      </c>
      <c r="D3" s="1">
        <v>7</v>
      </c>
      <c r="E3" s="1" t="s">
        <v>6</v>
      </c>
      <c r="F3" s="1">
        <v>93</v>
      </c>
      <c r="G3" s="1">
        <v>1</v>
      </c>
      <c r="I3" s="5" t="s">
        <v>11</v>
      </c>
      <c r="J3" s="5"/>
      <c r="K3" s="9">
        <f>COUNTIF($G$1:$G$100, 0)</f>
        <v>3</v>
      </c>
      <c r="L3" s="9"/>
      <c r="M3" s="9">
        <f>COUNTIFS($G$1:$G$100, 0, $B$1:$B$100, 0)</f>
        <v>2</v>
      </c>
      <c r="N3" s="9"/>
      <c r="O3" s="10">
        <f>COUNTIFS($G$1:$G$100, 0, $B$1:$B$100, 1)</f>
        <v>1</v>
      </c>
      <c r="P3" s="11"/>
      <c r="Q3" s="12" cm="1">
        <f t="array" ref="Q3">SUMPRODUCT(--($D$1:$D$100=$G$1:$G$100))</f>
        <v>0</v>
      </c>
    </row>
    <row r="4" spans="1:17" x14ac:dyDescent="0.3">
      <c r="A4" s="1">
        <v>2</v>
      </c>
      <c r="B4" s="1">
        <v>0</v>
      </c>
      <c r="C4" s="1" t="s">
        <v>4</v>
      </c>
      <c r="D4" s="1">
        <v>22</v>
      </c>
      <c r="E4" s="1" t="s">
        <v>6</v>
      </c>
      <c r="F4" s="1">
        <v>23</v>
      </c>
      <c r="G4" s="1">
        <v>1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4</v>
      </c>
      <c r="D5" s="1">
        <v>17</v>
      </c>
      <c r="E5" s="1" t="s">
        <v>6</v>
      </c>
      <c r="F5" s="1">
        <v>42</v>
      </c>
      <c r="G5" s="1">
        <v>1</v>
      </c>
      <c r="I5" s="5" t="s">
        <v>12</v>
      </c>
      <c r="J5" s="5"/>
      <c r="K5" s="14">
        <f>COUNTIF($G$1:$G$100, 1)</f>
        <v>97</v>
      </c>
      <c r="L5" s="9"/>
      <c r="M5" s="9">
        <f>COUNTIFS($G$1:$G$100, 1, $B$1:$B$100, 0)</f>
        <v>48</v>
      </c>
      <c r="N5" s="9"/>
      <c r="O5" s="9">
        <f>COUNTIFS($G$1:$G$100, 1, $B$1:$B$100, 1)</f>
        <v>49</v>
      </c>
      <c r="P5" s="13"/>
      <c r="Q5"/>
    </row>
    <row r="6" spans="1:17" x14ac:dyDescent="0.3">
      <c r="A6" s="1">
        <v>2</v>
      </c>
      <c r="B6" s="1">
        <v>0</v>
      </c>
      <c r="C6" s="1" t="s">
        <v>4</v>
      </c>
      <c r="D6" s="1">
        <v>4</v>
      </c>
      <c r="E6" s="1" t="s">
        <v>6</v>
      </c>
      <c r="F6" s="1">
        <v>96</v>
      </c>
      <c r="G6" s="1">
        <v>1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4</v>
      </c>
      <c r="D7" s="1">
        <v>24</v>
      </c>
      <c r="E7" s="1" t="s">
        <v>6</v>
      </c>
      <c r="F7" s="1">
        <v>41</v>
      </c>
      <c r="G7" s="1">
        <v>1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4</v>
      </c>
      <c r="D8" s="1">
        <v>7</v>
      </c>
      <c r="E8" s="1" t="s">
        <v>6</v>
      </c>
      <c r="F8" s="1">
        <v>76</v>
      </c>
      <c r="G8" s="1">
        <v>1</v>
      </c>
      <c r="I8" s="19"/>
      <c r="J8" s="20"/>
      <c r="K8" s="21" t="s">
        <v>7</v>
      </c>
      <c r="L8" s="21"/>
      <c r="M8" s="21" t="s">
        <v>13</v>
      </c>
      <c r="N8" s="21"/>
      <c r="O8" s="21" t="s">
        <v>14</v>
      </c>
      <c r="P8" s="21"/>
      <c r="Q8"/>
    </row>
    <row r="9" spans="1:17" x14ac:dyDescent="0.3">
      <c r="A9" s="1">
        <v>2</v>
      </c>
      <c r="B9" s="1">
        <v>0</v>
      </c>
      <c r="C9" s="1" t="s">
        <v>4</v>
      </c>
      <c r="D9" s="1">
        <v>22</v>
      </c>
      <c r="E9" s="1" t="s">
        <v>6</v>
      </c>
      <c r="F9" s="1">
        <v>46</v>
      </c>
      <c r="G9" s="1">
        <v>1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4</v>
      </c>
      <c r="D10" s="1">
        <v>14</v>
      </c>
      <c r="E10" s="1" t="s">
        <v>6</v>
      </c>
      <c r="F10" s="1">
        <v>42</v>
      </c>
      <c r="G10" s="1">
        <v>1</v>
      </c>
      <c r="I10" s="5" t="s">
        <v>15</v>
      </c>
      <c r="J10" s="5"/>
      <c r="K10" s="9">
        <f>AVERAGE($D$1:$D$100,)</f>
        <v>13.782178217821782</v>
      </c>
      <c r="L10" s="9"/>
      <c r="M10" s="9" cm="1">
        <f t="array" ref="M10">AVERAGE(_xlfn._xlws.FILTER($D$1:$D$100,$G$1:$G$100 = 0))</f>
        <v>35.666666666666664</v>
      </c>
      <c r="N10" s="9"/>
      <c r="O10" s="10" cm="1">
        <f t="array" ref="O10">AVERAGE(_xlfn._xlws.FILTER($D$1:$D$100,$G$1:$G$100 = 1))</f>
        <v>13.24742268041237</v>
      </c>
      <c r="P10" s="11"/>
      <c r="Q10"/>
    </row>
    <row r="11" spans="1:17" x14ac:dyDescent="0.3">
      <c r="A11" s="1">
        <v>2</v>
      </c>
      <c r="B11" s="1">
        <v>0</v>
      </c>
      <c r="C11" s="1" t="s">
        <v>4</v>
      </c>
      <c r="D11" s="1">
        <v>10</v>
      </c>
      <c r="E11" s="1" t="s">
        <v>6</v>
      </c>
      <c r="F11" s="1">
        <v>32</v>
      </c>
      <c r="G11" s="1">
        <v>1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4</v>
      </c>
      <c r="D12" s="1">
        <v>46</v>
      </c>
      <c r="E12" s="1" t="s">
        <v>6</v>
      </c>
      <c r="F12" s="1">
        <v>67</v>
      </c>
      <c r="G12" s="1">
        <v>1</v>
      </c>
      <c r="I12" s="5" t="s">
        <v>16</v>
      </c>
      <c r="J12" s="5"/>
      <c r="K12" s="9">
        <f>AVERAGE($F$1:$F$100,)</f>
        <v>48.158415841584159</v>
      </c>
      <c r="L12" s="9"/>
      <c r="M12" s="9" cm="1">
        <f t="array" ref="M12">AVERAGE(_xlfn._xlws.FILTER($F$1:$F$100,$G$1:$G$100 = 0))</f>
        <v>22</v>
      </c>
      <c r="N12" s="9"/>
      <c r="O12" s="9" cm="1">
        <f t="array" ref="O12">AVERAGE(_xlfn._xlws.FILTER($F$1:$F$100,$G$1:$G$100 = 1))</f>
        <v>49.463917525773198</v>
      </c>
      <c r="P12" s="13"/>
      <c r="Q12"/>
    </row>
    <row r="13" spans="1:17" x14ac:dyDescent="0.3">
      <c r="A13" s="1">
        <v>2</v>
      </c>
      <c r="B13" s="1">
        <v>0</v>
      </c>
      <c r="C13" s="1" t="s">
        <v>4</v>
      </c>
      <c r="D13" s="1">
        <v>23</v>
      </c>
      <c r="E13" s="1" t="s">
        <v>6</v>
      </c>
      <c r="F13" s="1">
        <v>51</v>
      </c>
      <c r="G13" s="1">
        <v>1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4</v>
      </c>
      <c r="D14" s="1">
        <v>0</v>
      </c>
      <c r="E14" s="1" t="s">
        <v>6</v>
      </c>
      <c r="F14" s="1">
        <v>50</v>
      </c>
      <c r="G14" s="1">
        <v>1</v>
      </c>
      <c r="I14" s="22" t="s">
        <v>17</v>
      </c>
      <c r="J14" s="11"/>
      <c r="K14" s="23" cm="1">
        <f t="array" ref="K14">AVERAGE($D$1:$D$100 - $F$1:$F$100)</f>
        <v>-34.72</v>
      </c>
      <c r="L14" s="23"/>
      <c r="M14" s="23" cm="1">
        <f t="array" ref="M14">AVERAGE(_xlfn._xlws.FILTER($D$1:$D$100 - $F$1:$F$100, G$1:G$100 = 0))</f>
        <v>13.666666666666666</v>
      </c>
      <c r="N14" s="23"/>
      <c r="O14" s="23" cm="1">
        <f t="array" ref="O14">AVERAGE(_xlfn._xlws.FILTER($D$1:$D$100 - $F$1:$F$100, G$1:G$100 = 1))</f>
        <v>-36.216494845360828</v>
      </c>
      <c r="P14" s="24"/>
      <c r="Q14"/>
    </row>
    <row r="15" spans="1:17" x14ac:dyDescent="0.3">
      <c r="A15" s="1">
        <v>2</v>
      </c>
      <c r="B15" s="1">
        <v>0</v>
      </c>
      <c r="C15" s="1" t="s">
        <v>4</v>
      </c>
      <c r="D15" s="1">
        <v>4</v>
      </c>
      <c r="E15" s="1" t="s">
        <v>6</v>
      </c>
      <c r="F15" s="1">
        <v>81</v>
      </c>
      <c r="G15" s="1">
        <v>1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4</v>
      </c>
      <c r="D16" s="1">
        <v>2</v>
      </c>
      <c r="E16" s="1" t="s">
        <v>6</v>
      </c>
      <c r="F16" s="1">
        <v>25</v>
      </c>
      <c r="G16" s="1">
        <v>1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4</v>
      </c>
      <c r="D17" s="1">
        <v>14</v>
      </c>
      <c r="E17" s="1" t="s">
        <v>6</v>
      </c>
      <c r="F17" s="1">
        <v>79</v>
      </c>
      <c r="G17" s="1">
        <v>1</v>
      </c>
    </row>
    <row r="18" spans="1:7" x14ac:dyDescent="0.3">
      <c r="A18" s="1">
        <v>2</v>
      </c>
      <c r="B18" s="1">
        <v>0</v>
      </c>
      <c r="C18" s="1" t="s">
        <v>4</v>
      </c>
      <c r="D18" s="1">
        <v>19</v>
      </c>
      <c r="E18" s="1" t="s">
        <v>6</v>
      </c>
      <c r="F18" s="1">
        <v>47</v>
      </c>
      <c r="G18" s="1">
        <v>1</v>
      </c>
    </row>
    <row r="19" spans="1:7" x14ac:dyDescent="0.3">
      <c r="A19" s="1">
        <v>2</v>
      </c>
      <c r="B19" s="1">
        <v>0</v>
      </c>
      <c r="C19" s="1" t="s">
        <v>4</v>
      </c>
      <c r="D19" s="1">
        <v>20</v>
      </c>
      <c r="E19" s="1" t="s">
        <v>6</v>
      </c>
      <c r="F19" s="1">
        <v>47</v>
      </c>
      <c r="G19" s="1">
        <v>1</v>
      </c>
    </row>
    <row r="20" spans="1:7" x14ac:dyDescent="0.3">
      <c r="A20" s="1">
        <v>2</v>
      </c>
      <c r="B20" s="1">
        <v>0</v>
      </c>
      <c r="C20" s="1" t="s">
        <v>4</v>
      </c>
      <c r="D20" s="1">
        <v>14</v>
      </c>
      <c r="E20" s="1" t="s">
        <v>6</v>
      </c>
      <c r="F20" s="1">
        <v>34</v>
      </c>
      <c r="G20" s="1">
        <v>1</v>
      </c>
    </row>
    <row r="21" spans="1:7" x14ac:dyDescent="0.3">
      <c r="A21" s="1">
        <v>2</v>
      </c>
      <c r="B21" s="1">
        <v>0</v>
      </c>
      <c r="C21" s="1" t="s">
        <v>4</v>
      </c>
      <c r="D21" s="1">
        <v>34</v>
      </c>
      <c r="E21" s="1" t="s">
        <v>6</v>
      </c>
      <c r="F21" s="1">
        <v>44</v>
      </c>
      <c r="G21" s="1">
        <v>1</v>
      </c>
    </row>
    <row r="22" spans="1:7" x14ac:dyDescent="0.3">
      <c r="A22" s="1">
        <v>2</v>
      </c>
      <c r="B22" s="1">
        <v>0</v>
      </c>
      <c r="C22" s="1" t="s">
        <v>4</v>
      </c>
      <c r="D22" s="1">
        <v>14</v>
      </c>
      <c r="E22" s="1" t="s">
        <v>6</v>
      </c>
      <c r="F22" s="1">
        <v>36</v>
      </c>
      <c r="G22" s="1">
        <v>1</v>
      </c>
    </row>
    <row r="23" spans="1:7" x14ac:dyDescent="0.3">
      <c r="A23" s="1">
        <v>2</v>
      </c>
      <c r="B23" s="1">
        <v>0</v>
      </c>
      <c r="C23" s="1" t="s">
        <v>4</v>
      </c>
      <c r="D23" s="1">
        <v>5</v>
      </c>
      <c r="E23" s="1" t="s">
        <v>6</v>
      </c>
      <c r="F23" s="1">
        <v>73</v>
      </c>
      <c r="G23" s="1">
        <v>1</v>
      </c>
    </row>
    <row r="24" spans="1:7" x14ac:dyDescent="0.3">
      <c r="A24" s="1">
        <v>2</v>
      </c>
      <c r="B24" s="1">
        <v>0</v>
      </c>
      <c r="C24" s="1" t="s">
        <v>4</v>
      </c>
      <c r="D24" s="1">
        <v>2</v>
      </c>
      <c r="E24" s="1" t="s">
        <v>6</v>
      </c>
      <c r="F24" s="1">
        <v>41</v>
      </c>
      <c r="G24" s="1">
        <v>1</v>
      </c>
    </row>
    <row r="25" spans="1:7" x14ac:dyDescent="0.3">
      <c r="A25" s="1">
        <v>2</v>
      </c>
      <c r="B25" s="1">
        <v>0</v>
      </c>
      <c r="C25" s="1" t="s">
        <v>4</v>
      </c>
      <c r="D25" s="1">
        <v>0</v>
      </c>
      <c r="E25" s="1" t="s">
        <v>6</v>
      </c>
      <c r="F25" s="1">
        <v>50</v>
      </c>
      <c r="G25" s="1">
        <v>1</v>
      </c>
    </row>
    <row r="26" spans="1:7" x14ac:dyDescent="0.3">
      <c r="A26" s="1">
        <v>2</v>
      </c>
      <c r="B26" s="1">
        <v>0</v>
      </c>
      <c r="C26" s="1" t="s">
        <v>4</v>
      </c>
      <c r="D26" s="1">
        <v>2</v>
      </c>
      <c r="E26" s="1" t="s">
        <v>6</v>
      </c>
      <c r="F26" s="1">
        <v>55</v>
      </c>
      <c r="G26" s="1">
        <v>1</v>
      </c>
    </row>
    <row r="27" spans="1:7" x14ac:dyDescent="0.3">
      <c r="A27" s="1">
        <v>2</v>
      </c>
      <c r="B27" s="1">
        <v>0</v>
      </c>
      <c r="C27" s="1" t="s">
        <v>4</v>
      </c>
      <c r="D27" s="1">
        <v>16</v>
      </c>
      <c r="E27" s="1" t="s">
        <v>6</v>
      </c>
      <c r="F27" s="1">
        <v>28</v>
      </c>
      <c r="G27" s="1">
        <v>1</v>
      </c>
    </row>
    <row r="28" spans="1:7" x14ac:dyDescent="0.3">
      <c r="A28" s="1">
        <v>2</v>
      </c>
      <c r="B28" s="1">
        <v>0</v>
      </c>
      <c r="C28" s="1" t="s">
        <v>4</v>
      </c>
      <c r="D28" s="1">
        <v>13</v>
      </c>
      <c r="E28" s="1" t="s">
        <v>6</v>
      </c>
      <c r="F28" s="1">
        <v>47</v>
      </c>
      <c r="G28" s="1">
        <v>1</v>
      </c>
    </row>
    <row r="29" spans="1:7" x14ac:dyDescent="0.3">
      <c r="A29" s="1">
        <v>2</v>
      </c>
      <c r="B29" s="1">
        <v>0</v>
      </c>
      <c r="C29" s="1" t="s">
        <v>4</v>
      </c>
      <c r="D29" s="1">
        <v>13</v>
      </c>
      <c r="E29" s="1" t="s">
        <v>6</v>
      </c>
      <c r="F29" s="1">
        <v>49</v>
      </c>
      <c r="G29" s="1">
        <v>1</v>
      </c>
    </row>
    <row r="30" spans="1:7" x14ac:dyDescent="0.3">
      <c r="A30" s="1">
        <v>2</v>
      </c>
      <c r="B30" s="1">
        <v>0</v>
      </c>
      <c r="C30" s="1" t="s">
        <v>4</v>
      </c>
      <c r="D30" s="1">
        <v>7</v>
      </c>
      <c r="E30" s="1" t="s">
        <v>6</v>
      </c>
      <c r="F30" s="1">
        <v>45</v>
      </c>
      <c r="G30" s="1">
        <v>1</v>
      </c>
    </row>
    <row r="31" spans="1:7" x14ac:dyDescent="0.3">
      <c r="A31" s="1">
        <v>2</v>
      </c>
      <c r="B31" s="1">
        <v>0</v>
      </c>
      <c r="C31" s="1" t="s">
        <v>4</v>
      </c>
      <c r="D31" s="1">
        <v>44</v>
      </c>
      <c r="E31" s="1" t="s">
        <v>6</v>
      </c>
      <c r="F31" s="1">
        <v>22</v>
      </c>
      <c r="G31" s="1">
        <v>0</v>
      </c>
    </row>
    <row r="32" spans="1:7" x14ac:dyDescent="0.3">
      <c r="A32" s="1">
        <v>2</v>
      </c>
      <c r="B32" s="1">
        <v>0</v>
      </c>
      <c r="C32" s="1" t="s">
        <v>4</v>
      </c>
      <c r="D32" s="1">
        <v>7</v>
      </c>
      <c r="E32" s="1" t="s">
        <v>6</v>
      </c>
      <c r="F32" s="1">
        <v>46</v>
      </c>
      <c r="G32" s="1">
        <v>1</v>
      </c>
    </row>
    <row r="33" spans="1:7" x14ac:dyDescent="0.3">
      <c r="A33" s="1">
        <v>2</v>
      </c>
      <c r="B33" s="1">
        <v>0</v>
      </c>
      <c r="C33" s="1" t="s">
        <v>4</v>
      </c>
      <c r="D33" s="1">
        <v>14</v>
      </c>
      <c r="E33" s="1" t="s">
        <v>6</v>
      </c>
      <c r="F33" s="1">
        <v>22</v>
      </c>
      <c r="G33" s="1">
        <v>1</v>
      </c>
    </row>
    <row r="34" spans="1:7" x14ac:dyDescent="0.3">
      <c r="A34" s="1">
        <v>2</v>
      </c>
      <c r="B34" s="1">
        <v>0</v>
      </c>
      <c r="C34" s="1" t="s">
        <v>4</v>
      </c>
      <c r="D34" s="1">
        <v>16</v>
      </c>
      <c r="E34" s="1" t="s">
        <v>6</v>
      </c>
      <c r="F34" s="1">
        <v>54</v>
      </c>
      <c r="G34" s="1">
        <v>1</v>
      </c>
    </row>
    <row r="35" spans="1:7" x14ac:dyDescent="0.3">
      <c r="A35" s="1">
        <v>2</v>
      </c>
      <c r="B35" s="1">
        <v>0</v>
      </c>
      <c r="C35" s="1" t="s">
        <v>4</v>
      </c>
      <c r="D35" s="1">
        <v>5</v>
      </c>
      <c r="E35" s="1" t="s">
        <v>6</v>
      </c>
      <c r="F35" s="1">
        <v>50</v>
      </c>
      <c r="G35" s="1">
        <v>1</v>
      </c>
    </row>
    <row r="36" spans="1:7" x14ac:dyDescent="0.3">
      <c r="A36" s="1">
        <v>2</v>
      </c>
      <c r="B36" s="1">
        <v>0</v>
      </c>
      <c r="C36" s="1" t="s">
        <v>4</v>
      </c>
      <c r="D36" s="1">
        <v>13</v>
      </c>
      <c r="E36" s="1" t="s">
        <v>6</v>
      </c>
      <c r="F36" s="1">
        <v>48</v>
      </c>
      <c r="G36" s="1">
        <v>1</v>
      </c>
    </row>
    <row r="37" spans="1:7" x14ac:dyDescent="0.3">
      <c r="A37" s="1">
        <v>2</v>
      </c>
      <c r="B37" s="1">
        <v>0</v>
      </c>
      <c r="C37" s="1" t="s">
        <v>4</v>
      </c>
      <c r="D37" s="1">
        <v>21</v>
      </c>
      <c r="E37" s="1" t="s">
        <v>6</v>
      </c>
      <c r="F37" s="1">
        <v>55</v>
      </c>
      <c r="G37" s="1">
        <v>1</v>
      </c>
    </row>
    <row r="38" spans="1:7" x14ac:dyDescent="0.3">
      <c r="A38" s="1">
        <v>2</v>
      </c>
      <c r="B38" s="1">
        <v>0</v>
      </c>
      <c r="C38" s="1" t="s">
        <v>4</v>
      </c>
      <c r="D38" s="1">
        <v>12</v>
      </c>
      <c r="E38" s="1" t="s">
        <v>6</v>
      </c>
      <c r="F38" s="1">
        <v>21</v>
      </c>
      <c r="G38" s="1">
        <v>1</v>
      </c>
    </row>
    <row r="39" spans="1:7" x14ac:dyDescent="0.3">
      <c r="A39" s="1">
        <v>2</v>
      </c>
      <c r="B39" s="1">
        <v>0</v>
      </c>
      <c r="C39" s="1" t="s">
        <v>4</v>
      </c>
      <c r="D39" s="1">
        <v>5</v>
      </c>
      <c r="E39" s="1" t="s">
        <v>6</v>
      </c>
      <c r="F39" s="1">
        <v>14</v>
      </c>
      <c r="G39" s="1">
        <v>1</v>
      </c>
    </row>
    <row r="40" spans="1:7" x14ac:dyDescent="0.3">
      <c r="A40" s="1">
        <v>2</v>
      </c>
      <c r="B40" s="1">
        <v>0</v>
      </c>
      <c r="C40" s="1" t="s">
        <v>4</v>
      </c>
      <c r="D40" s="1">
        <v>2</v>
      </c>
      <c r="E40" s="1" t="s">
        <v>6</v>
      </c>
      <c r="F40" s="1">
        <v>74</v>
      </c>
      <c r="G40" s="1">
        <v>1</v>
      </c>
    </row>
    <row r="41" spans="1:7" x14ac:dyDescent="0.3">
      <c r="A41" s="1">
        <v>2</v>
      </c>
      <c r="B41" s="1">
        <v>0</v>
      </c>
      <c r="C41" s="1" t="s">
        <v>4</v>
      </c>
      <c r="D41" s="1">
        <v>24</v>
      </c>
      <c r="E41" s="1" t="s">
        <v>6</v>
      </c>
      <c r="F41" s="1">
        <v>5</v>
      </c>
      <c r="G41" s="1">
        <v>0</v>
      </c>
    </row>
    <row r="42" spans="1:7" x14ac:dyDescent="0.3">
      <c r="A42" s="1">
        <v>2</v>
      </c>
      <c r="B42" s="1">
        <v>0</v>
      </c>
      <c r="C42" s="1" t="s">
        <v>4</v>
      </c>
      <c r="D42" s="1">
        <v>0</v>
      </c>
      <c r="E42" s="1" t="s">
        <v>6</v>
      </c>
      <c r="F42" s="1">
        <v>61</v>
      </c>
      <c r="G42" s="1">
        <v>1</v>
      </c>
    </row>
    <row r="43" spans="1:7" x14ac:dyDescent="0.3">
      <c r="A43" s="1">
        <v>2</v>
      </c>
      <c r="B43" s="1">
        <v>0</v>
      </c>
      <c r="C43" s="1" t="s">
        <v>4</v>
      </c>
      <c r="D43" s="1">
        <v>16</v>
      </c>
      <c r="E43" s="1" t="s">
        <v>6</v>
      </c>
      <c r="F43" s="1">
        <v>34</v>
      </c>
      <c r="G43" s="1">
        <v>1</v>
      </c>
    </row>
    <row r="44" spans="1:7" x14ac:dyDescent="0.3">
      <c r="A44" s="1">
        <v>2</v>
      </c>
      <c r="B44" s="1">
        <v>0</v>
      </c>
      <c r="C44" s="1" t="s">
        <v>4</v>
      </c>
      <c r="D44" s="1">
        <v>23</v>
      </c>
      <c r="E44" s="1" t="s">
        <v>6</v>
      </c>
      <c r="F44" s="1">
        <v>48</v>
      </c>
      <c r="G44" s="1">
        <v>1</v>
      </c>
    </row>
    <row r="45" spans="1:7" x14ac:dyDescent="0.3">
      <c r="A45" s="1">
        <v>2</v>
      </c>
      <c r="B45" s="1">
        <v>0</v>
      </c>
      <c r="C45" s="1" t="s">
        <v>4</v>
      </c>
      <c r="D45" s="1">
        <v>3</v>
      </c>
      <c r="E45" s="1" t="s">
        <v>6</v>
      </c>
      <c r="F45" s="1">
        <v>47</v>
      </c>
      <c r="G45" s="1">
        <v>1</v>
      </c>
    </row>
    <row r="46" spans="1:7" x14ac:dyDescent="0.3">
      <c r="A46" s="1">
        <v>2</v>
      </c>
      <c r="B46" s="1">
        <v>0</v>
      </c>
      <c r="C46" s="1" t="s">
        <v>4</v>
      </c>
      <c r="D46" s="1">
        <v>35</v>
      </c>
      <c r="E46" s="1" t="s">
        <v>6</v>
      </c>
      <c r="F46" s="1">
        <v>50</v>
      </c>
      <c r="G46" s="1">
        <v>1</v>
      </c>
    </row>
    <row r="47" spans="1:7" x14ac:dyDescent="0.3">
      <c r="A47" s="1">
        <v>2</v>
      </c>
      <c r="B47" s="1">
        <v>0</v>
      </c>
      <c r="C47" s="1" t="s">
        <v>4</v>
      </c>
      <c r="D47" s="1">
        <v>53</v>
      </c>
      <c r="E47" s="1" t="s">
        <v>6</v>
      </c>
      <c r="F47" s="1">
        <v>78</v>
      </c>
      <c r="G47" s="1">
        <v>1</v>
      </c>
    </row>
    <row r="48" spans="1:7" x14ac:dyDescent="0.3">
      <c r="A48" s="1">
        <v>2</v>
      </c>
      <c r="B48" s="1">
        <v>0</v>
      </c>
      <c r="C48" s="1" t="s">
        <v>4</v>
      </c>
      <c r="D48" s="1">
        <v>9</v>
      </c>
      <c r="E48" s="1" t="s">
        <v>6</v>
      </c>
      <c r="F48" s="1">
        <v>26</v>
      </c>
      <c r="G48" s="1">
        <v>1</v>
      </c>
    </row>
    <row r="49" spans="1:7" x14ac:dyDescent="0.3">
      <c r="A49" s="1">
        <v>2</v>
      </c>
      <c r="B49" s="1">
        <v>0</v>
      </c>
      <c r="C49" s="1" t="s">
        <v>4</v>
      </c>
      <c r="D49" s="1">
        <v>13</v>
      </c>
      <c r="E49" s="1" t="s">
        <v>6</v>
      </c>
      <c r="F49" s="1">
        <v>43</v>
      </c>
      <c r="G49" s="1">
        <v>1</v>
      </c>
    </row>
    <row r="50" spans="1:7" x14ac:dyDescent="0.3">
      <c r="A50" s="1">
        <v>2</v>
      </c>
      <c r="B50" s="1">
        <v>0</v>
      </c>
      <c r="C50" s="1" t="s">
        <v>4</v>
      </c>
      <c r="D50" s="1">
        <v>2</v>
      </c>
      <c r="E50" s="1" t="s">
        <v>6</v>
      </c>
      <c r="F50" s="1">
        <v>30</v>
      </c>
      <c r="G50" s="1">
        <v>1</v>
      </c>
    </row>
    <row r="51" spans="1:7" x14ac:dyDescent="0.3">
      <c r="A51" s="1">
        <v>2</v>
      </c>
      <c r="B51" s="1">
        <v>1</v>
      </c>
      <c r="C51" s="1" t="s">
        <v>4</v>
      </c>
      <c r="D51" s="1">
        <v>15</v>
      </c>
      <c r="E51" s="1" t="s">
        <v>6</v>
      </c>
      <c r="F51" s="1">
        <v>23</v>
      </c>
      <c r="G51" s="1">
        <v>1</v>
      </c>
    </row>
    <row r="52" spans="1:7" x14ac:dyDescent="0.3">
      <c r="A52" s="1">
        <v>2</v>
      </c>
      <c r="B52" s="1">
        <v>1</v>
      </c>
      <c r="C52" s="1" t="s">
        <v>4</v>
      </c>
      <c r="D52" s="1">
        <v>14</v>
      </c>
      <c r="E52" s="1" t="s">
        <v>6</v>
      </c>
      <c r="F52" s="1">
        <v>31</v>
      </c>
      <c r="G52" s="1">
        <v>1</v>
      </c>
    </row>
    <row r="53" spans="1:7" x14ac:dyDescent="0.3">
      <c r="A53" s="1">
        <v>2</v>
      </c>
      <c r="B53" s="1">
        <v>1</v>
      </c>
      <c r="C53" s="1" t="s">
        <v>4</v>
      </c>
      <c r="D53" s="1">
        <v>19</v>
      </c>
      <c r="E53" s="1" t="s">
        <v>6</v>
      </c>
      <c r="F53" s="1">
        <v>24</v>
      </c>
      <c r="G53" s="1">
        <v>1</v>
      </c>
    </row>
    <row r="54" spans="1:7" x14ac:dyDescent="0.3">
      <c r="A54" s="1">
        <v>2</v>
      </c>
      <c r="B54" s="1">
        <v>1</v>
      </c>
      <c r="C54" s="1" t="s">
        <v>4</v>
      </c>
      <c r="D54" s="1">
        <v>2</v>
      </c>
      <c r="E54" s="1" t="s">
        <v>6</v>
      </c>
      <c r="F54" s="1">
        <v>83</v>
      </c>
      <c r="G54" s="1">
        <v>1</v>
      </c>
    </row>
    <row r="55" spans="1:7" x14ac:dyDescent="0.3">
      <c r="A55" s="1">
        <v>2</v>
      </c>
      <c r="B55" s="1">
        <v>1</v>
      </c>
      <c r="C55" s="1" t="s">
        <v>4</v>
      </c>
      <c r="D55" s="1">
        <v>5</v>
      </c>
      <c r="E55" s="1" t="s">
        <v>6</v>
      </c>
      <c r="F55" s="1">
        <v>68</v>
      </c>
      <c r="G55" s="1">
        <v>1</v>
      </c>
    </row>
    <row r="56" spans="1:7" x14ac:dyDescent="0.3">
      <c r="A56" s="1">
        <v>2</v>
      </c>
      <c r="B56" s="1">
        <v>1</v>
      </c>
      <c r="C56" s="1" t="s">
        <v>4</v>
      </c>
      <c r="D56" s="1">
        <v>2</v>
      </c>
      <c r="E56" s="1" t="s">
        <v>6</v>
      </c>
      <c r="F56" s="1">
        <v>35</v>
      </c>
      <c r="G56" s="1">
        <v>1</v>
      </c>
    </row>
    <row r="57" spans="1:7" x14ac:dyDescent="0.3">
      <c r="A57" s="1">
        <v>2</v>
      </c>
      <c r="B57" s="1">
        <v>1</v>
      </c>
      <c r="C57" s="1" t="s">
        <v>4</v>
      </c>
      <c r="D57" s="1">
        <v>2</v>
      </c>
      <c r="E57" s="1" t="s">
        <v>6</v>
      </c>
      <c r="F57" s="1">
        <v>80</v>
      </c>
      <c r="G57" s="1">
        <v>1</v>
      </c>
    </row>
    <row r="58" spans="1:7" x14ac:dyDescent="0.3">
      <c r="A58" s="1">
        <v>2</v>
      </c>
      <c r="B58" s="1">
        <v>1</v>
      </c>
      <c r="C58" s="1" t="s">
        <v>4</v>
      </c>
      <c r="D58" s="1">
        <v>0</v>
      </c>
      <c r="E58" s="1" t="s">
        <v>6</v>
      </c>
      <c r="F58" s="1">
        <v>60</v>
      </c>
      <c r="G58" s="1">
        <v>1</v>
      </c>
    </row>
    <row r="59" spans="1:7" x14ac:dyDescent="0.3">
      <c r="A59" s="1">
        <v>2</v>
      </c>
      <c r="B59" s="1">
        <v>1</v>
      </c>
      <c r="C59" s="1" t="s">
        <v>4</v>
      </c>
      <c r="D59" s="1">
        <v>17</v>
      </c>
      <c r="E59" s="1" t="s">
        <v>6</v>
      </c>
      <c r="F59" s="1">
        <v>53</v>
      </c>
      <c r="G59" s="1">
        <v>1</v>
      </c>
    </row>
    <row r="60" spans="1:7" x14ac:dyDescent="0.3">
      <c r="A60" s="1">
        <v>2</v>
      </c>
      <c r="B60" s="1">
        <v>1</v>
      </c>
      <c r="C60" s="1" t="s">
        <v>4</v>
      </c>
      <c r="D60" s="1">
        <v>0</v>
      </c>
      <c r="E60" s="1" t="s">
        <v>6</v>
      </c>
      <c r="F60" s="1">
        <v>85</v>
      </c>
      <c r="G60" s="1">
        <v>1</v>
      </c>
    </row>
    <row r="61" spans="1:7" x14ac:dyDescent="0.3">
      <c r="A61" s="1">
        <v>2</v>
      </c>
      <c r="B61" s="1">
        <v>1</v>
      </c>
      <c r="C61" s="1" t="s">
        <v>4</v>
      </c>
      <c r="D61" s="1">
        <v>5</v>
      </c>
      <c r="E61" s="1" t="s">
        <v>6</v>
      </c>
      <c r="F61" s="1">
        <v>42</v>
      </c>
      <c r="G61" s="1">
        <v>1</v>
      </c>
    </row>
    <row r="62" spans="1:7" x14ac:dyDescent="0.3">
      <c r="A62" s="1">
        <v>2</v>
      </c>
      <c r="B62" s="1">
        <v>1</v>
      </c>
      <c r="C62" s="1" t="s">
        <v>4</v>
      </c>
      <c r="D62" s="1">
        <v>24</v>
      </c>
      <c r="E62" s="1" t="s">
        <v>6</v>
      </c>
      <c r="F62" s="1">
        <v>43</v>
      </c>
      <c r="G62" s="1">
        <v>1</v>
      </c>
    </row>
    <row r="63" spans="1:7" x14ac:dyDescent="0.3">
      <c r="A63" s="1">
        <v>2</v>
      </c>
      <c r="B63" s="1">
        <v>1</v>
      </c>
      <c r="C63" s="1" t="s">
        <v>4</v>
      </c>
      <c r="D63" s="1">
        <v>32</v>
      </c>
      <c r="E63" s="1" t="s">
        <v>6</v>
      </c>
      <c r="F63" s="1">
        <v>47</v>
      </c>
      <c r="G63" s="1">
        <v>1</v>
      </c>
    </row>
    <row r="64" spans="1:7" x14ac:dyDescent="0.3">
      <c r="A64" s="1">
        <v>2</v>
      </c>
      <c r="B64" s="1">
        <v>1</v>
      </c>
      <c r="C64" s="1" t="s">
        <v>4</v>
      </c>
      <c r="D64" s="1">
        <v>10</v>
      </c>
      <c r="E64" s="1" t="s">
        <v>6</v>
      </c>
      <c r="F64" s="1">
        <v>28</v>
      </c>
      <c r="G64" s="1">
        <v>1</v>
      </c>
    </row>
    <row r="65" spans="1:7" x14ac:dyDescent="0.3">
      <c r="A65" s="1">
        <v>2</v>
      </c>
      <c r="B65" s="1">
        <v>1</v>
      </c>
      <c r="C65" s="1" t="s">
        <v>4</v>
      </c>
      <c r="D65" s="1">
        <v>24</v>
      </c>
      <c r="E65" s="1" t="s">
        <v>6</v>
      </c>
      <c r="F65" s="1">
        <v>66</v>
      </c>
      <c r="G65" s="1">
        <v>1</v>
      </c>
    </row>
    <row r="66" spans="1:7" x14ac:dyDescent="0.3">
      <c r="A66" s="1">
        <v>2</v>
      </c>
      <c r="B66" s="1">
        <v>1</v>
      </c>
      <c r="C66" s="1" t="s">
        <v>4</v>
      </c>
      <c r="D66" s="1">
        <v>2</v>
      </c>
      <c r="E66" s="1" t="s">
        <v>6</v>
      </c>
      <c r="F66" s="1">
        <v>35</v>
      </c>
      <c r="G66" s="1">
        <v>1</v>
      </c>
    </row>
    <row r="67" spans="1:7" x14ac:dyDescent="0.3">
      <c r="A67" s="1">
        <v>2</v>
      </c>
      <c r="B67" s="1">
        <v>1</v>
      </c>
      <c r="C67" s="1" t="s">
        <v>4</v>
      </c>
      <c r="D67" s="1">
        <v>8</v>
      </c>
      <c r="E67" s="1" t="s">
        <v>6</v>
      </c>
      <c r="F67" s="1">
        <v>65</v>
      </c>
      <c r="G67" s="1">
        <v>1</v>
      </c>
    </row>
    <row r="68" spans="1:7" x14ac:dyDescent="0.3">
      <c r="A68" s="1">
        <v>2</v>
      </c>
      <c r="B68" s="1">
        <v>1</v>
      </c>
      <c r="C68" s="1" t="s">
        <v>4</v>
      </c>
      <c r="D68" s="1">
        <v>18</v>
      </c>
      <c r="E68" s="1" t="s">
        <v>6</v>
      </c>
      <c r="F68" s="1">
        <v>42</v>
      </c>
      <c r="G68" s="1">
        <v>1</v>
      </c>
    </row>
    <row r="69" spans="1:7" x14ac:dyDescent="0.3">
      <c r="A69" s="1">
        <v>2</v>
      </c>
      <c r="B69" s="1">
        <v>1</v>
      </c>
      <c r="C69" s="1" t="s">
        <v>4</v>
      </c>
      <c r="D69" s="1">
        <v>17</v>
      </c>
      <c r="E69" s="1" t="s">
        <v>6</v>
      </c>
      <c r="F69" s="1">
        <v>35</v>
      </c>
      <c r="G69" s="1">
        <v>1</v>
      </c>
    </row>
    <row r="70" spans="1:7" x14ac:dyDescent="0.3">
      <c r="A70" s="1">
        <v>2</v>
      </c>
      <c r="B70" s="1">
        <v>1</v>
      </c>
      <c r="C70" s="1" t="s">
        <v>4</v>
      </c>
      <c r="D70" s="1">
        <v>13</v>
      </c>
      <c r="E70" s="1" t="s">
        <v>6</v>
      </c>
      <c r="F70" s="1">
        <v>30</v>
      </c>
      <c r="G70" s="1">
        <v>1</v>
      </c>
    </row>
    <row r="71" spans="1:7" x14ac:dyDescent="0.3">
      <c r="A71" s="1">
        <v>2</v>
      </c>
      <c r="B71" s="1">
        <v>1</v>
      </c>
      <c r="C71" s="1" t="s">
        <v>4</v>
      </c>
      <c r="D71" s="1">
        <v>2</v>
      </c>
      <c r="E71" s="1" t="s">
        <v>6</v>
      </c>
      <c r="F71" s="1">
        <v>58</v>
      </c>
      <c r="G71" s="1">
        <v>1</v>
      </c>
    </row>
    <row r="72" spans="1:7" x14ac:dyDescent="0.3">
      <c r="A72" s="1">
        <v>2</v>
      </c>
      <c r="B72" s="1">
        <v>1</v>
      </c>
      <c r="C72" s="1" t="s">
        <v>4</v>
      </c>
      <c r="D72" s="1">
        <v>20</v>
      </c>
      <c r="E72" s="1" t="s">
        <v>6</v>
      </c>
      <c r="F72" s="1">
        <v>51</v>
      </c>
      <c r="G72" s="1">
        <v>1</v>
      </c>
    </row>
    <row r="73" spans="1:7" x14ac:dyDescent="0.3">
      <c r="A73" s="1">
        <v>2</v>
      </c>
      <c r="B73" s="1">
        <v>1</v>
      </c>
      <c r="C73" s="1" t="s">
        <v>4</v>
      </c>
      <c r="D73" s="1">
        <v>21</v>
      </c>
      <c r="E73" s="1" t="s">
        <v>6</v>
      </c>
      <c r="F73" s="1">
        <v>68</v>
      </c>
      <c r="G73" s="1">
        <v>1</v>
      </c>
    </row>
    <row r="74" spans="1:7" x14ac:dyDescent="0.3">
      <c r="A74" s="1">
        <v>2</v>
      </c>
      <c r="B74" s="1">
        <v>1</v>
      </c>
      <c r="C74" s="1" t="s">
        <v>4</v>
      </c>
      <c r="D74" s="1">
        <v>2</v>
      </c>
      <c r="E74" s="1" t="s">
        <v>6</v>
      </c>
      <c r="F74" s="1">
        <v>39</v>
      </c>
      <c r="G74" s="1">
        <v>1</v>
      </c>
    </row>
    <row r="75" spans="1:7" x14ac:dyDescent="0.3">
      <c r="A75" s="1">
        <v>2</v>
      </c>
      <c r="B75" s="1">
        <v>1</v>
      </c>
      <c r="C75" s="1" t="s">
        <v>4</v>
      </c>
      <c r="D75" s="1">
        <v>2</v>
      </c>
      <c r="E75" s="1" t="s">
        <v>6</v>
      </c>
      <c r="F75" s="1">
        <v>47</v>
      </c>
      <c r="G75" s="1">
        <v>1</v>
      </c>
    </row>
    <row r="76" spans="1:7" x14ac:dyDescent="0.3">
      <c r="A76" s="1">
        <v>2</v>
      </c>
      <c r="B76" s="1">
        <v>1</v>
      </c>
      <c r="C76" s="1" t="s">
        <v>4</v>
      </c>
      <c r="D76" s="1">
        <v>3</v>
      </c>
      <c r="E76" s="1" t="s">
        <v>6</v>
      </c>
      <c r="F76" s="1">
        <v>49</v>
      </c>
      <c r="G76" s="1">
        <v>1</v>
      </c>
    </row>
    <row r="77" spans="1:7" x14ac:dyDescent="0.3">
      <c r="A77" s="1">
        <v>2</v>
      </c>
      <c r="B77" s="1">
        <v>1</v>
      </c>
      <c r="C77" s="1" t="s">
        <v>4</v>
      </c>
      <c r="D77" s="1">
        <v>30</v>
      </c>
      <c r="E77" s="1" t="s">
        <v>6</v>
      </c>
      <c r="F77" s="1">
        <v>38</v>
      </c>
      <c r="G77" s="1">
        <v>1</v>
      </c>
    </row>
    <row r="78" spans="1:7" x14ac:dyDescent="0.3">
      <c r="A78" s="1">
        <v>2</v>
      </c>
      <c r="B78" s="1">
        <v>1</v>
      </c>
      <c r="C78" s="1" t="s">
        <v>4</v>
      </c>
      <c r="D78" s="1">
        <v>21</v>
      </c>
      <c r="E78" s="1" t="s">
        <v>6</v>
      </c>
      <c r="F78" s="1">
        <v>67</v>
      </c>
      <c r="G78" s="1">
        <v>1</v>
      </c>
    </row>
    <row r="79" spans="1:7" x14ac:dyDescent="0.3">
      <c r="A79" s="1">
        <v>2</v>
      </c>
      <c r="B79" s="1">
        <v>1</v>
      </c>
      <c r="C79" s="1" t="s">
        <v>4</v>
      </c>
      <c r="D79" s="1">
        <v>13</v>
      </c>
      <c r="E79" s="1" t="s">
        <v>6</v>
      </c>
      <c r="F79" s="1">
        <v>45</v>
      </c>
      <c r="G79" s="1">
        <v>1</v>
      </c>
    </row>
    <row r="80" spans="1:7" x14ac:dyDescent="0.3">
      <c r="A80" s="1">
        <v>2</v>
      </c>
      <c r="B80" s="1">
        <v>1</v>
      </c>
      <c r="C80" s="1" t="s">
        <v>4</v>
      </c>
      <c r="D80" s="1">
        <v>25</v>
      </c>
      <c r="E80" s="1" t="s">
        <v>6</v>
      </c>
      <c r="F80" s="1">
        <v>43</v>
      </c>
      <c r="G80" s="1">
        <v>1</v>
      </c>
    </row>
    <row r="81" spans="1:7" x14ac:dyDescent="0.3">
      <c r="A81" s="1">
        <v>2</v>
      </c>
      <c r="B81" s="1">
        <v>1</v>
      </c>
      <c r="C81" s="1" t="s">
        <v>4</v>
      </c>
      <c r="D81" s="1">
        <v>13</v>
      </c>
      <c r="E81" s="1" t="s">
        <v>6</v>
      </c>
      <c r="F81" s="1">
        <v>41</v>
      </c>
      <c r="G81" s="1">
        <v>1</v>
      </c>
    </row>
    <row r="82" spans="1:7" x14ac:dyDescent="0.3">
      <c r="A82" s="1">
        <v>2</v>
      </c>
      <c r="B82" s="1">
        <v>1</v>
      </c>
      <c r="C82" s="1" t="s">
        <v>4</v>
      </c>
      <c r="D82" s="1">
        <v>6</v>
      </c>
      <c r="E82" s="1" t="s">
        <v>6</v>
      </c>
      <c r="F82" s="1">
        <v>66</v>
      </c>
      <c r="G82" s="1">
        <v>1</v>
      </c>
    </row>
    <row r="83" spans="1:7" x14ac:dyDescent="0.3">
      <c r="A83" s="1">
        <v>2</v>
      </c>
      <c r="B83" s="1">
        <v>1</v>
      </c>
      <c r="C83" s="1" t="s">
        <v>4</v>
      </c>
      <c r="D83" s="1">
        <v>7</v>
      </c>
      <c r="E83" s="1" t="s">
        <v>6</v>
      </c>
      <c r="F83" s="1">
        <v>62</v>
      </c>
      <c r="G83" s="1">
        <v>1</v>
      </c>
    </row>
    <row r="84" spans="1:7" x14ac:dyDescent="0.3">
      <c r="A84" s="1">
        <v>2</v>
      </c>
      <c r="B84" s="1">
        <v>1</v>
      </c>
      <c r="C84" s="1" t="s">
        <v>4</v>
      </c>
      <c r="D84" s="1">
        <v>14</v>
      </c>
      <c r="E84" s="1" t="s">
        <v>6</v>
      </c>
      <c r="F84" s="1">
        <v>40</v>
      </c>
      <c r="G84" s="1">
        <v>1</v>
      </c>
    </row>
    <row r="85" spans="1:7" x14ac:dyDescent="0.3">
      <c r="A85" s="1">
        <v>2</v>
      </c>
      <c r="B85" s="1">
        <v>1</v>
      </c>
      <c r="C85" s="1" t="s">
        <v>4</v>
      </c>
      <c r="D85" s="1">
        <v>10</v>
      </c>
      <c r="E85" s="1" t="s">
        <v>6</v>
      </c>
      <c r="F85" s="1">
        <v>73</v>
      </c>
      <c r="G85" s="1">
        <v>1</v>
      </c>
    </row>
    <row r="86" spans="1:7" x14ac:dyDescent="0.3">
      <c r="A86" s="1">
        <v>2</v>
      </c>
      <c r="B86" s="1">
        <v>1</v>
      </c>
      <c r="C86" s="1" t="s">
        <v>4</v>
      </c>
      <c r="D86" s="1">
        <v>12</v>
      </c>
      <c r="E86" s="1" t="s">
        <v>6</v>
      </c>
      <c r="F86" s="1">
        <v>38</v>
      </c>
      <c r="G86" s="1">
        <v>1</v>
      </c>
    </row>
    <row r="87" spans="1:7" x14ac:dyDescent="0.3">
      <c r="A87" s="1">
        <v>2</v>
      </c>
      <c r="B87" s="1">
        <v>1</v>
      </c>
      <c r="C87" s="1" t="s">
        <v>4</v>
      </c>
      <c r="D87" s="1">
        <v>13</v>
      </c>
      <c r="E87" s="1" t="s">
        <v>6</v>
      </c>
      <c r="F87" s="1">
        <v>35</v>
      </c>
      <c r="G87" s="1">
        <v>1</v>
      </c>
    </row>
    <row r="88" spans="1:7" x14ac:dyDescent="0.3">
      <c r="A88" s="1">
        <v>2</v>
      </c>
      <c r="B88" s="1">
        <v>1</v>
      </c>
      <c r="C88" s="1" t="s">
        <v>4</v>
      </c>
      <c r="D88" s="1">
        <v>2</v>
      </c>
      <c r="E88" s="1" t="s">
        <v>6</v>
      </c>
      <c r="F88" s="1">
        <v>30</v>
      </c>
      <c r="G88" s="1">
        <v>1</v>
      </c>
    </row>
    <row r="89" spans="1:7" x14ac:dyDescent="0.3">
      <c r="A89" s="1">
        <v>2</v>
      </c>
      <c r="B89" s="1">
        <v>1</v>
      </c>
      <c r="C89" s="1" t="s">
        <v>4</v>
      </c>
      <c r="D89" s="1">
        <v>24</v>
      </c>
      <c r="E89" s="1" t="s">
        <v>6</v>
      </c>
      <c r="F89" s="1">
        <v>36</v>
      </c>
      <c r="G89" s="1">
        <v>1</v>
      </c>
    </row>
    <row r="90" spans="1:7" x14ac:dyDescent="0.3">
      <c r="A90" s="1">
        <v>2</v>
      </c>
      <c r="B90" s="1">
        <v>1</v>
      </c>
      <c r="C90" s="1" t="s">
        <v>4</v>
      </c>
      <c r="D90" s="1">
        <v>18</v>
      </c>
      <c r="E90" s="1" t="s">
        <v>6</v>
      </c>
      <c r="F90" s="1">
        <v>23</v>
      </c>
      <c r="G90" s="1">
        <v>1</v>
      </c>
    </row>
    <row r="91" spans="1:7" x14ac:dyDescent="0.3">
      <c r="A91" s="1">
        <v>2</v>
      </c>
      <c r="B91" s="1">
        <v>1</v>
      </c>
      <c r="C91" s="1" t="s">
        <v>4</v>
      </c>
      <c r="D91" s="1">
        <v>21</v>
      </c>
      <c r="E91" s="1" t="s">
        <v>6</v>
      </c>
      <c r="F91" s="1">
        <v>73</v>
      </c>
      <c r="G91" s="1">
        <v>1</v>
      </c>
    </row>
    <row r="92" spans="1:7" x14ac:dyDescent="0.3">
      <c r="A92" s="1">
        <v>2</v>
      </c>
      <c r="B92" s="1">
        <v>1</v>
      </c>
      <c r="C92" s="1" t="s">
        <v>4</v>
      </c>
      <c r="D92" s="1">
        <v>20</v>
      </c>
      <c r="E92" s="1" t="s">
        <v>6</v>
      </c>
      <c r="F92" s="1">
        <v>43</v>
      </c>
      <c r="G92" s="1">
        <v>1</v>
      </c>
    </row>
    <row r="93" spans="1:7" x14ac:dyDescent="0.3">
      <c r="A93" s="1">
        <v>2</v>
      </c>
      <c r="B93" s="1">
        <v>1</v>
      </c>
      <c r="C93" s="1" t="s">
        <v>4</v>
      </c>
      <c r="D93" s="1">
        <v>13</v>
      </c>
      <c r="E93" s="1" t="s">
        <v>6</v>
      </c>
      <c r="F93" s="1">
        <v>56</v>
      </c>
      <c r="G93" s="1">
        <v>1</v>
      </c>
    </row>
    <row r="94" spans="1:7" x14ac:dyDescent="0.3">
      <c r="A94" s="1">
        <v>2</v>
      </c>
      <c r="B94" s="1">
        <v>1</v>
      </c>
      <c r="C94" s="1" t="s">
        <v>4</v>
      </c>
      <c r="D94" s="1">
        <v>12</v>
      </c>
      <c r="E94" s="1" t="s">
        <v>6</v>
      </c>
      <c r="F94" s="1">
        <v>40</v>
      </c>
      <c r="G94" s="1">
        <v>1</v>
      </c>
    </row>
    <row r="95" spans="1:7" x14ac:dyDescent="0.3">
      <c r="A95" s="1">
        <v>2</v>
      </c>
      <c r="B95" s="1">
        <v>1</v>
      </c>
      <c r="C95" s="1" t="s">
        <v>4</v>
      </c>
      <c r="D95" s="1">
        <v>12</v>
      </c>
      <c r="E95" s="1" t="s">
        <v>6</v>
      </c>
      <c r="F95" s="1">
        <v>48</v>
      </c>
      <c r="G95" s="1">
        <v>1</v>
      </c>
    </row>
    <row r="96" spans="1:7" x14ac:dyDescent="0.3">
      <c r="A96" s="1">
        <v>2</v>
      </c>
      <c r="B96" s="1">
        <v>1</v>
      </c>
      <c r="C96" s="1" t="s">
        <v>4</v>
      </c>
      <c r="D96" s="1">
        <v>19</v>
      </c>
      <c r="E96" s="1" t="s">
        <v>6</v>
      </c>
      <c r="F96" s="1">
        <v>52</v>
      </c>
      <c r="G96" s="1">
        <v>1</v>
      </c>
    </row>
    <row r="97" spans="1:7" x14ac:dyDescent="0.3">
      <c r="A97" s="1">
        <v>2</v>
      </c>
      <c r="B97" s="1">
        <v>1</v>
      </c>
      <c r="C97" s="1" t="s">
        <v>4</v>
      </c>
      <c r="D97" s="1">
        <v>39</v>
      </c>
      <c r="E97" s="1" t="s">
        <v>6</v>
      </c>
      <c r="F97" s="1">
        <v>39</v>
      </c>
      <c r="G97" s="1">
        <v>0</v>
      </c>
    </row>
    <row r="98" spans="1:7" x14ac:dyDescent="0.3">
      <c r="A98" s="1">
        <v>2</v>
      </c>
      <c r="B98" s="1">
        <v>1</v>
      </c>
      <c r="C98" s="1" t="s">
        <v>4</v>
      </c>
      <c r="D98" s="1">
        <v>26</v>
      </c>
      <c r="E98" s="1" t="s">
        <v>6</v>
      </c>
      <c r="F98" s="1">
        <v>83</v>
      </c>
      <c r="G98" s="1">
        <v>1</v>
      </c>
    </row>
    <row r="99" spans="1:7" x14ac:dyDescent="0.3">
      <c r="A99" s="1">
        <v>2</v>
      </c>
      <c r="B99" s="1">
        <v>1</v>
      </c>
      <c r="C99" s="1" t="s">
        <v>4</v>
      </c>
      <c r="D99" s="1">
        <v>28</v>
      </c>
      <c r="E99" s="1" t="s">
        <v>6</v>
      </c>
      <c r="F99" s="1">
        <v>53</v>
      </c>
      <c r="G99" s="1">
        <v>1</v>
      </c>
    </row>
    <row r="100" spans="1:7" x14ac:dyDescent="0.3">
      <c r="A100" s="1">
        <v>2</v>
      </c>
      <c r="B100" s="1">
        <v>1</v>
      </c>
      <c r="C100" s="1" t="s">
        <v>4</v>
      </c>
      <c r="D100" s="1">
        <v>0</v>
      </c>
      <c r="E100" s="1" t="s">
        <v>6</v>
      </c>
      <c r="F100" s="1">
        <v>52</v>
      </c>
      <c r="G100" s="1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42083-8552-4BCB-8B17-783CD96EE3CC}">
  <dimension ref="A1:Q100"/>
  <sheetViews>
    <sheetView workbookViewId="0">
      <selection activeCell="I1" sqref="I1:Q16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4</v>
      </c>
      <c r="D1" s="1">
        <v>31</v>
      </c>
      <c r="E1" s="1" t="s">
        <v>2</v>
      </c>
      <c r="F1" s="1">
        <v>2</v>
      </c>
      <c r="G1" s="1">
        <v>0</v>
      </c>
      <c r="I1" s="2"/>
      <c r="J1" s="3"/>
      <c r="K1" s="4" t="s">
        <v>7</v>
      </c>
      <c r="L1" s="4"/>
      <c r="M1" s="5" t="s">
        <v>8</v>
      </c>
      <c r="N1" s="5"/>
      <c r="O1" s="5" t="s">
        <v>9</v>
      </c>
      <c r="P1" s="5"/>
      <c r="Q1"/>
    </row>
    <row r="2" spans="1:17" x14ac:dyDescent="0.3">
      <c r="A2" s="1">
        <v>2</v>
      </c>
      <c r="B2" s="1">
        <v>0</v>
      </c>
      <c r="C2" s="1" t="s">
        <v>4</v>
      </c>
      <c r="D2" s="1">
        <v>7</v>
      </c>
      <c r="E2" s="1" t="s">
        <v>2</v>
      </c>
      <c r="F2" s="1">
        <v>15</v>
      </c>
      <c r="G2" s="1">
        <v>1</v>
      </c>
      <c r="I2" s="6"/>
      <c r="J2" s="7"/>
      <c r="K2" s="4"/>
      <c r="L2" s="4"/>
      <c r="M2" s="5"/>
      <c r="N2" s="5"/>
      <c r="O2" s="5"/>
      <c r="P2" s="5"/>
      <c r="Q2" s="8" t="s">
        <v>10</v>
      </c>
    </row>
    <row r="3" spans="1:17" x14ac:dyDescent="0.3">
      <c r="A3" s="1">
        <v>2</v>
      </c>
      <c r="B3" s="1">
        <v>0</v>
      </c>
      <c r="C3" s="1" t="s">
        <v>4</v>
      </c>
      <c r="D3" s="1">
        <v>45</v>
      </c>
      <c r="E3" s="1" t="s">
        <v>2</v>
      </c>
      <c r="F3" s="1">
        <v>10</v>
      </c>
      <c r="G3" s="1">
        <v>0</v>
      </c>
      <c r="I3" s="5" t="s">
        <v>11</v>
      </c>
      <c r="J3" s="5"/>
      <c r="K3" s="9">
        <f>COUNTIF($G$1:$G$100, 0)</f>
        <v>76</v>
      </c>
      <c r="L3" s="9"/>
      <c r="M3" s="9">
        <f>COUNTIFS($G$1:$G$100, 0, $B$1:$B$100, 0)</f>
        <v>41</v>
      </c>
      <c r="N3" s="9"/>
      <c r="O3" s="10">
        <f>COUNTIFS($G$1:$G$100, 0, $B$1:$B$100, 1)</f>
        <v>35</v>
      </c>
      <c r="P3" s="11"/>
      <c r="Q3" s="12" cm="1">
        <f t="array" ref="Q3">SUMPRODUCT(--($D$1:$D$100=$G$1:$G$100))</f>
        <v>0</v>
      </c>
    </row>
    <row r="4" spans="1:17" x14ac:dyDescent="0.3">
      <c r="A4" s="1">
        <v>2</v>
      </c>
      <c r="B4" s="1">
        <v>0</v>
      </c>
      <c r="C4" s="1" t="s">
        <v>4</v>
      </c>
      <c r="D4" s="1">
        <v>30</v>
      </c>
      <c r="E4" s="1" t="s">
        <v>2</v>
      </c>
      <c r="F4" s="1">
        <v>16</v>
      </c>
      <c r="G4" s="1">
        <v>0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4</v>
      </c>
      <c r="D5" s="1">
        <v>7</v>
      </c>
      <c r="E5" s="1" t="s">
        <v>2</v>
      </c>
      <c r="F5" s="1">
        <v>8</v>
      </c>
      <c r="G5" s="1">
        <v>1</v>
      </c>
      <c r="I5" s="5" t="s">
        <v>12</v>
      </c>
      <c r="J5" s="5"/>
      <c r="K5" s="14">
        <f>COUNTIF($G$1:$G$100, 1)</f>
        <v>24</v>
      </c>
      <c r="L5" s="9"/>
      <c r="M5" s="9">
        <f>COUNTIFS($G$1:$G$100, 1, $B$1:$B$100, 0)</f>
        <v>9</v>
      </c>
      <c r="N5" s="9"/>
      <c r="O5" s="9">
        <f>COUNTIFS($G$1:$G$100, 1, $B$1:$B$100, 1)</f>
        <v>15</v>
      </c>
      <c r="P5" s="13"/>
      <c r="Q5"/>
    </row>
    <row r="6" spans="1:17" x14ac:dyDescent="0.3">
      <c r="A6" s="1">
        <v>2</v>
      </c>
      <c r="B6" s="1">
        <v>0</v>
      </c>
      <c r="C6" s="1" t="s">
        <v>4</v>
      </c>
      <c r="D6" s="1">
        <v>25</v>
      </c>
      <c r="E6" s="1" t="s">
        <v>2</v>
      </c>
      <c r="F6" s="1">
        <v>0</v>
      </c>
      <c r="G6" s="1">
        <v>0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4</v>
      </c>
      <c r="D7" s="1">
        <v>24</v>
      </c>
      <c r="E7" s="1" t="s">
        <v>2</v>
      </c>
      <c r="F7" s="1">
        <v>3</v>
      </c>
      <c r="G7" s="1">
        <v>0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4</v>
      </c>
      <c r="D8" s="1">
        <v>21</v>
      </c>
      <c r="E8" s="1" t="s">
        <v>2</v>
      </c>
      <c r="F8" s="1">
        <v>0</v>
      </c>
      <c r="G8" s="1">
        <v>0</v>
      </c>
      <c r="I8" s="19"/>
      <c r="J8" s="20"/>
      <c r="K8" s="21" t="s">
        <v>7</v>
      </c>
      <c r="L8" s="21"/>
      <c r="M8" s="21" t="s">
        <v>13</v>
      </c>
      <c r="N8" s="21"/>
      <c r="O8" s="21" t="s">
        <v>14</v>
      </c>
      <c r="P8" s="21"/>
      <c r="Q8"/>
    </row>
    <row r="9" spans="1:17" x14ac:dyDescent="0.3">
      <c r="A9" s="1">
        <v>2</v>
      </c>
      <c r="B9" s="1">
        <v>0</v>
      </c>
      <c r="C9" s="1" t="s">
        <v>4</v>
      </c>
      <c r="D9" s="1">
        <v>25</v>
      </c>
      <c r="E9" s="1" t="s">
        <v>2</v>
      </c>
      <c r="F9" s="1">
        <v>16</v>
      </c>
      <c r="G9" s="1">
        <v>0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4</v>
      </c>
      <c r="D10" s="1">
        <v>26</v>
      </c>
      <c r="E10" s="1" t="s">
        <v>2</v>
      </c>
      <c r="F10" s="1">
        <v>25</v>
      </c>
      <c r="G10" s="1">
        <v>0</v>
      </c>
      <c r="I10" s="5" t="s">
        <v>15</v>
      </c>
      <c r="J10" s="5"/>
      <c r="K10" s="9">
        <f>AVERAGE($D$1:$D$100,)</f>
        <v>26.732673267326732</v>
      </c>
      <c r="L10" s="9"/>
      <c r="M10" s="9" cm="1">
        <f t="array" ref="M10">AVERAGE(_xlfn._xlws.FILTER($D$1:$D$100,$G$1:$G$100 = 0))</f>
        <v>31.44736842105263</v>
      </c>
      <c r="N10" s="9"/>
      <c r="O10" s="10" cm="1">
        <f t="array" ref="O10">AVERAGE(_xlfn._xlws.FILTER($D$1:$D$100,$G$1:$G$100 = 1))</f>
        <v>12.916666666666666</v>
      </c>
      <c r="P10" s="11"/>
      <c r="Q10"/>
    </row>
    <row r="11" spans="1:17" x14ac:dyDescent="0.3">
      <c r="A11" s="1">
        <v>2</v>
      </c>
      <c r="B11" s="1">
        <v>0</v>
      </c>
      <c r="C11" s="1" t="s">
        <v>4</v>
      </c>
      <c r="D11" s="1">
        <v>19</v>
      </c>
      <c r="E11" s="1" t="s">
        <v>2</v>
      </c>
      <c r="F11" s="1">
        <v>20</v>
      </c>
      <c r="G11" s="1">
        <v>1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4</v>
      </c>
      <c r="D12" s="1">
        <v>38</v>
      </c>
      <c r="E12" s="1" t="s">
        <v>2</v>
      </c>
      <c r="F12" s="1">
        <v>22</v>
      </c>
      <c r="G12" s="1">
        <v>0</v>
      </c>
      <c r="I12" s="5" t="s">
        <v>16</v>
      </c>
      <c r="J12" s="5"/>
      <c r="K12" s="9">
        <f>AVERAGE($F$1:$F$100,)</f>
        <v>14.524752475247524</v>
      </c>
      <c r="L12" s="9"/>
      <c r="M12" s="9" cm="1">
        <f t="array" ref="M12">AVERAGE(_xlfn._xlws.FILTER($F$1:$F$100,$G$1:$G$100 = 0))</f>
        <v>10.723684210526315</v>
      </c>
      <c r="N12" s="9"/>
      <c r="O12" s="9" cm="1">
        <f t="array" ref="O12">AVERAGE(_xlfn._xlws.FILTER($F$1:$F$100,$G$1:$G$100 = 1))</f>
        <v>27.166666666666668</v>
      </c>
      <c r="P12" s="13"/>
      <c r="Q12"/>
    </row>
    <row r="13" spans="1:17" x14ac:dyDescent="0.3">
      <c r="A13" s="1">
        <v>2</v>
      </c>
      <c r="B13" s="1">
        <v>0</v>
      </c>
      <c r="C13" s="1" t="s">
        <v>4</v>
      </c>
      <c r="D13" s="1">
        <v>24</v>
      </c>
      <c r="E13" s="1" t="s">
        <v>2</v>
      </c>
      <c r="F13" s="1">
        <v>22</v>
      </c>
      <c r="G13" s="1">
        <v>0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4</v>
      </c>
      <c r="D14" s="1">
        <v>55</v>
      </c>
      <c r="E14" s="1" t="s">
        <v>2</v>
      </c>
      <c r="F14" s="1">
        <v>21</v>
      </c>
      <c r="G14" s="1">
        <v>0</v>
      </c>
      <c r="I14" s="22" t="s">
        <v>17</v>
      </c>
      <c r="J14" s="11"/>
      <c r="K14" s="23" cm="1">
        <f t="array" ref="K14">AVERAGE($D$1:$D$100 - $F$1:$F$100)</f>
        <v>12.33</v>
      </c>
      <c r="L14" s="23"/>
      <c r="M14" s="23" cm="1">
        <f t="array" ref="M14">AVERAGE(_xlfn._xlws.FILTER($D$1:$D$100 - $F$1:$F$100, G$1:G$100 = 0))</f>
        <v>20.723684210526315</v>
      </c>
      <c r="N14" s="23"/>
      <c r="O14" s="23" cm="1">
        <f t="array" ref="O14">AVERAGE(_xlfn._xlws.FILTER($D$1:$D$100 - $F$1:$F$100, G$1:G$100 = 1))</f>
        <v>-14.25</v>
      </c>
      <c r="P14" s="24"/>
      <c r="Q14"/>
    </row>
    <row r="15" spans="1:17" x14ac:dyDescent="0.3">
      <c r="A15" s="1">
        <v>2</v>
      </c>
      <c r="B15" s="1">
        <v>0</v>
      </c>
      <c r="C15" s="1" t="s">
        <v>4</v>
      </c>
      <c r="D15" s="1">
        <v>39</v>
      </c>
      <c r="E15" s="1" t="s">
        <v>2</v>
      </c>
      <c r="F15" s="1">
        <v>0</v>
      </c>
      <c r="G15" s="1">
        <v>0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4</v>
      </c>
      <c r="D16" s="1">
        <v>20</v>
      </c>
      <c r="E16" s="1" t="s">
        <v>2</v>
      </c>
      <c r="F16" s="1">
        <v>23</v>
      </c>
      <c r="G16" s="1">
        <v>1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4</v>
      </c>
      <c r="D17" s="1">
        <v>33</v>
      </c>
      <c r="E17" s="1" t="s">
        <v>2</v>
      </c>
      <c r="F17" s="1">
        <v>12</v>
      </c>
      <c r="G17" s="1">
        <v>0</v>
      </c>
    </row>
    <row r="18" spans="1:7" x14ac:dyDescent="0.3">
      <c r="A18" s="1">
        <v>2</v>
      </c>
      <c r="B18" s="1">
        <v>0</v>
      </c>
      <c r="C18" s="1" t="s">
        <v>4</v>
      </c>
      <c r="D18" s="1">
        <v>16</v>
      </c>
      <c r="E18" s="1" t="s">
        <v>2</v>
      </c>
      <c r="F18" s="1">
        <v>0</v>
      </c>
      <c r="G18" s="1">
        <v>0</v>
      </c>
    </row>
    <row r="19" spans="1:7" x14ac:dyDescent="0.3">
      <c r="A19" s="1">
        <v>2</v>
      </c>
      <c r="B19" s="1">
        <v>0</v>
      </c>
      <c r="C19" s="1" t="s">
        <v>4</v>
      </c>
      <c r="D19" s="1">
        <v>15</v>
      </c>
      <c r="E19" s="1" t="s">
        <v>2</v>
      </c>
      <c r="F19" s="1">
        <v>30</v>
      </c>
      <c r="G19" s="1">
        <v>1</v>
      </c>
    </row>
    <row r="20" spans="1:7" x14ac:dyDescent="0.3">
      <c r="A20" s="1">
        <v>2</v>
      </c>
      <c r="B20" s="1">
        <v>0</v>
      </c>
      <c r="C20" s="1" t="s">
        <v>4</v>
      </c>
      <c r="D20" s="1">
        <v>37</v>
      </c>
      <c r="E20" s="1" t="s">
        <v>2</v>
      </c>
      <c r="F20" s="1">
        <v>14</v>
      </c>
      <c r="G20" s="1">
        <v>0</v>
      </c>
    </row>
    <row r="21" spans="1:7" x14ac:dyDescent="0.3">
      <c r="A21" s="1">
        <v>2</v>
      </c>
      <c r="B21" s="1">
        <v>0</v>
      </c>
      <c r="C21" s="1" t="s">
        <v>4</v>
      </c>
      <c r="D21" s="1">
        <v>36</v>
      </c>
      <c r="E21" s="1" t="s">
        <v>2</v>
      </c>
      <c r="F21" s="1">
        <v>3</v>
      </c>
      <c r="G21" s="1">
        <v>0</v>
      </c>
    </row>
    <row r="22" spans="1:7" x14ac:dyDescent="0.3">
      <c r="A22" s="1">
        <v>2</v>
      </c>
      <c r="B22" s="1">
        <v>0</v>
      </c>
      <c r="C22" s="1" t="s">
        <v>4</v>
      </c>
      <c r="D22" s="1">
        <v>25</v>
      </c>
      <c r="E22" s="1" t="s">
        <v>2</v>
      </c>
      <c r="F22" s="1">
        <v>21</v>
      </c>
      <c r="G22" s="1">
        <v>0</v>
      </c>
    </row>
    <row r="23" spans="1:7" x14ac:dyDescent="0.3">
      <c r="A23" s="1">
        <v>2</v>
      </c>
      <c r="B23" s="1">
        <v>0</v>
      </c>
      <c r="C23" s="1" t="s">
        <v>4</v>
      </c>
      <c r="D23" s="1">
        <v>41</v>
      </c>
      <c r="E23" s="1" t="s">
        <v>2</v>
      </c>
      <c r="F23" s="1">
        <v>0</v>
      </c>
      <c r="G23" s="1">
        <v>0</v>
      </c>
    </row>
    <row r="24" spans="1:7" x14ac:dyDescent="0.3">
      <c r="A24" s="1">
        <v>2</v>
      </c>
      <c r="B24" s="1">
        <v>0</v>
      </c>
      <c r="C24" s="1" t="s">
        <v>4</v>
      </c>
      <c r="D24" s="1">
        <v>54</v>
      </c>
      <c r="E24" s="1" t="s">
        <v>2</v>
      </c>
      <c r="F24" s="1">
        <v>0</v>
      </c>
      <c r="G24" s="1">
        <v>0</v>
      </c>
    </row>
    <row r="25" spans="1:7" x14ac:dyDescent="0.3">
      <c r="A25" s="1">
        <v>2</v>
      </c>
      <c r="B25" s="1">
        <v>0</v>
      </c>
      <c r="C25" s="1" t="s">
        <v>4</v>
      </c>
      <c r="D25" s="1">
        <v>40</v>
      </c>
      <c r="E25" s="1" t="s">
        <v>2</v>
      </c>
      <c r="F25" s="1">
        <v>14</v>
      </c>
      <c r="G25" s="1">
        <v>0</v>
      </c>
    </row>
    <row r="26" spans="1:7" x14ac:dyDescent="0.3">
      <c r="A26" s="1">
        <v>2</v>
      </c>
      <c r="B26" s="1">
        <v>0</v>
      </c>
      <c r="C26" s="1" t="s">
        <v>4</v>
      </c>
      <c r="D26" s="1">
        <v>57</v>
      </c>
      <c r="E26" s="1" t="s">
        <v>2</v>
      </c>
      <c r="F26" s="1">
        <v>17</v>
      </c>
      <c r="G26" s="1">
        <v>0</v>
      </c>
    </row>
    <row r="27" spans="1:7" x14ac:dyDescent="0.3">
      <c r="A27" s="1">
        <v>2</v>
      </c>
      <c r="B27" s="1">
        <v>0</v>
      </c>
      <c r="C27" s="1" t="s">
        <v>4</v>
      </c>
      <c r="D27" s="1">
        <v>32</v>
      </c>
      <c r="E27" s="1" t="s">
        <v>2</v>
      </c>
      <c r="F27" s="1">
        <v>2</v>
      </c>
      <c r="G27" s="1">
        <v>0</v>
      </c>
    </row>
    <row r="28" spans="1:7" x14ac:dyDescent="0.3">
      <c r="A28" s="1">
        <v>2</v>
      </c>
      <c r="B28" s="1">
        <v>0</v>
      </c>
      <c r="C28" s="1" t="s">
        <v>4</v>
      </c>
      <c r="D28" s="1">
        <v>27</v>
      </c>
      <c r="E28" s="1" t="s">
        <v>2</v>
      </c>
      <c r="F28" s="1">
        <v>2</v>
      </c>
      <c r="G28" s="1">
        <v>0</v>
      </c>
    </row>
    <row r="29" spans="1:7" x14ac:dyDescent="0.3">
      <c r="A29" s="1">
        <v>2</v>
      </c>
      <c r="B29" s="1">
        <v>0</v>
      </c>
      <c r="C29" s="1" t="s">
        <v>4</v>
      </c>
      <c r="D29" s="1">
        <v>23</v>
      </c>
      <c r="E29" s="1" t="s">
        <v>2</v>
      </c>
      <c r="F29" s="1">
        <v>8</v>
      </c>
      <c r="G29" s="1">
        <v>0</v>
      </c>
    </row>
    <row r="30" spans="1:7" x14ac:dyDescent="0.3">
      <c r="A30" s="1">
        <v>2</v>
      </c>
      <c r="B30" s="1">
        <v>0</v>
      </c>
      <c r="C30" s="1" t="s">
        <v>4</v>
      </c>
      <c r="D30" s="1">
        <v>15</v>
      </c>
      <c r="E30" s="1" t="s">
        <v>2</v>
      </c>
      <c r="F30" s="1">
        <v>55</v>
      </c>
      <c r="G30" s="1">
        <v>1</v>
      </c>
    </row>
    <row r="31" spans="1:7" x14ac:dyDescent="0.3">
      <c r="A31" s="1">
        <v>2</v>
      </c>
      <c r="B31" s="1">
        <v>0</v>
      </c>
      <c r="C31" s="1" t="s">
        <v>4</v>
      </c>
      <c r="D31" s="1">
        <v>3</v>
      </c>
      <c r="E31" s="1" t="s">
        <v>2</v>
      </c>
      <c r="F31" s="1">
        <v>15</v>
      </c>
      <c r="G31" s="1">
        <v>1</v>
      </c>
    </row>
    <row r="32" spans="1:7" x14ac:dyDescent="0.3">
      <c r="A32" s="1">
        <v>2</v>
      </c>
      <c r="B32" s="1">
        <v>0</v>
      </c>
      <c r="C32" s="1" t="s">
        <v>4</v>
      </c>
      <c r="D32" s="1">
        <v>32</v>
      </c>
      <c r="E32" s="1" t="s">
        <v>2</v>
      </c>
      <c r="F32" s="1">
        <v>14</v>
      </c>
      <c r="G32" s="1">
        <v>0</v>
      </c>
    </row>
    <row r="33" spans="1:7" x14ac:dyDescent="0.3">
      <c r="A33" s="1">
        <v>2</v>
      </c>
      <c r="B33" s="1">
        <v>0</v>
      </c>
      <c r="C33" s="1" t="s">
        <v>4</v>
      </c>
      <c r="D33" s="1">
        <v>45</v>
      </c>
      <c r="E33" s="1" t="s">
        <v>2</v>
      </c>
      <c r="F33" s="1">
        <v>15</v>
      </c>
      <c r="G33" s="1">
        <v>0</v>
      </c>
    </row>
    <row r="34" spans="1:7" x14ac:dyDescent="0.3">
      <c r="A34" s="1">
        <v>2</v>
      </c>
      <c r="B34" s="1">
        <v>0</v>
      </c>
      <c r="C34" s="1" t="s">
        <v>4</v>
      </c>
      <c r="D34" s="1">
        <v>27</v>
      </c>
      <c r="E34" s="1" t="s">
        <v>2</v>
      </c>
      <c r="F34" s="1">
        <v>17</v>
      </c>
      <c r="G34" s="1">
        <v>0</v>
      </c>
    </row>
    <row r="35" spans="1:7" x14ac:dyDescent="0.3">
      <c r="A35" s="1">
        <v>2</v>
      </c>
      <c r="B35" s="1">
        <v>0</v>
      </c>
      <c r="C35" s="1" t="s">
        <v>4</v>
      </c>
      <c r="D35" s="1">
        <v>26</v>
      </c>
      <c r="E35" s="1" t="s">
        <v>2</v>
      </c>
      <c r="F35" s="1">
        <v>25</v>
      </c>
      <c r="G35" s="1">
        <v>0</v>
      </c>
    </row>
    <row r="36" spans="1:7" x14ac:dyDescent="0.3">
      <c r="A36" s="1">
        <v>2</v>
      </c>
      <c r="B36" s="1">
        <v>0</v>
      </c>
      <c r="C36" s="1" t="s">
        <v>4</v>
      </c>
      <c r="D36" s="1">
        <v>29</v>
      </c>
      <c r="E36" s="1" t="s">
        <v>2</v>
      </c>
      <c r="F36" s="1">
        <v>15</v>
      </c>
      <c r="G36" s="1">
        <v>0</v>
      </c>
    </row>
    <row r="37" spans="1:7" x14ac:dyDescent="0.3">
      <c r="A37" s="1">
        <v>2</v>
      </c>
      <c r="B37" s="1">
        <v>0</v>
      </c>
      <c r="C37" s="1" t="s">
        <v>4</v>
      </c>
      <c r="D37" s="1">
        <v>26</v>
      </c>
      <c r="E37" s="1" t="s">
        <v>2</v>
      </c>
      <c r="F37" s="1">
        <v>24</v>
      </c>
      <c r="G37" s="1">
        <v>0</v>
      </c>
    </row>
    <row r="38" spans="1:7" x14ac:dyDescent="0.3">
      <c r="A38" s="1">
        <v>2</v>
      </c>
      <c r="B38" s="1">
        <v>0</v>
      </c>
      <c r="C38" s="1" t="s">
        <v>4</v>
      </c>
      <c r="D38" s="1">
        <v>12</v>
      </c>
      <c r="E38" s="1" t="s">
        <v>2</v>
      </c>
      <c r="F38" s="1">
        <v>0</v>
      </c>
      <c r="G38" s="1">
        <v>0</v>
      </c>
    </row>
    <row r="39" spans="1:7" x14ac:dyDescent="0.3">
      <c r="A39" s="1">
        <v>2</v>
      </c>
      <c r="B39" s="1">
        <v>0</v>
      </c>
      <c r="C39" s="1" t="s">
        <v>4</v>
      </c>
      <c r="D39" s="1">
        <v>40</v>
      </c>
      <c r="E39" s="1" t="s">
        <v>2</v>
      </c>
      <c r="F39" s="1">
        <v>0</v>
      </c>
      <c r="G39" s="1">
        <v>0</v>
      </c>
    </row>
    <row r="40" spans="1:7" x14ac:dyDescent="0.3">
      <c r="A40" s="1">
        <v>2</v>
      </c>
      <c r="B40" s="1">
        <v>0</v>
      </c>
      <c r="C40" s="1" t="s">
        <v>4</v>
      </c>
      <c r="D40" s="1">
        <v>7</v>
      </c>
      <c r="E40" s="1" t="s">
        <v>2</v>
      </c>
      <c r="F40" s="1">
        <v>0</v>
      </c>
      <c r="G40" s="1">
        <v>0</v>
      </c>
    </row>
    <row r="41" spans="1:7" x14ac:dyDescent="0.3">
      <c r="A41" s="1">
        <v>2</v>
      </c>
      <c r="B41" s="1">
        <v>0</v>
      </c>
      <c r="C41" s="1" t="s">
        <v>4</v>
      </c>
      <c r="D41" s="1">
        <v>22</v>
      </c>
      <c r="E41" s="1" t="s">
        <v>2</v>
      </c>
      <c r="F41" s="1">
        <v>26</v>
      </c>
      <c r="G41" s="1">
        <v>1</v>
      </c>
    </row>
    <row r="42" spans="1:7" x14ac:dyDescent="0.3">
      <c r="A42" s="1">
        <v>2</v>
      </c>
      <c r="B42" s="1">
        <v>0</v>
      </c>
      <c r="C42" s="1" t="s">
        <v>4</v>
      </c>
      <c r="D42" s="1">
        <v>16</v>
      </c>
      <c r="E42" s="1" t="s">
        <v>2</v>
      </c>
      <c r="F42" s="1">
        <v>15</v>
      </c>
      <c r="G42" s="1">
        <v>0</v>
      </c>
    </row>
    <row r="43" spans="1:7" x14ac:dyDescent="0.3">
      <c r="A43" s="1">
        <v>2</v>
      </c>
      <c r="B43" s="1">
        <v>0</v>
      </c>
      <c r="C43" s="1" t="s">
        <v>4</v>
      </c>
      <c r="D43" s="1">
        <v>41</v>
      </c>
      <c r="E43" s="1" t="s">
        <v>2</v>
      </c>
      <c r="F43" s="1">
        <v>2</v>
      </c>
      <c r="G43" s="1">
        <v>0</v>
      </c>
    </row>
    <row r="44" spans="1:7" x14ac:dyDescent="0.3">
      <c r="A44" s="1">
        <v>2</v>
      </c>
      <c r="B44" s="1">
        <v>0</v>
      </c>
      <c r="C44" s="1" t="s">
        <v>4</v>
      </c>
      <c r="D44" s="1">
        <v>29</v>
      </c>
      <c r="E44" s="1" t="s">
        <v>2</v>
      </c>
      <c r="F44" s="1">
        <v>19</v>
      </c>
      <c r="G44" s="1">
        <v>0</v>
      </c>
    </row>
    <row r="45" spans="1:7" x14ac:dyDescent="0.3">
      <c r="A45" s="1">
        <v>2</v>
      </c>
      <c r="B45" s="1">
        <v>0</v>
      </c>
      <c r="C45" s="1" t="s">
        <v>4</v>
      </c>
      <c r="D45" s="1">
        <v>25</v>
      </c>
      <c r="E45" s="1" t="s">
        <v>2</v>
      </c>
      <c r="F45" s="1">
        <v>21</v>
      </c>
      <c r="G45" s="1">
        <v>0</v>
      </c>
    </row>
    <row r="46" spans="1:7" x14ac:dyDescent="0.3">
      <c r="A46" s="1">
        <v>2</v>
      </c>
      <c r="B46" s="1">
        <v>0</v>
      </c>
      <c r="C46" s="1" t="s">
        <v>4</v>
      </c>
      <c r="D46" s="1">
        <v>16</v>
      </c>
      <c r="E46" s="1" t="s">
        <v>2</v>
      </c>
      <c r="F46" s="1">
        <v>29</v>
      </c>
      <c r="G46" s="1">
        <v>1</v>
      </c>
    </row>
    <row r="47" spans="1:7" x14ac:dyDescent="0.3">
      <c r="A47" s="1">
        <v>2</v>
      </c>
      <c r="B47" s="1">
        <v>0</v>
      </c>
      <c r="C47" s="1" t="s">
        <v>4</v>
      </c>
      <c r="D47" s="1">
        <v>25</v>
      </c>
      <c r="E47" s="1" t="s">
        <v>2</v>
      </c>
      <c r="F47" s="1">
        <v>0</v>
      </c>
      <c r="G47" s="1">
        <v>0</v>
      </c>
    </row>
    <row r="48" spans="1:7" x14ac:dyDescent="0.3">
      <c r="A48" s="1">
        <v>2</v>
      </c>
      <c r="B48" s="1">
        <v>0</v>
      </c>
      <c r="C48" s="1" t="s">
        <v>4</v>
      </c>
      <c r="D48" s="1">
        <v>30</v>
      </c>
      <c r="E48" s="1" t="s">
        <v>2</v>
      </c>
      <c r="F48" s="1">
        <v>12</v>
      </c>
      <c r="G48" s="1">
        <v>0</v>
      </c>
    </row>
    <row r="49" spans="1:7" x14ac:dyDescent="0.3">
      <c r="A49" s="1">
        <v>2</v>
      </c>
      <c r="B49" s="1">
        <v>0</v>
      </c>
      <c r="C49" s="1" t="s">
        <v>4</v>
      </c>
      <c r="D49" s="1">
        <v>34</v>
      </c>
      <c r="E49" s="1" t="s">
        <v>2</v>
      </c>
      <c r="F49" s="1">
        <v>20</v>
      </c>
      <c r="G49" s="1">
        <v>0</v>
      </c>
    </row>
    <row r="50" spans="1:7" x14ac:dyDescent="0.3">
      <c r="A50" s="1">
        <v>2</v>
      </c>
      <c r="B50" s="1">
        <v>0</v>
      </c>
      <c r="C50" s="1" t="s">
        <v>4</v>
      </c>
      <c r="D50" s="1">
        <v>39</v>
      </c>
      <c r="E50" s="1" t="s">
        <v>2</v>
      </c>
      <c r="F50" s="1">
        <v>12</v>
      </c>
      <c r="G50" s="1">
        <v>0</v>
      </c>
    </row>
    <row r="51" spans="1:7" x14ac:dyDescent="0.3">
      <c r="A51" s="1">
        <v>2</v>
      </c>
      <c r="B51" s="1">
        <v>1</v>
      </c>
      <c r="C51" s="1" t="s">
        <v>4</v>
      </c>
      <c r="D51" s="1">
        <v>12</v>
      </c>
      <c r="E51" s="1" t="s">
        <v>2</v>
      </c>
      <c r="F51" s="1">
        <v>0</v>
      </c>
      <c r="G51" s="1">
        <v>0</v>
      </c>
    </row>
    <row r="52" spans="1:7" x14ac:dyDescent="0.3">
      <c r="A52" s="1">
        <v>2</v>
      </c>
      <c r="B52" s="1">
        <v>1</v>
      </c>
      <c r="C52" s="1" t="s">
        <v>4</v>
      </c>
      <c r="D52" s="1">
        <v>16</v>
      </c>
      <c r="E52" s="1" t="s">
        <v>2</v>
      </c>
      <c r="F52" s="1">
        <v>31</v>
      </c>
      <c r="G52" s="1">
        <v>1</v>
      </c>
    </row>
    <row r="53" spans="1:7" x14ac:dyDescent="0.3">
      <c r="A53" s="1">
        <v>2</v>
      </c>
      <c r="B53" s="1">
        <v>1</v>
      </c>
      <c r="C53" s="1" t="s">
        <v>4</v>
      </c>
      <c r="D53" s="1">
        <v>17</v>
      </c>
      <c r="E53" s="1" t="s">
        <v>2</v>
      </c>
      <c r="F53" s="1">
        <v>30</v>
      </c>
      <c r="G53" s="1">
        <v>1</v>
      </c>
    </row>
    <row r="54" spans="1:7" x14ac:dyDescent="0.3">
      <c r="A54" s="1">
        <v>2</v>
      </c>
      <c r="B54" s="1">
        <v>1</v>
      </c>
      <c r="C54" s="1" t="s">
        <v>4</v>
      </c>
      <c r="D54" s="1">
        <v>14</v>
      </c>
      <c r="E54" s="1" t="s">
        <v>2</v>
      </c>
      <c r="F54" s="1">
        <v>17</v>
      </c>
      <c r="G54" s="1">
        <v>1</v>
      </c>
    </row>
    <row r="55" spans="1:7" x14ac:dyDescent="0.3">
      <c r="A55" s="1">
        <v>2</v>
      </c>
      <c r="B55" s="1">
        <v>1</v>
      </c>
      <c r="C55" s="1" t="s">
        <v>4</v>
      </c>
      <c r="D55" s="1">
        <v>28</v>
      </c>
      <c r="E55" s="1" t="s">
        <v>2</v>
      </c>
      <c r="F55" s="1">
        <v>11</v>
      </c>
      <c r="G55" s="1">
        <v>0</v>
      </c>
    </row>
    <row r="56" spans="1:7" x14ac:dyDescent="0.3">
      <c r="A56" s="1">
        <v>2</v>
      </c>
      <c r="B56" s="1">
        <v>1</v>
      </c>
      <c r="C56" s="1" t="s">
        <v>4</v>
      </c>
      <c r="D56" s="1">
        <v>9</v>
      </c>
      <c r="E56" s="1" t="s">
        <v>2</v>
      </c>
      <c r="F56" s="1">
        <v>10</v>
      </c>
      <c r="G56" s="1">
        <v>1</v>
      </c>
    </row>
    <row r="57" spans="1:7" x14ac:dyDescent="0.3">
      <c r="A57" s="1">
        <v>2</v>
      </c>
      <c r="B57" s="1">
        <v>1</v>
      </c>
      <c r="C57" s="1" t="s">
        <v>4</v>
      </c>
      <c r="D57" s="1">
        <v>19</v>
      </c>
      <c r="E57" s="1" t="s">
        <v>2</v>
      </c>
      <c r="F57" s="1">
        <v>2</v>
      </c>
      <c r="G57" s="1">
        <v>0</v>
      </c>
    </row>
    <row r="58" spans="1:7" x14ac:dyDescent="0.3">
      <c r="A58" s="1">
        <v>2</v>
      </c>
      <c r="B58" s="1">
        <v>1</v>
      </c>
      <c r="C58" s="1" t="s">
        <v>4</v>
      </c>
      <c r="D58" s="1">
        <v>34</v>
      </c>
      <c r="E58" s="1" t="s">
        <v>2</v>
      </c>
      <c r="F58" s="1">
        <v>2</v>
      </c>
      <c r="G58" s="1">
        <v>0</v>
      </c>
    </row>
    <row r="59" spans="1:7" x14ac:dyDescent="0.3">
      <c r="A59" s="1">
        <v>2</v>
      </c>
      <c r="B59" s="1">
        <v>1</v>
      </c>
      <c r="C59" s="1" t="s">
        <v>4</v>
      </c>
      <c r="D59" s="1">
        <v>2</v>
      </c>
      <c r="E59" s="1" t="s">
        <v>2</v>
      </c>
      <c r="F59" s="1">
        <v>51</v>
      </c>
      <c r="G59" s="1">
        <v>1</v>
      </c>
    </row>
    <row r="60" spans="1:7" x14ac:dyDescent="0.3">
      <c r="A60" s="1">
        <v>2</v>
      </c>
      <c r="B60" s="1">
        <v>1</v>
      </c>
      <c r="C60" s="1" t="s">
        <v>4</v>
      </c>
      <c r="D60" s="1">
        <v>27</v>
      </c>
      <c r="E60" s="1" t="s">
        <v>2</v>
      </c>
      <c r="F60" s="1">
        <v>2</v>
      </c>
      <c r="G60" s="1">
        <v>0</v>
      </c>
    </row>
    <row r="61" spans="1:7" x14ac:dyDescent="0.3">
      <c r="A61" s="1">
        <v>2</v>
      </c>
      <c r="B61" s="1">
        <v>1</v>
      </c>
      <c r="C61" s="1" t="s">
        <v>4</v>
      </c>
      <c r="D61" s="1">
        <v>23</v>
      </c>
      <c r="E61" s="1" t="s">
        <v>2</v>
      </c>
      <c r="F61" s="1">
        <v>43</v>
      </c>
      <c r="G61" s="1">
        <v>1</v>
      </c>
    </row>
    <row r="62" spans="1:7" x14ac:dyDescent="0.3">
      <c r="A62" s="1">
        <v>2</v>
      </c>
      <c r="B62" s="1">
        <v>1</v>
      </c>
      <c r="C62" s="1" t="s">
        <v>4</v>
      </c>
      <c r="D62" s="1">
        <v>22</v>
      </c>
      <c r="E62" s="1" t="s">
        <v>2</v>
      </c>
      <c r="F62" s="1">
        <v>19</v>
      </c>
      <c r="G62" s="1">
        <v>0</v>
      </c>
    </row>
    <row r="63" spans="1:7" x14ac:dyDescent="0.3">
      <c r="A63" s="1">
        <v>2</v>
      </c>
      <c r="B63" s="1">
        <v>1</v>
      </c>
      <c r="C63" s="1" t="s">
        <v>4</v>
      </c>
      <c r="D63" s="1">
        <v>38</v>
      </c>
      <c r="E63" s="1" t="s">
        <v>2</v>
      </c>
      <c r="F63" s="1">
        <v>2</v>
      </c>
      <c r="G63" s="1">
        <v>0</v>
      </c>
    </row>
    <row r="64" spans="1:7" x14ac:dyDescent="0.3">
      <c r="A64" s="1">
        <v>2</v>
      </c>
      <c r="B64" s="1">
        <v>1</v>
      </c>
      <c r="C64" s="1" t="s">
        <v>4</v>
      </c>
      <c r="D64" s="1">
        <v>22</v>
      </c>
      <c r="E64" s="1" t="s">
        <v>2</v>
      </c>
      <c r="F64" s="1">
        <v>18</v>
      </c>
      <c r="G64" s="1">
        <v>0</v>
      </c>
    </row>
    <row r="65" spans="1:7" x14ac:dyDescent="0.3">
      <c r="A65" s="1">
        <v>2</v>
      </c>
      <c r="B65" s="1">
        <v>1</v>
      </c>
      <c r="C65" s="1" t="s">
        <v>4</v>
      </c>
      <c r="D65" s="1">
        <v>40</v>
      </c>
      <c r="E65" s="1" t="s">
        <v>2</v>
      </c>
      <c r="F65" s="1">
        <v>0</v>
      </c>
      <c r="G65" s="1">
        <v>0</v>
      </c>
    </row>
    <row r="66" spans="1:7" x14ac:dyDescent="0.3">
      <c r="A66" s="1">
        <v>2</v>
      </c>
      <c r="B66" s="1">
        <v>1</v>
      </c>
      <c r="C66" s="1" t="s">
        <v>4</v>
      </c>
      <c r="D66" s="1">
        <v>50</v>
      </c>
      <c r="E66" s="1" t="s">
        <v>2</v>
      </c>
      <c r="F66" s="1">
        <v>2</v>
      </c>
      <c r="G66" s="1">
        <v>0</v>
      </c>
    </row>
    <row r="67" spans="1:7" x14ac:dyDescent="0.3">
      <c r="A67" s="1">
        <v>2</v>
      </c>
      <c r="B67" s="1">
        <v>1</v>
      </c>
      <c r="C67" s="1" t="s">
        <v>4</v>
      </c>
      <c r="D67" s="1">
        <v>9</v>
      </c>
      <c r="E67" s="1" t="s">
        <v>2</v>
      </c>
      <c r="F67" s="1">
        <v>42</v>
      </c>
      <c r="G67" s="1">
        <v>1</v>
      </c>
    </row>
    <row r="68" spans="1:7" x14ac:dyDescent="0.3">
      <c r="A68" s="1">
        <v>2</v>
      </c>
      <c r="B68" s="1">
        <v>1</v>
      </c>
      <c r="C68" s="1" t="s">
        <v>4</v>
      </c>
      <c r="D68" s="1">
        <v>8</v>
      </c>
      <c r="E68" s="1" t="s">
        <v>2</v>
      </c>
      <c r="F68" s="1">
        <v>26</v>
      </c>
      <c r="G68" s="1">
        <v>1</v>
      </c>
    </row>
    <row r="69" spans="1:7" x14ac:dyDescent="0.3">
      <c r="A69" s="1">
        <v>2</v>
      </c>
      <c r="B69" s="1">
        <v>1</v>
      </c>
      <c r="C69" s="1" t="s">
        <v>4</v>
      </c>
      <c r="D69" s="1">
        <v>29</v>
      </c>
      <c r="E69" s="1" t="s">
        <v>2</v>
      </c>
      <c r="F69" s="1">
        <v>20</v>
      </c>
      <c r="G69" s="1">
        <v>0</v>
      </c>
    </row>
    <row r="70" spans="1:7" x14ac:dyDescent="0.3">
      <c r="A70" s="1">
        <v>2</v>
      </c>
      <c r="B70" s="1">
        <v>1</v>
      </c>
      <c r="C70" s="1" t="s">
        <v>4</v>
      </c>
      <c r="D70" s="1">
        <v>43</v>
      </c>
      <c r="E70" s="1" t="s">
        <v>2</v>
      </c>
      <c r="F70" s="1">
        <v>2</v>
      </c>
      <c r="G70" s="1">
        <v>0</v>
      </c>
    </row>
    <row r="71" spans="1:7" x14ac:dyDescent="0.3">
      <c r="A71" s="1">
        <v>2</v>
      </c>
      <c r="B71" s="1">
        <v>1</v>
      </c>
      <c r="C71" s="1" t="s">
        <v>4</v>
      </c>
      <c r="D71" s="1">
        <v>11</v>
      </c>
      <c r="E71" s="1" t="s">
        <v>2</v>
      </c>
      <c r="F71" s="1">
        <v>15</v>
      </c>
      <c r="G71" s="1">
        <v>1</v>
      </c>
    </row>
    <row r="72" spans="1:7" x14ac:dyDescent="0.3">
      <c r="A72" s="1">
        <v>2</v>
      </c>
      <c r="B72" s="1">
        <v>1</v>
      </c>
      <c r="C72" s="1" t="s">
        <v>4</v>
      </c>
      <c r="D72" s="1">
        <v>44</v>
      </c>
      <c r="E72" s="1" t="s">
        <v>2</v>
      </c>
      <c r="F72" s="1">
        <v>0</v>
      </c>
      <c r="G72" s="1">
        <v>0</v>
      </c>
    </row>
    <row r="73" spans="1:7" x14ac:dyDescent="0.3">
      <c r="A73" s="1">
        <v>2</v>
      </c>
      <c r="B73" s="1">
        <v>1</v>
      </c>
      <c r="C73" s="1" t="s">
        <v>4</v>
      </c>
      <c r="D73" s="1">
        <v>25</v>
      </c>
      <c r="E73" s="1" t="s">
        <v>2</v>
      </c>
      <c r="F73" s="1">
        <v>7</v>
      </c>
      <c r="G73" s="1">
        <v>0</v>
      </c>
    </row>
    <row r="74" spans="1:7" x14ac:dyDescent="0.3">
      <c r="A74" s="1">
        <v>2</v>
      </c>
      <c r="B74" s="1">
        <v>1</v>
      </c>
      <c r="C74" s="1" t="s">
        <v>4</v>
      </c>
      <c r="D74" s="1">
        <v>38</v>
      </c>
      <c r="E74" s="1" t="s">
        <v>2</v>
      </c>
      <c r="F74" s="1">
        <v>35</v>
      </c>
      <c r="G74" s="1">
        <v>0</v>
      </c>
    </row>
    <row r="75" spans="1:7" x14ac:dyDescent="0.3">
      <c r="A75" s="1">
        <v>2</v>
      </c>
      <c r="B75" s="1">
        <v>1</v>
      </c>
      <c r="C75" s="1" t="s">
        <v>4</v>
      </c>
      <c r="D75" s="1">
        <v>42</v>
      </c>
      <c r="E75" s="1" t="s">
        <v>2</v>
      </c>
      <c r="F75" s="1">
        <v>9</v>
      </c>
      <c r="G75" s="1">
        <v>0</v>
      </c>
    </row>
    <row r="76" spans="1:7" x14ac:dyDescent="0.3">
      <c r="A76" s="1">
        <v>2</v>
      </c>
      <c r="B76" s="1">
        <v>1</v>
      </c>
      <c r="C76" s="1" t="s">
        <v>4</v>
      </c>
      <c r="D76" s="1">
        <v>0</v>
      </c>
      <c r="E76" s="1" t="s">
        <v>2</v>
      </c>
      <c r="F76" s="1">
        <v>9</v>
      </c>
      <c r="G76" s="1">
        <v>1</v>
      </c>
    </row>
    <row r="77" spans="1:7" x14ac:dyDescent="0.3">
      <c r="A77" s="1">
        <v>2</v>
      </c>
      <c r="B77" s="1">
        <v>1</v>
      </c>
      <c r="C77" s="1" t="s">
        <v>4</v>
      </c>
      <c r="D77" s="1">
        <v>45</v>
      </c>
      <c r="E77" s="1" t="s">
        <v>2</v>
      </c>
      <c r="F77" s="1">
        <v>16</v>
      </c>
      <c r="G77" s="1">
        <v>0</v>
      </c>
    </row>
    <row r="78" spans="1:7" x14ac:dyDescent="0.3">
      <c r="A78" s="1">
        <v>2</v>
      </c>
      <c r="B78" s="1">
        <v>1</v>
      </c>
      <c r="C78" s="1" t="s">
        <v>4</v>
      </c>
      <c r="D78" s="1">
        <v>24</v>
      </c>
      <c r="E78" s="1" t="s">
        <v>2</v>
      </c>
      <c r="F78" s="1">
        <v>6</v>
      </c>
      <c r="G78" s="1">
        <v>0</v>
      </c>
    </row>
    <row r="79" spans="1:7" x14ac:dyDescent="0.3">
      <c r="A79" s="1">
        <v>2</v>
      </c>
      <c r="B79" s="1">
        <v>1</v>
      </c>
      <c r="C79" s="1" t="s">
        <v>4</v>
      </c>
      <c r="D79" s="1">
        <v>27</v>
      </c>
      <c r="E79" s="1" t="s">
        <v>2</v>
      </c>
      <c r="F79" s="1">
        <v>10</v>
      </c>
      <c r="G79" s="1">
        <v>0</v>
      </c>
    </row>
    <row r="80" spans="1:7" x14ac:dyDescent="0.3">
      <c r="A80" s="1">
        <v>2</v>
      </c>
      <c r="B80" s="1">
        <v>1</v>
      </c>
      <c r="C80" s="1" t="s">
        <v>4</v>
      </c>
      <c r="D80" s="1">
        <v>7</v>
      </c>
      <c r="E80" s="1" t="s">
        <v>2</v>
      </c>
      <c r="F80" s="1">
        <v>11</v>
      </c>
      <c r="G80" s="1">
        <v>1</v>
      </c>
    </row>
    <row r="81" spans="1:7" x14ac:dyDescent="0.3">
      <c r="A81" s="1">
        <v>2</v>
      </c>
      <c r="B81" s="1">
        <v>1</v>
      </c>
      <c r="C81" s="1" t="s">
        <v>4</v>
      </c>
      <c r="D81" s="1">
        <v>21</v>
      </c>
      <c r="E81" s="1" t="s">
        <v>2</v>
      </c>
      <c r="F81" s="1">
        <v>0</v>
      </c>
      <c r="G81" s="1">
        <v>0</v>
      </c>
    </row>
    <row r="82" spans="1:7" x14ac:dyDescent="0.3">
      <c r="A82" s="1">
        <v>2</v>
      </c>
      <c r="B82" s="1">
        <v>1</v>
      </c>
      <c r="C82" s="1" t="s">
        <v>4</v>
      </c>
      <c r="D82" s="1">
        <v>19</v>
      </c>
      <c r="E82" s="1" t="s">
        <v>2</v>
      </c>
      <c r="F82" s="1">
        <v>71</v>
      </c>
      <c r="G82" s="1">
        <v>1</v>
      </c>
    </row>
    <row r="83" spans="1:7" x14ac:dyDescent="0.3">
      <c r="A83" s="1">
        <v>2</v>
      </c>
      <c r="B83" s="1">
        <v>1</v>
      </c>
      <c r="C83" s="1" t="s">
        <v>4</v>
      </c>
      <c r="D83" s="1">
        <v>31</v>
      </c>
      <c r="E83" s="1" t="s">
        <v>2</v>
      </c>
      <c r="F83" s="1">
        <v>2</v>
      </c>
      <c r="G83" s="1">
        <v>0</v>
      </c>
    </row>
    <row r="84" spans="1:7" x14ac:dyDescent="0.3">
      <c r="A84" s="1">
        <v>2</v>
      </c>
      <c r="B84" s="1">
        <v>1</v>
      </c>
      <c r="C84" s="1" t="s">
        <v>4</v>
      </c>
      <c r="D84" s="1">
        <v>24</v>
      </c>
      <c r="E84" s="1" t="s">
        <v>2</v>
      </c>
      <c r="F84" s="1">
        <v>17</v>
      </c>
      <c r="G84" s="1">
        <v>0</v>
      </c>
    </row>
    <row r="85" spans="1:7" x14ac:dyDescent="0.3">
      <c r="A85" s="1">
        <v>2</v>
      </c>
      <c r="B85" s="1">
        <v>1</v>
      </c>
      <c r="C85" s="1" t="s">
        <v>4</v>
      </c>
      <c r="D85" s="1">
        <v>42</v>
      </c>
      <c r="E85" s="1" t="s">
        <v>2</v>
      </c>
      <c r="F85" s="1">
        <v>26</v>
      </c>
      <c r="G85" s="1">
        <v>0</v>
      </c>
    </row>
    <row r="86" spans="1:7" x14ac:dyDescent="0.3">
      <c r="A86" s="1">
        <v>2</v>
      </c>
      <c r="B86" s="1">
        <v>1</v>
      </c>
      <c r="C86" s="1" t="s">
        <v>4</v>
      </c>
      <c r="D86" s="1">
        <v>49</v>
      </c>
      <c r="E86" s="1" t="s">
        <v>2</v>
      </c>
      <c r="F86" s="1">
        <v>40</v>
      </c>
      <c r="G86" s="1">
        <v>0</v>
      </c>
    </row>
    <row r="87" spans="1:7" x14ac:dyDescent="0.3">
      <c r="A87" s="1">
        <v>2</v>
      </c>
      <c r="B87" s="1">
        <v>1</v>
      </c>
      <c r="C87" s="1" t="s">
        <v>4</v>
      </c>
      <c r="D87" s="1">
        <v>23</v>
      </c>
      <c r="E87" s="1" t="s">
        <v>2</v>
      </c>
      <c r="F87" s="1">
        <v>18</v>
      </c>
      <c r="G87" s="1">
        <v>0</v>
      </c>
    </row>
    <row r="88" spans="1:7" x14ac:dyDescent="0.3">
      <c r="A88" s="1">
        <v>2</v>
      </c>
      <c r="B88" s="1">
        <v>1</v>
      </c>
      <c r="C88" s="1" t="s">
        <v>4</v>
      </c>
      <c r="D88" s="1">
        <v>21</v>
      </c>
      <c r="E88" s="1" t="s">
        <v>2</v>
      </c>
      <c r="F88" s="1">
        <v>0</v>
      </c>
      <c r="G88" s="1">
        <v>0</v>
      </c>
    </row>
    <row r="89" spans="1:7" x14ac:dyDescent="0.3">
      <c r="A89" s="1">
        <v>2</v>
      </c>
      <c r="B89" s="1">
        <v>1</v>
      </c>
      <c r="C89" s="1" t="s">
        <v>4</v>
      </c>
      <c r="D89" s="1">
        <v>16</v>
      </c>
      <c r="E89" s="1" t="s">
        <v>2</v>
      </c>
      <c r="F89" s="1">
        <v>7</v>
      </c>
      <c r="G89" s="1">
        <v>0</v>
      </c>
    </row>
    <row r="90" spans="1:7" x14ac:dyDescent="0.3">
      <c r="A90" s="1">
        <v>2</v>
      </c>
      <c r="B90" s="1">
        <v>1</v>
      </c>
      <c r="C90" s="1" t="s">
        <v>4</v>
      </c>
      <c r="D90" s="1">
        <v>42</v>
      </c>
      <c r="E90" s="1" t="s">
        <v>2</v>
      </c>
      <c r="F90" s="1">
        <v>29</v>
      </c>
      <c r="G90" s="1">
        <v>0</v>
      </c>
    </row>
    <row r="91" spans="1:7" x14ac:dyDescent="0.3">
      <c r="A91" s="1">
        <v>2</v>
      </c>
      <c r="B91" s="1">
        <v>1</v>
      </c>
      <c r="C91" s="1" t="s">
        <v>4</v>
      </c>
      <c r="D91" s="1">
        <v>39</v>
      </c>
      <c r="E91" s="1" t="s">
        <v>2</v>
      </c>
      <c r="F91" s="1">
        <v>24</v>
      </c>
      <c r="G91" s="1">
        <v>0</v>
      </c>
    </row>
    <row r="92" spans="1:7" x14ac:dyDescent="0.3">
      <c r="A92" s="1">
        <v>2</v>
      </c>
      <c r="B92" s="1">
        <v>1</v>
      </c>
      <c r="C92" s="1" t="s">
        <v>4</v>
      </c>
      <c r="D92" s="1">
        <v>34</v>
      </c>
      <c r="E92" s="1" t="s">
        <v>2</v>
      </c>
      <c r="F92" s="1">
        <v>5</v>
      </c>
      <c r="G92" s="1">
        <v>0</v>
      </c>
    </row>
    <row r="93" spans="1:7" x14ac:dyDescent="0.3">
      <c r="A93" s="1">
        <v>2</v>
      </c>
      <c r="B93" s="1">
        <v>1</v>
      </c>
      <c r="C93" s="1" t="s">
        <v>4</v>
      </c>
      <c r="D93" s="1">
        <v>44</v>
      </c>
      <c r="E93" s="1" t="s">
        <v>2</v>
      </c>
      <c r="F93" s="1">
        <v>10</v>
      </c>
      <c r="G93" s="1">
        <v>0</v>
      </c>
    </row>
    <row r="94" spans="1:7" x14ac:dyDescent="0.3">
      <c r="A94" s="1">
        <v>2</v>
      </c>
      <c r="B94" s="1">
        <v>1</v>
      </c>
      <c r="C94" s="1" t="s">
        <v>4</v>
      </c>
      <c r="D94" s="1">
        <v>44</v>
      </c>
      <c r="E94" s="1" t="s">
        <v>2</v>
      </c>
      <c r="F94" s="1">
        <v>0</v>
      </c>
      <c r="G94" s="1">
        <v>0</v>
      </c>
    </row>
    <row r="95" spans="1:7" x14ac:dyDescent="0.3">
      <c r="A95" s="1">
        <v>2</v>
      </c>
      <c r="B95" s="1">
        <v>1</v>
      </c>
      <c r="C95" s="1" t="s">
        <v>4</v>
      </c>
      <c r="D95" s="1">
        <v>7</v>
      </c>
      <c r="E95" s="1" t="s">
        <v>2</v>
      </c>
      <c r="F95" s="1">
        <v>11</v>
      </c>
      <c r="G95" s="1">
        <v>1</v>
      </c>
    </row>
    <row r="96" spans="1:7" x14ac:dyDescent="0.3">
      <c r="A96" s="1">
        <v>2</v>
      </c>
      <c r="B96" s="1">
        <v>1</v>
      </c>
      <c r="C96" s="1" t="s">
        <v>4</v>
      </c>
      <c r="D96" s="1">
        <v>20</v>
      </c>
      <c r="E96" s="1" t="s">
        <v>2</v>
      </c>
      <c r="F96" s="1">
        <v>10</v>
      </c>
      <c r="G96" s="1">
        <v>0</v>
      </c>
    </row>
    <row r="97" spans="1:7" x14ac:dyDescent="0.3">
      <c r="A97" s="1">
        <v>2</v>
      </c>
      <c r="B97" s="1">
        <v>1</v>
      </c>
      <c r="C97" s="1" t="s">
        <v>4</v>
      </c>
      <c r="D97" s="1">
        <v>23</v>
      </c>
      <c r="E97" s="1" t="s">
        <v>2</v>
      </c>
      <c r="F97" s="1">
        <v>32</v>
      </c>
      <c r="G97" s="1">
        <v>1</v>
      </c>
    </row>
    <row r="98" spans="1:7" x14ac:dyDescent="0.3">
      <c r="A98" s="1">
        <v>2</v>
      </c>
      <c r="B98" s="1">
        <v>1</v>
      </c>
      <c r="C98" s="1" t="s">
        <v>4</v>
      </c>
      <c r="D98" s="1">
        <v>21</v>
      </c>
      <c r="E98" s="1" t="s">
        <v>2</v>
      </c>
      <c r="F98" s="1">
        <v>32</v>
      </c>
      <c r="G98" s="1">
        <v>1</v>
      </c>
    </row>
    <row r="99" spans="1:7" x14ac:dyDescent="0.3">
      <c r="A99" s="1">
        <v>2</v>
      </c>
      <c r="B99" s="1">
        <v>1</v>
      </c>
      <c r="C99" s="1" t="s">
        <v>4</v>
      </c>
      <c r="D99" s="1">
        <v>28</v>
      </c>
      <c r="E99" s="1" t="s">
        <v>2</v>
      </c>
      <c r="F99" s="1">
        <v>20</v>
      </c>
      <c r="G99" s="1">
        <v>0</v>
      </c>
    </row>
    <row r="100" spans="1:7" x14ac:dyDescent="0.3">
      <c r="A100" s="1">
        <v>2</v>
      </c>
      <c r="B100" s="1">
        <v>1</v>
      </c>
      <c r="C100" s="1" t="s">
        <v>4</v>
      </c>
      <c r="D100" s="1">
        <v>16</v>
      </c>
      <c r="E100" s="1" t="s">
        <v>2</v>
      </c>
      <c r="F100" s="1">
        <v>3</v>
      </c>
      <c r="G100" s="1">
        <v>0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4367D-1E20-4C87-943E-A0A4EF5CBFD9}">
  <dimension ref="A1:Q100"/>
  <sheetViews>
    <sheetView tabSelected="1" topLeftCell="G1" workbookViewId="0">
      <selection activeCell="V20" sqref="V20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5</v>
      </c>
      <c r="D1" s="1">
        <v>10</v>
      </c>
      <c r="E1" s="1" t="s">
        <v>6</v>
      </c>
      <c r="F1" s="1">
        <v>53</v>
      </c>
      <c r="G1" s="1">
        <v>1</v>
      </c>
      <c r="I1" s="2"/>
      <c r="J1" s="3"/>
      <c r="K1" s="4" t="s">
        <v>7</v>
      </c>
      <c r="L1" s="4"/>
      <c r="M1" s="5" t="s">
        <v>8</v>
      </c>
      <c r="N1" s="5"/>
      <c r="O1" s="5" t="s">
        <v>9</v>
      </c>
      <c r="P1" s="5"/>
      <c r="Q1"/>
    </row>
    <row r="2" spans="1:17" x14ac:dyDescent="0.3">
      <c r="A2" s="1">
        <v>2</v>
      </c>
      <c r="B2" s="1">
        <v>0</v>
      </c>
      <c r="C2" s="1" t="s">
        <v>5</v>
      </c>
      <c r="D2" s="1">
        <v>12</v>
      </c>
      <c r="E2" s="1" t="s">
        <v>6</v>
      </c>
      <c r="F2" s="1">
        <v>47</v>
      </c>
      <c r="G2" s="1">
        <v>1</v>
      </c>
      <c r="I2" s="6"/>
      <c r="J2" s="7"/>
      <c r="K2" s="4"/>
      <c r="L2" s="4"/>
      <c r="M2" s="5"/>
      <c r="N2" s="5"/>
      <c r="O2" s="5"/>
      <c r="P2" s="5"/>
      <c r="Q2" s="8" t="s">
        <v>10</v>
      </c>
    </row>
    <row r="3" spans="1:17" x14ac:dyDescent="0.3">
      <c r="A3" s="1">
        <v>2</v>
      </c>
      <c r="B3" s="1">
        <v>0</v>
      </c>
      <c r="C3" s="1" t="s">
        <v>5</v>
      </c>
      <c r="D3" s="1">
        <v>12</v>
      </c>
      <c r="E3" s="1" t="s">
        <v>6</v>
      </c>
      <c r="F3" s="1">
        <v>27</v>
      </c>
      <c r="G3" s="1">
        <v>1</v>
      </c>
      <c r="I3" s="5" t="s">
        <v>11</v>
      </c>
      <c r="J3" s="5"/>
      <c r="K3" s="9">
        <f>COUNTIF($G$1:$G$100, 0)</f>
        <v>25</v>
      </c>
      <c r="L3" s="9"/>
      <c r="M3" s="9">
        <f>COUNTIFS($G$1:$G$100, 0, $B$1:$B$100, 0)</f>
        <v>13</v>
      </c>
      <c r="N3" s="9"/>
      <c r="O3" s="10">
        <f>COUNTIFS($G$1:$G$100, 0, $B$1:$B$100, 1)</f>
        <v>12</v>
      </c>
      <c r="P3" s="11"/>
      <c r="Q3" s="12" cm="1">
        <f t="array" ref="Q3">SUMPRODUCT(--($D$1:$D$100=$G$1:$G$100))</f>
        <v>0</v>
      </c>
    </row>
    <row r="4" spans="1:17" x14ac:dyDescent="0.3">
      <c r="A4" s="1">
        <v>2</v>
      </c>
      <c r="B4" s="1">
        <v>0</v>
      </c>
      <c r="C4" s="1" t="s">
        <v>5</v>
      </c>
      <c r="D4" s="1">
        <v>29</v>
      </c>
      <c r="E4" s="1" t="s">
        <v>6</v>
      </c>
      <c r="F4" s="1">
        <v>42</v>
      </c>
      <c r="G4" s="1">
        <v>1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5</v>
      </c>
      <c r="D5" s="1">
        <v>29</v>
      </c>
      <c r="E5" s="1" t="s">
        <v>6</v>
      </c>
      <c r="F5" s="1">
        <v>24</v>
      </c>
      <c r="G5" s="1">
        <v>0</v>
      </c>
      <c r="I5" s="5" t="s">
        <v>12</v>
      </c>
      <c r="J5" s="5"/>
      <c r="K5" s="14">
        <f>COUNTIF($G$1:$G$100, 1)</f>
        <v>75</v>
      </c>
      <c r="L5" s="9"/>
      <c r="M5" s="9">
        <f>COUNTIFS($G$1:$G$100, 1, $B$1:$B$100, 0)</f>
        <v>37</v>
      </c>
      <c r="N5" s="9"/>
      <c r="O5" s="9">
        <f>COUNTIFS($G$1:$G$100, 1, $B$1:$B$100, 1)</f>
        <v>38</v>
      </c>
      <c r="P5" s="13"/>
      <c r="Q5"/>
    </row>
    <row r="6" spans="1:17" x14ac:dyDescent="0.3">
      <c r="A6" s="1">
        <v>2</v>
      </c>
      <c r="B6" s="1">
        <v>0</v>
      </c>
      <c r="C6" s="1" t="s">
        <v>5</v>
      </c>
      <c r="D6" s="1">
        <v>37</v>
      </c>
      <c r="E6" s="1" t="s">
        <v>6</v>
      </c>
      <c r="F6" s="1">
        <v>47</v>
      </c>
      <c r="G6" s="1">
        <v>1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5</v>
      </c>
      <c r="D7" s="1">
        <v>12</v>
      </c>
      <c r="E7" s="1" t="s">
        <v>6</v>
      </c>
      <c r="F7" s="1">
        <v>13</v>
      </c>
      <c r="G7" s="1">
        <v>1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5</v>
      </c>
      <c r="D8" s="1">
        <v>15</v>
      </c>
      <c r="E8" s="1" t="s">
        <v>6</v>
      </c>
      <c r="F8" s="1">
        <v>40</v>
      </c>
      <c r="G8" s="1">
        <v>1</v>
      </c>
      <c r="I8" s="19"/>
      <c r="J8" s="20"/>
      <c r="K8" s="21" t="s">
        <v>7</v>
      </c>
      <c r="L8" s="21"/>
      <c r="M8" s="21" t="s">
        <v>13</v>
      </c>
      <c r="N8" s="21"/>
      <c r="O8" s="21" t="s">
        <v>14</v>
      </c>
      <c r="P8" s="21"/>
      <c r="Q8"/>
    </row>
    <row r="9" spans="1:17" x14ac:dyDescent="0.3">
      <c r="A9" s="1">
        <v>2</v>
      </c>
      <c r="B9" s="1">
        <v>0</v>
      </c>
      <c r="C9" s="1" t="s">
        <v>5</v>
      </c>
      <c r="D9" s="1">
        <v>36</v>
      </c>
      <c r="E9" s="1" t="s">
        <v>6</v>
      </c>
      <c r="F9" s="1">
        <v>20</v>
      </c>
      <c r="G9" s="1">
        <v>0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5</v>
      </c>
      <c r="D10" s="1">
        <v>38</v>
      </c>
      <c r="E10" s="1" t="s">
        <v>6</v>
      </c>
      <c r="F10" s="1">
        <v>47</v>
      </c>
      <c r="G10" s="1">
        <v>1</v>
      </c>
      <c r="I10" s="5" t="s">
        <v>15</v>
      </c>
      <c r="J10" s="5"/>
      <c r="K10" s="9">
        <f>AVERAGE($D$1:$D$100,)</f>
        <v>23.019801980198018</v>
      </c>
      <c r="L10" s="9"/>
      <c r="M10" s="9" cm="1">
        <f t="array" ref="M10">AVERAGE(_xlfn._xlws.FILTER($D$1:$D$100,$G$1:$G$100 = 0))</f>
        <v>33.479999999999997</v>
      </c>
      <c r="N10" s="9"/>
      <c r="O10" s="10" cm="1">
        <f t="array" ref="O10">AVERAGE(_xlfn._xlws.FILTER($D$1:$D$100,$G$1:$G$100 = 1))</f>
        <v>19.84</v>
      </c>
      <c r="P10" s="11"/>
      <c r="Q10"/>
    </row>
    <row r="11" spans="1:17" x14ac:dyDescent="0.3">
      <c r="A11" s="1">
        <v>2</v>
      </c>
      <c r="B11" s="1">
        <v>0</v>
      </c>
      <c r="C11" s="1" t="s">
        <v>5</v>
      </c>
      <c r="D11" s="1">
        <v>12</v>
      </c>
      <c r="E11" s="1" t="s">
        <v>6</v>
      </c>
      <c r="F11" s="1">
        <v>57</v>
      </c>
      <c r="G11" s="1">
        <v>1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5</v>
      </c>
      <c r="D12" s="1">
        <v>36</v>
      </c>
      <c r="E12" s="1" t="s">
        <v>6</v>
      </c>
      <c r="F12" s="1">
        <v>38</v>
      </c>
      <c r="G12" s="1">
        <v>1</v>
      </c>
      <c r="I12" s="5" t="s">
        <v>16</v>
      </c>
      <c r="J12" s="5"/>
      <c r="K12" s="9">
        <f>AVERAGE($F$1:$F$100,)</f>
        <v>38.495049504950494</v>
      </c>
      <c r="L12" s="9"/>
      <c r="M12" s="9" cm="1">
        <f t="array" ref="M12">AVERAGE(_xlfn._xlws.FILTER($F$1:$F$100,$G$1:$G$100 = 0))</f>
        <v>24.6</v>
      </c>
      <c r="N12" s="9"/>
      <c r="O12" s="9" cm="1">
        <f t="array" ref="O12">AVERAGE(_xlfn._xlws.FILTER($F$1:$F$100,$G$1:$G$100 = 1))</f>
        <v>43.64</v>
      </c>
      <c r="P12" s="13"/>
      <c r="Q12"/>
    </row>
    <row r="13" spans="1:17" x14ac:dyDescent="0.3">
      <c r="A13" s="1">
        <v>2</v>
      </c>
      <c r="B13" s="1">
        <v>0</v>
      </c>
      <c r="C13" s="1" t="s">
        <v>5</v>
      </c>
      <c r="D13" s="1">
        <v>29</v>
      </c>
      <c r="E13" s="1" t="s">
        <v>6</v>
      </c>
      <c r="F13" s="1">
        <v>65</v>
      </c>
      <c r="G13" s="1">
        <v>1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5</v>
      </c>
      <c r="D14" s="1">
        <v>16</v>
      </c>
      <c r="E14" s="1" t="s">
        <v>6</v>
      </c>
      <c r="F14" s="1">
        <v>56</v>
      </c>
      <c r="G14" s="1">
        <v>1</v>
      </c>
      <c r="I14" s="22" t="s">
        <v>17</v>
      </c>
      <c r="J14" s="11"/>
      <c r="K14" s="23" cm="1">
        <f t="array" ref="K14">AVERAGE($D$1:$D$100 - $F$1:$F$100)</f>
        <v>-15.63</v>
      </c>
      <c r="L14" s="23"/>
      <c r="M14" s="23" cm="1">
        <f t="array" ref="M14">AVERAGE(_xlfn._xlws.FILTER($D$1:$D$100 - $F$1:$F$100, G$1:G$100 = 0))</f>
        <v>8.8800000000000008</v>
      </c>
      <c r="N14" s="23"/>
      <c r="O14" s="23" cm="1">
        <f t="array" ref="O14">AVERAGE(_xlfn._xlws.FILTER($D$1:$D$100 - $F$1:$F$100, G$1:G$100 = 1))</f>
        <v>-23.8</v>
      </c>
      <c r="P14" s="24"/>
      <c r="Q14"/>
    </row>
    <row r="15" spans="1:17" x14ac:dyDescent="0.3">
      <c r="A15" s="1">
        <v>2</v>
      </c>
      <c r="B15" s="1">
        <v>0</v>
      </c>
      <c r="C15" s="1" t="s">
        <v>5</v>
      </c>
      <c r="D15" s="1">
        <v>28</v>
      </c>
      <c r="E15" s="1" t="s">
        <v>6</v>
      </c>
      <c r="F15" s="1">
        <v>52</v>
      </c>
      <c r="G15" s="1">
        <v>1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5</v>
      </c>
      <c r="D16" s="1">
        <v>9</v>
      </c>
      <c r="E16" s="1" t="s">
        <v>6</v>
      </c>
      <c r="F16" s="1">
        <v>47</v>
      </c>
      <c r="G16" s="1">
        <v>1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5</v>
      </c>
      <c r="D17" s="1">
        <v>25</v>
      </c>
      <c r="E17" s="1" t="s">
        <v>6</v>
      </c>
      <c r="F17" s="1">
        <v>27</v>
      </c>
      <c r="G17" s="1">
        <v>1</v>
      </c>
    </row>
    <row r="18" spans="1:7" x14ac:dyDescent="0.3">
      <c r="A18" s="1">
        <v>2</v>
      </c>
      <c r="B18" s="1">
        <v>0</v>
      </c>
      <c r="C18" s="1" t="s">
        <v>5</v>
      </c>
      <c r="D18" s="1">
        <v>42</v>
      </c>
      <c r="E18" s="1" t="s">
        <v>6</v>
      </c>
      <c r="F18" s="1">
        <v>61</v>
      </c>
      <c r="G18" s="1">
        <v>1</v>
      </c>
    </row>
    <row r="19" spans="1:7" x14ac:dyDescent="0.3">
      <c r="A19" s="1">
        <v>2</v>
      </c>
      <c r="B19" s="1">
        <v>0</v>
      </c>
      <c r="C19" s="1" t="s">
        <v>5</v>
      </c>
      <c r="D19" s="1">
        <v>38</v>
      </c>
      <c r="E19" s="1" t="s">
        <v>6</v>
      </c>
      <c r="F19" s="1">
        <v>27</v>
      </c>
      <c r="G19" s="1">
        <v>0</v>
      </c>
    </row>
    <row r="20" spans="1:7" x14ac:dyDescent="0.3">
      <c r="A20" s="1">
        <v>2</v>
      </c>
      <c r="B20" s="1">
        <v>0</v>
      </c>
      <c r="C20" s="1" t="s">
        <v>5</v>
      </c>
      <c r="D20" s="1">
        <v>0</v>
      </c>
      <c r="E20" s="1" t="s">
        <v>6</v>
      </c>
      <c r="F20" s="1">
        <v>61</v>
      </c>
      <c r="G20" s="1">
        <v>1</v>
      </c>
    </row>
    <row r="21" spans="1:7" x14ac:dyDescent="0.3">
      <c r="A21" s="1">
        <v>2</v>
      </c>
      <c r="B21" s="1">
        <v>0</v>
      </c>
      <c r="C21" s="1" t="s">
        <v>5</v>
      </c>
      <c r="D21" s="1">
        <v>18</v>
      </c>
      <c r="E21" s="1" t="s">
        <v>6</v>
      </c>
      <c r="F21" s="1">
        <v>4</v>
      </c>
      <c r="G21" s="1">
        <v>0</v>
      </c>
    </row>
    <row r="22" spans="1:7" x14ac:dyDescent="0.3">
      <c r="A22" s="1">
        <v>2</v>
      </c>
      <c r="B22" s="1">
        <v>0</v>
      </c>
      <c r="C22" s="1" t="s">
        <v>5</v>
      </c>
      <c r="D22" s="1">
        <v>21</v>
      </c>
      <c r="E22" s="1" t="s">
        <v>6</v>
      </c>
      <c r="F22" s="1">
        <v>35</v>
      </c>
      <c r="G22" s="1">
        <v>1</v>
      </c>
    </row>
    <row r="23" spans="1:7" x14ac:dyDescent="0.3">
      <c r="A23" s="1">
        <v>2</v>
      </c>
      <c r="B23" s="1">
        <v>0</v>
      </c>
      <c r="C23" s="1" t="s">
        <v>5</v>
      </c>
      <c r="D23" s="1">
        <v>15</v>
      </c>
      <c r="E23" s="1" t="s">
        <v>6</v>
      </c>
      <c r="F23" s="1">
        <v>34</v>
      </c>
      <c r="G23" s="1">
        <v>1</v>
      </c>
    </row>
    <row r="24" spans="1:7" x14ac:dyDescent="0.3">
      <c r="A24" s="1">
        <v>2</v>
      </c>
      <c r="B24" s="1">
        <v>0</v>
      </c>
      <c r="C24" s="1" t="s">
        <v>5</v>
      </c>
      <c r="D24" s="1">
        <v>8</v>
      </c>
      <c r="E24" s="1" t="s">
        <v>6</v>
      </c>
      <c r="F24" s="1">
        <v>52</v>
      </c>
      <c r="G24" s="1">
        <v>1</v>
      </c>
    </row>
    <row r="25" spans="1:7" x14ac:dyDescent="0.3">
      <c r="A25" s="1">
        <v>2</v>
      </c>
      <c r="B25" s="1">
        <v>0</v>
      </c>
      <c r="C25" s="1" t="s">
        <v>5</v>
      </c>
      <c r="D25" s="1">
        <v>18</v>
      </c>
      <c r="E25" s="1" t="s">
        <v>6</v>
      </c>
      <c r="F25" s="1">
        <v>52</v>
      </c>
      <c r="G25" s="1">
        <v>1</v>
      </c>
    </row>
    <row r="26" spans="1:7" x14ac:dyDescent="0.3">
      <c r="A26" s="1">
        <v>2</v>
      </c>
      <c r="B26" s="1">
        <v>0</v>
      </c>
      <c r="C26" s="1" t="s">
        <v>5</v>
      </c>
      <c r="D26" s="1">
        <v>35</v>
      </c>
      <c r="E26" s="1" t="s">
        <v>6</v>
      </c>
      <c r="F26" s="1">
        <v>64</v>
      </c>
      <c r="G26" s="1">
        <v>1</v>
      </c>
    </row>
    <row r="27" spans="1:7" x14ac:dyDescent="0.3">
      <c r="A27" s="1">
        <v>2</v>
      </c>
      <c r="B27" s="1">
        <v>0</v>
      </c>
      <c r="C27" s="1" t="s">
        <v>5</v>
      </c>
      <c r="D27" s="1">
        <v>18</v>
      </c>
      <c r="E27" s="1" t="s">
        <v>6</v>
      </c>
      <c r="F27" s="1">
        <v>60</v>
      </c>
      <c r="G27" s="1">
        <v>1</v>
      </c>
    </row>
    <row r="28" spans="1:7" x14ac:dyDescent="0.3">
      <c r="A28" s="1">
        <v>2</v>
      </c>
      <c r="B28" s="1">
        <v>0</v>
      </c>
      <c r="C28" s="1" t="s">
        <v>5</v>
      </c>
      <c r="D28" s="1">
        <v>26</v>
      </c>
      <c r="E28" s="1" t="s">
        <v>6</v>
      </c>
      <c r="F28" s="1">
        <v>17</v>
      </c>
      <c r="G28" s="1">
        <v>0</v>
      </c>
    </row>
    <row r="29" spans="1:7" x14ac:dyDescent="0.3">
      <c r="A29" s="1">
        <v>2</v>
      </c>
      <c r="B29" s="1">
        <v>0</v>
      </c>
      <c r="C29" s="1" t="s">
        <v>5</v>
      </c>
      <c r="D29" s="1">
        <v>14</v>
      </c>
      <c r="E29" s="1" t="s">
        <v>6</v>
      </c>
      <c r="F29" s="1">
        <v>30</v>
      </c>
      <c r="G29" s="1">
        <v>1</v>
      </c>
    </row>
    <row r="30" spans="1:7" x14ac:dyDescent="0.3">
      <c r="A30" s="1">
        <v>2</v>
      </c>
      <c r="B30" s="1">
        <v>0</v>
      </c>
      <c r="C30" s="1" t="s">
        <v>5</v>
      </c>
      <c r="D30" s="1">
        <v>29</v>
      </c>
      <c r="E30" s="1" t="s">
        <v>6</v>
      </c>
      <c r="F30" s="1">
        <v>28</v>
      </c>
      <c r="G30" s="1">
        <v>0</v>
      </c>
    </row>
    <row r="31" spans="1:7" x14ac:dyDescent="0.3">
      <c r="A31" s="1">
        <v>2</v>
      </c>
      <c r="B31" s="1">
        <v>0</v>
      </c>
      <c r="C31" s="1" t="s">
        <v>5</v>
      </c>
      <c r="D31" s="1">
        <v>12</v>
      </c>
      <c r="E31" s="1" t="s">
        <v>6</v>
      </c>
      <c r="F31" s="1">
        <v>24</v>
      </c>
      <c r="G31" s="1">
        <v>1</v>
      </c>
    </row>
    <row r="32" spans="1:7" x14ac:dyDescent="0.3">
      <c r="A32" s="1">
        <v>2</v>
      </c>
      <c r="B32" s="1">
        <v>0</v>
      </c>
      <c r="C32" s="1" t="s">
        <v>5</v>
      </c>
      <c r="D32" s="1">
        <v>28</v>
      </c>
      <c r="E32" s="1" t="s">
        <v>6</v>
      </c>
      <c r="F32" s="1">
        <v>11</v>
      </c>
      <c r="G32" s="1">
        <v>0</v>
      </c>
    </row>
    <row r="33" spans="1:7" x14ac:dyDescent="0.3">
      <c r="A33" s="1">
        <v>2</v>
      </c>
      <c r="B33" s="1">
        <v>0</v>
      </c>
      <c r="C33" s="1" t="s">
        <v>5</v>
      </c>
      <c r="D33" s="1">
        <v>24</v>
      </c>
      <c r="E33" s="1" t="s">
        <v>6</v>
      </c>
      <c r="F33" s="1">
        <v>34</v>
      </c>
      <c r="G33" s="1">
        <v>1</v>
      </c>
    </row>
    <row r="34" spans="1:7" x14ac:dyDescent="0.3">
      <c r="A34" s="1">
        <v>2</v>
      </c>
      <c r="B34" s="1">
        <v>0</v>
      </c>
      <c r="C34" s="1" t="s">
        <v>5</v>
      </c>
      <c r="D34" s="1">
        <v>20</v>
      </c>
      <c r="E34" s="1" t="s">
        <v>6</v>
      </c>
      <c r="F34" s="1">
        <v>53</v>
      </c>
      <c r="G34" s="1">
        <v>1</v>
      </c>
    </row>
    <row r="35" spans="1:7" x14ac:dyDescent="0.3">
      <c r="A35" s="1">
        <v>2</v>
      </c>
      <c r="B35" s="1">
        <v>0</v>
      </c>
      <c r="C35" s="1" t="s">
        <v>5</v>
      </c>
      <c r="D35" s="1">
        <v>16</v>
      </c>
      <c r="E35" s="1" t="s">
        <v>6</v>
      </c>
      <c r="F35" s="1">
        <v>16</v>
      </c>
      <c r="G35" s="1">
        <v>0</v>
      </c>
    </row>
    <row r="36" spans="1:7" x14ac:dyDescent="0.3">
      <c r="A36" s="1">
        <v>2</v>
      </c>
      <c r="B36" s="1">
        <v>0</v>
      </c>
      <c r="C36" s="1" t="s">
        <v>5</v>
      </c>
      <c r="D36" s="1">
        <v>35</v>
      </c>
      <c r="E36" s="1" t="s">
        <v>6</v>
      </c>
      <c r="F36" s="1">
        <v>53</v>
      </c>
      <c r="G36" s="1">
        <v>1</v>
      </c>
    </row>
    <row r="37" spans="1:7" x14ac:dyDescent="0.3">
      <c r="A37" s="1">
        <v>2</v>
      </c>
      <c r="B37" s="1">
        <v>0</v>
      </c>
      <c r="C37" s="1" t="s">
        <v>5</v>
      </c>
      <c r="D37" s="1">
        <v>48</v>
      </c>
      <c r="E37" s="1" t="s">
        <v>6</v>
      </c>
      <c r="F37" s="1">
        <v>40</v>
      </c>
      <c r="G37" s="1">
        <v>0</v>
      </c>
    </row>
    <row r="38" spans="1:7" x14ac:dyDescent="0.3">
      <c r="A38" s="1">
        <v>2</v>
      </c>
      <c r="B38" s="1">
        <v>0</v>
      </c>
      <c r="C38" s="1" t="s">
        <v>5</v>
      </c>
      <c r="D38" s="1">
        <v>58</v>
      </c>
      <c r="E38" s="1" t="s">
        <v>6</v>
      </c>
      <c r="F38" s="1">
        <v>54</v>
      </c>
      <c r="G38" s="1">
        <v>0</v>
      </c>
    </row>
    <row r="39" spans="1:7" x14ac:dyDescent="0.3">
      <c r="A39" s="1">
        <v>2</v>
      </c>
      <c r="B39" s="1">
        <v>0</v>
      </c>
      <c r="C39" s="1" t="s">
        <v>5</v>
      </c>
      <c r="D39" s="1">
        <v>25</v>
      </c>
      <c r="E39" s="1" t="s">
        <v>6</v>
      </c>
      <c r="F39" s="1">
        <v>3</v>
      </c>
      <c r="G39" s="1">
        <v>0</v>
      </c>
    </row>
    <row r="40" spans="1:7" x14ac:dyDescent="0.3">
      <c r="A40" s="1">
        <v>2</v>
      </c>
      <c r="B40" s="1">
        <v>0</v>
      </c>
      <c r="C40" s="1" t="s">
        <v>5</v>
      </c>
      <c r="D40" s="1">
        <v>28</v>
      </c>
      <c r="E40" s="1" t="s">
        <v>6</v>
      </c>
      <c r="F40" s="1">
        <v>34</v>
      </c>
      <c r="G40" s="1">
        <v>1</v>
      </c>
    </row>
    <row r="41" spans="1:7" x14ac:dyDescent="0.3">
      <c r="A41" s="1">
        <v>2</v>
      </c>
      <c r="B41" s="1">
        <v>0</v>
      </c>
      <c r="C41" s="1" t="s">
        <v>5</v>
      </c>
      <c r="D41" s="1">
        <v>16</v>
      </c>
      <c r="E41" s="1" t="s">
        <v>6</v>
      </c>
      <c r="F41" s="1">
        <v>46</v>
      </c>
      <c r="G41" s="1">
        <v>1</v>
      </c>
    </row>
    <row r="42" spans="1:7" x14ac:dyDescent="0.3">
      <c r="A42" s="1">
        <v>2</v>
      </c>
      <c r="B42" s="1">
        <v>0</v>
      </c>
      <c r="C42" s="1" t="s">
        <v>5</v>
      </c>
      <c r="D42" s="1">
        <v>19</v>
      </c>
      <c r="E42" s="1" t="s">
        <v>6</v>
      </c>
      <c r="F42" s="1">
        <v>36</v>
      </c>
      <c r="G42" s="1">
        <v>1</v>
      </c>
    </row>
    <row r="43" spans="1:7" x14ac:dyDescent="0.3">
      <c r="A43" s="1">
        <v>2</v>
      </c>
      <c r="B43" s="1">
        <v>0</v>
      </c>
      <c r="C43" s="1" t="s">
        <v>5</v>
      </c>
      <c r="D43" s="1">
        <v>41</v>
      </c>
      <c r="E43" s="1" t="s">
        <v>6</v>
      </c>
      <c r="F43" s="1">
        <v>27</v>
      </c>
      <c r="G43" s="1">
        <v>0</v>
      </c>
    </row>
    <row r="44" spans="1:7" x14ac:dyDescent="0.3">
      <c r="A44" s="1">
        <v>2</v>
      </c>
      <c r="B44" s="1">
        <v>0</v>
      </c>
      <c r="C44" s="1" t="s">
        <v>5</v>
      </c>
      <c r="D44" s="1">
        <v>7</v>
      </c>
      <c r="E44" s="1" t="s">
        <v>6</v>
      </c>
      <c r="F44" s="1">
        <v>48</v>
      </c>
      <c r="G44" s="1">
        <v>1</v>
      </c>
    </row>
    <row r="45" spans="1:7" x14ac:dyDescent="0.3">
      <c r="A45" s="1">
        <v>2</v>
      </c>
      <c r="B45" s="1">
        <v>0</v>
      </c>
      <c r="C45" s="1" t="s">
        <v>5</v>
      </c>
      <c r="D45" s="1">
        <v>11</v>
      </c>
      <c r="E45" s="1" t="s">
        <v>6</v>
      </c>
      <c r="F45" s="1">
        <v>61</v>
      </c>
      <c r="G45" s="1">
        <v>1</v>
      </c>
    </row>
    <row r="46" spans="1:7" x14ac:dyDescent="0.3">
      <c r="A46" s="1">
        <v>2</v>
      </c>
      <c r="B46" s="1">
        <v>0</v>
      </c>
      <c r="C46" s="1" t="s">
        <v>5</v>
      </c>
      <c r="D46" s="1">
        <v>2</v>
      </c>
      <c r="E46" s="1" t="s">
        <v>6</v>
      </c>
      <c r="F46" s="1">
        <v>36</v>
      </c>
      <c r="G46" s="1">
        <v>1</v>
      </c>
    </row>
    <row r="47" spans="1:7" x14ac:dyDescent="0.3">
      <c r="A47" s="1">
        <v>2</v>
      </c>
      <c r="B47" s="1">
        <v>0</v>
      </c>
      <c r="C47" s="1" t="s">
        <v>5</v>
      </c>
      <c r="D47" s="1">
        <v>9</v>
      </c>
      <c r="E47" s="1" t="s">
        <v>6</v>
      </c>
      <c r="F47" s="1">
        <v>28</v>
      </c>
      <c r="G47" s="1">
        <v>1</v>
      </c>
    </row>
    <row r="48" spans="1:7" x14ac:dyDescent="0.3">
      <c r="A48" s="1">
        <v>2</v>
      </c>
      <c r="B48" s="1">
        <v>0</v>
      </c>
      <c r="C48" s="1" t="s">
        <v>5</v>
      </c>
      <c r="D48" s="1">
        <v>62</v>
      </c>
      <c r="E48" s="1" t="s">
        <v>6</v>
      </c>
      <c r="F48" s="1">
        <v>52</v>
      </c>
      <c r="G48" s="1">
        <v>0</v>
      </c>
    </row>
    <row r="49" spans="1:7" x14ac:dyDescent="0.3">
      <c r="A49" s="1">
        <v>2</v>
      </c>
      <c r="B49" s="1">
        <v>0</v>
      </c>
      <c r="C49" s="1" t="s">
        <v>5</v>
      </c>
      <c r="D49" s="1">
        <v>14</v>
      </c>
      <c r="E49" s="1" t="s">
        <v>6</v>
      </c>
      <c r="F49" s="1">
        <v>23</v>
      </c>
      <c r="G49" s="1">
        <v>1</v>
      </c>
    </row>
    <row r="50" spans="1:7" x14ac:dyDescent="0.3">
      <c r="A50" s="1">
        <v>2</v>
      </c>
      <c r="B50" s="1">
        <v>0</v>
      </c>
      <c r="C50" s="1" t="s">
        <v>5</v>
      </c>
      <c r="D50" s="1">
        <v>39</v>
      </c>
      <c r="E50" s="1" t="s">
        <v>6</v>
      </c>
      <c r="F50" s="1">
        <v>66</v>
      </c>
      <c r="G50" s="1">
        <v>1</v>
      </c>
    </row>
    <row r="51" spans="1:7" x14ac:dyDescent="0.3">
      <c r="A51" s="1">
        <v>2</v>
      </c>
      <c r="B51" s="1">
        <v>1</v>
      </c>
      <c r="C51" s="1" t="s">
        <v>5</v>
      </c>
      <c r="D51" s="1">
        <v>33</v>
      </c>
      <c r="E51" s="1" t="s">
        <v>6</v>
      </c>
      <c r="F51" s="1">
        <v>12</v>
      </c>
      <c r="G51" s="1">
        <v>0</v>
      </c>
    </row>
    <row r="52" spans="1:7" x14ac:dyDescent="0.3">
      <c r="A52" s="1">
        <v>2</v>
      </c>
      <c r="B52" s="1">
        <v>1</v>
      </c>
      <c r="C52" s="1" t="s">
        <v>5</v>
      </c>
      <c r="D52" s="1">
        <v>14</v>
      </c>
      <c r="E52" s="1" t="s">
        <v>6</v>
      </c>
      <c r="F52" s="1">
        <v>29</v>
      </c>
      <c r="G52" s="1">
        <v>1</v>
      </c>
    </row>
    <row r="53" spans="1:7" x14ac:dyDescent="0.3">
      <c r="A53" s="1">
        <v>2</v>
      </c>
      <c r="B53" s="1">
        <v>1</v>
      </c>
      <c r="C53" s="1" t="s">
        <v>5</v>
      </c>
      <c r="D53" s="1">
        <v>21</v>
      </c>
      <c r="E53" s="1" t="s">
        <v>6</v>
      </c>
      <c r="F53" s="1">
        <v>33</v>
      </c>
      <c r="G53" s="1">
        <v>1</v>
      </c>
    </row>
    <row r="54" spans="1:7" x14ac:dyDescent="0.3">
      <c r="A54" s="1">
        <v>2</v>
      </c>
      <c r="B54" s="1">
        <v>1</v>
      </c>
      <c r="C54" s="1" t="s">
        <v>5</v>
      </c>
      <c r="D54" s="1">
        <v>28</v>
      </c>
      <c r="E54" s="1" t="s">
        <v>6</v>
      </c>
      <c r="F54" s="1">
        <v>38</v>
      </c>
      <c r="G54" s="1">
        <v>1</v>
      </c>
    </row>
    <row r="55" spans="1:7" x14ac:dyDescent="0.3">
      <c r="A55" s="1">
        <v>2</v>
      </c>
      <c r="B55" s="1">
        <v>1</v>
      </c>
      <c r="C55" s="1" t="s">
        <v>5</v>
      </c>
      <c r="D55" s="1">
        <v>17</v>
      </c>
      <c r="E55" s="1" t="s">
        <v>6</v>
      </c>
      <c r="F55" s="1">
        <v>43</v>
      </c>
      <c r="G55" s="1">
        <v>1</v>
      </c>
    </row>
    <row r="56" spans="1:7" x14ac:dyDescent="0.3">
      <c r="A56" s="1">
        <v>2</v>
      </c>
      <c r="B56" s="1">
        <v>1</v>
      </c>
      <c r="C56" s="1" t="s">
        <v>5</v>
      </c>
      <c r="D56" s="1">
        <v>0</v>
      </c>
      <c r="E56" s="1" t="s">
        <v>6</v>
      </c>
      <c r="F56" s="1">
        <v>55</v>
      </c>
      <c r="G56" s="1">
        <v>1</v>
      </c>
    </row>
    <row r="57" spans="1:7" x14ac:dyDescent="0.3">
      <c r="A57" s="1">
        <v>2</v>
      </c>
      <c r="B57" s="1">
        <v>1</v>
      </c>
      <c r="C57" s="1" t="s">
        <v>5</v>
      </c>
      <c r="D57" s="1">
        <v>22</v>
      </c>
      <c r="E57" s="1" t="s">
        <v>6</v>
      </c>
      <c r="F57" s="1">
        <v>43</v>
      </c>
      <c r="G57" s="1">
        <v>1</v>
      </c>
    </row>
    <row r="58" spans="1:7" x14ac:dyDescent="0.3">
      <c r="A58" s="1">
        <v>2</v>
      </c>
      <c r="B58" s="1">
        <v>1</v>
      </c>
      <c r="C58" s="1" t="s">
        <v>5</v>
      </c>
      <c r="D58" s="1">
        <v>32</v>
      </c>
      <c r="E58" s="1" t="s">
        <v>6</v>
      </c>
      <c r="F58" s="1">
        <v>66</v>
      </c>
      <c r="G58" s="1">
        <v>1</v>
      </c>
    </row>
    <row r="59" spans="1:7" x14ac:dyDescent="0.3">
      <c r="A59" s="1">
        <v>2</v>
      </c>
      <c r="B59" s="1">
        <v>1</v>
      </c>
      <c r="C59" s="1" t="s">
        <v>5</v>
      </c>
      <c r="D59" s="1">
        <v>31</v>
      </c>
      <c r="E59" s="1" t="s">
        <v>6</v>
      </c>
      <c r="F59" s="1">
        <v>62</v>
      </c>
      <c r="G59" s="1">
        <v>1</v>
      </c>
    </row>
    <row r="60" spans="1:7" x14ac:dyDescent="0.3">
      <c r="A60" s="1">
        <v>2</v>
      </c>
      <c r="B60" s="1">
        <v>1</v>
      </c>
      <c r="C60" s="1" t="s">
        <v>5</v>
      </c>
      <c r="D60" s="1">
        <v>7</v>
      </c>
      <c r="E60" s="1" t="s">
        <v>6</v>
      </c>
      <c r="F60" s="1">
        <v>49</v>
      </c>
      <c r="G60" s="1">
        <v>1</v>
      </c>
    </row>
    <row r="61" spans="1:7" x14ac:dyDescent="0.3">
      <c r="A61" s="1">
        <v>2</v>
      </c>
      <c r="B61" s="1">
        <v>1</v>
      </c>
      <c r="C61" s="1" t="s">
        <v>5</v>
      </c>
      <c r="D61" s="1">
        <v>32</v>
      </c>
      <c r="E61" s="1" t="s">
        <v>6</v>
      </c>
      <c r="F61" s="1">
        <v>56</v>
      </c>
      <c r="G61" s="1">
        <v>1</v>
      </c>
    </row>
    <row r="62" spans="1:7" x14ac:dyDescent="0.3">
      <c r="A62" s="1">
        <v>2</v>
      </c>
      <c r="B62" s="1">
        <v>1</v>
      </c>
      <c r="C62" s="1" t="s">
        <v>5</v>
      </c>
      <c r="D62" s="1">
        <v>3</v>
      </c>
      <c r="E62" s="1" t="s">
        <v>6</v>
      </c>
      <c r="F62" s="1">
        <v>35</v>
      </c>
      <c r="G62" s="1">
        <v>1</v>
      </c>
    </row>
    <row r="63" spans="1:7" x14ac:dyDescent="0.3">
      <c r="A63" s="1">
        <v>2</v>
      </c>
      <c r="B63" s="1">
        <v>1</v>
      </c>
      <c r="C63" s="1" t="s">
        <v>5</v>
      </c>
      <c r="D63" s="1">
        <v>9</v>
      </c>
      <c r="E63" s="1" t="s">
        <v>6</v>
      </c>
      <c r="F63" s="1">
        <v>41</v>
      </c>
      <c r="G63" s="1">
        <v>1</v>
      </c>
    </row>
    <row r="64" spans="1:7" x14ac:dyDescent="0.3">
      <c r="A64" s="1">
        <v>2</v>
      </c>
      <c r="B64" s="1">
        <v>1</v>
      </c>
      <c r="C64" s="1" t="s">
        <v>5</v>
      </c>
      <c r="D64" s="1">
        <v>40</v>
      </c>
      <c r="E64" s="1" t="s">
        <v>6</v>
      </c>
      <c r="F64" s="1">
        <v>19</v>
      </c>
      <c r="G64" s="1">
        <v>0</v>
      </c>
    </row>
    <row r="65" spans="1:7" x14ac:dyDescent="0.3">
      <c r="A65" s="1">
        <v>2</v>
      </c>
      <c r="B65" s="1">
        <v>1</v>
      </c>
      <c r="C65" s="1" t="s">
        <v>5</v>
      </c>
      <c r="D65" s="1">
        <v>46</v>
      </c>
      <c r="E65" s="1" t="s">
        <v>6</v>
      </c>
      <c r="F65" s="1">
        <v>69</v>
      </c>
      <c r="G65" s="1">
        <v>1</v>
      </c>
    </row>
    <row r="66" spans="1:7" x14ac:dyDescent="0.3">
      <c r="A66" s="1">
        <v>2</v>
      </c>
      <c r="B66" s="1">
        <v>1</v>
      </c>
      <c r="C66" s="1" t="s">
        <v>5</v>
      </c>
      <c r="D66" s="1">
        <v>15</v>
      </c>
      <c r="E66" s="1" t="s">
        <v>6</v>
      </c>
      <c r="F66" s="1">
        <v>47</v>
      </c>
      <c r="G66" s="1">
        <v>1</v>
      </c>
    </row>
    <row r="67" spans="1:7" x14ac:dyDescent="0.3">
      <c r="A67" s="1">
        <v>2</v>
      </c>
      <c r="B67" s="1">
        <v>1</v>
      </c>
      <c r="C67" s="1" t="s">
        <v>5</v>
      </c>
      <c r="D67" s="1">
        <v>12</v>
      </c>
      <c r="E67" s="1" t="s">
        <v>6</v>
      </c>
      <c r="F67" s="1">
        <v>9</v>
      </c>
      <c r="G67" s="1">
        <v>0</v>
      </c>
    </row>
    <row r="68" spans="1:7" x14ac:dyDescent="0.3">
      <c r="A68" s="1">
        <v>2</v>
      </c>
      <c r="B68" s="1">
        <v>1</v>
      </c>
      <c r="C68" s="1" t="s">
        <v>5</v>
      </c>
      <c r="D68" s="1">
        <v>41</v>
      </c>
      <c r="E68" s="1" t="s">
        <v>6</v>
      </c>
      <c r="F68" s="1">
        <v>45</v>
      </c>
      <c r="G68" s="1">
        <v>1</v>
      </c>
    </row>
    <row r="69" spans="1:7" x14ac:dyDescent="0.3">
      <c r="A69" s="1">
        <v>2</v>
      </c>
      <c r="B69" s="1">
        <v>1</v>
      </c>
      <c r="C69" s="1" t="s">
        <v>5</v>
      </c>
      <c r="D69" s="1">
        <v>39</v>
      </c>
      <c r="E69" s="1" t="s">
        <v>6</v>
      </c>
      <c r="F69" s="1">
        <v>41</v>
      </c>
      <c r="G69" s="1">
        <v>1</v>
      </c>
    </row>
    <row r="70" spans="1:7" x14ac:dyDescent="0.3">
      <c r="A70" s="1">
        <v>2</v>
      </c>
      <c r="B70" s="1">
        <v>1</v>
      </c>
      <c r="C70" s="1" t="s">
        <v>5</v>
      </c>
      <c r="D70" s="1">
        <v>21</v>
      </c>
      <c r="E70" s="1" t="s">
        <v>6</v>
      </c>
      <c r="F70" s="1">
        <v>21</v>
      </c>
      <c r="G70" s="1">
        <v>0</v>
      </c>
    </row>
    <row r="71" spans="1:7" x14ac:dyDescent="0.3">
      <c r="A71" s="1">
        <v>2</v>
      </c>
      <c r="B71" s="1">
        <v>1</v>
      </c>
      <c r="C71" s="1" t="s">
        <v>5</v>
      </c>
      <c r="D71" s="1">
        <v>25</v>
      </c>
      <c r="E71" s="1" t="s">
        <v>6</v>
      </c>
      <c r="F71" s="1">
        <v>40</v>
      </c>
      <c r="G71" s="1">
        <v>1</v>
      </c>
    </row>
    <row r="72" spans="1:7" x14ac:dyDescent="0.3">
      <c r="A72" s="1">
        <v>2</v>
      </c>
      <c r="B72" s="1">
        <v>1</v>
      </c>
      <c r="C72" s="1" t="s">
        <v>5</v>
      </c>
      <c r="D72" s="1">
        <v>23</v>
      </c>
      <c r="E72" s="1" t="s">
        <v>6</v>
      </c>
      <c r="F72" s="1">
        <v>26</v>
      </c>
      <c r="G72" s="1">
        <v>1</v>
      </c>
    </row>
    <row r="73" spans="1:7" x14ac:dyDescent="0.3">
      <c r="A73" s="1">
        <v>2</v>
      </c>
      <c r="B73" s="1">
        <v>1</v>
      </c>
      <c r="C73" s="1" t="s">
        <v>5</v>
      </c>
      <c r="D73" s="1">
        <v>8</v>
      </c>
      <c r="E73" s="1" t="s">
        <v>6</v>
      </c>
      <c r="F73" s="1">
        <v>20</v>
      </c>
      <c r="G73" s="1">
        <v>1</v>
      </c>
    </row>
    <row r="74" spans="1:7" x14ac:dyDescent="0.3">
      <c r="A74" s="1">
        <v>2</v>
      </c>
      <c r="B74" s="1">
        <v>1</v>
      </c>
      <c r="C74" s="1" t="s">
        <v>5</v>
      </c>
      <c r="D74" s="1">
        <v>5</v>
      </c>
      <c r="E74" s="1" t="s">
        <v>6</v>
      </c>
      <c r="F74" s="1">
        <v>57</v>
      </c>
      <c r="G74" s="1">
        <v>1</v>
      </c>
    </row>
    <row r="75" spans="1:7" x14ac:dyDescent="0.3">
      <c r="A75" s="1">
        <v>2</v>
      </c>
      <c r="B75" s="1">
        <v>1</v>
      </c>
      <c r="C75" s="1" t="s">
        <v>5</v>
      </c>
      <c r="D75" s="1">
        <v>22</v>
      </c>
      <c r="E75" s="1" t="s">
        <v>6</v>
      </c>
      <c r="F75" s="1">
        <v>30</v>
      </c>
      <c r="G75" s="1">
        <v>1</v>
      </c>
    </row>
    <row r="76" spans="1:7" x14ac:dyDescent="0.3">
      <c r="A76" s="1">
        <v>2</v>
      </c>
      <c r="B76" s="1">
        <v>1</v>
      </c>
      <c r="C76" s="1" t="s">
        <v>5</v>
      </c>
      <c r="D76" s="1">
        <v>25</v>
      </c>
      <c r="E76" s="1" t="s">
        <v>6</v>
      </c>
      <c r="F76" s="1">
        <v>44</v>
      </c>
      <c r="G76" s="1">
        <v>1</v>
      </c>
    </row>
    <row r="77" spans="1:7" x14ac:dyDescent="0.3">
      <c r="A77" s="1">
        <v>2</v>
      </c>
      <c r="B77" s="1">
        <v>1</v>
      </c>
      <c r="C77" s="1" t="s">
        <v>5</v>
      </c>
      <c r="D77" s="1">
        <v>23</v>
      </c>
      <c r="E77" s="1" t="s">
        <v>6</v>
      </c>
      <c r="F77" s="1">
        <v>43</v>
      </c>
      <c r="G77" s="1">
        <v>1</v>
      </c>
    </row>
    <row r="78" spans="1:7" x14ac:dyDescent="0.3">
      <c r="A78" s="1">
        <v>2</v>
      </c>
      <c r="B78" s="1">
        <v>1</v>
      </c>
      <c r="C78" s="1" t="s">
        <v>5</v>
      </c>
      <c r="D78" s="1">
        <v>8</v>
      </c>
      <c r="E78" s="1" t="s">
        <v>6</v>
      </c>
      <c r="F78" s="1">
        <v>25</v>
      </c>
      <c r="G78" s="1">
        <v>1</v>
      </c>
    </row>
    <row r="79" spans="1:7" x14ac:dyDescent="0.3">
      <c r="A79" s="1">
        <v>2</v>
      </c>
      <c r="B79" s="1">
        <v>1</v>
      </c>
      <c r="C79" s="1" t="s">
        <v>5</v>
      </c>
      <c r="D79" s="1">
        <v>41</v>
      </c>
      <c r="E79" s="1" t="s">
        <v>6</v>
      </c>
      <c r="F79" s="1">
        <v>34</v>
      </c>
      <c r="G79" s="1">
        <v>0</v>
      </c>
    </row>
    <row r="80" spans="1:7" x14ac:dyDescent="0.3">
      <c r="A80" s="1">
        <v>2</v>
      </c>
      <c r="B80" s="1">
        <v>1</v>
      </c>
      <c r="C80" s="1" t="s">
        <v>5</v>
      </c>
      <c r="D80" s="1">
        <v>8</v>
      </c>
      <c r="E80" s="1" t="s">
        <v>6</v>
      </c>
      <c r="F80" s="1">
        <v>36</v>
      </c>
      <c r="G80" s="1">
        <v>1</v>
      </c>
    </row>
    <row r="81" spans="1:7" x14ac:dyDescent="0.3">
      <c r="A81" s="1">
        <v>2</v>
      </c>
      <c r="B81" s="1">
        <v>1</v>
      </c>
      <c r="C81" s="1" t="s">
        <v>5</v>
      </c>
      <c r="D81" s="1">
        <v>25</v>
      </c>
      <c r="E81" s="1" t="s">
        <v>6</v>
      </c>
      <c r="F81" s="1">
        <v>27</v>
      </c>
      <c r="G81" s="1">
        <v>1</v>
      </c>
    </row>
    <row r="82" spans="1:7" x14ac:dyDescent="0.3">
      <c r="A82" s="1">
        <v>2</v>
      </c>
      <c r="B82" s="1">
        <v>1</v>
      </c>
      <c r="C82" s="1" t="s">
        <v>5</v>
      </c>
      <c r="D82" s="1">
        <v>6</v>
      </c>
      <c r="E82" s="1" t="s">
        <v>6</v>
      </c>
      <c r="F82" s="1">
        <v>18</v>
      </c>
      <c r="G82" s="1">
        <v>1</v>
      </c>
    </row>
    <row r="83" spans="1:7" x14ac:dyDescent="0.3">
      <c r="A83" s="1">
        <v>2</v>
      </c>
      <c r="B83" s="1">
        <v>1</v>
      </c>
      <c r="C83" s="1" t="s">
        <v>5</v>
      </c>
      <c r="D83" s="1">
        <v>40</v>
      </c>
      <c r="E83" s="1" t="s">
        <v>6</v>
      </c>
      <c r="F83" s="1">
        <v>38</v>
      </c>
      <c r="G83" s="1">
        <v>0</v>
      </c>
    </row>
    <row r="84" spans="1:7" x14ac:dyDescent="0.3">
      <c r="A84" s="1">
        <v>2</v>
      </c>
      <c r="B84" s="1">
        <v>1</v>
      </c>
      <c r="C84" s="1" t="s">
        <v>5</v>
      </c>
      <c r="D84" s="1">
        <v>14</v>
      </c>
      <c r="E84" s="1" t="s">
        <v>6</v>
      </c>
      <c r="F84" s="1">
        <v>39</v>
      </c>
      <c r="G84" s="1">
        <v>1</v>
      </c>
    </row>
    <row r="85" spans="1:7" x14ac:dyDescent="0.3">
      <c r="A85" s="1">
        <v>2</v>
      </c>
      <c r="B85" s="1">
        <v>1</v>
      </c>
      <c r="C85" s="1" t="s">
        <v>5</v>
      </c>
      <c r="D85" s="1">
        <v>40</v>
      </c>
      <c r="E85" s="1" t="s">
        <v>6</v>
      </c>
      <c r="F85" s="1">
        <v>39</v>
      </c>
      <c r="G85" s="1">
        <v>0</v>
      </c>
    </row>
    <row r="86" spans="1:7" x14ac:dyDescent="0.3">
      <c r="A86" s="1">
        <v>2</v>
      </c>
      <c r="B86" s="1">
        <v>1</v>
      </c>
      <c r="C86" s="1" t="s">
        <v>5</v>
      </c>
      <c r="D86" s="1">
        <v>5</v>
      </c>
      <c r="E86" s="1" t="s">
        <v>6</v>
      </c>
      <c r="F86" s="1">
        <v>56</v>
      </c>
      <c r="G86" s="1">
        <v>1</v>
      </c>
    </row>
    <row r="87" spans="1:7" x14ac:dyDescent="0.3">
      <c r="A87" s="1">
        <v>2</v>
      </c>
      <c r="B87" s="1">
        <v>1</v>
      </c>
      <c r="C87" s="1" t="s">
        <v>5</v>
      </c>
      <c r="D87" s="1">
        <v>0</v>
      </c>
      <c r="E87" s="1" t="s">
        <v>6</v>
      </c>
      <c r="F87" s="1">
        <v>59</v>
      </c>
      <c r="G87" s="1">
        <v>1</v>
      </c>
    </row>
    <row r="88" spans="1:7" x14ac:dyDescent="0.3">
      <c r="A88" s="1">
        <v>2</v>
      </c>
      <c r="B88" s="1">
        <v>1</v>
      </c>
      <c r="C88" s="1" t="s">
        <v>5</v>
      </c>
      <c r="D88" s="1">
        <v>17</v>
      </c>
      <c r="E88" s="1" t="s">
        <v>6</v>
      </c>
      <c r="F88" s="1">
        <v>32</v>
      </c>
      <c r="G88" s="1">
        <v>1</v>
      </c>
    </row>
    <row r="89" spans="1:7" x14ac:dyDescent="0.3">
      <c r="A89" s="1">
        <v>2</v>
      </c>
      <c r="B89" s="1">
        <v>1</v>
      </c>
      <c r="C89" s="1" t="s">
        <v>5</v>
      </c>
      <c r="D89" s="1">
        <v>19</v>
      </c>
      <c r="E89" s="1" t="s">
        <v>6</v>
      </c>
      <c r="F89" s="1">
        <v>16</v>
      </c>
      <c r="G89" s="1">
        <v>0</v>
      </c>
    </row>
    <row r="90" spans="1:7" x14ac:dyDescent="0.3">
      <c r="A90" s="1">
        <v>2</v>
      </c>
      <c r="B90" s="1">
        <v>1</v>
      </c>
      <c r="C90" s="1" t="s">
        <v>5</v>
      </c>
      <c r="D90" s="1">
        <v>38</v>
      </c>
      <c r="E90" s="1" t="s">
        <v>6</v>
      </c>
      <c r="F90" s="1">
        <v>32</v>
      </c>
      <c r="G90" s="1">
        <v>0</v>
      </c>
    </row>
    <row r="91" spans="1:7" x14ac:dyDescent="0.3">
      <c r="A91" s="1">
        <v>2</v>
      </c>
      <c r="B91" s="1">
        <v>1</v>
      </c>
      <c r="C91" s="1" t="s">
        <v>5</v>
      </c>
      <c r="D91" s="1">
        <v>9</v>
      </c>
      <c r="E91" s="1" t="s">
        <v>6</v>
      </c>
      <c r="F91" s="1">
        <v>9</v>
      </c>
      <c r="G91" s="1">
        <v>0</v>
      </c>
    </row>
    <row r="92" spans="1:7" x14ac:dyDescent="0.3">
      <c r="A92" s="1">
        <v>2</v>
      </c>
      <c r="B92" s="1">
        <v>1</v>
      </c>
      <c r="C92" s="1" t="s">
        <v>5</v>
      </c>
      <c r="D92" s="1">
        <v>18</v>
      </c>
      <c r="E92" s="1" t="s">
        <v>6</v>
      </c>
      <c r="F92" s="1">
        <v>35</v>
      </c>
      <c r="G92" s="1">
        <v>1</v>
      </c>
    </row>
    <row r="93" spans="1:7" x14ac:dyDescent="0.3">
      <c r="A93" s="1">
        <v>2</v>
      </c>
      <c r="B93" s="1">
        <v>1</v>
      </c>
      <c r="C93" s="1" t="s">
        <v>5</v>
      </c>
      <c r="D93" s="1">
        <v>22</v>
      </c>
      <c r="E93" s="1" t="s">
        <v>6</v>
      </c>
      <c r="F93" s="1">
        <v>45</v>
      </c>
      <c r="G93" s="1">
        <v>1</v>
      </c>
    </row>
    <row r="94" spans="1:7" x14ac:dyDescent="0.3">
      <c r="A94" s="1">
        <v>2</v>
      </c>
      <c r="B94" s="1">
        <v>1</v>
      </c>
      <c r="C94" s="1" t="s">
        <v>5</v>
      </c>
      <c r="D94" s="1">
        <v>16</v>
      </c>
      <c r="E94" s="1" t="s">
        <v>6</v>
      </c>
      <c r="F94" s="1">
        <v>34</v>
      </c>
      <c r="G94" s="1">
        <v>1</v>
      </c>
    </row>
    <row r="95" spans="1:7" x14ac:dyDescent="0.3">
      <c r="A95" s="1">
        <v>2</v>
      </c>
      <c r="B95" s="1">
        <v>1</v>
      </c>
      <c r="C95" s="1" t="s">
        <v>5</v>
      </c>
      <c r="D95" s="1">
        <v>54</v>
      </c>
      <c r="E95" s="1" t="s">
        <v>6</v>
      </c>
      <c r="F95" s="1">
        <v>28</v>
      </c>
      <c r="G95" s="1">
        <v>0</v>
      </c>
    </row>
    <row r="96" spans="1:7" x14ac:dyDescent="0.3">
      <c r="A96" s="1">
        <v>2</v>
      </c>
      <c r="B96" s="1">
        <v>1</v>
      </c>
      <c r="C96" s="1" t="s">
        <v>5</v>
      </c>
      <c r="D96" s="1">
        <v>36</v>
      </c>
      <c r="E96" s="1" t="s">
        <v>6</v>
      </c>
      <c r="F96" s="1">
        <v>35</v>
      </c>
      <c r="G96" s="1">
        <v>0</v>
      </c>
    </row>
    <row r="97" spans="1:7" x14ac:dyDescent="0.3">
      <c r="A97" s="1">
        <v>2</v>
      </c>
      <c r="B97" s="1">
        <v>1</v>
      </c>
      <c r="C97" s="1" t="s">
        <v>5</v>
      </c>
      <c r="D97" s="1">
        <v>32</v>
      </c>
      <c r="E97" s="1" t="s">
        <v>6</v>
      </c>
      <c r="F97" s="1">
        <v>41</v>
      </c>
      <c r="G97" s="1">
        <v>1</v>
      </c>
    </row>
    <row r="98" spans="1:7" x14ac:dyDescent="0.3">
      <c r="A98" s="1">
        <v>2</v>
      </c>
      <c r="B98" s="1">
        <v>1</v>
      </c>
      <c r="C98" s="1" t="s">
        <v>5</v>
      </c>
      <c r="D98" s="1">
        <v>41</v>
      </c>
      <c r="E98" s="1" t="s">
        <v>6</v>
      </c>
      <c r="F98" s="1">
        <v>53</v>
      </c>
      <c r="G98" s="1">
        <v>1</v>
      </c>
    </row>
    <row r="99" spans="1:7" x14ac:dyDescent="0.3">
      <c r="A99" s="1">
        <v>2</v>
      </c>
      <c r="B99" s="1">
        <v>1</v>
      </c>
      <c r="C99" s="1" t="s">
        <v>5</v>
      </c>
      <c r="D99" s="1">
        <v>30</v>
      </c>
      <c r="E99" s="1" t="s">
        <v>6</v>
      </c>
      <c r="F99" s="1">
        <v>68</v>
      </c>
      <c r="G99" s="1">
        <v>1</v>
      </c>
    </row>
    <row r="100" spans="1:7" x14ac:dyDescent="0.3">
      <c r="A100" s="1">
        <v>2</v>
      </c>
      <c r="B100" s="1">
        <v>1</v>
      </c>
      <c r="C100" s="1" t="s">
        <v>5</v>
      </c>
      <c r="D100" s="1">
        <v>31</v>
      </c>
      <c r="E100" s="1" t="s">
        <v>6</v>
      </c>
      <c r="F100" s="1">
        <v>44</v>
      </c>
      <c r="G100" s="1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E1953-6F1B-4B9E-9F40-C0573627B942}">
  <dimension ref="A1:Q100"/>
  <sheetViews>
    <sheetView topLeftCell="G1" workbookViewId="0">
      <selection activeCell="G23" sqref="G23"/>
    </sheetView>
  </sheetViews>
  <sheetFormatPr defaultRowHeight="14.4" x14ac:dyDescent="0.3"/>
  <cols>
    <col min="1" max="16384" width="8.88671875" style="1"/>
  </cols>
  <sheetData>
    <row r="1" spans="1:17" x14ac:dyDescent="0.3">
      <c r="A1" s="1">
        <v>2</v>
      </c>
      <c r="B1" s="1">
        <v>0</v>
      </c>
      <c r="C1" s="1" t="s">
        <v>1</v>
      </c>
      <c r="D1" s="1">
        <v>42</v>
      </c>
      <c r="E1" s="1" t="s">
        <v>6</v>
      </c>
      <c r="F1" s="1">
        <v>37</v>
      </c>
      <c r="G1" s="1">
        <v>0</v>
      </c>
      <c r="I1" s="2"/>
      <c r="J1" s="3"/>
      <c r="K1" s="4" t="s">
        <v>7</v>
      </c>
      <c r="L1" s="4"/>
      <c r="M1" s="5" t="s">
        <v>8</v>
      </c>
      <c r="N1" s="5"/>
      <c r="O1" s="5" t="s">
        <v>9</v>
      </c>
      <c r="P1" s="5"/>
      <c r="Q1"/>
    </row>
    <row r="2" spans="1:17" x14ac:dyDescent="0.3">
      <c r="A2" s="1">
        <v>2</v>
      </c>
      <c r="B2" s="1">
        <v>0</v>
      </c>
      <c r="C2" s="1" t="s">
        <v>1</v>
      </c>
      <c r="D2" s="1">
        <v>0</v>
      </c>
      <c r="E2" s="1" t="s">
        <v>6</v>
      </c>
      <c r="F2" s="1">
        <v>37</v>
      </c>
      <c r="G2" s="1">
        <v>1</v>
      </c>
      <c r="I2" s="6"/>
      <c r="J2" s="7"/>
      <c r="K2" s="4"/>
      <c r="L2" s="4"/>
      <c r="M2" s="5"/>
      <c r="N2" s="5"/>
      <c r="O2" s="5"/>
      <c r="P2" s="5"/>
      <c r="Q2" s="8" t="s">
        <v>10</v>
      </c>
    </row>
    <row r="3" spans="1:17" x14ac:dyDescent="0.3">
      <c r="A3" s="1">
        <v>2</v>
      </c>
      <c r="B3" s="1">
        <v>0</v>
      </c>
      <c r="C3" s="1" t="s">
        <v>1</v>
      </c>
      <c r="D3" s="1">
        <v>4</v>
      </c>
      <c r="E3" s="1" t="s">
        <v>6</v>
      </c>
      <c r="F3" s="1">
        <v>23</v>
      </c>
      <c r="G3" s="1">
        <v>1</v>
      </c>
      <c r="I3" s="5" t="s">
        <v>11</v>
      </c>
      <c r="J3" s="5"/>
      <c r="K3" s="9">
        <f>COUNTIF($G$1:$G$100, 0)</f>
        <v>6</v>
      </c>
      <c r="L3" s="9"/>
      <c r="M3" s="9">
        <f>COUNTIFS($G$1:$G$100, 0, $B$1:$B$100, 0)</f>
        <v>3</v>
      </c>
      <c r="N3" s="9"/>
      <c r="O3" s="10">
        <f>COUNTIFS($G$1:$G$100, 0, $B$1:$B$100, 1)</f>
        <v>3</v>
      </c>
      <c r="P3" s="11"/>
      <c r="Q3" s="12" cm="1">
        <f t="array" ref="Q3">SUMPRODUCT(--($D$1:$D$100=$G$1:$G$100))</f>
        <v>1</v>
      </c>
    </row>
    <row r="4" spans="1:17" x14ac:dyDescent="0.3">
      <c r="A4" s="1">
        <v>2</v>
      </c>
      <c r="B4" s="1">
        <v>0</v>
      </c>
      <c r="C4" s="1" t="s">
        <v>1</v>
      </c>
      <c r="D4" s="1">
        <v>13</v>
      </c>
      <c r="E4" s="1" t="s">
        <v>6</v>
      </c>
      <c r="F4" s="1">
        <v>66</v>
      </c>
      <c r="G4" s="1">
        <v>1</v>
      </c>
      <c r="I4" s="5"/>
      <c r="J4" s="5"/>
      <c r="K4" s="9"/>
      <c r="L4" s="9"/>
      <c r="M4" s="9"/>
      <c r="N4" s="9"/>
      <c r="O4" s="9"/>
      <c r="P4" s="13"/>
      <c r="Q4"/>
    </row>
    <row r="5" spans="1:17" x14ac:dyDescent="0.3">
      <c r="A5" s="1">
        <v>2</v>
      </c>
      <c r="B5" s="1">
        <v>0</v>
      </c>
      <c r="C5" s="1" t="s">
        <v>1</v>
      </c>
      <c r="D5" s="1">
        <v>10</v>
      </c>
      <c r="E5" s="1" t="s">
        <v>6</v>
      </c>
      <c r="F5" s="1">
        <v>63</v>
      </c>
      <c r="G5" s="1">
        <v>1</v>
      </c>
      <c r="I5" s="5" t="s">
        <v>12</v>
      </c>
      <c r="J5" s="5"/>
      <c r="K5" s="14">
        <f>COUNTIF($G$1:$G$100, 1)</f>
        <v>94</v>
      </c>
      <c r="L5" s="9"/>
      <c r="M5" s="9">
        <f>COUNTIFS($G$1:$G$100, 1, $B$1:$B$100, 0)</f>
        <v>47</v>
      </c>
      <c r="N5" s="9"/>
      <c r="O5" s="9">
        <f>COUNTIFS($G$1:$G$100, 1, $B$1:$B$100, 1)</f>
        <v>47</v>
      </c>
      <c r="P5" s="13"/>
      <c r="Q5"/>
    </row>
    <row r="6" spans="1:17" x14ac:dyDescent="0.3">
      <c r="A6" s="1">
        <v>2</v>
      </c>
      <c r="B6" s="1">
        <v>0</v>
      </c>
      <c r="C6" s="1" t="s">
        <v>1</v>
      </c>
      <c r="D6" s="1">
        <v>28</v>
      </c>
      <c r="E6" s="1" t="s">
        <v>6</v>
      </c>
      <c r="F6" s="1">
        <v>35</v>
      </c>
      <c r="G6" s="1">
        <v>1</v>
      </c>
      <c r="I6" s="5"/>
      <c r="J6" s="5"/>
      <c r="K6" s="15"/>
      <c r="L6" s="16"/>
      <c r="M6" s="16"/>
      <c r="N6" s="16"/>
      <c r="O6" s="16"/>
      <c r="P6" s="17"/>
      <c r="Q6"/>
    </row>
    <row r="7" spans="1:17" x14ac:dyDescent="0.3">
      <c r="A7" s="1">
        <v>2</v>
      </c>
      <c r="B7" s="1">
        <v>0</v>
      </c>
      <c r="C7" s="1" t="s">
        <v>1</v>
      </c>
      <c r="D7" s="1">
        <v>0</v>
      </c>
      <c r="E7" s="1" t="s">
        <v>6</v>
      </c>
      <c r="F7" s="1">
        <v>58</v>
      </c>
      <c r="G7" s="1">
        <v>1</v>
      </c>
      <c r="I7" s="18"/>
      <c r="J7" s="18"/>
      <c r="K7" s="18"/>
      <c r="L7" s="18"/>
      <c r="M7" s="18"/>
      <c r="N7" s="18"/>
      <c r="O7" s="18"/>
      <c r="P7" s="18"/>
      <c r="Q7"/>
    </row>
    <row r="8" spans="1:17" x14ac:dyDescent="0.3">
      <c r="A8" s="1">
        <v>2</v>
      </c>
      <c r="B8" s="1">
        <v>0</v>
      </c>
      <c r="C8" s="1" t="s">
        <v>1</v>
      </c>
      <c r="D8" s="1">
        <v>21</v>
      </c>
      <c r="E8" s="1" t="s">
        <v>6</v>
      </c>
      <c r="F8" s="1">
        <v>28</v>
      </c>
      <c r="G8" s="1">
        <v>1</v>
      </c>
      <c r="I8" s="19"/>
      <c r="J8" s="20"/>
      <c r="K8" s="21" t="s">
        <v>7</v>
      </c>
      <c r="L8" s="21"/>
      <c r="M8" s="21" t="s">
        <v>13</v>
      </c>
      <c r="N8" s="21"/>
      <c r="O8" s="21" t="s">
        <v>14</v>
      </c>
      <c r="P8" s="21"/>
      <c r="Q8"/>
    </row>
    <row r="9" spans="1:17" x14ac:dyDescent="0.3">
      <c r="A9" s="1">
        <v>2</v>
      </c>
      <c r="B9" s="1">
        <v>0</v>
      </c>
      <c r="C9" s="1" t="s">
        <v>1</v>
      </c>
      <c r="D9" s="1">
        <v>25</v>
      </c>
      <c r="E9" s="1" t="s">
        <v>6</v>
      </c>
      <c r="F9" s="1">
        <v>41</v>
      </c>
      <c r="G9" s="1">
        <v>1</v>
      </c>
      <c r="I9" s="6"/>
      <c r="J9" s="7"/>
      <c r="K9" s="21"/>
      <c r="L9" s="21"/>
      <c r="M9" s="21"/>
      <c r="N9" s="21"/>
      <c r="O9" s="21"/>
      <c r="P9" s="21"/>
      <c r="Q9"/>
    </row>
    <row r="10" spans="1:17" x14ac:dyDescent="0.3">
      <c r="A10" s="1">
        <v>2</v>
      </c>
      <c r="B10" s="1">
        <v>0</v>
      </c>
      <c r="C10" s="1" t="s">
        <v>1</v>
      </c>
      <c r="D10" s="1">
        <v>34</v>
      </c>
      <c r="E10" s="1" t="s">
        <v>6</v>
      </c>
      <c r="F10" s="1">
        <v>50</v>
      </c>
      <c r="G10" s="1">
        <v>1</v>
      </c>
      <c r="I10" s="5" t="s">
        <v>15</v>
      </c>
      <c r="J10" s="5"/>
      <c r="K10" s="9">
        <f>AVERAGE($D$1:$D$100,)</f>
        <v>13.099009900990099</v>
      </c>
      <c r="L10" s="9"/>
      <c r="M10" s="9" cm="1">
        <f t="array" ref="M10">AVERAGE(_xlfn._xlws.FILTER($D$1:$D$100,$G$1:$G$100 = 0))</f>
        <v>32.833333333333336</v>
      </c>
      <c r="N10" s="9"/>
      <c r="O10" s="10" cm="1">
        <f t="array" ref="O10">AVERAGE(_xlfn._xlws.FILTER($D$1:$D$100,$G$1:$G$100 = 1))</f>
        <v>11.978723404255319</v>
      </c>
      <c r="P10" s="11"/>
      <c r="Q10"/>
    </row>
    <row r="11" spans="1:17" x14ac:dyDescent="0.3">
      <c r="A11" s="1">
        <v>2</v>
      </c>
      <c r="B11" s="1">
        <v>0</v>
      </c>
      <c r="C11" s="1" t="s">
        <v>1</v>
      </c>
      <c r="D11" s="1">
        <v>3</v>
      </c>
      <c r="E11" s="1" t="s">
        <v>6</v>
      </c>
      <c r="F11" s="1">
        <v>49</v>
      </c>
      <c r="G11" s="1">
        <v>1</v>
      </c>
      <c r="I11" s="5"/>
      <c r="J11" s="5"/>
      <c r="K11" s="9"/>
      <c r="L11" s="9"/>
      <c r="M11" s="9"/>
      <c r="N11" s="9"/>
      <c r="O11" s="9"/>
      <c r="P11" s="13"/>
      <c r="Q11"/>
    </row>
    <row r="12" spans="1:17" x14ac:dyDescent="0.3">
      <c r="A12" s="1">
        <v>2</v>
      </c>
      <c r="B12" s="1">
        <v>0</v>
      </c>
      <c r="C12" s="1" t="s">
        <v>1</v>
      </c>
      <c r="D12" s="1">
        <v>20</v>
      </c>
      <c r="E12" s="1" t="s">
        <v>6</v>
      </c>
      <c r="F12" s="1">
        <v>54</v>
      </c>
      <c r="G12" s="1">
        <v>1</v>
      </c>
      <c r="I12" s="5" t="s">
        <v>16</v>
      </c>
      <c r="J12" s="5"/>
      <c r="K12" s="9">
        <f>AVERAGE($F$1:$F$100,)</f>
        <v>43.643564356435647</v>
      </c>
      <c r="L12" s="9"/>
      <c r="M12" s="9" cm="1">
        <f t="array" ref="M12">AVERAGE(_xlfn._xlws.FILTER($F$1:$F$100,$G$1:$G$100 = 0))</f>
        <v>21.666666666666668</v>
      </c>
      <c r="N12" s="9"/>
      <c r="O12" s="9" cm="1">
        <f t="array" ref="O12">AVERAGE(_xlfn._xlws.FILTER($F$1:$F$100,$G$1:$G$100 = 1))</f>
        <v>45.51063829787234</v>
      </c>
      <c r="P12" s="13"/>
      <c r="Q12"/>
    </row>
    <row r="13" spans="1:17" x14ac:dyDescent="0.3">
      <c r="A13" s="1">
        <v>2</v>
      </c>
      <c r="B13" s="1">
        <v>0</v>
      </c>
      <c r="C13" s="1" t="s">
        <v>1</v>
      </c>
      <c r="D13" s="1">
        <v>3</v>
      </c>
      <c r="E13" s="1" t="s">
        <v>6</v>
      </c>
      <c r="F13" s="1">
        <v>40</v>
      </c>
      <c r="G13" s="1">
        <v>1</v>
      </c>
      <c r="I13" s="5"/>
      <c r="J13" s="5"/>
      <c r="K13" s="9"/>
      <c r="L13" s="9"/>
      <c r="M13" s="9"/>
      <c r="N13" s="9"/>
      <c r="O13" s="9"/>
      <c r="P13" s="13"/>
      <c r="Q13"/>
    </row>
    <row r="14" spans="1:17" x14ac:dyDescent="0.3">
      <c r="A14" s="1">
        <v>2</v>
      </c>
      <c r="B14" s="1">
        <v>0</v>
      </c>
      <c r="C14" s="1" t="s">
        <v>1</v>
      </c>
      <c r="D14" s="1">
        <v>0</v>
      </c>
      <c r="E14" s="1" t="s">
        <v>6</v>
      </c>
      <c r="F14" s="1">
        <v>38</v>
      </c>
      <c r="G14" s="1">
        <v>1</v>
      </c>
      <c r="I14" s="22" t="s">
        <v>17</v>
      </c>
      <c r="J14" s="11"/>
      <c r="K14" s="23" cm="1">
        <f t="array" ref="K14">AVERAGE($D$1:$D$100 - $F$1:$F$100)</f>
        <v>-30.85</v>
      </c>
      <c r="L14" s="23"/>
      <c r="M14" s="23" cm="1">
        <f t="array" ref="M14">AVERAGE(_xlfn._xlws.FILTER($D$1:$D$100 - $F$1:$F$100, G$1:G$100 = 0))</f>
        <v>11.166666666666666</v>
      </c>
      <c r="N14" s="23"/>
      <c r="O14" s="23" cm="1">
        <f t="array" ref="O14">AVERAGE(_xlfn._xlws.FILTER($D$1:$D$100 - $F$1:$F$100, G$1:G$100 = 1))</f>
        <v>-33.531914893617021</v>
      </c>
      <c r="P14" s="24"/>
      <c r="Q14"/>
    </row>
    <row r="15" spans="1:17" x14ac:dyDescent="0.3">
      <c r="A15" s="1">
        <v>2</v>
      </c>
      <c r="B15" s="1">
        <v>0</v>
      </c>
      <c r="C15" s="1" t="s">
        <v>1</v>
      </c>
      <c r="D15" s="1">
        <v>4</v>
      </c>
      <c r="E15" s="1" t="s">
        <v>6</v>
      </c>
      <c r="F15" s="1">
        <v>30</v>
      </c>
      <c r="G15" s="1">
        <v>1</v>
      </c>
      <c r="I15" s="14"/>
      <c r="J15" s="13"/>
      <c r="K15" s="23"/>
      <c r="L15" s="23"/>
      <c r="M15" s="23"/>
      <c r="N15" s="23"/>
      <c r="O15" s="23"/>
      <c r="P15" s="24"/>
      <c r="Q15"/>
    </row>
    <row r="16" spans="1:17" x14ac:dyDescent="0.3">
      <c r="A16" s="1">
        <v>2</v>
      </c>
      <c r="B16" s="1">
        <v>0</v>
      </c>
      <c r="C16" s="1" t="s">
        <v>1</v>
      </c>
      <c r="D16" s="1">
        <v>5</v>
      </c>
      <c r="E16" s="1" t="s">
        <v>6</v>
      </c>
      <c r="F16" s="1">
        <v>62</v>
      </c>
      <c r="G16" s="1">
        <v>1</v>
      </c>
      <c r="I16" s="15"/>
      <c r="J16" s="17"/>
      <c r="K16" s="25"/>
      <c r="L16" s="25"/>
      <c r="M16" s="25"/>
      <c r="N16" s="25"/>
      <c r="O16" s="25"/>
      <c r="P16" s="26"/>
      <c r="Q16"/>
    </row>
    <row r="17" spans="1:7" x14ac:dyDescent="0.3">
      <c r="A17" s="1">
        <v>2</v>
      </c>
      <c r="B17" s="1">
        <v>0</v>
      </c>
      <c r="C17" s="1" t="s">
        <v>1</v>
      </c>
      <c r="D17" s="1">
        <v>0</v>
      </c>
      <c r="E17" s="1" t="s">
        <v>6</v>
      </c>
      <c r="F17" s="1">
        <v>42</v>
      </c>
      <c r="G17" s="1">
        <v>1</v>
      </c>
    </row>
    <row r="18" spans="1:7" x14ac:dyDescent="0.3">
      <c r="A18" s="1">
        <v>2</v>
      </c>
      <c r="B18" s="1">
        <v>0</v>
      </c>
      <c r="C18" s="1" t="s">
        <v>1</v>
      </c>
      <c r="D18" s="1">
        <v>0</v>
      </c>
      <c r="E18" s="1" t="s">
        <v>6</v>
      </c>
      <c r="F18" s="1">
        <v>44</v>
      </c>
      <c r="G18" s="1">
        <v>1</v>
      </c>
    </row>
    <row r="19" spans="1:7" x14ac:dyDescent="0.3">
      <c r="A19" s="1">
        <v>2</v>
      </c>
      <c r="B19" s="1">
        <v>0</v>
      </c>
      <c r="C19" s="1" t="s">
        <v>1</v>
      </c>
      <c r="D19" s="1">
        <v>5</v>
      </c>
      <c r="E19" s="1" t="s">
        <v>6</v>
      </c>
      <c r="F19" s="1">
        <v>43</v>
      </c>
      <c r="G19" s="1">
        <v>1</v>
      </c>
    </row>
    <row r="20" spans="1:7" x14ac:dyDescent="0.3">
      <c r="A20" s="1">
        <v>2</v>
      </c>
      <c r="B20" s="1">
        <v>0</v>
      </c>
      <c r="C20" s="1" t="s">
        <v>1</v>
      </c>
      <c r="D20" s="1">
        <v>4</v>
      </c>
      <c r="E20" s="1" t="s">
        <v>6</v>
      </c>
      <c r="F20" s="1">
        <v>18</v>
      </c>
      <c r="G20" s="1">
        <v>1</v>
      </c>
    </row>
    <row r="21" spans="1:7" x14ac:dyDescent="0.3">
      <c r="A21" s="1">
        <v>2</v>
      </c>
      <c r="B21" s="1">
        <v>0</v>
      </c>
      <c r="C21" s="1" t="s">
        <v>1</v>
      </c>
      <c r="D21" s="1">
        <v>7</v>
      </c>
      <c r="E21" s="1" t="s">
        <v>6</v>
      </c>
      <c r="F21" s="1">
        <v>29</v>
      </c>
      <c r="G21" s="1">
        <v>1</v>
      </c>
    </row>
    <row r="22" spans="1:7" x14ac:dyDescent="0.3">
      <c r="A22" s="1">
        <v>2</v>
      </c>
      <c r="B22" s="1">
        <v>0</v>
      </c>
      <c r="C22" s="1" t="s">
        <v>1</v>
      </c>
      <c r="D22" s="1">
        <v>19</v>
      </c>
      <c r="E22" s="1" t="s">
        <v>6</v>
      </c>
      <c r="F22" s="1">
        <v>37</v>
      </c>
      <c r="G22" s="1">
        <v>1</v>
      </c>
    </row>
    <row r="23" spans="1:7" x14ac:dyDescent="0.3">
      <c r="A23" s="1">
        <v>2</v>
      </c>
      <c r="B23" s="1">
        <v>0</v>
      </c>
      <c r="C23" s="1" t="s">
        <v>1</v>
      </c>
      <c r="D23" s="1">
        <v>10</v>
      </c>
      <c r="E23" s="1" t="s">
        <v>6</v>
      </c>
      <c r="F23" s="1">
        <v>46</v>
      </c>
      <c r="G23" s="1">
        <v>1</v>
      </c>
    </row>
    <row r="24" spans="1:7" x14ac:dyDescent="0.3">
      <c r="A24" s="1">
        <v>2</v>
      </c>
      <c r="B24" s="1">
        <v>0</v>
      </c>
      <c r="C24" s="1" t="s">
        <v>1</v>
      </c>
      <c r="D24" s="1">
        <v>0</v>
      </c>
      <c r="E24" s="1" t="s">
        <v>6</v>
      </c>
      <c r="F24" s="1">
        <v>43</v>
      </c>
      <c r="G24" s="1">
        <v>1</v>
      </c>
    </row>
    <row r="25" spans="1:7" x14ac:dyDescent="0.3">
      <c r="A25" s="1">
        <v>2</v>
      </c>
      <c r="B25" s="1">
        <v>0</v>
      </c>
      <c r="C25" s="1" t="s">
        <v>1</v>
      </c>
      <c r="D25" s="1">
        <v>14</v>
      </c>
      <c r="E25" s="1" t="s">
        <v>6</v>
      </c>
      <c r="F25" s="1">
        <v>56</v>
      </c>
      <c r="G25" s="1">
        <v>1</v>
      </c>
    </row>
    <row r="26" spans="1:7" x14ac:dyDescent="0.3">
      <c r="A26" s="1">
        <v>2</v>
      </c>
      <c r="B26" s="1">
        <v>0</v>
      </c>
      <c r="C26" s="1" t="s">
        <v>1</v>
      </c>
      <c r="D26" s="1">
        <v>12</v>
      </c>
      <c r="E26" s="1" t="s">
        <v>6</v>
      </c>
      <c r="F26" s="1">
        <v>23</v>
      </c>
      <c r="G26" s="1">
        <v>1</v>
      </c>
    </row>
    <row r="27" spans="1:7" x14ac:dyDescent="0.3">
      <c r="A27" s="1">
        <v>2</v>
      </c>
      <c r="B27" s="1">
        <v>0</v>
      </c>
      <c r="C27" s="1" t="s">
        <v>1</v>
      </c>
      <c r="D27" s="1">
        <v>2</v>
      </c>
      <c r="E27" s="1" t="s">
        <v>6</v>
      </c>
      <c r="F27" s="1">
        <v>31</v>
      </c>
      <c r="G27" s="1">
        <v>1</v>
      </c>
    </row>
    <row r="28" spans="1:7" x14ac:dyDescent="0.3">
      <c r="A28" s="1">
        <v>2</v>
      </c>
      <c r="B28" s="1">
        <v>0</v>
      </c>
      <c r="C28" s="1" t="s">
        <v>1</v>
      </c>
      <c r="D28" s="1">
        <v>0</v>
      </c>
      <c r="E28" s="1" t="s">
        <v>6</v>
      </c>
      <c r="F28" s="1">
        <v>36</v>
      </c>
      <c r="G28" s="1">
        <v>1</v>
      </c>
    </row>
    <row r="29" spans="1:7" x14ac:dyDescent="0.3">
      <c r="A29" s="1">
        <v>2</v>
      </c>
      <c r="B29" s="1">
        <v>0</v>
      </c>
      <c r="C29" s="1" t="s">
        <v>1</v>
      </c>
      <c r="D29" s="1">
        <v>0</v>
      </c>
      <c r="E29" s="1" t="s">
        <v>6</v>
      </c>
      <c r="F29" s="1">
        <v>41</v>
      </c>
      <c r="G29" s="1">
        <v>1</v>
      </c>
    </row>
    <row r="30" spans="1:7" x14ac:dyDescent="0.3">
      <c r="A30" s="1">
        <v>2</v>
      </c>
      <c r="B30" s="1">
        <v>0</v>
      </c>
      <c r="C30" s="1" t="s">
        <v>1</v>
      </c>
      <c r="D30" s="1">
        <v>11</v>
      </c>
      <c r="E30" s="1" t="s">
        <v>6</v>
      </c>
      <c r="F30" s="1">
        <v>39</v>
      </c>
      <c r="G30" s="1">
        <v>1</v>
      </c>
    </row>
    <row r="31" spans="1:7" x14ac:dyDescent="0.3">
      <c r="A31" s="1">
        <v>2</v>
      </c>
      <c r="B31" s="1">
        <v>0</v>
      </c>
      <c r="C31" s="1" t="s">
        <v>1</v>
      </c>
      <c r="D31" s="1">
        <v>4</v>
      </c>
      <c r="E31" s="1" t="s">
        <v>6</v>
      </c>
      <c r="F31" s="1">
        <v>45</v>
      </c>
      <c r="G31" s="1">
        <v>1</v>
      </c>
    </row>
    <row r="32" spans="1:7" x14ac:dyDescent="0.3">
      <c r="A32" s="1">
        <v>2</v>
      </c>
      <c r="B32" s="1">
        <v>0</v>
      </c>
      <c r="C32" s="1" t="s">
        <v>1</v>
      </c>
      <c r="D32" s="1">
        <v>32</v>
      </c>
      <c r="E32" s="1" t="s">
        <v>6</v>
      </c>
      <c r="F32" s="1">
        <v>19</v>
      </c>
      <c r="G32" s="1">
        <v>0</v>
      </c>
    </row>
    <row r="33" spans="1:7" x14ac:dyDescent="0.3">
      <c r="A33" s="1">
        <v>2</v>
      </c>
      <c r="B33" s="1">
        <v>0</v>
      </c>
      <c r="C33" s="1" t="s">
        <v>1</v>
      </c>
      <c r="D33" s="1">
        <v>4</v>
      </c>
      <c r="E33" s="1" t="s">
        <v>6</v>
      </c>
      <c r="F33" s="1">
        <v>21</v>
      </c>
      <c r="G33" s="1">
        <v>1</v>
      </c>
    </row>
    <row r="34" spans="1:7" x14ac:dyDescent="0.3">
      <c r="A34" s="1">
        <v>2</v>
      </c>
      <c r="B34" s="1">
        <v>0</v>
      </c>
      <c r="C34" s="1" t="s">
        <v>1</v>
      </c>
      <c r="D34" s="1">
        <v>16</v>
      </c>
      <c r="E34" s="1" t="s">
        <v>6</v>
      </c>
      <c r="F34" s="1">
        <v>37</v>
      </c>
      <c r="G34" s="1">
        <v>1</v>
      </c>
    </row>
    <row r="35" spans="1:7" x14ac:dyDescent="0.3">
      <c r="A35" s="1">
        <v>2</v>
      </c>
      <c r="B35" s="1">
        <v>0</v>
      </c>
      <c r="C35" s="1" t="s">
        <v>1</v>
      </c>
      <c r="D35" s="1">
        <v>16</v>
      </c>
      <c r="E35" s="1" t="s">
        <v>6</v>
      </c>
      <c r="F35" s="1">
        <v>41</v>
      </c>
      <c r="G35" s="1">
        <v>1</v>
      </c>
    </row>
    <row r="36" spans="1:7" x14ac:dyDescent="0.3">
      <c r="A36" s="1">
        <v>2</v>
      </c>
      <c r="B36" s="1">
        <v>0</v>
      </c>
      <c r="C36" s="1" t="s">
        <v>1</v>
      </c>
      <c r="D36" s="1">
        <v>2</v>
      </c>
      <c r="E36" s="1" t="s">
        <v>6</v>
      </c>
      <c r="F36" s="1">
        <v>57</v>
      </c>
      <c r="G36" s="1">
        <v>1</v>
      </c>
    </row>
    <row r="37" spans="1:7" x14ac:dyDescent="0.3">
      <c r="A37" s="1">
        <v>2</v>
      </c>
      <c r="B37" s="1">
        <v>0</v>
      </c>
      <c r="C37" s="1" t="s">
        <v>1</v>
      </c>
      <c r="D37" s="1">
        <v>27</v>
      </c>
      <c r="E37" s="1" t="s">
        <v>6</v>
      </c>
      <c r="F37" s="1">
        <v>57</v>
      </c>
      <c r="G37" s="1">
        <v>1</v>
      </c>
    </row>
    <row r="38" spans="1:7" x14ac:dyDescent="0.3">
      <c r="A38" s="1">
        <v>2</v>
      </c>
      <c r="B38" s="1">
        <v>0</v>
      </c>
      <c r="C38" s="1" t="s">
        <v>1</v>
      </c>
      <c r="D38" s="1">
        <v>6</v>
      </c>
      <c r="E38" s="1" t="s">
        <v>6</v>
      </c>
      <c r="F38" s="1">
        <v>23</v>
      </c>
      <c r="G38" s="1">
        <v>1</v>
      </c>
    </row>
    <row r="39" spans="1:7" x14ac:dyDescent="0.3">
      <c r="A39" s="1">
        <v>2</v>
      </c>
      <c r="B39" s="1">
        <v>0</v>
      </c>
      <c r="C39" s="1" t="s">
        <v>1</v>
      </c>
      <c r="D39" s="1">
        <v>3</v>
      </c>
      <c r="E39" s="1" t="s">
        <v>6</v>
      </c>
      <c r="F39" s="1">
        <v>33</v>
      </c>
      <c r="G39" s="1">
        <v>1</v>
      </c>
    </row>
    <row r="40" spans="1:7" x14ac:dyDescent="0.3">
      <c r="A40" s="1">
        <v>2</v>
      </c>
      <c r="B40" s="1">
        <v>0</v>
      </c>
      <c r="C40" s="1" t="s">
        <v>1</v>
      </c>
      <c r="D40" s="1">
        <v>46</v>
      </c>
      <c r="E40" s="1" t="s">
        <v>6</v>
      </c>
      <c r="F40" s="1">
        <v>30</v>
      </c>
      <c r="G40" s="1">
        <v>0</v>
      </c>
    </row>
    <row r="41" spans="1:7" x14ac:dyDescent="0.3">
      <c r="A41" s="1">
        <v>2</v>
      </c>
      <c r="B41" s="1">
        <v>0</v>
      </c>
      <c r="C41" s="1" t="s">
        <v>1</v>
      </c>
      <c r="D41" s="1">
        <v>3</v>
      </c>
      <c r="E41" s="1" t="s">
        <v>6</v>
      </c>
      <c r="F41" s="1">
        <v>53</v>
      </c>
      <c r="G41" s="1">
        <v>1</v>
      </c>
    </row>
    <row r="42" spans="1:7" x14ac:dyDescent="0.3">
      <c r="A42" s="1">
        <v>2</v>
      </c>
      <c r="B42" s="1">
        <v>0</v>
      </c>
      <c r="C42" s="1" t="s">
        <v>1</v>
      </c>
      <c r="D42" s="1">
        <v>9</v>
      </c>
      <c r="E42" s="1" t="s">
        <v>6</v>
      </c>
      <c r="F42" s="1">
        <v>66</v>
      </c>
      <c r="G42" s="1">
        <v>1</v>
      </c>
    </row>
    <row r="43" spans="1:7" x14ac:dyDescent="0.3">
      <c r="A43" s="1">
        <v>2</v>
      </c>
      <c r="B43" s="1">
        <v>0</v>
      </c>
      <c r="C43" s="1" t="s">
        <v>1</v>
      </c>
      <c r="D43" s="1">
        <v>0</v>
      </c>
      <c r="E43" s="1" t="s">
        <v>6</v>
      </c>
      <c r="F43" s="1">
        <v>30</v>
      </c>
      <c r="G43" s="1">
        <v>1</v>
      </c>
    </row>
    <row r="44" spans="1:7" x14ac:dyDescent="0.3">
      <c r="A44" s="1">
        <v>2</v>
      </c>
      <c r="B44" s="1">
        <v>0</v>
      </c>
      <c r="C44" s="1" t="s">
        <v>1</v>
      </c>
      <c r="D44" s="1">
        <v>17</v>
      </c>
      <c r="E44" s="1" t="s">
        <v>6</v>
      </c>
      <c r="F44" s="1">
        <v>34</v>
      </c>
      <c r="G44" s="1">
        <v>1</v>
      </c>
    </row>
    <row r="45" spans="1:7" x14ac:dyDescent="0.3">
      <c r="A45" s="1">
        <v>2</v>
      </c>
      <c r="B45" s="1">
        <v>0</v>
      </c>
      <c r="C45" s="1" t="s">
        <v>1</v>
      </c>
      <c r="D45" s="1">
        <v>0</v>
      </c>
      <c r="E45" s="1" t="s">
        <v>6</v>
      </c>
      <c r="F45" s="1">
        <v>65</v>
      </c>
      <c r="G45" s="1">
        <v>1</v>
      </c>
    </row>
    <row r="46" spans="1:7" x14ac:dyDescent="0.3">
      <c r="A46" s="1">
        <v>2</v>
      </c>
      <c r="B46" s="1">
        <v>0</v>
      </c>
      <c r="C46" s="1" t="s">
        <v>1</v>
      </c>
      <c r="D46" s="1">
        <v>17</v>
      </c>
      <c r="E46" s="1" t="s">
        <v>6</v>
      </c>
      <c r="F46" s="1">
        <v>68</v>
      </c>
      <c r="G46" s="1">
        <v>1</v>
      </c>
    </row>
    <row r="47" spans="1:7" x14ac:dyDescent="0.3">
      <c r="A47" s="1">
        <v>2</v>
      </c>
      <c r="B47" s="1">
        <v>0</v>
      </c>
      <c r="C47" s="1" t="s">
        <v>1</v>
      </c>
      <c r="D47" s="1">
        <v>11</v>
      </c>
      <c r="E47" s="1" t="s">
        <v>6</v>
      </c>
      <c r="F47" s="1">
        <v>72</v>
      </c>
      <c r="G47" s="1">
        <v>1</v>
      </c>
    </row>
    <row r="48" spans="1:7" x14ac:dyDescent="0.3">
      <c r="A48" s="1">
        <v>2</v>
      </c>
      <c r="B48" s="1">
        <v>0</v>
      </c>
      <c r="C48" s="1" t="s">
        <v>1</v>
      </c>
      <c r="D48" s="1">
        <v>22</v>
      </c>
      <c r="E48" s="1" t="s">
        <v>6</v>
      </c>
      <c r="F48" s="1">
        <v>40</v>
      </c>
      <c r="G48" s="1">
        <v>1</v>
      </c>
    </row>
    <row r="49" spans="1:7" x14ac:dyDescent="0.3">
      <c r="A49" s="1">
        <v>2</v>
      </c>
      <c r="B49" s="1">
        <v>0</v>
      </c>
      <c r="C49" s="1" t="s">
        <v>1</v>
      </c>
      <c r="D49" s="1">
        <v>23</v>
      </c>
      <c r="E49" s="1" t="s">
        <v>6</v>
      </c>
      <c r="F49" s="1">
        <v>54</v>
      </c>
      <c r="G49" s="1">
        <v>1</v>
      </c>
    </row>
    <row r="50" spans="1:7" x14ac:dyDescent="0.3">
      <c r="A50" s="1">
        <v>2</v>
      </c>
      <c r="B50" s="1">
        <v>0</v>
      </c>
      <c r="C50" s="1" t="s">
        <v>1</v>
      </c>
      <c r="D50" s="1">
        <v>5</v>
      </c>
      <c r="E50" s="1" t="s">
        <v>6</v>
      </c>
      <c r="F50" s="1">
        <v>42</v>
      </c>
      <c r="G50" s="1">
        <v>1</v>
      </c>
    </row>
    <row r="51" spans="1:7" x14ac:dyDescent="0.3">
      <c r="A51" s="1">
        <v>2</v>
      </c>
      <c r="B51" s="1">
        <v>1</v>
      </c>
      <c r="C51" s="1" t="s">
        <v>1</v>
      </c>
      <c r="D51" s="1">
        <v>6</v>
      </c>
      <c r="E51" s="1" t="s">
        <v>6</v>
      </c>
      <c r="F51" s="1">
        <v>42</v>
      </c>
      <c r="G51" s="1">
        <v>1</v>
      </c>
    </row>
    <row r="52" spans="1:7" x14ac:dyDescent="0.3">
      <c r="A52" s="1">
        <v>2</v>
      </c>
      <c r="B52" s="1">
        <v>1</v>
      </c>
      <c r="C52" s="1" t="s">
        <v>1</v>
      </c>
      <c r="D52" s="1">
        <v>8</v>
      </c>
      <c r="E52" s="1" t="s">
        <v>6</v>
      </c>
      <c r="F52" s="1">
        <v>22</v>
      </c>
      <c r="G52" s="1">
        <v>1</v>
      </c>
    </row>
    <row r="53" spans="1:7" x14ac:dyDescent="0.3">
      <c r="A53" s="1">
        <v>2</v>
      </c>
      <c r="B53" s="1">
        <v>1</v>
      </c>
      <c r="C53" s="1" t="s">
        <v>1</v>
      </c>
      <c r="D53" s="1">
        <v>20</v>
      </c>
      <c r="E53" s="1" t="s">
        <v>6</v>
      </c>
      <c r="F53" s="1">
        <v>66</v>
      </c>
      <c r="G53" s="1">
        <v>1</v>
      </c>
    </row>
    <row r="54" spans="1:7" x14ac:dyDescent="0.3">
      <c r="A54" s="1">
        <v>2</v>
      </c>
      <c r="B54" s="1">
        <v>1</v>
      </c>
      <c r="C54" s="1" t="s">
        <v>1</v>
      </c>
      <c r="D54" s="1">
        <v>33</v>
      </c>
      <c r="E54" s="1" t="s">
        <v>6</v>
      </c>
      <c r="F54" s="1">
        <v>37</v>
      </c>
      <c r="G54" s="1">
        <v>1</v>
      </c>
    </row>
    <row r="55" spans="1:7" x14ac:dyDescent="0.3">
      <c r="A55" s="1">
        <v>2</v>
      </c>
      <c r="B55" s="1">
        <v>1</v>
      </c>
      <c r="C55" s="1" t="s">
        <v>1</v>
      </c>
      <c r="D55" s="1">
        <v>18</v>
      </c>
      <c r="E55" s="1" t="s">
        <v>6</v>
      </c>
      <c r="F55" s="1">
        <v>47</v>
      </c>
      <c r="G55" s="1">
        <v>1</v>
      </c>
    </row>
    <row r="56" spans="1:7" x14ac:dyDescent="0.3">
      <c r="A56" s="1">
        <v>2</v>
      </c>
      <c r="B56" s="1">
        <v>1</v>
      </c>
      <c r="C56" s="1" t="s">
        <v>1</v>
      </c>
      <c r="D56" s="1">
        <v>7</v>
      </c>
      <c r="E56" s="1" t="s">
        <v>6</v>
      </c>
      <c r="F56" s="1">
        <v>43</v>
      </c>
      <c r="G56" s="1">
        <v>1</v>
      </c>
    </row>
    <row r="57" spans="1:7" x14ac:dyDescent="0.3">
      <c r="A57" s="1">
        <v>2</v>
      </c>
      <c r="B57" s="1">
        <v>1</v>
      </c>
      <c r="C57" s="1" t="s">
        <v>1</v>
      </c>
      <c r="D57" s="1">
        <v>31</v>
      </c>
      <c r="E57" s="1" t="s">
        <v>6</v>
      </c>
      <c r="F57" s="1">
        <v>26</v>
      </c>
      <c r="G57" s="1">
        <v>0</v>
      </c>
    </row>
    <row r="58" spans="1:7" x14ac:dyDescent="0.3">
      <c r="A58" s="1">
        <v>2</v>
      </c>
      <c r="B58" s="1">
        <v>1</v>
      </c>
      <c r="C58" s="1" t="s">
        <v>1</v>
      </c>
      <c r="D58" s="1">
        <v>6</v>
      </c>
      <c r="E58" s="1" t="s">
        <v>6</v>
      </c>
      <c r="F58" s="1">
        <v>56</v>
      </c>
      <c r="G58" s="1">
        <v>1</v>
      </c>
    </row>
    <row r="59" spans="1:7" x14ac:dyDescent="0.3">
      <c r="A59" s="1">
        <v>2</v>
      </c>
      <c r="B59" s="1">
        <v>1</v>
      </c>
      <c r="C59" s="1" t="s">
        <v>1</v>
      </c>
      <c r="D59" s="1">
        <v>25</v>
      </c>
      <c r="E59" s="1" t="s">
        <v>6</v>
      </c>
      <c r="F59" s="1">
        <v>28</v>
      </c>
      <c r="G59" s="1">
        <v>1</v>
      </c>
    </row>
    <row r="60" spans="1:7" x14ac:dyDescent="0.3">
      <c r="A60" s="1">
        <v>2</v>
      </c>
      <c r="B60" s="1">
        <v>1</v>
      </c>
      <c r="C60" s="1" t="s">
        <v>1</v>
      </c>
      <c r="D60" s="1">
        <v>28</v>
      </c>
      <c r="E60" s="1" t="s">
        <v>6</v>
      </c>
      <c r="F60" s="1">
        <v>43</v>
      </c>
      <c r="G60" s="1">
        <v>1</v>
      </c>
    </row>
    <row r="61" spans="1:7" x14ac:dyDescent="0.3">
      <c r="A61" s="1">
        <v>2</v>
      </c>
      <c r="B61" s="1">
        <v>1</v>
      </c>
      <c r="C61" s="1" t="s">
        <v>1</v>
      </c>
      <c r="D61" s="1">
        <v>4</v>
      </c>
      <c r="E61" s="1" t="s">
        <v>6</v>
      </c>
      <c r="F61" s="1">
        <v>50</v>
      </c>
      <c r="G61" s="1">
        <v>1</v>
      </c>
    </row>
    <row r="62" spans="1:7" x14ac:dyDescent="0.3">
      <c r="A62" s="1">
        <v>2</v>
      </c>
      <c r="B62" s="1">
        <v>1</v>
      </c>
      <c r="C62" s="1" t="s">
        <v>1</v>
      </c>
      <c r="D62" s="1">
        <v>10</v>
      </c>
      <c r="E62" s="1" t="s">
        <v>6</v>
      </c>
      <c r="F62" s="1">
        <v>62</v>
      </c>
      <c r="G62" s="1">
        <v>1</v>
      </c>
    </row>
    <row r="63" spans="1:7" x14ac:dyDescent="0.3">
      <c r="A63" s="1">
        <v>2</v>
      </c>
      <c r="B63" s="1">
        <v>1</v>
      </c>
      <c r="C63" s="1" t="s">
        <v>1</v>
      </c>
      <c r="D63" s="1">
        <v>3</v>
      </c>
      <c r="E63" s="1" t="s">
        <v>6</v>
      </c>
      <c r="F63" s="1">
        <v>49</v>
      </c>
      <c r="G63" s="1">
        <v>1</v>
      </c>
    </row>
    <row r="64" spans="1:7" x14ac:dyDescent="0.3">
      <c r="A64" s="1">
        <v>2</v>
      </c>
      <c r="B64" s="1">
        <v>1</v>
      </c>
      <c r="C64" s="1" t="s">
        <v>1</v>
      </c>
      <c r="D64" s="1">
        <v>5</v>
      </c>
      <c r="E64" s="1" t="s">
        <v>6</v>
      </c>
      <c r="F64" s="1">
        <v>38</v>
      </c>
      <c r="G64" s="1">
        <v>1</v>
      </c>
    </row>
    <row r="65" spans="1:7" x14ac:dyDescent="0.3">
      <c r="A65" s="1">
        <v>2</v>
      </c>
      <c r="B65" s="1">
        <v>1</v>
      </c>
      <c r="C65" s="1" t="s">
        <v>1</v>
      </c>
      <c r="D65" s="1">
        <v>15</v>
      </c>
      <c r="E65" s="1" t="s">
        <v>6</v>
      </c>
      <c r="F65" s="1">
        <v>51</v>
      </c>
      <c r="G65" s="1">
        <v>1</v>
      </c>
    </row>
    <row r="66" spans="1:7" x14ac:dyDescent="0.3">
      <c r="A66" s="1">
        <v>2</v>
      </c>
      <c r="B66" s="1">
        <v>1</v>
      </c>
      <c r="C66" s="1" t="s">
        <v>1</v>
      </c>
      <c r="D66" s="1">
        <v>15</v>
      </c>
      <c r="E66" s="1" t="s">
        <v>6</v>
      </c>
      <c r="F66" s="1">
        <v>8</v>
      </c>
      <c r="G66" s="1">
        <v>0</v>
      </c>
    </row>
    <row r="67" spans="1:7" x14ac:dyDescent="0.3">
      <c r="A67" s="1">
        <v>2</v>
      </c>
      <c r="B67" s="1">
        <v>1</v>
      </c>
      <c r="C67" s="1" t="s">
        <v>1</v>
      </c>
      <c r="D67" s="1">
        <v>39</v>
      </c>
      <c r="E67" s="1" t="s">
        <v>6</v>
      </c>
      <c r="F67" s="1">
        <v>48</v>
      </c>
      <c r="G67" s="1">
        <v>1</v>
      </c>
    </row>
    <row r="68" spans="1:7" x14ac:dyDescent="0.3">
      <c r="A68" s="1">
        <v>2</v>
      </c>
      <c r="B68" s="1">
        <v>1</v>
      </c>
      <c r="C68" s="1" t="s">
        <v>1</v>
      </c>
      <c r="D68" s="1">
        <v>13</v>
      </c>
      <c r="E68" s="1" t="s">
        <v>6</v>
      </c>
      <c r="F68" s="1">
        <v>58</v>
      </c>
      <c r="G68" s="1">
        <v>1</v>
      </c>
    </row>
    <row r="69" spans="1:7" x14ac:dyDescent="0.3">
      <c r="A69" s="1">
        <v>2</v>
      </c>
      <c r="B69" s="1">
        <v>1</v>
      </c>
      <c r="C69" s="1" t="s">
        <v>1</v>
      </c>
      <c r="D69" s="1">
        <v>3</v>
      </c>
      <c r="E69" s="1" t="s">
        <v>6</v>
      </c>
      <c r="F69" s="1">
        <v>71</v>
      </c>
      <c r="G69" s="1">
        <v>1</v>
      </c>
    </row>
    <row r="70" spans="1:7" x14ac:dyDescent="0.3">
      <c r="A70" s="1">
        <v>2</v>
      </c>
      <c r="B70" s="1">
        <v>1</v>
      </c>
      <c r="C70" s="1" t="s">
        <v>1</v>
      </c>
      <c r="D70" s="1">
        <v>6</v>
      </c>
      <c r="E70" s="1" t="s">
        <v>6</v>
      </c>
      <c r="F70" s="1">
        <v>50</v>
      </c>
      <c r="G70" s="1">
        <v>1</v>
      </c>
    </row>
    <row r="71" spans="1:7" x14ac:dyDescent="0.3">
      <c r="A71" s="1">
        <v>2</v>
      </c>
      <c r="B71" s="1">
        <v>1</v>
      </c>
      <c r="C71" s="1" t="s">
        <v>1</v>
      </c>
      <c r="D71" s="1">
        <v>16</v>
      </c>
      <c r="E71" s="1" t="s">
        <v>6</v>
      </c>
      <c r="F71" s="1">
        <v>40</v>
      </c>
      <c r="G71" s="1">
        <v>1</v>
      </c>
    </row>
    <row r="72" spans="1:7" x14ac:dyDescent="0.3">
      <c r="A72" s="1">
        <v>2</v>
      </c>
      <c r="B72" s="1">
        <v>1</v>
      </c>
      <c r="C72" s="1" t="s">
        <v>1</v>
      </c>
      <c r="D72" s="1">
        <v>31</v>
      </c>
      <c r="E72" s="1" t="s">
        <v>6</v>
      </c>
      <c r="F72" s="1">
        <v>10</v>
      </c>
      <c r="G72" s="1">
        <v>0</v>
      </c>
    </row>
    <row r="73" spans="1:7" x14ac:dyDescent="0.3">
      <c r="A73" s="1">
        <v>2</v>
      </c>
      <c r="B73" s="1">
        <v>1</v>
      </c>
      <c r="C73" s="1" t="s">
        <v>1</v>
      </c>
      <c r="D73" s="1">
        <v>30</v>
      </c>
      <c r="E73" s="1" t="s">
        <v>6</v>
      </c>
      <c r="F73" s="1">
        <v>36</v>
      </c>
      <c r="G73" s="1">
        <v>1</v>
      </c>
    </row>
    <row r="74" spans="1:7" x14ac:dyDescent="0.3">
      <c r="A74" s="1">
        <v>2</v>
      </c>
      <c r="B74" s="1">
        <v>1</v>
      </c>
      <c r="C74" s="1" t="s">
        <v>1</v>
      </c>
      <c r="D74" s="1">
        <v>23</v>
      </c>
      <c r="E74" s="1" t="s">
        <v>6</v>
      </c>
      <c r="F74" s="1">
        <v>62</v>
      </c>
      <c r="G74" s="1">
        <v>1</v>
      </c>
    </row>
    <row r="75" spans="1:7" x14ac:dyDescent="0.3">
      <c r="A75" s="1">
        <v>2</v>
      </c>
      <c r="B75" s="1">
        <v>1</v>
      </c>
      <c r="C75" s="1" t="s">
        <v>1</v>
      </c>
      <c r="D75" s="1">
        <v>17</v>
      </c>
      <c r="E75" s="1" t="s">
        <v>6</v>
      </c>
      <c r="F75" s="1">
        <v>66</v>
      </c>
      <c r="G75" s="1">
        <v>1</v>
      </c>
    </row>
    <row r="76" spans="1:7" x14ac:dyDescent="0.3">
      <c r="A76" s="1">
        <v>2</v>
      </c>
      <c r="B76" s="1">
        <v>1</v>
      </c>
      <c r="C76" s="1" t="s">
        <v>1</v>
      </c>
      <c r="D76" s="1">
        <v>17</v>
      </c>
      <c r="E76" s="1" t="s">
        <v>6</v>
      </c>
      <c r="F76" s="1">
        <v>74</v>
      </c>
      <c r="G76" s="1">
        <v>1</v>
      </c>
    </row>
    <row r="77" spans="1:7" x14ac:dyDescent="0.3">
      <c r="A77" s="1">
        <v>2</v>
      </c>
      <c r="B77" s="1">
        <v>1</v>
      </c>
      <c r="C77" s="1" t="s">
        <v>1</v>
      </c>
      <c r="D77" s="1">
        <v>11</v>
      </c>
      <c r="E77" s="1" t="s">
        <v>6</v>
      </c>
      <c r="F77" s="1">
        <v>49</v>
      </c>
      <c r="G77" s="1">
        <v>1</v>
      </c>
    </row>
    <row r="78" spans="1:7" x14ac:dyDescent="0.3">
      <c r="A78" s="1">
        <v>2</v>
      </c>
      <c r="B78" s="1">
        <v>1</v>
      </c>
      <c r="C78" s="1" t="s">
        <v>1</v>
      </c>
      <c r="D78" s="1">
        <v>24</v>
      </c>
      <c r="E78" s="1" t="s">
        <v>6</v>
      </c>
      <c r="F78" s="1">
        <v>38</v>
      </c>
      <c r="G78" s="1">
        <v>1</v>
      </c>
    </row>
    <row r="79" spans="1:7" x14ac:dyDescent="0.3">
      <c r="A79" s="1">
        <v>2</v>
      </c>
      <c r="B79" s="1">
        <v>1</v>
      </c>
      <c r="C79" s="1" t="s">
        <v>1</v>
      </c>
      <c r="D79" s="1">
        <v>5</v>
      </c>
      <c r="E79" s="1" t="s">
        <v>6</v>
      </c>
      <c r="F79" s="1">
        <v>29</v>
      </c>
      <c r="G79" s="1">
        <v>1</v>
      </c>
    </row>
    <row r="80" spans="1:7" x14ac:dyDescent="0.3">
      <c r="A80" s="1">
        <v>2</v>
      </c>
      <c r="B80" s="1">
        <v>1</v>
      </c>
      <c r="C80" s="1" t="s">
        <v>1</v>
      </c>
      <c r="D80" s="1">
        <v>19</v>
      </c>
      <c r="E80" s="1" t="s">
        <v>6</v>
      </c>
      <c r="F80" s="1">
        <v>51</v>
      </c>
      <c r="G80" s="1">
        <v>1</v>
      </c>
    </row>
    <row r="81" spans="1:7" x14ac:dyDescent="0.3">
      <c r="A81" s="1">
        <v>2</v>
      </c>
      <c r="B81" s="1">
        <v>1</v>
      </c>
      <c r="C81" s="1" t="s">
        <v>1</v>
      </c>
      <c r="D81" s="1">
        <v>23</v>
      </c>
      <c r="E81" s="1" t="s">
        <v>6</v>
      </c>
      <c r="F81" s="1">
        <v>30</v>
      </c>
      <c r="G81" s="1">
        <v>1</v>
      </c>
    </row>
    <row r="82" spans="1:7" x14ac:dyDescent="0.3">
      <c r="A82" s="1">
        <v>2</v>
      </c>
      <c r="B82" s="1">
        <v>1</v>
      </c>
      <c r="C82" s="1" t="s">
        <v>1</v>
      </c>
      <c r="D82" s="1">
        <v>18</v>
      </c>
      <c r="E82" s="1" t="s">
        <v>6</v>
      </c>
      <c r="F82" s="1">
        <v>39</v>
      </c>
      <c r="G82" s="1">
        <v>1</v>
      </c>
    </row>
    <row r="83" spans="1:7" x14ac:dyDescent="0.3">
      <c r="A83" s="1">
        <v>2</v>
      </c>
      <c r="B83" s="1">
        <v>1</v>
      </c>
      <c r="C83" s="1" t="s">
        <v>1</v>
      </c>
      <c r="D83" s="1">
        <v>6</v>
      </c>
      <c r="E83" s="1" t="s">
        <v>6</v>
      </c>
      <c r="F83" s="1">
        <v>50</v>
      </c>
      <c r="G83" s="1">
        <v>1</v>
      </c>
    </row>
    <row r="84" spans="1:7" x14ac:dyDescent="0.3">
      <c r="A84" s="1">
        <v>2</v>
      </c>
      <c r="B84" s="1">
        <v>1</v>
      </c>
      <c r="C84" s="1" t="s">
        <v>1</v>
      </c>
      <c r="D84" s="1">
        <v>4</v>
      </c>
      <c r="E84" s="1" t="s">
        <v>6</v>
      </c>
      <c r="F84" s="1">
        <v>58</v>
      </c>
      <c r="G84" s="1">
        <v>1</v>
      </c>
    </row>
    <row r="85" spans="1:7" x14ac:dyDescent="0.3">
      <c r="A85" s="1">
        <v>2</v>
      </c>
      <c r="B85" s="1">
        <v>1</v>
      </c>
      <c r="C85" s="1" t="s">
        <v>1</v>
      </c>
      <c r="D85" s="1">
        <v>11</v>
      </c>
      <c r="E85" s="1" t="s">
        <v>6</v>
      </c>
      <c r="F85" s="1">
        <v>51</v>
      </c>
      <c r="G85" s="1">
        <v>1</v>
      </c>
    </row>
    <row r="86" spans="1:7" x14ac:dyDescent="0.3">
      <c r="A86" s="1">
        <v>2</v>
      </c>
      <c r="B86" s="1">
        <v>1</v>
      </c>
      <c r="C86" s="1" t="s">
        <v>1</v>
      </c>
      <c r="D86" s="1">
        <v>15</v>
      </c>
      <c r="E86" s="1" t="s">
        <v>6</v>
      </c>
      <c r="F86" s="1">
        <v>40</v>
      </c>
      <c r="G86" s="1">
        <v>1</v>
      </c>
    </row>
    <row r="87" spans="1:7" x14ac:dyDescent="0.3">
      <c r="A87" s="1">
        <v>2</v>
      </c>
      <c r="B87" s="1">
        <v>1</v>
      </c>
      <c r="C87" s="1" t="s">
        <v>1</v>
      </c>
      <c r="D87" s="1">
        <v>3</v>
      </c>
      <c r="E87" s="1" t="s">
        <v>6</v>
      </c>
      <c r="F87" s="1">
        <v>47</v>
      </c>
      <c r="G87" s="1">
        <v>1</v>
      </c>
    </row>
    <row r="88" spans="1:7" x14ac:dyDescent="0.3">
      <c r="A88" s="1">
        <v>2</v>
      </c>
      <c r="B88" s="1">
        <v>1</v>
      </c>
      <c r="C88" s="1" t="s">
        <v>1</v>
      </c>
      <c r="D88" s="1">
        <v>24</v>
      </c>
      <c r="E88" s="1" t="s">
        <v>6</v>
      </c>
      <c r="F88" s="1">
        <v>33</v>
      </c>
      <c r="G88" s="1">
        <v>1</v>
      </c>
    </row>
    <row r="89" spans="1:7" x14ac:dyDescent="0.3">
      <c r="A89" s="1">
        <v>2</v>
      </c>
      <c r="B89" s="1">
        <v>1</v>
      </c>
      <c r="C89" s="1" t="s">
        <v>1</v>
      </c>
      <c r="D89" s="1">
        <v>0</v>
      </c>
      <c r="E89" s="1" t="s">
        <v>6</v>
      </c>
      <c r="F89" s="1">
        <v>53</v>
      </c>
      <c r="G89" s="1">
        <v>1</v>
      </c>
    </row>
    <row r="90" spans="1:7" x14ac:dyDescent="0.3">
      <c r="A90" s="1">
        <v>2</v>
      </c>
      <c r="B90" s="1">
        <v>1</v>
      </c>
      <c r="C90" s="1" t="s">
        <v>1</v>
      </c>
      <c r="D90" s="1">
        <v>2</v>
      </c>
      <c r="E90" s="1" t="s">
        <v>6</v>
      </c>
      <c r="F90" s="1">
        <v>33</v>
      </c>
      <c r="G90" s="1">
        <v>1</v>
      </c>
    </row>
    <row r="91" spans="1:7" x14ac:dyDescent="0.3">
      <c r="A91" s="1">
        <v>2</v>
      </c>
      <c r="B91" s="1">
        <v>1</v>
      </c>
      <c r="C91" s="1" t="s">
        <v>1</v>
      </c>
      <c r="D91" s="1">
        <v>15</v>
      </c>
      <c r="E91" s="1" t="s">
        <v>6</v>
      </c>
      <c r="F91" s="1">
        <v>86</v>
      </c>
      <c r="G91" s="1">
        <v>1</v>
      </c>
    </row>
    <row r="92" spans="1:7" x14ac:dyDescent="0.3">
      <c r="A92" s="1">
        <v>2</v>
      </c>
      <c r="B92" s="1">
        <v>1</v>
      </c>
      <c r="C92" s="1" t="s">
        <v>1</v>
      </c>
      <c r="D92" s="1">
        <v>15</v>
      </c>
      <c r="E92" s="1" t="s">
        <v>6</v>
      </c>
      <c r="F92" s="1">
        <v>48</v>
      </c>
      <c r="G92" s="1">
        <v>1</v>
      </c>
    </row>
    <row r="93" spans="1:7" x14ac:dyDescent="0.3">
      <c r="A93" s="1">
        <v>2</v>
      </c>
      <c r="B93" s="1">
        <v>1</v>
      </c>
      <c r="C93" s="1" t="s">
        <v>1</v>
      </c>
      <c r="D93" s="1">
        <v>1</v>
      </c>
      <c r="E93" s="1" t="s">
        <v>6</v>
      </c>
      <c r="F93" s="1">
        <v>28</v>
      </c>
      <c r="G93" s="1">
        <v>1</v>
      </c>
    </row>
    <row r="94" spans="1:7" x14ac:dyDescent="0.3">
      <c r="A94" s="1">
        <v>2</v>
      </c>
      <c r="B94" s="1">
        <v>1</v>
      </c>
      <c r="C94" s="1" t="s">
        <v>1</v>
      </c>
      <c r="D94" s="1">
        <v>13</v>
      </c>
      <c r="E94" s="1" t="s">
        <v>6</v>
      </c>
      <c r="F94" s="1">
        <v>34</v>
      </c>
      <c r="G94" s="1">
        <v>1</v>
      </c>
    </row>
    <row r="95" spans="1:7" x14ac:dyDescent="0.3">
      <c r="A95" s="1">
        <v>2</v>
      </c>
      <c r="B95" s="1">
        <v>1</v>
      </c>
      <c r="C95" s="1" t="s">
        <v>1</v>
      </c>
      <c r="D95" s="1">
        <v>25</v>
      </c>
      <c r="E95" s="1" t="s">
        <v>6</v>
      </c>
      <c r="F95" s="1">
        <v>60</v>
      </c>
      <c r="G95" s="1">
        <v>1</v>
      </c>
    </row>
    <row r="96" spans="1:7" x14ac:dyDescent="0.3">
      <c r="A96" s="1">
        <v>2</v>
      </c>
      <c r="B96" s="1">
        <v>1</v>
      </c>
      <c r="C96" s="1" t="s">
        <v>1</v>
      </c>
      <c r="D96" s="1">
        <v>13</v>
      </c>
      <c r="E96" s="1" t="s">
        <v>6</v>
      </c>
      <c r="F96" s="1">
        <v>48</v>
      </c>
      <c r="G96" s="1">
        <v>1</v>
      </c>
    </row>
    <row r="97" spans="1:7" x14ac:dyDescent="0.3">
      <c r="A97" s="1">
        <v>2</v>
      </c>
      <c r="B97" s="1">
        <v>1</v>
      </c>
      <c r="C97" s="1" t="s">
        <v>1</v>
      </c>
      <c r="D97" s="1">
        <v>11</v>
      </c>
      <c r="E97" s="1" t="s">
        <v>6</v>
      </c>
      <c r="F97" s="1">
        <v>47</v>
      </c>
      <c r="G97" s="1">
        <v>1</v>
      </c>
    </row>
    <row r="98" spans="1:7" x14ac:dyDescent="0.3">
      <c r="A98" s="1">
        <v>2</v>
      </c>
      <c r="B98" s="1">
        <v>1</v>
      </c>
      <c r="C98" s="1" t="s">
        <v>1</v>
      </c>
      <c r="D98" s="1">
        <v>33</v>
      </c>
      <c r="E98" s="1" t="s">
        <v>6</v>
      </c>
      <c r="F98" s="1">
        <v>58</v>
      </c>
      <c r="G98" s="1">
        <v>1</v>
      </c>
    </row>
    <row r="99" spans="1:7" x14ac:dyDescent="0.3">
      <c r="A99" s="1">
        <v>2</v>
      </c>
      <c r="B99" s="1">
        <v>1</v>
      </c>
      <c r="C99" s="1" t="s">
        <v>1</v>
      </c>
      <c r="D99" s="1">
        <v>20</v>
      </c>
      <c r="E99" s="1" t="s">
        <v>6</v>
      </c>
      <c r="F99" s="1">
        <v>36</v>
      </c>
      <c r="G99" s="1">
        <v>1</v>
      </c>
    </row>
    <row r="100" spans="1:7" x14ac:dyDescent="0.3">
      <c r="A100" s="1">
        <v>2</v>
      </c>
      <c r="B100" s="1">
        <v>1</v>
      </c>
      <c r="C100" s="1" t="s">
        <v>1</v>
      </c>
      <c r="D100" s="1">
        <v>24</v>
      </c>
      <c r="E100" s="1" t="s">
        <v>6</v>
      </c>
      <c r="F100" s="1">
        <v>53</v>
      </c>
      <c r="G100" s="1">
        <v>1</v>
      </c>
    </row>
  </sheetData>
  <mergeCells count="26">
    <mergeCell ref="I14:J16"/>
    <mergeCell ref="K14:L16"/>
    <mergeCell ref="M14:N16"/>
    <mergeCell ref="O14:P16"/>
    <mergeCell ref="I10:J11"/>
    <mergeCell ref="K10:L11"/>
    <mergeCell ref="M10:N11"/>
    <mergeCell ref="O10:P11"/>
    <mergeCell ref="I12:J13"/>
    <mergeCell ref="K12:L13"/>
    <mergeCell ref="M12:N13"/>
    <mergeCell ref="O12:P13"/>
    <mergeCell ref="I5:J6"/>
    <mergeCell ref="K5:L6"/>
    <mergeCell ref="M5:N6"/>
    <mergeCell ref="O5:P6"/>
    <mergeCell ref="K8:L9"/>
    <mergeCell ref="M8:N9"/>
    <mergeCell ref="O8:P9"/>
    <mergeCell ref="K1:L2"/>
    <mergeCell ref="M1:N2"/>
    <mergeCell ref="O1:P2"/>
    <mergeCell ref="I3:J4"/>
    <mergeCell ref="K3:L4"/>
    <mergeCell ref="M3:N4"/>
    <mergeCell ref="O3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HeuristicVSMCTSnCustomEval</vt:lpstr>
      <vt:lpstr>HeuristicVSMCTSnNNAI</vt:lpstr>
      <vt:lpstr>HeuristicVSMCTSnPolicy</vt:lpstr>
      <vt:lpstr>HeuristicVSPolicyOnly</vt:lpstr>
      <vt:lpstr>MCTSnCustomEvalVSMCTSAIScoreDif</vt:lpstr>
      <vt:lpstr>MCTSnCustomEvalVSMCTSnNNAI</vt:lpstr>
      <vt:lpstr>MCTSnCustomEvalVSMinimaxAI</vt:lpstr>
      <vt:lpstr>MCTSnCustomEvalVSPolicyNetwork</vt:lpstr>
      <vt:lpstr>MCTSnNNAIVSMCTSAIScoreDiffAvg</vt:lpstr>
      <vt:lpstr>MCTSnNNAIVSMinimaxAI</vt:lpstr>
      <vt:lpstr>MCTSnPolicyVSMCTSAIScoreDiffAvg</vt:lpstr>
      <vt:lpstr>MCTSnPolicyVSMCTSnCustomEval</vt:lpstr>
      <vt:lpstr>MCTSnPolicyVSMCTSnNNAI</vt:lpstr>
      <vt:lpstr>MCTSnPolicyVSMinimaxAI</vt:lpstr>
      <vt:lpstr>MCTSnPolicyVSPolicyOnly</vt:lpstr>
      <vt:lpstr>PolicyAIVSMCTSAIScoreDiffAvg</vt:lpstr>
      <vt:lpstr>PolicyAIVSMinimaxAI</vt:lpstr>
      <vt:lpstr>PolicyOnlyVSMCTSnNNAI</vt:lpstr>
      <vt:lpstr>MCTSAIScoreDiffAvgVSMinimaxAI</vt:lpstr>
      <vt:lpstr>HeuristicVSMinimaxAI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Augustinas Jarockis</dc:creator>
  <cp:lastModifiedBy>Augustinas Jarockis</cp:lastModifiedBy>
  <dcterms:created xsi:type="dcterms:W3CDTF">2015-06-05T18:17:20Z</dcterms:created>
  <dcterms:modified xsi:type="dcterms:W3CDTF">2026-05-23T12:40:47Z</dcterms:modified>
</cp:coreProperties>
</file>
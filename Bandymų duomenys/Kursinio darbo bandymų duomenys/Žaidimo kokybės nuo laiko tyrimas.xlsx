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arau\source\repos\AzulBoardGame\Bandymų duomenys\"/>
    </mc:Choice>
  </mc:AlternateContent>
  <xr:revisionPtr revIDLastSave="0" documentId="13_ncr:1_{FB33C20D-AF29-4C6F-BEA2-F1D140CEB1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gregate" sheetId="1" r:id="rId1"/>
    <sheet name="BothMCTSAITime0.001s" sheetId="2" r:id="rId2"/>
    <sheet name="BothMCTSAITime0.002s" sheetId="3" r:id="rId3"/>
    <sheet name="BothMCTSAITime0.005s" sheetId="4" r:id="rId4"/>
    <sheet name="BothMCTSAITime0.01s" sheetId="5" r:id="rId5"/>
    <sheet name="BothMCTSAITime0.025s" sheetId="6" r:id="rId6"/>
    <sheet name="BothMCTSAITime0.05s" sheetId="7" r:id="rId7"/>
    <sheet name="BothMCTSAITime0.1s" sheetId="8" r:id="rId8"/>
    <sheet name="BothMCTSAITime0.2s" sheetId="9" r:id="rId9"/>
    <sheet name="BothMCTSAITime0.3s" sheetId="10" r:id="rId10"/>
    <sheet name="BothMCTSAITime0.4s" sheetId="11" r:id="rId11"/>
    <sheet name="BothMCTSAITime0.5s" sheetId="12" r:id="rId12"/>
    <sheet name="BothMCTSAITime0.6s" sheetId="13" r:id="rId13"/>
    <sheet name="BothMCTSAITime0.7s" sheetId="14" r:id="rId14"/>
    <sheet name="BothMCTSAITime0.8s" sheetId="15" r:id="rId15"/>
    <sheet name="BothMCTSAITime0.9s" sheetId="16" r:id="rId16"/>
    <sheet name="BothMCTSAITime1s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B10" i="1" s="1" a="1"/>
  <c r="B10" i="1" s="1"/>
  <c r="F2" i="1"/>
  <c r="G2" i="1"/>
  <c r="H2" i="1"/>
  <c r="I2" i="1"/>
  <c r="J2" i="1"/>
  <c r="K2" i="1"/>
  <c r="L2" i="1"/>
  <c r="M2" i="1"/>
  <c r="N2" i="1"/>
  <c r="O2" i="1"/>
  <c r="P2" i="1"/>
  <c r="Q2" i="1"/>
  <c r="B8" i="1"/>
  <c r="T3" i="17" a="1"/>
  <c r="T3" i="17" s="1"/>
  <c r="T3" i="16" a="1"/>
  <c r="T3" i="16" s="1"/>
  <c r="T3" i="15" a="1"/>
  <c r="T3" i="15" s="1"/>
  <c r="T3" i="14" a="1"/>
  <c r="T3" i="14" s="1"/>
  <c r="T3" i="13" a="1"/>
  <c r="T3" i="13" s="1"/>
  <c r="T3" i="12" a="1"/>
  <c r="T3" i="12" s="1"/>
  <c r="T3" i="11" a="1"/>
  <c r="T3" i="11" s="1"/>
  <c r="T3" i="10" a="1"/>
  <c r="T3" i="10" s="1"/>
  <c r="T3" i="9" a="1"/>
  <c r="T3" i="9" s="1"/>
  <c r="T3" i="8" a="1"/>
  <c r="T3" i="8" s="1"/>
  <c r="T3" i="7" a="1"/>
  <c r="T3" i="7" s="1"/>
  <c r="T3" i="6" a="1"/>
  <c r="T3" i="6" s="1"/>
  <c r="T3" i="5" a="1"/>
  <c r="T3" i="5" s="1"/>
  <c r="T3" i="4" a="1"/>
  <c r="T3" i="4" s="1"/>
  <c r="T3" i="3" a="1"/>
  <c r="T3" i="3" s="1"/>
  <c r="T3" i="2" a="1"/>
  <c r="T3" i="2" s="1"/>
  <c r="B9" i="1" a="1"/>
  <c r="B9" i="1" s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B5" i="1"/>
  <c r="Q14" i="17" a="1"/>
  <c r="Q14" i="17" s="1"/>
  <c r="O14" i="17"/>
  <c r="O14" i="17" a="1"/>
  <c r="M14" i="17"/>
  <c r="M14" i="17" a="1"/>
  <c r="Q12" i="17" a="1"/>
  <c r="Q12" i="17" s="1"/>
  <c r="O12" i="17" a="1"/>
  <c r="O12" i="17" s="1"/>
  <c r="M12" i="17"/>
  <c r="Q10" i="17" a="1"/>
  <c r="Q10" i="17" s="1"/>
  <c r="O10" i="17" a="1"/>
  <c r="O10" i="17" s="1"/>
  <c r="M10" i="17"/>
  <c r="Q5" i="17"/>
  <c r="O5" i="17"/>
  <c r="M5" i="17"/>
  <c r="Q3" i="17"/>
  <c r="O3" i="17"/>
  <c r="M3" i="17"/>
  <c r="Q14" i="16"/>
  <c r="Q14" i="16" a="1"/>
  <c r="O14" i="16" a="1"/>
  <c r="O14" i="16" s="1"/>
  <c r="M14" i="16"/>
  <c r="M14" i="16" a="1"/>
  <c r="Q12" i="16" a="1"/>
  <c r="Q12" i="16" s="1"/>
  <c r="O12" i="16"/>
  <c r="O12" i="16" a="1"/>
  <c r="M12" i="16"/>
  <c r="Q10" i="16" a="1"/>
  <c r="Q10" i="16" s="1"/>
  <c r="O10" i="16"/>
  <c r="O10" i="16" a="1"/>
  <c r="M10" i="16"/>
  <c r="Q5" i="16"/>
  <c r="O5" i="16"/>
  <c r="M5" i="16"/>
  <c r="Q3" i="16"/>
  <c r="O3" i="16"/>
  <c r="M3" i="16"/>
  <c r="Q14" i="15" a="1"/>
  <c r="Q14" i="15" s="1"/>
  <c r="O14" i="15" a="1"/>
  <c r="O14" i="15" s="1"/>
  <c r="M14" i="15" a="1"/>
  <c r="M14" i="15" s="1"/>
  <c r="Q12" i="15" a="1"/>
  <c r="Q12" i="15" s="1"/>
  <c r="O12" i="15" a="1"/>
  <c r="O12" i="15" s="1"/>
  <c r="M12" i="15"/>
  <c r="Q10" i="15"/>
  <c r="Q10" i="15" a="1"/>
  <c r="O10" i="15" a="1"/>
  <c r="O10" i="15" s="1"/>
  <c r="M10" i="15"/>
  <c r="Q5" i="15"/>
  <c r="O5" i="15"/>
  <c r="M5" i="15"/>
  <c r="Q3" i="15"/>
  <c r="O3" i="15"/>
  <c r="M3" i="15"/>
  <c r="Q14" i="14" a="1"/>
  <c r="Q14" i="14" s="1"/>
  <c r="O14" i="14" a="1"/>
  <c r="O14" i="14" s="1"/>
  <c r="M14" i="14" a="1"/>
  <c r="M14" i="14" s="1"/>
  <c r="Q12" i="14" a="1"/>
  <c r="Q12" i="14" s="1"/>
  <c r="O12" i="14" a="1"/>
  <c r="O12" i="14" s="1"/>
  <c r="M12" i="14"/>
  <c r="Q10" i="14" a="1"/>
  <c r="Q10" i="14" s="1"/>
  <c r="O10" i="14"/>
  <c r="O10" i="14" a="1"/>
  <c r="M10" i="14"/>
  <c r="Q5" i="14"/>
  <c r="O5" i="14"/>
  <c r="M5" i="14"/>
  <c r="Q3" i="14"/>
  <c r="O3" i="14"/>
  <c r="M3" i="14"/>
  <c r="Q14" i="13" a="1"/>
  <c r="Q14" i="13" s="1"/>
  <c r="O14" i="13" a="1"/>
  <c r="O14" i="13" s="1"/>
  <c r="M14" i="13" a="1"/>
  <c r="M14" i="13" s="1"/>
  <c r="Q12" i="13" a="1"/>
  <c r="Q12" i="13" s="1"/>
  <c r="O12" i="13" a="1"/>
  <c r="O12" i="13" s="1"/>
  <c r="M12" i="13"/>
  <c r="Q10" i="13"/>
  <c r="Q10" i="13" a="1"/>
  <c r="O10" i="13"/>
  <c r="O10" i="13" a="1"/>
  <c r="M10" i="13"/>
  <c r="Q5" i="13"/>
  <c r="O5" i="13"/>
  <c r="M5" i="13"/>
  <c r="Q3" i="13"/>
  <c r="O3" i="13"/>
  <c r="M3" i="13"/>
  <c r="Q14" i="12"/>
  <c r="Q14" i="12" a="1"/>
  <c r="O14" i="12"/>
  <c r="O14" i="12" a="1"/>
  <c r="M14" i="12" a="1"/>
  <c r="M14" i="12" s="1"/>
  <c r="Q12" i="12" a="1"/>
  <c r="Q12" i="12" s="1"/>
  <c r="O12" i="12"/>
  <c r="O12" i="12" a="1"/>
  <c r="M12" i="12"/>
  <c r="Q10" i="12" a="1"/>
  <c r="Q10" i="12" s="1"/>
  <c r="O10" i="12"/>
  <c r="O10" i="12" a="1"/>
  <c r="M10" i="12"/>
  <c r="Q5" i="12"/>
  <c r="O5" i="12"/>
  <c r="M5" i="12"/>
  <c r="Q3" i="12"/>
  <c r="O3" i="12"/>
  <c r="M3" i="12"/>
  <c r="Q14" i="11" a="1"/>
  <c r="Q14" i="11" s="1"/>
  <c r="O14" i="11" a="1"/>
  <c r="O14" i="11" s="1"/>
  <c r="M14" i="11" a="1"/>
  <c r="M14" i="11" s="1"/>
  <c r="Q12" i="11" a="1"/>
  <c r="Q12" i="11" s="1"/>
  <c r="O12" i="11" a="1"/>
  <c r="O12" i="11" s="1"/>
  <c r="M12" i="11"/>
  <c r="Q10" i="11"/>
  <c r="Q10" i="11" a="1"/>
  <c r="O10" i="11"/>
  <c r="O10" i="11" a="1"/>
  <c r="M10" i="11"/>
  <c r="Q5" i="11"/>
  <c r="O5" i="11"/>
  <c r="M5" i="11"/>
  <c r="Q3" i="11"/>
  <c r="O3" i="11"/>
  <c r="M3" i="11"/>
  <c r="Q14" i="10"/>
  <c r="Q14" i="10" a="1"/>
  <c r="O14" i="10"/>
  <c r="O14" i="10" a="1"/>
  <c r="M14" i="10" a="1"/>
  <c r="M14" i="10" s="1"/>
  <c r="Q12" i="10" a="1"/>
  <c r="Q12" i="10" s="1"/>
  <c r="O12" i="10"/>
  <c r="O12" i="10" a="1"/>
  <c r="M12" i="10"/>
  <c r="Q10" i="10" a="1"/>
  <c r="Q10" i="10" s="1"/>
  <c r="O10" i="10"/>
  <c r="O10" i="10" a="1"/>
  <c r="M10" i="10"/>
  <c r="Q5" i="10"/>
  <c r="O5" i="10"/>
  <c r="M5" i="10"/>
  <c r="Q3" i="10"/>
  <c r="O3" i="10"/>
  <c r="M3" i="10"/>
  <c r="Q14" i="9" a="1"/>
  <c r="Q14" i="9" s="1"/>
  <c r="O14" i="9"/>
  <c r="O14" i="9" a="1"/>
  <c r="M14" i="9" a="1"/>
  <c r="M14" i="9" s="1"/>
  <c r="Q12" i="9" a="1"/>
  <c r="Q12" i="9" s="1"/>
  <c r="O12" i="9" a="1"/>
  <c r="O12" i="9" s="1"/>
  <c r="M12" i="9"/>
  <c r="Q10" i="9" a="1"/>
  <c r="Q10" i="9" s="1"/>
  <c r="O10" i="9"/>
  <c r="O10" i="9" a="1"/>
  <c r="M10" i="9"/>
  <c r="Q5" i="9"/>
  <c r="O5" i="9"/>
  <c r="M5" i="9"/>
  <c r="Q3" i="9"/>
  <c r="O3" i="9"/>
  <c r="M3" i="9"/>
  <c r="Q14" i="8"/>
  <c r="Q14" i="8" a="1"/>
  <c r="O14" i="8"/>
  <c r="O14" i="8" a="1"/>
  <c r="M14" i="8" a="1"/>
  <c r="M14" i="8" s="1"/>
  <c r="Q12" i="8" a="1"/>
  <c r="Q12" i="8" s="1"/>
  <c r="O12" i="8"/>
  <c r="O12" i="8" a="1"/>
  <c r="M12" i="8"/>
  <c r="Q10" i="8" a="1"/>
  <c r="Q10" i="8" s="1"/>
  <c r="O10" i="8" a="1"/>
  <c r="O10" i="8" s="1"/>
  <c r="M10" i="8"/>
  <c r="Q5" i="8"/>
  <c r="O5" i="8"/>
  <c r="M5" i="8"/>
  <c r="Q3" i="8"/>
  <c r="O3" i="8"/>
  <c r="M3" i="8"/>
  <c r="Q14" i="7" a="1"/>
  <c r="Q14" i="7" s="1"/>
  <c r="O14" i="7" a="1"/>
  <c r="O14" i="7" s="1"/>
  <c r="M14" i="7" a="1"/>
  <c r="M14" i="7" s="1"/>
  <c r="Q12" i="7" a="1"/>
  <c r="Q12" i="7" s="1"/>
  <c r="O12" i="7" a="1"/>
  <c r="O12" i="7" s="1"/>
  <c r="M12" i="7"/>
  <c r="Q10" i="7" a="1"/>
  <c r="Q10" i="7" s="1"/>
  <c r="O10" i="7"/>
  <c r="O10" i="7" a="1"/>
  <c r="M10" i="7"/>
  <c r="Q5" i="7"/>
  <c r="O5" i="7"/>
  <c r="M5" i="7"/>
  <c r="Q3" i="7"/>
  <c r="O3" i="7"/>
  <c r="M3" i="7"/>
  <c r="Q14" i="6"/>
  <c r="Q14" i="6" a="1"/>
  <c r="O14" i="6"/>
  <c r="O14" i="6" a="1"/>
  <c r="M14" i="6" a="1"/>
  <c r="M14" i="6" s="1"/>
  <c r="Q12" i="6" a="1"/>
  <c r="Q12" i="6" s="1"/>
  <c r="O12" i="6"/>
  <c r="O12" i="6" a="1"/>
  <c r="M12" i="6"/>
  <c r="Q10" i="6"/>
  <c r="Q10" i="6" a="1"/>
  <c r="O10" i="6"/>
  <c r="O10" i="6" a="1"/>
  <c r="M10" i="6"/>
  <c r="Q5" i="6"/>
  <c r="O5" i="6"/>
  <c r="M5" i="6"/>
  <c r="Q3" i="6"/>
  <c r="O3" i="6"/>
  <c r="M3" i="6"/>
  <c r="Q14" i="5" a="1"/>
  <c r="Q14" i="5" s="1"/>
  <c r="O14" i="5" a="1"/>
  <c r="O14" i="5" s="1"/>
  <c r="M14" i="5" a="1"/>
  <c r="M14" i="5" s="1"/>
  <c r="Q12" i="5" a="1"/>
  <c r="Q12" i="5" s="1"/>
  <c r="O12" i="5" a="1"/>
  <c r="O12" i="5" s="1"/>
  <c r="M12" i="5"/>
  <c r="Q10" i="5" a="1"/>
  <c r="Q10" i="5" s="1"/>
  <c r="O10" i="5" a="1"/>
  <c r="O10" i="5" s="1"/>
  <c r="M10" i="5"/>
  <c r="Q5" i="5"/>
  <c r="O5" i="5"/>
  <c r="M5" i="5"/>
  <c r="Q3" i="5"/>
  <c r="O3" i="5"/>
  <c r="M3" i="5"/>
  <c r="Q14" i="4" a="1"/>
  <c r="Q14" i="4" s="1"/>
  <c r="O14" i="4" a="1"/>
  <c r="O14" i="4" s="1"/>
  <c r="M14" i="4" a="1"/>
  <c r="M14" i="4" s="1"/>
  <c r="Q12" i="4" a="1"/>
  <c r="Q12" i="4" s="1"/>
  <c r="O12" i="4" a="1"/>
  <c r="O12" i="4" s="1"/>
  <c r="M12" i="4"/>
  <c r="Q10" i="4" a="1"/>
  <c r="Q10" i="4" s="1"/>
  <c r="O10" i="4"/>
  <c r="O10" i="4" a="1"/>
  <c r="M10" i="4"/>
  <c r="Q5" i="4"/>
  <c r="O5" i="4"/>
  <c r="M5" i="4"/>
  <c r="Q3" i="4"/>
  <c r="O3" i="4"/>
  <c r="M3" i="4"/>
  <c r="Q14" i="3" a="1"/>
  <c r="Q14" i="3" s="1"/>
  <c r="O14" i="3" a="1"/>
  <c r="O14" i="3" s="1"/>
  <c r="M14" i="3" a="1"/>
  <c r="M14" i="3" s="1"/>
  <c r="Q12" i="3" a="1"/>
  <c r="Q12" i="3" s="1"/>
  <c r="O12" i="3" a="1"/>
  <c r="O12" i="3" s="1"/>
  <c r="M12" i="3"/>
  <c r="Q10" i="3" a="1"/>
  <c r="Q10" i="3" s="1"/>
  <c r="O10" i="3"/>
  <c r="O10" i="3" a="1"/>
  <c r="M10" i="3"/>
  <c r="Q5" i="3"/>
  <c r="O5" i="3"/>
  <c r="M5" i="3"/>
  <c r="Q3" i="3"/>
  <c r="O3" i="3"/>
  <c r="M3" i="3"/>
  <c r="Q14" i="2" a="1"/>
  <c r="Q14" i="2" s="1"/>
  <c r="O14" i="2" a="1"/>
  <c r="O14" i="2" s="1"/>
  <c r="M14" i="2" a="1"/>
  <c r="M14" i="2" s="1"/>
  <c r="Q12" i="2" a="1"/>
  <c r="Q12" i="2" s="1"/>
  <c r="O12" i="2" a="1"/>
  <c r="O12" i="2" s="1"/>
  <c r="M12" i="2"/>
  <c r="Q10" i="2" a="1"/>
  <c r="Q10" i="2" s="1"/>
  <c r="O10" i="2" a="1"/>
  <c r="O10" i="2" s="1"/>
  <c r="M10" i="2"/>
  <c r="Q5" i="2"/>
  <c r="O5" i="2"/>
  <c r="M5" i="2"/>
  <c r="Q3" i="2"/>
  <c r="O3" i="2"/>
  <c r="M3" i="2"/>
  <c r="B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<sst xmlns="http://schemas.openxmlformats.org/spreadsheetml/2006/main" count="6598" uniqueCount="20">
  <si>
    <t xml:space="preserve"> AzulBoardGame.Players.MCTS.MCTSVariants.MCTSAIScoreDiffAvg</t>
  </si>
  <si>
    <t xml:space="preserve"> ScoreDiffAvg</t>
  </si>
  <si>
    <t xml:space="preserve"> TimeTester</t>
  </si>
  <si>
    <t>Bendru atveju</t>
  </si>
  <si>
    <t>Kai pradeda pirmas žaidėjas</t>
  </si>
  <si>
    <t>Kai pradeda antras žaidėjas</t>
  </si>
  <si>
    <t>Pirmo žaidėjo pergalių skaičius</t>
  </si>
  <si>
    <t>Antro žaidėjo pergalių skaičius</t>
  </si>
  <si>
    <t>Pirmo žaidėjo pergalės atveju</t>
  </si>
  <si>
    <t>Antro žaidėjo pergalės atveju</t>
  </si>
  <si>
    <t>Pirmo žaidėjo taškų vidurkis</t>
  </si>
  <si>
    <t>Antro žaidėjo taškų vidurkis</t>
  </si>
  <si>
    <t>Vidutinė pirmo žaidėjo taškų persvara</t>
  </si>
  <si>
    <t>Vidurkis laimėjimų</t>
  </si>
  <si>
    <t>R^2</t>
  </si>
  <si>
    <t>Lygu</t>
  </si>
  <si>
    <t>Laikas</t>
  </si>
  <si>
    <t>Pergalių sk.</t>
  </si>
  <si>
    <t>Nelaimėtų sk.</t>
  </si>
  <si>
    <t>f(x) reikšmė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</si>
</sst>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/>
    <xf numFmtId="0" fontId="0" fillId="0" borderId="1" xfId="0" applyBorder="1"/>
    <xf numFmtId="0" fontId="0" fillId="0" borderId="2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</cellXfs>
  <cellStyles count="2">
    <cellStyle name="Normal" xfId="0" builtinId="0"/>
    <cellStyle name="Normal 2" xfId="1" xr:uid="{7D6AFEFE-E2A6-4842-AC36-0FC2DBA67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Agento pergalių skaičius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Aggregate!$B$3:$Q$3</c:f>
              <c:numCache>
                <c:formatCode>General</c:formatCode>
                <c:ptCount val="16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2.5000000000000001E-2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  <c:pt idx="11">
                  <c:v>0.6</c:v>
                </c:pt>
                <c:pt idx="12">
                  <c:v>0.7</c:v>
                </c:pt>
                <c:pt idx="13">
                  <c:v>0.8</c:v>
                </c:pt>
                <c:pt idx="14">
                  <c:v>0.9</c:v>
                </c:pt>
                <c:pt idx="15">
                  <c:v>1</c:v>
                </c:pt>
              </c:numCache>
            </c:numRef>
          </c:xVal>
          <c:yVal>
            <c:numRef>
              <c:f>Aggregate!$B$4:$Q$4</c:f>
              <c:numCache>
                <c:formatCode>General</c:formatCode>
                <c:ptCount val="16"/>
                <c:pt idx="0">
                  <c:v>8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21</c:v>
                </c:pt>
                <c:pt idx="5">
                  <c:v>28</c:v>
                </c:pt>
                <c:pt idx="6">
                  <c:v>22</c:v>
                </c:pt>
                <c:pt idx="7">
                  <c:v>36</c:v>
                </c:pt>
                <c:pt idx="8">
                  <c:v>38</c:v>
                </c:pt>
                <c:pt idx="9">
                  <c:v>47</c:v>
                </c:pt>
                <c:pt idx="10">
                  <c:v>56</c:v>
                </c:pt>
                <c:pt idx="11">
                  <c:v>50</c:v>
                </c:pt>
                <c:pt idx="12">
                  <c:v>53</c:v>
                </c:pt>
                <c:pt idx="13">
                  <c:v>37</c:v>
                </c:pt>
                <c:pt idx="14">
                  <c:v>59</c:v>
                </c:pt>
                <c:pt idx="15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E8-4CE3-88F5-446365611F88}"/>
            </c:ext>
          </c:extLst>
        </c:ser>
        <c:ser>
          <c:idx val="1"/>
          <c:order val="1"/>
          <c:tx>
            <c:v>Interpoliacija f(x) = 53√x + 8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Aggregate!$B$3:$Q$3</c:f>
              <c:numCache>
                <c:formatCode>General</c:formatCode>
                <c:ptCount val="16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2.5000000000000001E-2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  <c:pt idx="11">
                  <c:v>0.6</c:v>
                </c:pt>
                <c:pt idx="12">
                  <c:v>0.7</c:v>
                </c:pt>
                <c:pt idx="13">
                  <c:v>0.8</c:v>
                </c:pt>
                <c:pt idx="14">
                  <c:v>0.9</c:v>
                </c:pt>
                <c:pt idx="15">
                  <c:v>1</c:v>
                </c:pt>
              </c:numCache>
            </c:numRef>
          </c:xVal>
          <c:yVal>
            <c:numRef>
              <c:f>Aggregate!$B$2:$Q$2</c:f>
              <c:numCache>
                <c:formatCode>General</c:formatCode>
                <c:ptCount val="16"/>
                <c:pt idx="0">
                  <c:v>9.6760071598892416</c:v>
                </c:pt>
                <c:pt idx="1">
                  <c:v>10.370232056149778</c:v>
                </c:pt>
                <c:pt idx="2">
                  <c:v>11.747665940288702</c:v>
                </c:pt>
                <c:pt idx="3">
                  <c:v>13.3</c:v>
                </c:pt>
                <c:pt idx="4">
                  <c:v>16.380035799446205</c:v>
                </c:pt>
                <c:pt idx="5">
                  <c:v>19.851160280748886</c:v>
                </c:pt>
                <c:pt idx="6">
                  <c:v>24.760071598892409</c:v>
                </c:pt>
                <c:pt idx="7">
                  <c:v>31.702320561497771</c:v>
                </c:pt>
                <c:pt idx="8">
                  <c:v>37.029295547773799</c:v>
                </c:pt>
                <c:pt idx="9">
                  <c:v>41.520143197784819</c:v>
                </c:pt>
                <c:pt idx="10">
                  <c:v>45.476659402887023</c:v>
                </c:pt>
                <c:pt idx="11">
                  <c:v>49.053623469798623</c:v>
                </c:pt>
                <c:pt idx="12">
                  <c:v>52.342981406306002</c:v>
                </c:pt>
                <c:pt idx="13">
                  <c:v>55.404641122995542</c:v>
                </c:pt>
                <c:pt idx="14">
                  <c:v>58.280214796677228</c:v>
                </c:pt>
                <c:pt idx="15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E8-4CE3-88F5-446365611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101023"/>
        <c:axId val="1542102463"/>
      </c:scatterChart>
      <c:valAx>
        <c:axId val="154210102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102463"/>
        <c:crosses val="autoZero"/>
        <c:crossBetween val="midCat"/>
      </c:valAx>
      <c:valAx>
        <c:axId val="154210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101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5</xdr:row>
      <xdr:rowOff>179070</xdr:rowOff>
    </xdr:from>
    <xdr:to>
      <xdr:col>10</xdr:col>
      <xdr:colOff>320040</xdr:colOff>
      <xdr:row>20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4C483F-2B6C-7CB6-5956-30865ADE4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1"/>
  <sheetViews>
    <sheetView tabSelected="1" workbookViewId="0">
      <selection activeCell="O19" sqref="O19"/>
    </sheetView>
  </sheetViews>
  <sheetFormatPr defaultRowHeight="14.4" x14ac:dyDescent="0.3"/>
  <cols>
    <col min="1" max="1" width="15.6640625" customWidth="1"/>
    <col min="2" max="2" width="19.21875" customWidth="1"/>
  </cols>
  <sheetData>
    <row r="2" spans="1:17" x14ac:dyDescent="0.3">
      <c r="A2" s="25" t="s">
        <v>19</v>
      </c>
      <c r="B2" s="25">
        <f t="shared" ref="B2:P2" si="0" xml:space="preserve"> 53 * SQRT(B3) + 8</f>
        <v>9.6760071598892416</v>
      </c>
      <c r="C2" s="25">
        <f t="shared" si="0"/>
        <v>10.370232056149778</v>
      </c>
      <c r="D2" s="25">
        <f t="shared" si="0"/>
        <v>11.747665940288702</v>
      </c>
      <c r="E2" s="25">
        <f t="shared" si="0"/>
        <v>13.3</v>
      </c>
      <c r="F2" s="25">
        <f t="shared" si="0"/>
        <v>16.380035799446205</v>
      </c>
      <c r="G2" s="25">
        <f t="shared" si="0"/>
        <v>19.851160280748886</v>
      </c>
      <c r="H2" s="25">
        <f t="shared" si="0"/>
        <v>24.760071598892409</v>
      </c>
      <c r="I2" s="25">
        <f t="shared" si="0"/>
        <v>31.702320561497771</v>
      </c>
      <c r="J2" s="25">
        <f t="shared" si="0"/>
        <v>37.029295547773799</v>
      </c>
      <c r="K2" s="25">
        <f t="shared" si="0"/>
        <v>41.520143197784819</v>
      </c>
      <c r="L2" s="25">
        <f t="shared" si="0"/>
        <v>45.476659402887023</v>
      </c>
      <c r="M2" s="25">
        <f t="shared" si="0"/>
        <v>49.053623469798623</v>
      </c>
      <c r="N2" s="25">
        <f t="shared" si="0"/>
        <v>52.342981406306002</v>
      </c>
      <c r="O2" s="25">
        <f t="shared" si="0"/>
        <v>55.404641122995542</v>
      </c>
      <c r="P2" s="25">
        <f t="shared" si="0"/>
        <v>58.280214796677228</v>
      </c>
      <c r="Q2" s="25">
        <f xml:space="preserve"> 53 * SQRT(Q3) + 8</f>
        <v>61</v>
      </c>
    </row>
    <row r="3" spans="1:17" x14ac:dyDescent="0.3">
      <c r="A3" s="25" t="s">
        <v>16</v>
      </c>
      <c r="B3" s="25">
        <v>1E-3</v>
      </c>
      <c r="C3" s="25">
        <v>2E-3</v>
      </c>
      <c r="D3" s="25">
        <v>5.0000000000000001E-3</v>
      </c>
      <c r="E3" s="25">
        <v>0.01</v>
      </c>
      <c r="F3" s="25">
        <v>2.5000000000000001E-2</v>
      </c>
      <c r="G3" s="25">
        <v>0.05</v>
      </c>
      <c r="H3" s="25">
        <v>0.1</v>
      </c>
      <c r="I3" s="25">
        <v>0.2</v>
      </c>
      <c r="J3" s="25">
        <v>0.3</v>
      </c>
      <c r="K3" s="25">
        <v>0.4</v>
      </c>
      <c r="L3" s="25">
        <v>0.5</v>
      </c>
      <c r="M3" s="25">
        <v>0.6</v>
      </c>
      <c r="N3" s="25">
        <v>0.7</v>
      </c>
      <c r="O3" s="25">
        <v>0.8</v>
      </c>
      <c r="P3" s="25">
        <v>0.9</v>
      </c>
      <c r="Q3" s="25">
        <v>1</v>
      </c>
    </row>
    <row r="4" spans="1:17" x14ac:dyDescent="0.3">
      <c r="A4" s="25" t="s">
        <v>17</v>
      </c>
      <c r="B4" s="25">
        <v>8</v>
      </c>
      <c r="C4" s="25">
        <v>8</v>
      </c>
      <c r="D4" s="25">
        <v>15</v>
      </c>
      <c r="E4" s="25">
        <v>12</v>
      </c>
      <c r="F4" s="25">
        <v>21</v>
      </c>
      <c r="G4" s="25">
        <v>28</v>
      </c>
      <c r="H4" s="25">
        <v>22</v>
      </c>
      <c r="I4" s="25">
        <v>36</v>
      </c>
      <c r="J4" s="25">
        <v>38</v>
      </c>
      <c r="K4" s="25">
        <v>47</v>
      </c>
      <c r="L4" s="25">
        <v>56</v>
      </c>
      <c r="M4" s="25">
        <v>50</v>
      </c>
      <c r="N4" s="25">
        <v>53</v>
      </c>
      <c r="O4" s="25">
        <v>37</v>
      </c>
      <c r="P4" s="25">
        <v>59</v>
      </c>
      <c r="Q4" s="25">
        <v>61</v>
      </c>
    </row>
    <row r="5" spans="1:17" x14ac:dyDescent="0.3">
      <c r="A5" s="25" t="s">
        <v>18</v>
      </c>
      <c r="B5" s="25">
        <f xml:space="preserve"> 100 - B4</f>
        <v>92</v>
      </c>
      <c r="C5" s="25">
        <f t="shared" ref="C5:Q5" si="1" xml:space="preserve"> 100 - C4</f>
        <v>92</v>
      </c>
      <c r="D5" s="25">
        <f t="shared" si="1"/>
        <v>85</v>
      </c>
      <c r="E5" s="25">
        <f t="shared" si="1"/>
        <v>88</v>
      </c>
      <c r="F5" s="25">
        <f t="shared" si="1"/>
        <v>79</v>
      </c>
      <c r="G5" s="25">
        <f t="shared" si="1"/>
        <v>72</v>
      </c>
      <c r="H5" s="25">
        <f t="shared" si="1"/>
        <v>78</v>
      </c>
      <c r="I5" s="25">
        <f t="shared" si="1"/>
        <v>64</v>
      </c>
      <c r="J5" s="25">
        <f t="shared" si="1"/>
        <v>62</v>
      </c>
      <c r="K5" s="25">
        <f t="shared" si="1"/>
        <v>53</v>
      </c>
      <c r="L5" s="25">
        <f t="shared" si="1"/>
        <v>44</v>
      </c>
      <c r="M5" s="25">
        <f t="shared" si="1"/>
        <v>50</v>
      </c>
      <c r="N5" s="25">
        <f t="shared" si="1"/>
        <v>47</v>
      </c>
      <c r="O5" s="25">
        <f t="shared" si="1"/>
        <v>63</v>
      </c>
      <c r="P5" s="25">
        <f t="shared" si="1"/>
        <v>41</v>
      </c>
      <c r="Q5" s="25">
        <f t="shared" si="1"/>
        <v>39</v>
      </c>
    </row>
    <row r="8" spans="1:17" x14ac:dyDescent="0.3">
      <c r="A8" s="25" t="s">
        <v>13</v>
      </c>
      <c r="B8" s="25">
        <f xml:space="preserve"> AVERAGE(B4:Q4)</f>
        <v>34.4375</v>
      </c>
    </row>
    <row r="9" spans="1:17" x14ac:dyDescent="0.3">
      <c r="A9" s="25"/>
      <c r="B9" s="25" cm="1">
        <f t="array" ref="B9" xml:space="preserve"> SUM((B4:Q4 - $B$8)^2)</f>
        <v>5195.9375</v>
      </c>
    </row>
    <row r="10" spans="1:17" x14ac:dyDescent="0.3">
      <c r="A10" s="25"/>
      <c r="B10" s="25" cm="1">
        <f t="array" ref="B10" xml:space="preserve"> SUM((B4:Q4 - B2:Q2)^2)</f>
        <v>616.81838121129726</v>
      </c>
    </row>
    <row r="11" spans="1:17" x14ac:dyDescent="0.3">
      <c r="A11" s="25" t="s">
        <v>14</v>
      </c>
      <c r="B11" s="25">
        <f xml:space="preserve"> 1 - B10 / B9</f>
        <v>0.88128833704960896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057A7-9C3D-4AD5-8A4E-B2470BD1447C}">
  <dimension ref="A1:T100"/>
  <sheetViews>
    <sheetView topLeftCell="J1" workbookViewId="0">
      <selection activeCell="T3" sqref="T3"/>
    </sheetView>
  </sheetViews>
  <sheetFormatPr defaultRowHeight="14.4" x14ac:dyDescent="0.3"/>
  <cols>
    <col min="1" max="16384" width="8.88671875" style="1"/>
  </cols>
  <sheetData>
    <row r="1" spans="1:20" x14ac:dyDescent="0.3">
      <c r="A1" s="1">
        <v>2</v>
      </c>
      <c r="B1" s="1">
        <v>0</v>
      </c>
      <c r="C1" s="1" t="s">
        <v>2</v>
      </c>
      <c r="D1" s="1" t="s">
        <v>0</v>
      </c>
      <c r="E1" s="1">
        <v>2</v>
      </c>
      <c r="F1" s="1" t="s">
        <v>1</v>
      </c>
      <c r="G1" s="1" t="s">
        <v>0</v>
      </c>
      <c r="H1" s="1">
        <v>45</v>
      </c>
      <c r="I1" s="1">
        <v>1</v>
      </c>
      <c r="K1" s="2"/>
      <c r="L1" s="3"/>
      <c r="M1" s="24" t="s">
        <v>3</v>
      </c>
      <c r="N1" s="24"/>
      <c r="O1" s="19" t="s">
        <v>4</v>
      </c>
      <c r="P1" s="19"/>
      <c r="Q1" s="19" t="s">
        <v>5</v>
      </c>
      <c r="R1" s="19"/>
    </row>
    <row r="2" spans="1:20" x14ac:dyDescent="0.3">
      <c r="A2" s="1">
        <v>2</v>
      </c>
      <c r="B2" s="1">
        <v>0</v>
      </c>
      <c r="C2" s="1" t="s">
        <v>2</v>
      </c>
      <c r="D2" s="1" t="s">
        <v>0</v>
      </c>
      <c r="E2" s="1">
        <v>0</v>
      </c>
      <c r="F2" s="1" t="s">
        <v>1</v>
      </c>
      <c r="G2" s="1" t="s">
        <v>0</v>
      </c>
      <c r="H2" s="1">
        <v>45</v>
      </c>
      <c r="I2" s="1">
        <v>1</v>
      </c>
      <c r="K2" s="4"/>
      <c r="L2" s="5"/>
      <c r="M2" s="24"/>
      <c r="N2" s="24"/>
      <c r="O2" s="19"/>
      <c r="P2" s="19"/>
      <c r="Q2" s="19"/>
      <c r="R2" s="19"/>
      <c r="T2" t="s">
        <v>15</v>
      </c>
    </row>
    <row r="3" spans="1:20" x14ac:dyDescent="0.3">
      <c r="A3" s="1">
        <v>2</v>
      </c>
      <c r="B3" s="1">
        <v>0</v>
      </c>
      <c r="C3" s="1" t="s">
        <v>2</v>
      </c>
      <c r="D3" s="1" t="s">
        <v>0</v>
      </c>
      <c r="E3" s="1">
        <v>4</v>
      </c>
      <c r="F3" s="1" t="s">
        <v>1</v>
      </c>
      <c r="G3" s="1" t="s">
        <v>0</v>
      </c>
      <c r="H3" s="1">
        <v>38</v>
      </c>
      <c r="I3" s="1">
        <v>1</v>
      </c>
      <c r="K3" s="19" t="s">
        <v>6</v>
      </c>
      <c r="L3" s="19"/>
      <c r="M3" s="20">
        <f>COUNTIF($I$1:$I$100, 0)</f>
        <v>8</v>
      </c>
      <c r="N3" s="20"/>
      <c r="O3" s="20">
        <f>COUNTIFS($I$1:$I$100, 0, $B$1:$B$100, 0)</f>
        <v>5</v>
      </c>
      <c r="P3" s="20"/>
      <c r="Q3" s="21">
        <f>COUNTIFS($I$1:$I$100, 0, $B$1:$B$100, 1)</f>
        <v>3</v>
      </c>
      <c r="R3" s="10"/>
      <c r="T3" cm="1">
        <f t="array" ref="T3">SUMPRODUCT(--($E$1:$E$100=$H$1:$H$100))</f>
        <v>0</v>
      </c>
    </row>
    <row r="4" spans="1:20" x14ac:dyDescent="0.3">
      <c r="A4" s="1">
        <v>2</v>
      </c>
      <c r="B4" s="1">
        <v>0</v>
      </c>
      <c r="C4" s="1" t="s">
        <v>2</v>
      </c>
      <c r="D4" s="1" t="s">
        <v>0</v>
      </c>
      <c r="E4" s="1">
        <v>0</v>
      </c>
      <c r="F4" s="1" t="s">
        <v>1</v>
      </c>
      <c r="G4" s="1" t="s">
        <v>0</v>
      </c>
      <c r="H4" s="1">
        <v>38</v>
      </c>
      <c r="I4" s="1">
        <v>1</v>
      </c>
      <c r="K4" s="19"/>
      <c r="L4" s="19"/>
      <c r="M4" s="20"/>
      <c r="N4" s="20"/>
      <c r="O4" s="20"/>
      <c r="P4" s="20"/>
      <c r="Q4" s="20"/>
      <c r="R4" s="12"/>
    </row>
    <row r="5" spans="1:20" x14ac:dyDescent="0.3">
      <c r="A5" s="1">
        <v>2</v>
      </c>
      <c r="B5" s="1">
        <v>0</v>
      </c>
      <c r="C5" s="1" t="s">
        <v>2</v>
      </c>
      <c r="D5" s="1" t="s">
        <v>0</v>
      </c>
      <c r="E5" s="1">
        <v>2</v>
      </c>
      <c r="F5" s="1" t="s">
        <v>1</v>
      </c>
      <c r="G5" s="1" t="s">
        <v>0</v>
      </c>
      <c r="H5" s="1">
        <v>28</v>
      </c>
      <c r="I5" s="1">
        <v>1</v>
      </c>
      <c r="K5" s="19" t="s">
        <v>7</v>
      </c>
      <c r="L5" s="19"/>
      <c r="M5" s="11">
        <f>COUNTIF($I$1:$I$100, 1)</f>
        <v>92</v>
      </c>
      <c r="N5" s="20"/>
      <c r="O5" s="20">
        <f>COUNTIFS($I$1:$I$100, 1, $B$1:$B$100, 0)</f>
        <v>45</v>
      </c>
      <c r="P5" s="20"/>
      <c r="Q5" s="20">
        <f>COUNTIFS($I$1:$I$100, 1, $B$1:$B$100, 1)</f>
        <v>47</v>
      </c>
      <c r="R5" s="12"/>
    </row>
    <row r="6" spans="1:20" x14ac:dyDescent="0.3">
      <c r="A6" s="1">
        <v>2</v>
      </c>
      <c r="B6" s="1">
        <v>0</v>
      </c>
      <c r="C6" s="1" t="s">
        <v>2</v>
      </c>
      <c r="D6" s="1" t="s">
        <v>0</v>
      </c>
      <c r="E6" s="1">
        <v>0</v>
      </c>
      <c r="F6" s="1" t="s">
        <v>1</v>
      </c>
      <c r="G6" s="1" t="s">
        <v>0</v>
      </c>
      <c r="H6" s="1">
        <v>26</v>
      </c>
      <c r="I6" s="1">
        <v>1</v>
      </c>
      <c r="K6" s="19"/>
      <c r="L6" s="19"/>
      <c r="M6" s="13"/>
      <c r="N6" s="22"/>
      <c r="O6" s="22"/>
      <c r="P6" s="22"/>
      <c r="Q6" s="22"/>
      <c r="R6" s="14"/>
    </row>
    <row r="7" spans="1:20" x14ac:dyDescent="0.3">
      <c r="A7" s="1">
        <v>2</v>
      </c>
      <c r="B7" s="1">
        <v>0</v>
      </c>
      <c r="C7" s="1" t="s">
        <v>2</v>
      </c>
      <c r="D7" s="1" t="s">
        <v>0</v>
      </c>
      <c r="E7" s="1">
        <v>18</v>
      </c>
      <c r="F7" s="1" t="s">
        <v>1</v>
      </c>
      <c r="G7" s="1" t="s">
        <v>0</v>
      </c>
      <c r="H7" s="1">
        <v>24</v>
      </c>
      <c r="I7" s="1">
        <v>1</v>
      </c>
      <c r="K7" s="6"/>
      <c r="L7" s="6"/>
      <c r="M7" s="6"/>
      <c r="N7" s="6"/>
      <c r="O7" s="6"/>
      <c r="P7" s="6"/>
      <c r="Q7" s="6"/>
      <c r="R7" s="6"/>
    </row>
    <row r="8" spans="1:20" x14ac:dyDescent="0.3">
      <c r="A8" s="1">
        <v>2</v>
      </c>
      <c r="B8" s="1">
        <v>0</v>
      </c>
      <c r="C8" s="1" t="s">
        <v>2</v>
      </c>
      <c r="D8" s="1" t="s">
        <v>0</v>
      </c>
      <c r="E8" s="1">
        <v>36</v>
      </c>
      <c r="F8" s="1" t="s">
        <v>1</v>
      </c>
      <c r="G8" s="1" t="s">
        <v>0</v>
      </c>
      <c r="H8" s="1">
        <v>10</v>
      </c>
      <c r="I8" s="1">
        <v>0</v>
      </c>
      <c r="K8" s="7"/>
      <c r="L8" s="8"/>
      <c r="M8" s="23" t="s">
        <v>3</v>
      </c>
      <c r="N8" s="23"/>
      <c r="O8" s="23" t="s">
        <v>8</v>
      </c>
      <c r="P8" s="23"/>
      <c r="Q8" s="23" t="s">
        <v>9</v>
      </c>
      <c r="R8" s="23"/>
    </row>
    <row r="9" spans="1:20" x14ac:dyDescent="0.3">
      <c r="A9" s="1">
        <v>2</v>
      </c>
      <c r="B9" s="1">
        <v>0</v>
      </c>
      <c r="C9" s="1" t="s">
        <v>2</v>
      </c>
      <c r="D9" s="1" t="s">
        <v>0</v>
      </c>
      <c r="E9" s="1">
        <v>2</v>
      </c>
      <c r="F9" s="1" t="s">
        <v>1</v>
      </c>
      <c r="G9" s="1" t="s">
        <v>0</v>
      </c>
      <c r="H9" s="1">
        <v>46</v>
      </c>
      <c r="I9" s="1">
        <v>1</v>
      </c>
      <c r="K9" s="4"/>
      <c r="L9" s="5"/>
      <c r="M9" s="23"/>
      <c r="N9" s="23"/>
      <c r="O9" s="23"/>
      <c r="P9" s="23"/>
      <c r="Q9" s="23"/>
      <c r="R9" s="23"/>
    </row>
    <row r="10" spans="1:20" x14ac:dyDescent="0.3">
      <c r="A10" s="1">
        <v>2</v>
      </c>
      <c r="B10" s="1">
        <v>0</v>
      </c>
      <c r="C10" s="1" t="s">
        <v>2</v>
      </c>
      <c r="D10" s="1" t="s">
        <v>0</v>
      </c>
      <c r="E10" s="1">
        <v>16</v>
      </c>
      <c r="F10" s="1" t="s">
        <v>1</v>
      </c>
      <c r="G10" s="1" t="s">
        <v>0</v>
      </c>
      <c r="H10" s="1">
        <v>33</v>
      </c>
      <c r="I10" s="1">
        <v>1</v>
      </c>
      <c r="K10" s="19" t="s">
        <v>10</v>
      </c>
      <c r="L10" s="19"/>
      <c r="M10" s="20">
        <f>AVERAGE($E$1:$E$100,)</f>
        <v>6.2673267326732676</v>
      </c>
      <c r="N10" s="20"/>
      <c r="O10" s="20" cm="1">
        <f t="array" ref="O10">AVERAGE(_xlfn._xlws.FILTER($E$1:$E$100,$I$1:$I$100 = 0))</f>
        <v>24.25</v>
      </c>
      <c r="P10" s="20"/>
      <c r="Q10" s="21" cm="1">
        <f t="array" ref="Q10">AVERAGE(_xlfn._xlws.FILTER($E$1:$E$100,$I$1:$I$100 = 1))</f>
        <v>4.7717391304347823</v>
      </c>
      <c r="R10" s="10"/>
    </row>
    <row r="11" spans="1:20" x14ac:dyDescent="0.3">
      <c r="A11" s="1">
        <v>2</v>
      </c>
      <c r="B11" s="1">
        <v>0</v>
      </c>
      <c r="C11" s="1" t="s">
        <v>2</v>
      </c>
      <c r="D11" s="1" t="s">
        <v>0</v>
      </c>
      <c r="E11" s="1">
        <v>0</v>
      </c>
      <c r="F11" s="1" t="s">
        <v>1</v>
      </c>
      <c r="G11" s="1" t="s">
        <v>0</v>
      </c>
      <c r="H11" s="1">
        <v>18</v>
      </c>
      <c r="I11" s="1">
        <v>1</v>
      </c>
      <c r="K11" s="19"/>
      <c r="L11" s="19"/>
      <c r="M11" s="20"/>
      <c r="N11" s="20"/>
      <c r="O11" s="20"/>
      <c r="P11" s="20"/>
      <c r="Q11" s="20"/>
      <c r="R11" s="12"/>
    </row>
    <row r="12" spans="1:20" x14ac:dyDescent="0.3">
      <c r="A12" s="1">
        <v>2</v>
      </c>
      <c r="B12" s="1">
        <v>0</v>
      </c>
      <c r="C12" s="1" t="s">
        <v>2</v>
      </c>
      <c r="D12" s="1" t="s">
        <v>0</v>
      </c>
      <c r="E12" s="1">
        <v>18</v>
      </c>
      <c r="F12" s="1" t="s">
        <v>1</v>
      </c>
      <c r="G12" s="1" t="s">
        <v>0</v>
      </c>
      <c r="H12" s="1">
        <v>43</v>
      </c>
      <c r="I12" s="1">
        <v>1</v>
      </c>
      <c r="K12" s="19" t="s">
        <v>11</v>
      </c>
      <c r="L12" s="19"/>
      <c r="M12" s="20">
        <f>AVERAGE($H$1:$H$100,)</f>
        <v>36.495049504950494</v>
      </c>
      <c r="N12" s="20"/>
      <c r="O12" s="20" cm="1">
        <f t="array" ref="O12">AVERAGE(_xlfn._xlws.FILTER($H$1:$H$100,$I$1:$I$100 = 0))</f>
        <v>10.5</v>
      </c>
      <c r="P12" s="20"/>
      <c r="Q12" s="20" cm="1">
        <f t="array" ref="Q12">AVERAGE(_xlfn._xlws.FILTER($H$1:$H$100,$I$1:$I$100 = 1))</f>
        <v>39.152173913043477</v>
      </c>
      <c r="R12" s="12"/>
    </row>
    <row r="13" spans="1:20" x14ac:dyDescent="0.3">
      <c r="A13" s="1">
        <v>2</v>
      </c>
      <c r="B13" s="1">
        <v>0</v>
      </c>
      <c r="C13" s="1" t="s">
        <v>2</v>
      </c>
      <c r="D13" s="1" t="s">
        <v>0</v>
      </c>
      <c r="E13" s="1">
        <v>14</v>
      </c>
      <c r="F13" s="1" t="s">
        <v>1</v>
      </c>
      <c r="G13" s="1" t="s">
        <v>0</v>
      </c>
      <c r="H13" s="1">
        <v>4</v>
      </c>
      <c r="I13" s="1">
        <v>0</v>
      </c>
      <c r="K13" s="19"/>
      <c r="L13" s="19"/>
      <c r="M13" s="20"/>
      <c r="N13" s="20"/>
      <c r="O13" s="20"/>
      <c r="P13" s="20"/>
      <c r="Q13" s="20"/>
      <c r="R13" s="12"/>
    </row>
    <row r="14" spans="1:20" x14ac:dyDescent="0.3">
      <c r="A14" s="1">
        <v>2</v>
      </c>
      <c r="B14" s="1">
        <v>0</v>
      </c>
      <c r="C14" s="1" t="s">
        <v>2</v>
      </c>
      <c r="D14" s="1" t="s">
        <v>0</v>
      </c>
      <c r="E14" s="1">
        <v>3</v>
      </c>
      <c r="F14" s="1" t="s">
        <v>1</v>
      </c>
      <c r="G14" s="1" t="s">
        <v>0</v>
      </c>
      <c r="H14" s="1">
        <v>21</v>
      </c>
      <c r="I14" s="1">
        <v>1</v>
      </c>
      <c r="K14" s="9" t="s">
        <v>12</v>
      </c>
      <c r="L14" s="10"/>
      <c r="M14" s="15" cm="1">
        <f t="array" ref="M14">AVERAGE($E$1:$E$100 - $H$1:$H$100)</f>
        <v>-30.53</v>
      </c>
      <c r="N14" s="15"/>
      <c r="O14" s="15" cm="1">
        <f t="array" ref="O14">AVERAGE(_xlfn._xlws.FILTER($E$1:$E$100 - $H$1:$H$100, I$1:I$100 = 0))</f>
        <v>13.75</v>
      </c>
      <c r="P14" s="15"/>
      <c r="Q14" s="15" cm="1">
        <f t="array" ref="Q14">AVERAGE(_xlfn._xlws.FILTER($E$1:$E$100 - $H$1:$H$100, I$1:I$100 = 1))</f>
        <v>-34.380434782608695</v>
      </c>
      <c r="R14" s="17"/>
    </row>
    <row r="15" spans="1:20" x14ac:dyDescent="0.3">
      <c r="A15" s="1">
        <v>2</v>
      </c>
      <c r="B15" s="1">
        <v>0</v>
      </c>
      <c r="C15" s="1" t="s">
        <v>2</v>
      </c>
      <c r="D15" s="1" t="s">
        <v>0</v>
      </c>
      <c r="E15" s="1">
        <v>0</v>
      </c>
      <c r="F15" s="1" t="s">
        <v>1</v>
      </c>
      <c r="G15" s="1" t="s">
        <v>0</v>
      </c>
      <c r="H15" s="1">
        <v>30</v>
      </c>
      <c r="I15" s="1">
        <v>1</v>
      </c>
      <c r="K15" s="11"/>
      <c r="L15" s="12"/>
      <c r="M15" s="15"/>
      <c r="N15" s="15"/>
      <c r="O15" s="15"/>
      <c r="P15" s="15"/>
      <c r="Q15" s="15"/>
      <c r="R15" s="17"/>
    </row>
    <row r="16" spans="1:20" x14ac:dyDescent="0.3">
      <c r="A16" s="1">
        <v>2</v>
      </c>
      <c r="B16" s="1">
        <v>0</v>
      </c>
      <c r="C16" s="1" t="s">
        <v>2</v>
      </c>
      <c r="D16" s="1" t="s">
        <v>0</v>
      </c>
      <c r="E16" s="1">
        <v>16</v>
      </c>
      <c r="F16" s="1" t="s">
        <v>1</v>
      </c>
      <c r="G16" s="1" t="s">
        <v>0</v>
      </c>
      <c r="H16" s="1">
        <v>0</v>
      </c>
      <c r="I16" s="1">
        <v>0</v>
      </c>
      <c r="K16" s="13"/>
      <c r="L16" s="14"/>
      <c r="M16" s="16"/>
      <c r="N16" s="16"/>
      <c r="O16" s="16"/>
      <c r="P16" s="16"/>
      <c r="Q16" s="16"/>
      <c r="R16" s="18"/>
    </row>
    <row r="17" spans="1:9" x14ac:dyDescent="0.3">
      <c r="A17" s="1">
        <v>2</v>
      </c>
      <c r="B17" s="1">
        <v>0</v>
      </c>
      <c r="C17" s="1" t="s">
        <v>2</v>
      </c>
      <c r="D17" s="1" t="s">
        <v>0</v>
      </c>
      <c r="E17" s="1">
        <v>12</v>
      </c>
      <c r="F17" s="1" t="s">
        <v>1</v>
      </c>
      <c r="G17" s="1" t="s">
        <v>0</v>
      </c>
      <c r="H17" s="1">
        <v>8</v>
      </c>
      <c r="I17" s="1">
        <v>0</v>
      </c>
    </row>
    <row r="18" spans="1:9" x14ac:dyDescent="0.3">
      <c r="A18" s="1">
        <v>2</v>
      </c>
      <c r="B18" s="1">
        <v>0</v>
      </c>
      <c r="C18" s="1" t="s">
        <v>2</v>
      </c>
      <c r="D18" s="1" t="s">
        <v>0</v>
      </c>
      <c r="E18" s="1">
        <v>7</v>
      </c>
      <c r="F18" s="1" t="s">
        <v>1</v>
      </c>
      <c r="G18" s="1" t="s">
        <v>0</v>
      </c>
      <c r="H18" s="1">
        <v>24</v>
      </c>
      <c r="I18" s="1">
        <v>1</v>
      </c>
    </row>
    <row r="19" spans="1:9" x14ac:dyDescent="0.3">
      <c r="A19" s="1">
        <v>2</v>
      </c>
      <c r="B19" s="1">
        <v>0</v>
      </c>
      <c r="C19" s="1" t="s">
        <v>2</v>
      </c>
      <c r="D19" s="1" t="s">
        <v>0</v>
      </c>
      <c r="E19" s="1">
        <v>0</v>
      </c>
      <c r="F19" s="1" t="s">
        <v>1</v>
      </c>
      <c r="G19" s="1" t="s">
        <v>0</v>
      </c>
      <c r="H19" s="1">
        <v>36</v>
      </c>
      <c r="I19" s="1">
        <v>1</v>
      </c>
    </row>
    <row r="20" spans="1:9" x14ac:dyDescent="0.3">
      <c r="A20" s="1">
        <v>2</v>
      </c>
      <c r="B20" s="1">
        <v>0</v>
      </c>
      <c r="C20" s="1" t="s">
        <v>2</v>
      </c>
      <c r="D20" s="1" t="s">
        <v>0</v>
      </c>
      <c r="E20" s="1">
        <v>0</v>
      </c>
      <c r="F20" s="1" t="s">
        <v>1</v>
      </c>
      <c r="G20" s="1" t="s">
        <v>0</v>
      </c>
      <c r="H20" s="1">
        <v>23</v>
      </c>
      <c r="I20" s="1">
        <v>1</v>
      </c>
    </row>
    <row r="21" spans="1:9" x14ac:dyDescent="0.3">
      <c r="A21" s="1">
        <v>2</v>
      </c>
      <c r="B21" s="1">
        <v>0</v>
      </c>
      <c r="C21" s="1" t="s">
        <v>2</v>
      </c>
      <c r="D21" s="1" t="s">
        <v>0</v>
      </c>
      <c r="E21" s="1">
        <v>16</v>
      </c>
      <c r="F21" s="1" t="s">
        <v>1</v>
      </c>
      <c r="G21" s="1" t="s">
        <v>0</v>
      </c>
      <c r="H21" s="1">
        <v>2</v>
      </c>
      <c r="I21" s="1">
        <v>0</v>
      </c>
    </row>
    <row r="22" spans="1:9" x14ac:dyDescent="0.3">
      <c r="A22" s="1">
        <v>2</v>
      </c>
      <c r="B22" s="1">
        <v>0</v>
      </c>
      <c r="C22" s="1" t="s">
        <v>2</v>
      </c>
      <c r="D22" s="1" t="s">
        <v>0</v>
      </c>
      <c r="E22" s="1">
        <v>0</v>
      </c>
      <c r="F22" s="1" t="s">
        <v>1</v>
      </c>
      <c r="G22" s="1" t="s">
        <v>0</v>
      </c>
      <c r="H22" s="1">
        <v>25</v>
      </c>
      <c r="I22" s="1">
        <v>1</v>
      </c>
    </row>
    <row r="23" spans="1:9" x14ac:dyDescent="0.3">
      <c r="A23" s="1">
        <v>2</v>
      </c>
      <c r="B23" s="1">
        <v>0</v>
      </c>
      <c r="C23" s="1" t="s">
        <v>2</v>
      </c>
      <c r="D23" s="1" t="s">
        <v>0</v>
      </c>
      <c r="E23" s="1">
        <v>2</v>
      </c>
      <c r="F23" s="1" t="s">
        <v>1</v>
      </c>
      <c r="G23" s="1" t="s">
        <v>0</v>
      </c>
      <c r="H23" s="1">
        <v>58</v>
      </c>
      <c r="I23" s="1">
        <v>1</v>
      </c>
    </row>
    <row r="24" spans="1:9" x14ac:dyDescent="0.3">
      <c r="A24" s="1">
        <v>2</v>
      </c>
      <c r="B24" s="1">
        <v>0</v>
      </c>
      <c r="C24" s="1" t="s">
        <v>2</v>
      </c>
      <c r="D24" s="1" t="s">
        <v>0</v>
      </c>
      <c r="E24" s="1">
        <v>0</v>
      </c>
      <c r="F24" s="1" t="s">
        <v>1</v>
      </c>
      <c r="G24" s="1" t="s">
        <v>0</v>
      </c>
      <c r="H24" s="1">
        <v>24</v>
      </c>
      <c r="I24" s="1">
        <v>1</v>
      </c>
    </row>
    <row r="25" spans="1:9" x14ac:dyDescent="0.3">
      <c r="A25" s="1">
        <v>2</v>
      </c>
      <c r="B25" s="1">
        <v>0</v>
      </c>
      <c r="C25" s="1" t="s">
        <v>2</v>
      </c>
      <c r="D25" s="1" t="s">
        <v>0</v>
      </c>
      <c r="E25" s="1">
        <v>0</v>
      </c>
      <c r="F25" s="1" t="s">
        <v>1</v>
      </c>
      <c r="G25" s="1" t="s">
        <v>0</v>
      </c>
      <c r="H25" s="1">
        <v>32</v>
      </c>
      <c r="I25" s="1">
        <v>1</v>
      </c>
    </row>
    <row r="26" spans="1:9" x14ac:dyDescent="0.3">
      <c r="A26" s="1">
        <v>2</v>
      </c>
      <c r="B26" s="1">
        <v>0</v>
      </c>
      <c r="C26" s="1" t="s">
        <v>2</v>
      </c>
      <c r="D26" s="1" t="s">
        <v>0</v>
      </c>
      <c r="E26" s="1">
        <v>0</v>
      </c>
      <c r="F26" s="1" t="s">
        <v>1</v>
      </c>
      <c r="G26" s="1" t="s">
        <v>0</v>
      </c>
      <c r="H26" s="1">
        <v>33</v>
      </c>
      <c r="I26" s="1">
        <v>1</v>
      </c>
    </row>
    <row r="27" spans="1:9" x14ac:dyDescent="0.3">
      <c r="A27" s="1">
        <v>2</v>
      </c>
      <c r="B27" s="1">
        <v>0</v>
      </c>
      <c r="C27" s="1" t="s">
        <v>2</v>
      </c>
      <c r="D27" s="1" t="s">
        <v>0</v>
      </c>
      <c r="E27" s="1">
        <v>4</v>
      </c>
      <c r="F27" s="1" t="s">
        <v>1</v>
      </c>
      <c r="G27" s="1" t="s">
        <v>0</v>
      </c>
      <c r="H27" s="1">
        <v>49</v>
      </c>
      <c r="I27" s="1">
        <v>1</v>
      </c>
    </row>
    <row r="28" spans="1:9" x14ac:dyDescent="0.3">
      <c r="A28" s="1">
        <v>2</v>
      </c>
      <c r="B28" s="1">
        <v>0</v>
      </c>
      <c r="C28" s="1" t="s">
        <v>2</v>
      </c>
      <c r="D28" s="1" t="s">
        <v>0</v>
      </c>
      <c r="E28" s="1">
        <v>17</v>
      </c>
      <c r="F28" s="1" t="s">
        <v>1</v>
      </c>
      <c r="G28" s="1" t="s">
        <v>0</v>
      </c>
      <c r="H28" s="1">
        <v>56</v>
      </c>
      <c r="I28" s="1">
        <v>1</v>
      </c>
    </row>
    <row r="29" spans="1:9" x14ac:dyDescent="0.3">
      <c r="A29" s="1">
        <v>2</v>
      </c>
      <c r="B29" s="1">
        <v>0</v>
      </c>
      <c r="C29" s="1" t="s">
        <v>2</v>
      </c>
      <c r="D29" s="1" t="s">
        <v>0</v>
      </c>
      <c r="E29" s="1">
        <v>12</v>
      </c>
      <c r="F29" s="1" t="s">
        <v>1</v>
      </c>
      <c r="G29" s="1" t="s">
        <v>0</v>
      </c>
      <c r="H29" s="1">
        <v>33</v>
      </c>
      <c r="I29" s="1">
        <v>1</v>
      </c>
    </row>
    <row r="30" spans="1:9" x14ac:dyDescent="0.3">
      <c r="A30" s="1">
        <v>2</v>
      </c>
      <c r="B30" s="1">
        <v>0</v>
      </c>
      <c r="C30" s="1" t="s">
        <v>2</v>
      </c>
      <c r="D30" s="1" t="s">
        <v>0</v>
      </c>
      <c r="E30" s="1">
        <v>2</v>
      </c>
      <c r="F30" s="1" t="s">
        <v>1</v>
      </c>
      <c r="G30" s="1" t="s">
        <v>0</v>
      </c>
      <c r="H30" s="1">
        <v>52</v>
      </c>
      <c r="I30" s="1">
        <v>1</v>
      </c>
    </row>
    <row r="31" spans="1:9" x14ac:dyDescent="0.3">
      <c r="A31" s="1">
        <v>2</v>
      </c>
      <c r="B31" s="1">
        <v>0</v>
      </c>
      <c r="C31" s="1" t="s">
        <v>2</v>
      </c>
      <c r="D31" s="1" t="s">
        <v>0</v>
      </c>
      <c r="E31" s="1">
        <v>6</v>
      </c>
      <c r="F31" s="1" t="s">
        <v>1</v>
      </c>
      <c r="G31" s="1" t="s">
        <v>0</v>
      </c>
      <c r="H31" s="1">
        <v>63</v>
      </c>
      <c r="I31" s="1">
        <v>1</v>
      </c>
    </row>
    <row r="32" spans="1:9" x14ac:dyDescent="0.3">
      <c r="A32" s="1">
        <v>2</v>
      </c>
      <c r="B32" s="1">
        <v>0</v>
      </c>
      <c r="C32" s="1" t="s">
        <v>2</v>
      </c>
      <c r="D32" s="1" t="s">
        <v>0</v>
      </c>
      <c r="E32" s="1">
        <v>1</v>
      </c>
      <c r="F32" s="1" t="s">
        <v>1</v>
      </c>
      <c r="G32" s="1" t="s">
        <v>0</v>
      </c>
      <c r="H32" s="1">
        <v>35</v>
      </c>
      <c r="I32" s="1">
        <v>1</v>
      </c>
    </row>
    <row r="33" spans="1:9" x14ac:dyDescent="0.3">
      <c r="A33" s="1">
        <v>2</v>
      </c>
      <c r="B33" s="1">
        <v>0</v>
      </c>
      <c r="C33" s="1" t="s">
        <v>2</v>
      </c>
      <c r="D33" s="1" t="s">
        <v>0</v>
      </c>
      <c r="E33" s="1">
        <v>2</v>
      </c>
      <c r="F33" s="1" t="s">
        <v>1</v>
      </c>
      <c r="G33" s="1" t="s">
        <v>0</v>
      </c>
      <c r="H33" s="1">
        <v>39</v>
      </c>
      <c r="I33" s="1">
        <v>1</v>
      </c>
    </row>
    <row r="34" spans="1:9" x14ac:dyDescent="0.3">
      <c r="A34" s="1">
        <v>2</v>
      </c>
      <c r="B34" s="1">
        <v>0</v>
      </c>
      <c r="C34" s="1" t="s">
        <v>2</v>
      </c>
      <c r="D34" s="1" t="s">
        <v>0</v>
      </c>
      <c r="E34" s="1">
        <v>8</v>
      </c>
      <c r="F34" s="1" t="s">
        <v>1</v>
      </c>
      <c r="G34" s="1" t="s">
        <v>0</v>
      </c>
      <c r="H34" s="1">
        <v>65</v>
      </c>
      <c r="I34" s="1">
        <v>1</v>
      </c>
    </row>
    <row r="35" spans="1:9" x14ac:dyDescent="0.3">
      <c r="A35" s="1">
        <v>2</v>
      </c>
      <c r="B35" s="1">
        <v>0</v>
      </c>
      <c r="C35" s="1" t="s">
        <v>2</v>
      </c>
      <c r="D35" s="1" t="s">
        <v>0</v>
      </c>
      <c r="E35" s="1">
        <v>0</v>
      </c>
      <c r="F35" s="1" t="s">
        <v>1</v>
      </c>
      <c r="G35" s="1" t="s">
        <v>0</v>
      </c>
      <c r="H35" s="1">
        <v>28</v>
      </c>
      <c r="I35" s="1">
        <v>1</v>
      </c>
    </row>
    <row r="36" spans="1:9" x14ac:dyDescent="0.3">
      <c r="A36" s="1">
        <v>2</v>
      </c>
      <c r="B36" s="1">
        <v>0</v>
      </c>
      <c r="C36" s="1" t="s">
        <v>2</v>
      </c>
      <c r="D36" s="1" t="s">
        <v>0</v>
      </c>
      <c r="E36" s="1">
        <v>0</v>
      </c>
      <c r="F36" s="1" t="s">
        <v>1</v>
      </c>
      <c r="G36" s="1" t="s">
        <v>0</v>
      </c>
      <c r="H36" s="1">
        <v>14</v>
      </c>
      <c r="I36" s="1">
        <v>1</v>
      </c>
    </row>
    <row r="37" spans="1:9" x14ac:dyDescent="0.3">
      <c r="A37" s="1">
        <v>2</v>
      </c>
      <c r="B37" s="1">
        <v>0</v>
      </c>
      <c r="C37" s="1" t="s">
        <v>2</v>
      </c>
      <c r="D37" s="1" t="s">
        <v>0</v>
      </c>
      <c r="E37" s="1">
        <v>0</v>
      </c>
      <c r="F37" s="1" t="s">
        <v>1</v>
      </c>
      <c r="G37" s="1" t="s">
        <v>0</v>
      </c>
      <c r="H37" s="1">
        <v>45</v>
      </c>
      <c r="I37" s="1">
        <v>1</v>
      </c>
    </row>
    <row r="38" spans="1:9" x14ac:dyDescent="0.3">
      <c r="A38" s="1">
        <v>2</v>
      </c>
      <c r="B38" s="1">
        <v>0</v>
      </c>
      <c r="C38" s="1" t="s">
        <v>2</v>
      </c>
      <c r="D38" s="1" t="s">
        <v>0</v>
      </c>
      <c r="E38" s="1">
        <v>0</v>
      </c>
      <c r="F38" s="1" t="s">
        <v>1</v>
      </c>
      <c r="G38" s="1" t="s">
        <v>0</v>
      </c>
      <c r="H38" s="1">
        <v>49</v>
      </c>
      <c r="I38" s="1">
        <v>1</v>
      </c>
    </row>
    <row r="39" spans="1:9" x14ac:dyDescent="0.3">
      <c r="A39" s="1">
        <v>2</v>
      </c>
      <c r="B39" s="1">
        <v>0</v>
      </c>
      <c r="C39" s="1" t="s">
        <v>2</v>
      </c>
      <c r="D39" s="1" t="s">
        <v>0</v>
      </c>
      <c r="E39" s="1">
        <v>5</v>
      </c>
      <c r="F39" s="1" t="s">
        <v>1</v>
      </c>
      <c r="G39" s="1" t="s">
        <v>0</v>
      </c>
      <c r="H39" s="1">
        <v>32</v>
      </c>
      <c r="I39" s="1">
        <v>1</v>
      </c>
    </row>
    <row r="40" spans="1:9" x14ac:dyDescent="0.3">
      <c r="A40" s="1">
        <v>2</v>
      </c>
      <c r="B40" s="1">
        <v>0</v>
      </c>
      <c r="C40" s="1" t="s">
        <v>2</v>
      </c>
      <c r="D40" s="1" t="s">
        <v>0</v>
      </c>
      <c r="E40" s="1">
        <v>0</v>
      </c>
      <c r="F40" s="1" t="s">
        <v>1</v>
      </c>
      <c r="G40" s="1" t="s">
        <v>0</v>
      </c>
      <c r="H40" s="1">
        <v>47</v>
      </c>
      <c r="I40" s="1">
        <v>1</v>
      </c>
    </row>
    <row r="41" spans="1:9" x14ac:dyDescent="0.3">
      <c r="A41" s="1">
        <v>2</v>
      </c>
      <c r="B41" s="1">
        <v>0</v>
      </c>
      <c r="C41" s="1" t="s">
        <v>2</v>
      </c>
      <c r="D41" s="1" t="s">
        <v>0</v>
      </c>
      <c r="E41" s="1">
        <v>3</v>
      </c>
      <c r="F41" s="1" t="s">
        <v>1</v>
      </c>
      <c r="G41" s="1" t="s">
        <v>0</v>
      </c>
      <c r="H41" s="1">
        <v>53</v>
      </c>
      <c r="I41" s="1">
        <v>1</v>
      </c>
    </row>
    <row r="42" spans="1:9" x14ac:dyDescent="0.3">
      <c r="A42" s="1">
        <v>2</v>
      </c>
      <c r="B42" s="1">
        <v>0</v>
      </c>
      <c r="C42" s="1" t="s">
        <v>2</v>
      </c>
      <c r="D42" s="1" t="s">
        <v>0</v>
      </c>
      <c r="E42" s="1">
        <v>2</v>
      </c>
      <c r="F42" s="1" t="s">
        <v>1</v>
      </c>
      <c r="G42" s="1" t="s">
        <v>0</v>
      </c>
      <c r="H42" s="1">
        <v>54</v>
      </c>
      <c r="I42" s="1">
        <v>1</v>
      </c>
    </row>
    <row r="43" spans="1:9" x14ac:dyDescent="0.3">
      <c r="A43" s="1">
        <v>2</v>
      </c>
      <c r="B43" s="1">
        <v>0</v>
      </c>
      <c r="C43" s="1" t="s">
        <v>2</v>
      </c>
      <c r="D43" s="1" t="s">
        <v>0</v>
      </c>
      <c r="E43" s="1">
        <v>10</v>
      </c>
      <c r="F43" s="1" t="s">
        <v>1</v>
      </c>
      <c r="G43" s="1" t="s">
        <v>0</v>
      </c>
      <c r="H43" s="1">
        <v>27</v>
      </c>
      <c r="I43" s="1">
        <v>1</v>
      </c>
    </row>
    <row r="44" spans="1:9" x14ac:dyDescent="0.3">
      <c r="A44" s="1">
        <v>2</v>
      </c>
      <c r="B44" s="1">
        <v>0</v>
      </c>
      <c r="C44" s="1" t="s">
        <v>2</v>
      </c>
      <c r="D44" s="1" t="s">
        <v>0</v>
      </c>
      <c r="E44" s="1">
        <v>2</v>
      </c>
      <c r="F44" s="1" t="s">
        <v>1</v>
      </c>
      <c r="G44" s="1" t="s">
        <v>0</v>
      </c>
      <c r="H44" s="1">
        <v>28</v>
      </c>
      <c r="I44" s="1">
        <v>1</v>
      </c>
    </row>
    <row r="45" spans="1:9" x14ac:dyDescent="0.3">
      <c r="A45" s="1">
        <v>2</v>
      </c>
      <c r="B45" s="1">
        <v>0</v>
      </c>
      <c r="C45" s="1" t="s">
        <v>2</v>
      </c>
      <c r="D45" s="1" t="s">
        <v>0</v>
      </c>
      <c r="E45" s="1">
        <v>0</v>
      </c>
      <c r="F45" s="1" t="s">
        <v>1</v>
      </c>
      <c r="G45" s="1" t="s">
        <v>0</v>
      </c>
      <c r="H45" s="1">
        <v>18</v>
      </c>
      <c r="I45" s="1">
        <v>1</v>
      </c>
    </row>
    <row r="46" spans="1:9" x14ac:dyDescent="0.3">
      <c r="A46" s="1">
        <v>2</v>
      </c>
      <c r="B46" s="1">
        <v>0</v>
      </c>
      <c r="C46" s="1" t="s">
        <v>2</v>
      </c>
      <c r="D46" s="1" t="s">
        <v>0</v>
      </c>
      <c r="E46" s="1">
        <v>0</v>
      </c>
      <c r="F46" s="1" t="s">
        <v>1</v>
      </c>
      <c r="G46" s="1" t="s">
        <v>0</v>
      </c>
      <c r="H46" s="1">
        <v>30</v>
      </c>
      <c r="I46" s="1">
        <v>1</v>
      </c>
    </row>
    <row r="47" spans="1:9" x14ac:dyDescent="0.3">
      <c r="A47" s="1">
        <v>2</v>
      </c>
      <c r="B47" s="1">
        <v>0</v>
      </c>
      <c r="C47" s="1" t="s">
        <v>2</v>
      </c>
      <c r="D47" s="1" t="s">
        <v>0</v>
      </c>
      <c r="E47" s="1">
        <v>2</v>
      </c>
      <c r="F47" s="1" t="s">
        <v>1</v>
      </c>
      <c r="G47" s="1" t="s">
        <v>0</v>
      </c>
      <c r="H47" s="1">
        <v>24</v>
      </c>
      <c r="I47" s="1">
        <v>1</v>
      </c>
    </row>
    <row r="48" spans="1:9" x14ac:dyDescent="0.3">
      <c r="A48" s="1">
        <v>2</v>
      </c>
      <c r="B48" s="1">
        <v>0</v>
      </c>
      <c r="C48" s="1" t="s">
        <v>2</v>
      </c>
      <c r="D48" s="1" t="s">
        <v>0</v>
      </c>
      <c r="E48" s="1">
        <v>0</v>
      </c>
      <c r="F48" s="1" t="s">
        <v>1</v>
      </c>
      <c r="G48" s="1" t="s">
        <v>0</v>
      </c>
      <c r="H48" s="1">
        <v>34</v>
      </c>
      <c r="I48" s="1">
        <v>1</v>
      </c>
    </row>
    <row r="49" spans="1:9" x14ac:dyDescent="0.3">
      <c r="A49" s="1">
        <v>2</v>
      </c>
      <c r="B49" s="1">
        <v>0</v>
      </c>
      <c r="C49" s="1" t="s">
        <v>2</v>
      </c>
      <c r="D49" s="1" t="s">
        <v>0</v>
      </c>
      <c r="E49" s="1">
        <v>2</v>
      </c>
      <c r="F49" s="1" t="s">
        <v>1</v>
      </c>
      <c r="G49" s="1" t="s">
        <v>0</v>
      </c>
      <c r="H49" s="1">
        <v>87</v>
      </c>
      <c r="I49" s="1">
        <v>1</v>
      </c>
    </row>
    <row r="50" spans="1:9" x14ac:dyDescent="0.3">
      <c r="A50" s="1">
        <v>2</v>
      </c>
      <c r="B50" s="1">
        <v>0</v>
      </c>
      <c r="C50" s="1" t="s">
        <v>2</v>
      </c>
      <c r="D50" s="1" t="s">
        <v>0</v>
      </c>
      <c r="E50" s="1">
        <v>0</v>
      </c>
      <c r="F50" s="1" t="s">
        <v>1</v>
      </c>
      <c r="G50" s="1" t="s">
        <v>0</v>
      </c>
      <c r="H50" s="1">
        <v>45</v>
      </c>
      <c r="I50" s="1">
        <v>1</v>
      </c>
    </row>
    <row r="51" spans="1:9" x14ac:dyDescent="0.3">
      <c r="A51" s="1">
        <v>2</v>
      </c>
      <c r="B51" s="1">
        <v>1</v>
      </c>
      <c r="C51" s="1" t="s">
        <v>2</v>
      </c>
      <c r="D51" s="1" t="s">
        <v>0</v>
      </c>
      <c r="E51" s="1">
        <v>0</v>
      </c>
      <c r="F51" s="1" t="s">
        <v>1</v>
      </c>
      <c r="G51" s="1" t="s">
        <v>0</v>
      </c>
      <c r="H51" s="1">
        <v>14</v>
      </c>
      <c r="I51" s="1">
        <v>1</v>
      </c>
    </row>
    <row r="52" spans="1:9" x14ac:dyDescent="0.3">
      <c r="A52" s="1">
        <v>2</v>
      </c>
      <c r="B52" s="1">
        <v>1</v>
      </c>
      <c r="C52" s="1" t="s">
        <v>2</v>
      </c>
      <c r="D52" s="1" t="s">
        <v>0</v>
      </c>
      <c r="E52" s="1">
        <v>2</v>
      </c>
      <c r="F52" s="1" t="s">
        <v>1</v>
      </c>
      <c r="G52" s="1" t="s">
        <v>0</v>
      </c>
      <c r="H52" s="1">
        <v>42</v>
      </c>
      <c r="I52" s="1">
        <v>1</v>
      </c>
    </row>
    <row r="53" spans="1:9" x14ac:dyDescent="0.3">
      <c r="A53" s="1">
        <v>2</v>
      </c>
      <c r="B53" s="1">
        <v>1</v>
      </c>
      <c r="C53" s="1" t="s">
        <v>2</v>
      </c>
      <c r="D53" s="1" t="s">
        <v>0</v>
      </c>
      <c r="E53" s="1">
        <v>2</v>
      </c>
      <c r="F53" s="1" t="s">
        <v>1</v>
      </c>
      <c r="G53" s="1" t="s">
        <v>0</v>
      </c>
      <c r="H53" s="1">
        <v>34</v>
      </c>
      <c r="I53" s="1">
        <v>1</v>
      </c>
    </row>
    <row r="54" spans="1:9" x14ac:dyDescent="0.3">
      <c r="A54" s="1">
        <v>2</v>
      </c>
      <c r="B54" s="1">
        <v>1</v>
      </c>
      <c r="C54" s="1" t="s">
        <v>2</v>
      </c>
      <c r="D54" s="1" t="s">
        <v>0</v>
      </c>
      <c r="E54" s="1">
        <v>20</v>
      </c>
      <c r="F54" s="1" t="s">
        <v>1</v>
      </c>
      <c r="G54" s="1" t="s">
        <v>0</v>
      </c>
      <c r="H54" s="1">
        <v>34</v>
      </c>
      <c r="I54" s="1">
        <v>1</v>
      </c>
    </row>
    <row r="55" spans="1:9" x14ac:dyDescent="0.3">
      <c r="A55" s="1">
        <v>2</v>
      </c>
      <c r="B55" s="1">
        <v>1</v>
      </c>
      <c r="C55" s="1" t="s">
        <v>2</v>
      </c>
      <c r="D55" s="1" t="s">
        <v>0</v>
      </c>
      <c r="E55" s="1">
        <v>10</v>
      </c>
      <c r="F55" s="1" t="s">
        <v>1</v>
      </c>
      <c r="G55" s="1" t="s">
        <v>0</v>
      </c>
      <c r="H55" s="1">
        <v>19</v>
      </c>
      <c r="I55" s="1">
        <v>1</v>
      </c>
    </row>
    <row r="56" spans="1:9" x14ac:dyDescent="0.3">
      <c r="A56" s="1">
        <v>2</v>
      </c>
      <c r="B56" s="1">
        <v>1</v>
      </c>
      <c r="C56" s="1" t="s">
        <v>2</v>
      </c>
      <c r="D56" s="1" t="s">
        <v>0</v>
      </c>
      <c r="E56" s="1">
        <v>0</v>
      </c>
      <c r="F56" s="1" t="s">
        <v>1</v>
      </c>
      <c r="G56" s="1" t="s">
        <v>0</v>
      </c>
      <c r="H56" s="1">
        <v>20</v>
      </c>
      <c r="I56" s="1">
        <v>1</v>
      </c>
    </row>
    <row r="57" spans="1:9" x14ac:dyDescent="0.3">
      <c r="A57" s="1">
        <v>2</v>
      </c>
      <c r="B57" s="1">
        <v>1</v>
      </c>
      <c r="C57" s="1" t="s">
        <v>2</v>
      </c>
      <c r="D57" s="1" t="s">
        <v>0</v>
      </c>
      <c r="E57" s="1">
        <v>25</v>
      </c>
      <c r="F57" s="1" t="s">
        <v>1</v>
      </c>
      <c r="G57" s="1" t="s">
        <v>0</v>
      </c>
      <c r="H57" s="1">
        <v>34</v>
      </c>
      <c r="I57" s="1">
        <v>1</v>
      </c>
    </row>
    <row r="58" spans="1:9" x14ac:dyDescent="0.3">
      <c r="A58" s="1">
        <v>2</v>
      </c>
      <c r="B58" s="1">
        <v>1</v>
      </c>
      <c r="C58" s="1" t="s">
        <v>2</v>
      </c>
      <c r="D58" s="1" t="s">
        <v>0</v>
      </c>
      <c r="E58" s="1">
        <v>4</v>
      </c>
      <c r="F58" s="1" t="s">
        <v>1</v>
      </c>
      <c r="G58" s="1" t="s">
        <v>0</v>
      </c>
      <c r="H58" s="1">
        <v>52</v>
      </c>
      <c r="I58" s="1">
        <v>1</v>
      </c>
    </row>
    <row r="59" spans="1:9" x14ac:dyDescent="0.3">
      <c r="A59" s="1">
        <v>2</v>
      </c>
      <c r="B59" s="1">
        <v>1</v>
      </c>
      <c r="C59" s="1" t="s">
        <v>2</v>
      </c>
      <c r="D59" s="1" t="s">
        <v>0</v>
      </c>
      <c r="E59" s="1">
        <v>0</v>
      </c>
      <c r="F59" s="1" t="s">
        <v>1</v>
      </c>
      <c r="G59" s="1" t="s">
        <v>0</v>
      </c>
      <c r="H59" s="1">
        <v>46</v>
      </c>
      <c r="I59" s="1">
        <v>1</v>
      </c>
    </row>
    <row r="60" spans="1:9" x14ac:dyDescent="0.3">
      <c r="A60" s="1">
        <v>2</v>
      </c>
      <c r="B60" s="1">
        <v>1</v>
      </c>
      <c r="C60" s="1" t="s">
        <v>2</v>
      </c>
      <c r="D60" s="1" t="s">
        <v>0</v>
      </c>
      <c r="E60" s="1">
        <v>9</v>
      </c>
      <c r="F60" s="1" t="s">
        <v>1</v>
      </c>
      <c r="G60" s="1" t="s">
        <v>0</v>
      </c>
      <c r="H60" s="1">
        <v>50</v>
      </c>
      <c r="I60" s="1">
        <v>1</v>
      </c>
    </row>
    <row r="61" spans="1:9" x14ac:dyDescent="0.3">
      <c r="A61" s="1">
        <v>2</v>
      </c>
      <c r="B61" s="1">
        <v>1</v>
      </c>
      <c r="C61" s="1" t="s">
        <v>2</v>
      </c>
      <c r="D61" s="1" t="s">
        <v>0</v>
      </c>
      <c r="E61" s="1">
        <v>2</v>
      </c>
      <c r="F61" s="1" t="s">
        <v>1</v>
      </c>
      <c r="G61" s="1" t="s">
        <v>0</v>
      </c>
      <c r="H61" s="1">
        <v>34</v>
      </c>
      <c r="I61" s="1">
        <v>1</v>
      </c>
    </row>
    <row r="62" spans="1:9" x14ac:dyDescent="0.3">
      <c r="A62" s="1">
        <v>2</v>
      </c>
      <c r="B62" s="1">
        <v>1</v>
      </c>
      <c r="C62" s="1" t="s">
        <v>2</v>
      </c>
      <c r="D62" s="1" t="s">
        <v>0</v>
      </c>
      <c r="E62" s="1">
        <v>0</v>
      </c>
      <c r="F62" s="1" t="s">
        <v>1</v>
      </c>
      <c r="G62" s="1" t="s">
        <v>0</v>
      </c>
      <c r="H62" s="1">
        <v>35</v>
      </c>
      <c r="I62" s="1">
        <v>1</v>
      </c>
    </row>
    <row r="63" spans="1:9" x14ac:dyDescent="0.3">
      <c r="A63" s="1">
        <v>2</v>
      </c>
      <c r="B63" s="1">
        <v>1</v>
      </c>
      <c r="C63" s="1" t="s">
        <v>2</v>
      </c>
      <c r="D63" s="1" t="s">
        <v>0</v>
      </c>
      <c r="E63" s="1">
        <v>4</v>
      </c>
      <c r="F63" s="1" t="s">
        <v>1</v>
      </c>
      <c r="G63" s="1" t="s">
        <v>0</v>
      </c>
      <c r="H63" s="1">
        <v>15</v>
      </c>
      <c r="I63" s="1">
        <v>1</v>
      </c>
    </row>
    <row r="64" spans="1:9" x14ac:dyDescent="0.3">
      <c r="A64" s="1">
        <v>2</v>
      </c>
      <c r="B64" s="1">
        <v>1</v>
      </c>
      <c r="C64" s="1" t="s">
        <v>2</v>
      </c>
      <c r="D64" s="1" t="s">
        <v>0</v>
      </c>
      <c r="E64" s="1">
        <v>33</v>
      </c>
      <c r="F64" s="1" t="s">
        <v>1</v>
      </c>
      <c r="G64" s="1" t="s">
        <v>0</v>
      </c>
      <c r="H64" s="1">
        <v>27</v>
      </c>
      <c r="I64" s="1">
        <v>0</v>
      </c>
    </row>
    <row r="65" spans="1:9" x14ac:dyDescent="0.3">
      <c r="A65" s="1">
        <v>2</v>
      </c>
      <c r="B65" s="1">
        <v>1</v>
      </c>
      <c r="C65" s="1" t="s">
        <v>2</v>
      </c>
      <c r="D65" s="1" t="s">
        <v>0</v>
      </c>
      <c r="E65" s="1">
        <v>18</v>
      </c>
      <c r="F65" s="1" t="s">
        <v>1</v>
      </c>
      <c r="G65" s="1" t="s">
        <v>0</v>
      </c>
      <c r="H65" s="1">
        <v>65</v>
      </c>
      <c r="I65" s="1">
        <v>1</v>
      </c>
    </row>
    <row r="66" spans="1:9" x14ac:dyDescent="0.3">
      <c r="A66" s="1">
        <v>2</v>
      </c>
      <c r="B66" s="1">
        <v>1</v>
      </c>
      <c r="C66" s="1" t="s">
        <v>2</v>
      </c>
      <c r="D66" s="1" t="s">
        <v>0</v>
      </c>
      <c r="E66" s="1">
        <v>0</v>
      </c>
      <c r="F66" s="1" t="s">
        <v>1</v>
      </c>
      <c r="G66" s="1" t="s">
        <v>0</v>
      </c>
      <c r="H66" s="1">
        <v>27</v>
      </c>
      <c r="I66" s="1">
        <v>1</v>
      </c>
    </row>
    <row r="67" spans="1:9" x14ac:dyDescent="0.3">
      <c r="A67" s="1">
        <v>2</v>
      </c>
      <c r="B67" s="1">
        <v>1</v>
      </c>
      <c r="C67" s="1" t="s">
        <v>2</v>
      </c>
      <c r="D67" s="1" t="s">
        <v>0</v>
      </c>
      <c r="E67" s="1">
        <v>0</v>
      </c>
      <c r="F67" s="1" t="s">
        <v>1</v>
      </c>
      <c r="G67" s="1" t="s">
        <v>0</v>
      </c>
      <c r="H67" s="1">
        <v>54</v>
      </c>
      <c r="I67" s="1">
        <v>1</v>
      </c>
    </row>
    <row r="68" spans="1:9" x14ac:dyDescent="0.3">
      <c r="A68" s="1">
        <v>2</v>
      </c>
      <c r="B68" s="1">
        <v>1</v>
      </c>
      <c r="C68" s="1" t="s">
        <v>2</v>
      </c>
      <c r="D68" s="1" t="s">
        <v>0</v>
      </c>
      <c r="E68" s="1">
        <v>23</v>
      </c>
      <c r="F68" s="1" t="s">
        <v>1</v>
      </c>
      <c r="G68" s="1" t="s">
        <v>0</v>
      </c>
      <c r="H68" s="1">
        <v>35</v>
      </c>
      <c r="I68" s="1">
        <v>1</v>
      </c>
    </row>
    <row r="69" spans="1:9" x14ac:dyDescent="0.3">
      <c r="A69" s="1">
        <v>2</v>
      </c>
      <c r="B69" s="1">
        <v>1</v>
      </c>
      <c r="C69" s="1" t="s">
        <v>2</v>
      </c>
      <c r="D69" s="1" t="s">
        <v>0</v>
      </c>
      <c r="E69" s="1">
        <v>2</v>
      </c>
      <c r="F69" s="1" t="s">
        <v>1</v>
      </c>
      <c r="G69" s="1" t="s">
        <v>0</v>
      </c>
      <c r="H69" s="1">
        <v>58</v>
      </c>
      <c r="I69" s="1">
        <v>1</v>
      </c>
    </row>
    <row r="70" spans="1:9" x14ac:dyDescent="0.3">
      <c r="A70" s="1">
        <v>2</v>
      </c>
      <c r="B70" s="1">
        <v>1</v>
      </c>
      <c r="C70" s="1" t="s">
        <v>2</v>
      </c>
      <c r="D70" s="1" t="s">
        <v>0</v>
      </c>
      <c r="E70" s="1">
        <v>24</v>
      </c>
      <c r="F70" s="1" t="s">
        <v>1</v>
      </c>
      <c r="G70" s="1" t="s">
        <v>0</v>
      </c>
      <c r="H70" s="1">
        <v>50</v>
      </c>
      <c r="I70" s="1">
        <v>1</v>
      </c>
    </row>
    <row r="71" spans="1:9" x14ac:dyDescent="0.3">
      <c r="A71" s="1">
        <v>2</v>
      </c>
      <c r="B71" s="1">
        <v>1</v>
      </c>
      <c r="C71" s="1" t="s">
        <v>2</v>
      </c>
      <c r="D71" s="1" t="s">
        <v>0</v>
      </c>
      <c r="E71" s="1">
        <v>2</v>
      </c>
      <c r="F71" s="1" t="s">
        <v>1</v>
      </c>
      <c r="G71" s="1" t="s">
        <v>0</v>
      </c>
      <c r="H71" s="1">
        <v>51</v>
      </c>
      <c r="I71" s="1">
        <v>1</v>
      </c>
    </row>
    <row r="72" spans="1:9" x14ac:dyDescent="0.3">
      <c r="A72" s="1">
        <v>2</v>
      </c>
      <c r="B72" s="1">
        <v>1</v>
      </c>
      <c r="C72" s="1" t="s">
        <v>2</v>
      </c>
      <c r="D72" s="1" t="s">
        <v>0</v>
      </c>
      <c r="E72" s="1">
        <v>30</v>
      </c>
      <c r="F72" s="1" t="s">
        <v>1</v>
      </c>
      <c r="G72" s="1" t="s">
        <v>0</v>
      </c>
      <c r="H72" s="1">
        <v>36</v>
      </c>
      <c r="I72" s="1">
        <v>1</v>
      </c>
    </row>
    <row r="73" spans="1:9" x14ac:dyDescent="0.3">
      <c r="A73" s="1">
        <v>2</v>
      </c>
      <c r="B73" s="1">
        <v>1</v>
      </c>
      <c r="C73" s="1" t="s">
        <v>2</v>
      </c>
      <c r="D73" s="1" t="s">
        <v>0</v>
      </c>
      <c r="E73" s="1">
        <v>0</v>
      </c>
      <c r="F73" s="1" t="s">
        <v>1</v>
      </c>
      <c r="G73" s="1" t="s">
        <v>0</v>
      </c>
      <c r="H73" s="1">
        <v>40</v>
      </c>
      <c r="I73" s="1">
        <v>1</v>
      </c>
    </row>
    <row r="74" spans="1:9" x14ac:dyDescent="0.3">
      <c r="A74" s="1">
        <v>2</v>
      </c>
      <c r="B74" s="1">
        <v>1</v>
      </c>
      <c r="C74" s="1" t="s">
        <v>2</v>
      </c>
      <c r="D74" s="1" t="s">
        <v>0</v>
      </c>
      <c r="E74" s="1">
        <v>0</v>
      </c>
      <c r="F74" s="1" t="s">
        <v>1</v>
      </c>
      <c r="G74" s="1" t="s">
        <v>0</v>
      </c>
      <c r="H74" s="1">
        <v>49</v>
      </c>
      <c r="I74" s="1">
        <v>1</v>
      </c>
    </row>
    <row r="75" spans="1:9" x14ac:dyDescent="0.3">
      <c r="A75" s="1">
        <v>2</v>
      </c>
      <c r="B75" s="1">
        <v>1</v>
      </c>
      <c r="C75" s="1" t="s">
        <v>2</v>
      </c>
      <c r="D75" s="1" t="s">
        <v>0</v>
      </c>
      <c r="E75" s="1">
        <v>0</v>
      </c>
      <c r="F75" s="1" t="s">
        <v>1</v>
      </c>
      <c r="G75" s="1" t="s">
        <v>0</v>
      </c>
      <c r="H75" s="1">
        <v>34</v>
      </c>
      <c r="I75" s="1">
        <v>1</v>
      </c>
    </row>
    <row r="76" spans="1:9" x14ac:dyDescent="0.3">
      <c r="A76" s="1">
        <v>2</v>
      </c>
      <c r="B76" s="1">
        <v>1</v>
      </c>
      <c r="C76" s="1" t="s">
        <v>2</v>
      </c>
      <c r="D76" s="1" t="s">
        <v>0</v>
      </c>
      <c r="E76" s="1">
        <v>2</v>
      </c>
      <c r="F76" s="1" t="s">
        <v>1</v>
      </c>
      <c r="G76" s="1" t="s">
        <v>0</v>
      </c>
      <c r="H76" s="1">
        <v>11</v>
      </c>
      <c r="I76" s="1">
        <v>1</v>
      </c>
    </row>
    <row r="77" spans="1:9" x14ac:dyDescent="0.3">
      <c r="A77" s="1">
        <v>2</v>
      </c>
      <c r="B77" s="1">
        <v>1</v>
      </c>
      <c r="C77" s="1" t="s">
        <v>2</v>
      </c>
      <c r="D77" s="1" t="s">
        <v>0</v>
      </c>
      <c r="E77" s="1">
        <v>0</v>
      </c>
      <c r="F77" s="1" t="s">
        <v>1</v>
      </c>
      <c r="G77" s="1" t="s">
        <v>0</v>
      </c>
      <c r="H77" s="1">
        <v>75</v>
      </c>
      <c r="I77" s="1">
        <v>1</v>
      </c>
    </row>
    <row r="78" spans="1:9" x14ac:dyDescent="0.3">
      <c r="A78" s="1">
        <v>2</v>
      </c>
      <c r="B78" s="1">
        <v>1</v>
      </c>
      <c r="C78" s="1" t="s">
        <v>2</v>
      </c>
      <c r="D78" s="1" t="s">
        <v>0</v>
      </c>
      <c r="E78" s="1">
        <v>0</v>
      </c>
      <c r="F78" s="1" t="s">
        <v>1</v>
      </c>
      <c r="G78" s="1" t="s">
        <v>0</v>
      </c>
      <c r="H78" s="1">
        <v>38</v>
      </c>
      <c r="I78" s="1">
        <v>1</v>
      </c>
    </row>
    <row r="79" spans="1:9" x14ac:dyDescent="0.3">
      <c r="A79" s="1">
        <v>2</v>
      </c>
      <c r="B79" s="1">
        <v>1</v>
      </c>
      <c r="C79" s="1" t="s">
        <v>2</v>
      </c>
      <c r="D79" s="1" t="s">
        <v>0</v>
      </c>
      <c r="E79" s="1">
        <v>9</v>
      </c>
      <c r="F79" s="1" t="s">
        <v>1</v>
      </c>
      <c r="G79" s="1" t="s">
        <v>0</v>
      </c>
      <c r="H79" s="1">
        <v>44</v>
      </c>
      <c r="I79" s="1">
        <v>1</v>
      </c>
    </row>
    <row r="80" spans="1:9" x14ac:dyDescent="0.3">
      <c r="A80" s="1">
        <v>2</v>
      </c>
      <c r="B80" s="1">
        <v>1</v>
      </c>
      <c r="C80" s="1" t="s">
        <v>2</v>
      </c>
      <c r="D80" s="1" t="s">
        <v>0</v>
      </c>
      <c r="E80" s="1">
        <v>17</v>
      </c>
      <c r="F80" s="1" t="s">
        <v>1</v>
      </c>
      <c r="G80" s="1" t="s">
        <v>0</v>
      </c>
      <c r="H80" s="1">
        <v>56</v>
      </c>
      <c r="I80" s="1">
        <v>1</v>
      </c>
    </row>
    <row r="81" spans="1:9" x14ac:dyDescent="0.3">
      <c r="A81" s="1">
        <v>2</v>
      </c>
      <c r="B81" s="1">
        <v>1</v>
      </c>
      <c r="C81" s="1" t="s">
        <v>2</v>
      </c>
      <c r="D81" s="1" t="s">
        <v>0</v>
      </c>
      <c r="E81" s="1">
        <v>0</v>
      </c>
      <c r="F81" s="1" t="s">
        <v>1</v>
      </c>
      <c r="G81" s="1" t="s">
        <v>0</v>
      </c>
      <c r="H81" s="1">
        <v>41</v>
      </c>
      <c r="I81" s="1">
        <v>1</v>
      </c>
    </row>
    <row r="82" spans="1:9" x14ac:dyDescent="0.3">
      <c r="A82" s="1">
        <v>2</v>
      </c>
      <c r="B82" s="1">
        <v>1</v>
      </c>
      <c r="C82" s="1" t="s">
        <v>2</v>
      </c>
      <c r="D82" s="1" t="s">
        <v>0</v>
      </c>
      <c r="E82" s="1">
        <v>0</v>
      </c>
      <c r="F82" s="1" t="s">
        <v>1</v>
      </c>
      <c r="G82" s="1" t="s">
        <v>0</v>
      </c>
      <c r="H82" s="1">
        <v>38</v>
      </c>
      <c r="I82" s="1">
        <v>1</v>
      </c>
    </row>
    <row r="83" spans="1:9" x14ac:dyDescent="0.3">
      <c r="A83" s="1">
        <v>2</v>
      </c>
      <c r="B83" s="1">
        <v>1</v>
      </c>
      <c r="C83" s="1" t="s">
        <v>2</v>
      </c>
      <c r="D83" s="1" t="s">
        <v>0</v>
      </c>
      <c r="E83" s="1">
        <v>2</v>
      </c>
      <c r="F83" s="1" t="s">
        <v>1</v>
      </c>
      <c r="G83" s="1" t="s">
        <v>0</v>
      </c>
      <c r="H83" s="1">
        <v>53</v>
      </c>
      <c r="I83" s="1">
        <v>1</v>
      </c>
    </row>
    <row r="84" spans="1:9" x14ac:dyDescent="0.3">
      <c r="A84" s="1">
        <v>2</v>
      </c>
      <c r="B84" s="1">
        <v>1</v>
      </c>
      <c r="C84" s="1" t="s">
        <v>2</v>
      </c>
      <c r="D84" s="1" t="s">
        <v>0</v>
      </c>
      <c r="E84" s="1">
        <v>0</v>
      </c>
      <c r="F84" s="1" t="s">
        <v>1</v>
      </c>
      <c r="G84" s="1" t="s">
        <v>0</v>
      </c>
      <c r="H84" s="1">
        <v>51</v>
      </c>
      <c r="I84" s="1">
        <v>1</v>
      </c>
    </row>
    <row r="85" spans="1:9" x14ac:dyDescent="0.3">
      <c r="A85" s="1">
        <v>2</v>
      </c>
      <c r="B85" s="1">
        <v>1</v>
      </c>
      <c r="C85" s="1" t="s">
        <v>2</v>
      </c>
      <c r="D85" s="1" t="s">
        <v>0</v>
      </c>
      <c r="E85" s="1">
        <v>0</v>
      </c>
      <c r="F85" s="1" t="s">
        <v>1</v>
      </c>
      <c r="G85" s="1" t="s">
        <v>0</v>
      </c>
      <c r="H85" s="1">
        <v>56</v>
      </c>
      <c r="I85" s="1">
        <v>1</v>
      </c>
    </row>
    <row r="86" spans="1:9" x14ac:dyDescent="0.3">
      <c r="A86" s="1">
        <v>2</v>
      </c>
      <c r="B86" s="1">
        <v>1</v>
      </c>
      <c r="C86" s="1" t="s">
        <v>2</v>
      </c>
      <c r="D86" s="1" t="s">
        <v>0</v>
      </c>
      <c r="E86" s="1">
        <v>0</v>
      </c>
      <c r="F86" s="1" t="s">
        <v>1</v>
      </c>
      <c r="G86" s="1" t="s">
        <v>0</v>
      </c>
      <c r="H86" s="1">
        <v>52</v>
      </c>
      <c r="I86" s="1">
        <v>1</v>
      </c>
    </row>
    <row r="87" spans="1:9" x14ac:dyDescent="0.3">
      <c r="A87" s="1">
        <v>2</v>
      </c>
      <c r="B87" s="1">
        <v>1</v>
      </c>
      <c r="C87" s="1" t="s">
        <v>2</v>
      </c>
      <c r="D87" s="1" t="s">
        <v>0</v>
      </c>
      <c r="E87" s="1">
        <v>2</v>
      </c>
      <c r="F87" s="1" t="s">
        <v>1</v>
      </c>
      <c r="G87" s="1" t="s">
        <v>0</v>
      </c>
      <c r="H87" s="1">
        <v>26</v>
      </c>
      <c r="I87" s="1">
        <v>1</v>
      </c>
    </row>
    <row r="88" spans="1:9" x14ac:dyDescent="0.3">
      <c r="A88" s="1">
        <v>2</v>
      </c>
      <c r="B88" s="1">
        <v>1</v>
      </c>
      <c r="C88" s="1" t="s">
        <v>2</v>
      </c>
      <c r="D88" s="1" t="s">
        <v>0</v>
      </c>
      <c r="E88" s="1">
        <v>43</v>
      </c>
      <c r="F88" s="1" t="s">
        <v>1</v>
      </c>
      <c r="G88" s="1" t="s">
        <v>0</v>
      </c>
      <c r="H88" s="1">
        <v>16</v>
      </c>
      <c r="I88" s="1">
        <v>0</v>
      </c>
    </row>
    <row r="89" spans="1:9" x14ac:dyDescent="0.3">
      <c r="A89" s="1">
        <v>2</v>
      </c>
      <c r="B89" s="1">
        <v>1</v>
      </c>
      <c r="C89" s="1" t="s">
        <v>2</v>
      </c>
      <c r="D89" s="1" t="s">
        <v>0</v>
      </c>
      <c r="E89" s="1">
        <v>0</v>
      </c>
      <c r="F89" s="1" t="s">
        <v>1</v>
      </c>
      <c r="G89" s="1" t="s">
        <v>0</v>
      </c>
      <c r="H89" s="1">
        <v>51</v>
      </c>
      <c r="I89" s="1">
        <v>1</v>
      </c>
    </row>
    <row r="90" spans="1:9" x14ac:dyDescent="0.3">
      <c r="A90" s="1">
        <v>2</v>
      </c>
      <c r="B90" s="1">
        <v>1</v>
      </c>
      <c r="C90" s="1" t="s">
        <v>2</v>
      </c>
      <c r="D90" s="1" t="s">
        <v>0</v>
      </c>
      <c r="E90" s="1">
        <v>31</v>
      </c>
      <c r="F90" s="1" t="s">
        <v>1</v>
      </c>
      <c r="G90" s="1" t="s">
        <v>0</v>
      </c>
      <c r="H90" s="1">
        <v>67</v>
      </c>
      <c r="I90" s="1">
        <v>1</v>
      </c>
    </row>
    <row r="91" spans="1:9" x14ac:dyDescent="0.3">
      <c r="A91" s="1">
        <v>2</v>
      </c>
      <c r="B91" s="1">
        <v>1</v>
      </c>
      <c r="C91" s="1" t="s">
        <v>2</v>
      </c>
      <c r="D91" s="1" t="s">
        <v>0</v>
      </c>
      <c r="E91" s="1">
        <v>9</v>
      </c>
      <c r="F91" s="1" t="s">
        <v>1</v>
      </c>
      <c r="G91" s="1" t="s">
        <v>0</v>
      </c>
      <c r="H91" s="1">
        <v>27</v>
      </c>
      <c r="I91" s="1">
        <v>1</v>
      </c>
    </row>
    <row r="92" spans="1:9" x14ac:dyDescent="0.3">
      <c r="A92" s="1">
        <v>2</v>
      </c>
      <c r="B92" s="1">
        <v>1</v>
      </c>
      <c r="C92" s="1" t="s">
        <v>2</v>
      </c>
      <c r="D92" s="1" t="s">
        <v>0</v>
      </c>
      <c r="E92" s="1">
        <v>0</v>
      </c>
      <c r="F92" s="1" t="s">
        <v>1</v>
      </c>
      <c r="G92" s="1" t="s">
        <v>0</v>
      </c>
      <c r="H92" s="1">
        <v>26</v>
      </c>
      <c r="I92" s="1">
        <v>1</v>
      </c>
    </row>
    <row r="93" spans="1:9" x14ac:dyDescent="0.3">
      <c r="A93" s="1">
        <v>2</v>
      </c>
      <c r="B93" s="1">
        <v>1</v>
      </c>
      <c r="C93" s="1" t="s">
        <v>2</v>
      </c>
      <c r="D93" s="1" t="s">
        <v>0</v>
      </c>
      <c r="E93" s="1">
        <v>0</v>
      </c>
      <c r="F93" s="1" t="s">
        <v>1</v>
      </c>
      <c r="G93" s="1" t="s">
        <v>0</v>
      </c>
      <c r="H93" s="1">
        <v>18</v>
      </c>
      <c r="I93" s="1">
        <v>1</v>
      </c>
    </row>
    <row r="94" spans="1:9" x14ac:dyDescent="0.3">
      <c r="A94" s="1">
        <v>2</v>
      </c>
      <c r="B94" s="1">
        <v>1</v>
      </c>
      <c r="C94" s="1" t="s">
        <v>2</v>
      </c>
      <c r="D94" s="1" t="s">
        <v>0</v>
      </c>
      <c r="E94" s="1">
        <v>10</v>
      </c>
      <c r="F94" s="1" t="s">
        <v>1</v>
      </c>
      <c r="G94" s="1" t="s">
        <v>0</v>
      </c>
      <c r="H94" s="1">
        <v>40</v>
      </c>
      <c r="I94" s="1">
        <v>1</v>
      </c>
    </row>
    <row r="95" spans="1:9" x14ac:dyDescent="0.3">
      <c r="A95" s="1">
        <v>2</v>
      </c>
      <c r="B95" s="1">
        <v>1</v>
      </c>
      <c r="C95" s="1" t="s">
        <v>2</v>
      </c>
      <c r="D95" s="1" t="s">
        <v>0</v>
      </c>
      <c r="E95" s="1">
        <v>0</v>
      </c>
      <c r="F95" s="1" t="s">
        <v>1</v>
      </c>
      <c r="G95" s="1" t="s">
        <v>0</v>
      </c>
      <c r="H95" s="1">
        <v>27</v>
      </c>
      <c r="I95" s="1">
        <v>1</v>
      </c>
    </row>
    <row r="96" spans="1:9" x14ac:dyDescent="0.3">
      <c r="A96" s="1">
        <v>2</v>
      </c>
      <c r="B96" s="1">
        <v>1</v>
      </c>
      <c r="C96" s="1" t="s">
        <v>2</v>
      </c>
      <c r="D96" s="1" t="s">
        <v>0</v>
      </c>
      <c r="E96" s="1">
        <v>7</v>
      </c>
      <c r="F96" s="1" t="s">
        <v>1</v>
      </c>
      <c r="G96" s="1" t="s">
        <v>0</v>
      </c>
      <c r="H96" s="1">
        <v>35</v>
      </c>
      <c r="I96" s="1">
        <v>1</v>
      </c>
    </row>
    <row r="97" spans="1:9" x14ac:dyDescent="0.3">
      <c r="A97" s="1">
        <v>2</v>
      </c>
      <c r="B97" s="1">
        <v>1</v>
      </c>
      <c r="C97" s="1" t="s">
        <v>2</v>
      </c>
      <c r="D97" s="1" t="s">
        <v>0</v>
      </c>
      <c r="E97" s="1">
        <v>2</v>
      </c>
      <c r="F97" s="1" t="s">
        <v>1</v>
      </c>
      <c r="G97" s="1" t="s">
        <v>0</v>
      </c>
      <c r="H97" s="1">
        <v>53</v>
      </c>
      <c r="I97" s="1">
        <v>1</v>
      </c>
    </row>
    <row r="98" spans="1:9" x14ac:dyDescent="0.3">
      <c r="A98" s="1">
        <v>2</v>
      </c>
      <c r="B98" s="1">
        <v>1</v>
      </c>
      <c r="C98" s="1" t="s">
        <v>2</v>
      </c>
      <c r="D98" s="1" t="s">
        <v>0</v>
      </c>
      <c r="E98" s="1">
        <v>24</v>
      </c>
      <c r="F98" s="1" t="s">
        <v>1</v>
      </c>
      <c r="G98" s="1" t="s">
        <v>0</v>
      </c>
      <c r="H98" s="1">
        <v>17</v>
      </c>
      <c r="I98" s="1">
        <v>0</v>
      </c>
    </row>
    <row r="99" spans="1:9" x14ac:dyDescent="0.3">
      <c r="A99" s="1">
        <v>2</v>
      </c>
      <c r="B99" s="1">
        <v>1</v>
      </c>
      <c r="C99" s="1" t="s">
        <v>2</v>
      </c>
      <c r="D99" s="1" t="s">
        <v>0</v>
      </c>
      <c r="E99" s="1">
        <v>5</v>
      </c>
      <c r="F99" s="1" t="s">
        <v>1</v>
      </c>
      <c r="G99" s="1" t="s">
        <v>0</v>
      </c>
      <c r="H99" s="1">
        <v>57</v>
      </c>
      <c r="I99" s="1">
        <v>1</v>
      </c>
    </row>
    <row r="100" spans="1:9" x14ac:dyDescent="0.3">
      <c r="A100" s="1">
        <v>2</v>
      </c>
      <c r="B100" s="1">
        <v>1</v>
      </c>
      <c r="C100" s="1" t="s">
        <v>2</v>
      </c>
      <c r="D100" s="1" t="s">
        <v>0</v>
      </c>
      <c r="E100" s="1">
        <v>14</v>
      </c>
      <c r="F100" s="1" t="s">
        <v>1</v>
      </c>
      <c r="G100" s="1" t="s">
        <v>0</v>
      </c>
      <c r="H100" s="1">
        <v>35</v>
      </c>
      <c r="I100" s="1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9273-6815-4FE1-9E2D-E8947B997410}">
  <dimension ref="A1:T100"/>
  <sheetViews>
    <sheetView topLeftCell="K1" workbookViewId="0">
      <selection activeCell="T2" sqref="T2:T3"/>
    </sheetView>
  </sheetViews>
  <sheetFormatPr defaultRowHeight="14.4" x14ac:dyDescent="0.3"/>
  <cols>
    <col min="1" max="16384" width="8.88671875" style="1"/>
  </cols>
  <sheetData>
    <row r="1" spans="1:20" x14ac:dyDescent="0.3">
      <c r="A1" s="1">
        <v>2</v>
      </c>
      <c r="B1" s="1">
        <v>0</v>
      </c>
      <c r="C1" s="1" t="s">
        <v>2</v>
      </c>
      <c r="D1" s="1" t="s">
        <v>0</v>
      </c>
      <c r="E1" s="1">
        <v>0</v>
      </c>
      <c r="F1" s="1" t="s">
        <v>1</v>
      </c>
      <c r="G1" s="1" t="s">
        <v>0</v>
      </c>
      <c r="H1" s="1">
        <v>25</v>
      </c>
      <c r="I1" s="1">
        <v>1</v>
      </c>
      <c r="K1" s="2"/>
      <c r="L1" s="3"/>
      <c r="M1" s="24" t="s">
        <v>3</v>
      </c>
      <c r="N1" s="24"/>
      <c r="O1" s="19" t="s">
        <v>4</v>
      </c>
      <c r="P1" s="19"/>
      <c r="Q1" s="19" t="s">
        <v>5</v>
      </c>
      <c r="R1" s="19"/>
    </row>
    <row r="2" spans="1:20" x14ac:dyDescent="0.3">
      <c r="A2" s="1">
        <v>2</v>
      </c>
      <c r="B2" s="1">
        <v>0</v>
      </c>
      <c r="C2" s="1" t="s">
        <v>2</v>
      </c>
      <c r="D2" s="1" t="s">
        <v>0</v>
      </c>
      <c r="E2" s="1">
        <v>71</v>
      </c>
      <c r="F2" s="1" t="s">
        <v>1</v>
      </c>
      <c r="G2" s="1" t="s">
        <v>0</v>
      </c>
      <c r="H2" s="1">
        <v>26</v>
      </c>
      <c r="I2" s="1">
        <v>0</v>
      </c>
      <c r="K2" s="4"/>
      <c r="L2" s="5"/>
      <c r="M2" s="24"/>
      <c r="N2" s="24"/>
      <c r="O2" s="19"/>
      <c r="P2" s="19"/>
      <c r="Q2" s="19"/>
      <c r="R2" s="19"/>
      <c r="T2" t="s">
        <v>15</v>
      </c>
    </row>
    <row r="3" spans="1:20" x14ac:dyDescent="0.3">
      <c r="A3" s="1">
        <v>2</v>
      </c>
      <c r="B3" s="1">
        <v>0</v>
      </c>
      <c r="C3" s="1" t="s">
        <v>2</v>
      </c>
      <c r="D3" s="1" t="s">
        <v>0</v>
      </c>
      <c r="E3" s="1">
        <v>5</v>
      </c>
      <c r="F3" s="1" t="s">
        <v>1</v>
      </c>
      <c r="G3" s="1" t="s">
        <v>0</v>
      </c>
      <c r="H3" s="1">
        <v>41</v>
      </c>
      <c r="I3" s="1">
        <v>1</v>
      </c>
      <c r="K3" s="19" t="s">
        <v>6</v>
      </c>
      <c r="L3" s="19"/>
      <c r="M3" s="20">
        <f>COUNTIF($I$1:$I$100, 0)</f>
        <v>8</v>
      </c>
      <c r="N3" s="20"/>
      <c r="O3" s="20">
        <f>COUNTIFS($I$1:$I$100, 0, $B$1:$B$100, 0)</f>
        <v>6</v>
      </c>
      <c r="P3" s="20"/>
      <c r="Q3" s="21">
        <f>COUNTIFS($I$1:$I$100, 0, $B$1:$B$100, 1)</f>
        <v>2</v>
      </c>
      <c r="R3" s="10"/>
      <c r="T3" cm="1">
        <f t="array" ref="T3">SUMPRODUCT(--($E$1:$E$100=$H$1:$H$100))</f>
        <v>0</v>
      </c>
    </row>
    <row r="4" spans="1:20" x14ac:dyDescent="0.3">
      <c r="A4" s="1">
        <v>2</v>
      </c>
      <c r="B4" s="1">
        <v>0</v>
      </c>
      <c r="C4" s="1" t="s">
        <v>2</v>
      </c>
      <c r="D4" s="1" t="s">
        <v>0</v>
      </c>
      <c r="E4" s="1">
        <v>2</v>
      </c>
      <c r="F4" s="1" t="s">
        <v>1</v>
      </c>
      <c r="G4" s="1" t="s">
        <v>0</v>
      </c>
      <c r="H4" s="1">
        <v>22</v>
      </c>
      <c r="I4" s="1">
        <v>1</v>
      </c>
      <c r="K4" s="19"/>
      <c r="L4" s="19"/>
      <c r="M4" s="20"/>
      <c r="N4" s="20"/>
      <c r="O4" s="20"/>
      <c r="P4" s="20"/>
      <c r="Q4" s="20"/>
      <c r="R4" s="12"/>
    </row>
    <row r="5" spans="1:20" x14ac:dyDescent="0.3">
      <c r="A5" s="1">
        <v>2</v>
      </c>
      <c r="B5" s="1">
        <v>0</v>
      </c>
      <c r="C5" s="1" t="s">
        <v>2</v>
      </c>
      <c r="D5" s="1" t="s">
        <v>0</v>
      </c>
      <c r="E5" s="1">
        <v>2</v>
      </c>
      <c r="F5" s="1" t="s">
        <v>1</v>
      </c>
      <c r="G5" s="1" t="s">
        <v>0</v>
      </c>
      <c r="H5" s="1">
        <v>37</v>
      </c>
      <c r="I5" s="1">
        <v>1</v>
      </c>
      <c r="K5" s="19" t="s">
        <v>7</v>
      </c>
      <c r="L5" s="19"/>
      <c r="M5" s="11">
        <f>COUNTIF($I$1:$I$100, 1)</f>
        <v>92</v>
      </c>
      <c r="N5" s="20"/>
      <c r="O5" s="20">
        <f>COUNTIFS($I$1:$I$100, 1, $B$1:$B$100, 0)</f>
        <v>44</v>
      </c>
      <c r="P5" s="20"/>
      <c r="Q5" s="20">
        <f>COUNTIFS($I$1:$I$100, 1, $B$1:$B$100, 1)</f>
        <v>48</v>
      </c>
      <c r="R5" s="12"/>
    </row>
    <row r="6" spans="1:20" x14ac:dyDescent="0.3">
      <c r="A6" s="1">
        <v>2</v>
      </c>
      <c r="B6" s="1">
        <v>0</v>
      </c>
      <c r="C6" s="1" t="s">
        <v>2</v>
      </c>
      <c r="D6" s="1" t="s">
        <v>0</v>
      </c>
      <c r="E6" s="1">
        <v>0</v>
      </c>
      <c r="F6" s="1" t="s">
        <v>1</v>
      </c>
      <c r="G6" s="1" t="s">
        <v>0</v>
      </c>
      <c r="H6" s="1">
        <v>13</v>
      </c>
      <c r="I6" s="1">
        <v>1</v>
      </c>
      <c r="K6" s="19"/>
      <c r="L6" s="19"/>
      <c r="M6" s="13"/>
      <c r="N6" s="22"/>
      <c r="O6" s="22"/>
      <c r="P6" s="22"/>
      <c r="Q6" s="22"/>
      <c r="R6" s="14"/>
    </row>
    <row r="7" spans="1:20" x14ac:dyDescent="0.3">
      <c r="A7" s="1">
        <v>2</v>
      </c>
      <c r="B7" s="1">
        <v>0</v>
      </c>
      <c r="C7" s="1" t="s">
        <v>2</v>
      </c>
      <c r="D7" s="1" t="s">
        <v>0</v>
      </c>
      <c r="E7" s="1">
        <v>2</v>
      </c>
      <c r="F7" s="1" t="s">
        <v>1</v>
      </c>
      <c r="G7" s="1" t="s">
        <v>0</v>
      </c>
      <c r="H7" s="1">
        <v>32</v>
      </c>
      <c r="I7" s="1">
        <v>1</v>
      </c>
      <c r="K7" s="6"/>
      <c r="L7" s="6"/>
      <c r="M7" s="6"/>
      <c r="N7" s="6"/>
      <c r="O7" s="6"/>
      <c r="P7" s="6"/>
      <c r="Q7" s="6"/>
      <c r="R7" s="6"/>
    </row>
    <row r="8" spans="1:20" x14ac:dyDescent="0.3">
      <c r="A8" s="1">
        <v>2</v>
      </c>
      <c r="B8" s="1">
        <v>0</v>
      </c>
      <c r="C8" s="1" t="s">
        <v>2</v>
      </c>
      <c r="D8" s="1" t="s">
        <v>0</v>
      </c>
      <c r="E8" s="1">
        <v>3</v>
      </c>
      <c r="F8" s="1" t="s">
        <v>1</v>
      </c>
      <c r="G8" s="1" t="s">
        <v>0</v>
      </c>
      <c r="H8" s="1">
        <v>51</v>
      </c>
      <c r="I8" s="1">
        <v>1</v>
      </c>
      <c r="K8" s="7"/>
      <c r="L8" s="8"/>
      <c r="M8" s="23" t="s">
        <v>3</v>
      </c>
      <c r="N8" s="23"/>
      <c r="O8" s="23" t="s">
        <v>8</v>
      </c>
      <c r="P8" s="23"/>
      <c r="Q8" s="23" t="s">
        <v>9</v>
      </c>
      <c r="R8" s="23"/>
    </row>
    <row r="9" spans="1:20" x14ac:dyDescent="0.3">
      <c r="A9" s="1">
        <v>2</v>
      </c>
      <c r="B9" s="1">
        <v>0</v>
      </c>
      <c r="C9" s="1" t="s">
        <v>2</v>
      </c>
      <c r="D9" s="1" t="s">
        <v>0</v>
      </c>
      <c r="E9" s="1">
        <v>2</v>
      </c>
      <c r="F9" s="1" t="s">
        <v>1</v>
      </c>
      <c r="G9" s="1" t="s">
        <v>0</v>
      </c>
      <c r="H9" s="1">
        <v>20</v>
      </c>
      <c r="I9" s="1">
        <v>1</v>
      </c>
      <c r="K9" s="4"/>
      <c r="L9" s="5"/>
      <c r="M9" s="23"/>
      <c r="N9" s="23"/>
      <c r="O9" s="23"/>
      <c r="P9" s="23"/>
      <c r="Q9" s="23"/>
      <c r="R9" s="23"/>
    </row>
    <row r="10" spans="1:20" x14ac:dyDescent="0.3">
      <c r="A10" s="1">
        <v>2</v>
      </c>
      <c r="B10" s="1">
        <v>0</v>
      </c>
      <c r="C10" s="1" t="s">
        <v>2</v>
      </c>
      <c r="D10" s="1" t="s">
        <v>0</v>
      </c>
      <c r="E10" s="1">
        <v>0</v>
      </c>
      <c r="F10" s="1" t="s">
        <v>1</v>
      </c>
      <c r="G10" s="1" t="s">
        <v>0</v>
      </c>
      <c r="H10" s="1">
        <v>41</v>
      </c>
      <c r="I10" s="1">
        <v>1</v>
      </c>
      <c r="K10" s="19" t="s">
        <v>10</v>
      </c>
      <c r="L10" s="19"/>
      <c r="M10" s="20">
        <f>AVERAGE($E$1:$E$100,)</f>
        <v>6.6237623762376234</v>
      </c>
      <c r="N10" s="20"/>
      <c r="O10" s="20" cm="1">
        <f t="array" ref="O10">AVERAGE(_xlfn._xlws.FILTER($E$1:$E$100,$I$1:$I$100 = 0))</f>
        <v>32.375</v>
      </c>
      <c r="P10" s="20"/>
      <c r="Q10" s="21" cm="1">
        <f t="array" ref="Q10">AVERAGE(_xlfn._xlws.FILTER($E$1:$E$100,$I$1:$I$100 = 1))</f>
        <v>4.4565217391304346</v>
      </c>
      <c r="R10" s="10"/>
    </row>
    <row r="11" spans="1:20" x14ac:dyDescent="0.3">
      <c r="A11" s="1">
        <v>2</v>
      </c>
      <c r="B11" s="1">
        <v>0</v>
      </c>
      <c r="C11" s="1" t="s">
        <v>2</v>
      </c>
      <c r="D11" s="1" t="s">
        <v>0</v>
      </c>
      <c r="E11" s="1">
        <v>9</v>
      </c>
      <c r="F11" s="1" t="s">
        <v>1</v>
      </c>
      <c r="G11" s="1" t="s">
        <v>0</v>
      </c>
      <c r="H11" s="1">
        <v>34</v>
      </c>
      <c r="I11" s="1">
        <v>1</v>
      </c>
      <c r="K11" s="19"/>
      <c r="L11" s="19"/>
      <c r="M11" s="20"/>
      <c r="N11" s="20"/>
      <c r="O11" s="20"/>
      <c r="P11" s="20"/>
      <c r="Q11" s="20"/>
      <c r="R11" s="12"/>
    </row>
    <row r="12" spans="1:20" x14ac:dyDescent="0.3">
      <c r="A12" s="1">
        <v>2</v>
      </c>
      <c r="B12" s="1">
        <v>0</v>
      </c>
      <c r="C12" s="1" t="s">
        <v>2</v>
      </c>
      <c r="D12" s="1" t="s">
        <v>0</v>
      </c>
      <c r="E12" s="1">
        <v>0</v>
      </c>
      <c r="F12" s="1" t="s">
        <v>1</v>
      </c>
      <c r="G12" s="1" t="s">
        <v>0</v>
      </c>
      <c r="H12" s="1">
        <v>17</v>
      </c>
      <c r="I12" s="1">
        <v>1</v>
      </c>
      <c r="K12" s="19" t="s">
        <v>11</v>
      </c>
      <c r="L12" s="19"/>
      <c r="M12" s="20">
        <f>AVERAGE($H$1:$H$100,)</f>
        <v>32.831683168316829</v>
      </c>
      <c r="N12" s="20"/>
      <c r="O12" s="20" cm="1">
        <f t="array" ref="O12">AVERAGE(_xlfn._xlws.FILTER($H$1:$H$100,$I$1:$I$100 = 0))</f>
        <v>15.125</v>
      </c>
      <c r="P12" s="20"/>
      <c r="Q12" s="20" cm="1">
        <f t="array" ref="Q12">AVERAGE(_xlfn._xlws.FILTER($H$1:$H$100,$I$1:$I$100 = 1))</f>
        <v>34.728260869565219</v>
      </c>
      <c r="R12" s="12"/>
    </row>
    <row r="13" spans="1:20" x14ac:dyDescent="0.3">
      <c r="A13" s="1">
        <v>2</v>
      </c>
      <c r="B13" s="1">
        <v>0</v>
      </c>
      <c r="C13" s="1" t="s">
        <v>2</v>
      </c>
      <c r="D13" s="1" t="s">
        <v>0</v>
      </c>
      <c r="E13" s="1">
        <v>7</v>
      </c>
      <c r="F13" s="1" t="s">
        <v>1</v>
      </c>
      <c r="G13" s="1" t="s">
        <v>0</v>
      </c>
      <c r="H13" s="1">
        <v>23</v>
      </c>
      <c r="I13" s="1">
        <v>1</v>
      </c>
      <c r="K13" s="19"/>
      <c r="L13" s="19"/>
      <c r="M13" s="20"/>
      <c r="N13" s="20"/>
      <c r="O13" s="20"/>
      <c r="P13" s="20"/>
      <c r="Q13" s="20"/>
      <c r="R13" s="12"/>
    </row>
    <row r="14" spans="1:20" x14ac:dyDescent="0.3">
      <c r="A14" s="1">
        <v>2</v>
      </c>
      <c r="B14" s="1">
        <v>0</v>
      </c>
      <c r="C14" s="1" t="s">
        <v>2</v>
      </c>
      <c r="D14" s="1" t="s">
        <v>0</v>
      </c>
      <c r="E14" s="1">
        <v>0</v>
      </c>
      <c r="F14" s="1" t="s">
        <v>1</v>
      </c>
      <c r="G14" s="1" t="s">
        <v>0</v>
      </c>
      <c r="H14" s="1">
        <v>45</v>
      </c>
      <c r="I14" s="1">
        <v>1</v>
      </c>
      <c r="K14" s="9" t="s">
        <v>12</v>
      </c>
      <c r="L14" s="10"/>
      <c r="M14" s="15" cm="1">
        <f t="array" ref="M14">AVERAGE($E$1:$E$100 - $H$1:$H$100)</f>
        <v>-26.47</v>
      </c>
      <c r="N14" s="15"/>
      <c r="O14" s="15" cm="1">
        <f t="array" ref="O14">AVERAGE(_xlfn._xlws.FILTER($E$1:$E$100 - $H$1:$H$100, I$1:I$100 = 0))</f>
        <v>17.25</v>
      </c>
      <c r="P14" s="15"/>
      <c r="Q14" s="15" cm="1">
        <f t="array" ref="Q14">AVERAGE(_xlfn._xlws.FILTER($E$1:$E$100 - $H$1:$H$100, I$1:I$100 = 1))</f>
        <v>-30.271739130434781</v>
      </c>
      <c r="R14" s="17"/>
    </row>
    <row r="15" spans="1:20" x14ac:dyDescent="0.3">
      <c r="A15" s="1">
        <v>2</v>
      </c>
      <c r="B15" s="1">
        <v>0</v>
      </c>
      <c r="C15" s="1" t="s">
        <v>2</v>
      </c>
      <c r="D15" s="1" t="s">
        <v>0</v>
      </c>
      <c r="E15" s="1">
        <v>2</v>
      </c>
      <c r="F15" s="1" t="s">
        <v>1</v>
      </c>
      <c r="G15" s="1" t="s">
        <v>0</v>
      </c>
      <c r="H15" s="1">
        <v>3</v>
      </c>
      <c r="I15" s="1">
        <v>1</v>
      </c>
      <c r="K15" s="11"/>
      <c r="L15" s="12"/>
      <c r="M15" s="15"/>
      <c r="N15" s="15"/>
      <c r="O15" s="15"/>
      <c r="P15" s="15"/>
      <c r="Q15" s="15"/>
      <c r="R15" s="17"/>
    </row>
    <row r="16" spans="1:20" x14ac:dyDescent="0.3">
      <c r="A16" s="1">
        <v>2</v>
      </c>
      <c r="B16" s="1">
        <v>0</v>
      </c>
      <c r="C16" s="1" t="s">
        <v>2</v>
      </c>
      <c r="D16" s="1" t="s">
        <v>0</v>
      </c>
      <c r="E16" s="1">
        <v>0</v>
      </c>
      <c r="F16" s="1" t="s">
        <v>1</v>
      </c>
      <c r="G16" s="1" t="s">
        <v>0</v>
      </c>
      <c r="H16" s="1">
        <v>36</v>
      </c>
      <c r="I16" s="1">
        <v>1</v>
      </c>
      <c r="K16" s="13"/>
      <c r="L16" s="14"/>
      <c r="M16" s="16"/>
      <c r="N16" s="16"/>
      <c r="O16" s="16"/>
      <c r="P16" s="16"/>
      <c r="Q16" s="16"/>
      <c r="R16" s="18"/>
    </row>
    <row r="17" spans="1:9" x14ac:dyDescent="0.3">
      <c r="A17" s="1">
        <v>2</v>
      </c>
      <c r="B17" s="1">
        <v>0</v>
      </c>
      <c r="C17" s="1" t="s">
        <v>2</v>
      </c>
      <c r="D17" s="1" t="s">
        <v>0</v>
      </c>
      <c r="E17" s="1">
        <v>0</v>
      </c>
      <c r="F17" s="1" t="s">
        <v>1</v>
      </c>
      <c r="G17" s="1" t="s">
        <v>0</v>
      </c>
      <c r="H17" s="1">
        <v>65</v>
      </c>
      <c r="I17" s="1">
        <v>1</v>
      </c>
    </row>
    <row r="18" spans="1:9" x14ac:dyDescent="0.3">
      <c r="A18" s="1">
        <v>2</v>
      </c>
      <c r="B18" s="1">
        <v>0</v>
      </c>
      <c r="C18" s="1" t="s">
        <v>2</v>
      </c>
      <c r="D18" s="1" t="s">
        <v>0</v>
      </c>
      <c r="E18" s="1">
        <v>0</v>
      </c>
      <c r="F18" s="1" t="s">
        <v>1</v>
      </c>
      <c r="G18" s="1" t="s">
        <v>0</v>
      </c>
      <c r="H18" s="1">
        <v>13</v>
      </c>
      <c r="I18" s="1">
        <v>1</v>
      </c>
    </row>
    <row r="19" spans="1:9" x14ac:dyDescent="0.3">
      <c r="A19" s="1">
        <v>2</v>
      </c>
      <c r="B19" s="1">
        <v>0</v>
      </c>
      <c r="C19" s="1" t="s">
        <v>2</v>
      </c>
      <c r="D19" s="1" t="s">
        <v>0</v>
      </c>
      <c r="E19" s="1">
        <v>15</v>
      </c>
      <c r="F19" s="1" t="s">
        <v>1</v>
      </c>
      <c r="G19" s="1" t="s">
        <v>0</v>
      </c>
      <c r="H19" s="1">
        <v>29</v>
      </c>
      <c r="I19" s="1">
        <v>1</v>
      </c>
    </row>
    <row r="20" spans="1:9" x14ac:dyDescent="0.3">
      <c r="A20" s="1">
        <v>2</v>
      </c>
      <c r="B20" s="1">
        <v>0</v>
      </c>
      <c r="C20" s="1" t="s">
        <v>2</v>
      </c>
      <c r="D20" s="1" t="s">
        <v>0</v>
      </c>
      <c r="E20" s="1">
        <v>3</v>
      </c>
      <c r="F20" s="1" t="s">
        <v>1</v>
      </c>
      <c r="G20" s="1" t="s">
        <v>0</v>
      </c>
      <c r="H20" s="1">
        <v>38</v>
      </c>
      <c r="I20" s="1">
        <v>1</v>
      </c>
    </row>
    <row r="21" spans="1:9" x14ac:dyDescent="0.3">
      <c r="A21" s="1">
        <v>2</v>
      </c>
      <c r="B21" s="1">
        <v>0</v>
      </c>
      <c r="C21" s="1" t="s">
        <v>2</v>
      </c>
      <c r="D21" s="1" t="s">
        <v>0</v>
      </c>
      <c r="E21" s="1">
        <v>3</v>
      </c>
      <c r="F21" s="1" t="s">
        <v>1</v>
      </c>
      <c r="G21" s="1" t="s">
        <v>0</v>
      </c>
      <c r="H21" s="1">
        <v>25</v>
      </c>
      <c r="I21" s="1">
        <v>1</v>
      </c>
    </row>
    <row r="22" spans="1:9" x14ac:dyDescent="0.3">
      <c r="A22" s="1">
        <v>2</v>
      </c>
      <c r="B22" s="1">
        <v>0</v>
      </c>
      <c r="C22" s="1" t="s">
        <v>2</v>
      </c>
      <c r="D22" s="1" t="s">
        <v>0</v>
      </c>
      <c r="E22" s="1">
        <v>8</v>
      </c>
      <c r="F22" s="1" t="s">
        <v>1</v>
      </c>
      <c r="G22" s="1" t="s">
        <v>0</v>
      </c>
      <c r="H22" s="1">
        <v>28</v>
      </c>
      <c r="I22" s="1">
        <v>1</v>
      </c>
    </row>
    <row r="23" spans="1:9" x14ac:dyDescent="0.3">
      <c r="A23" s="1">
        <v>2</v>
      </c>
      <c r="B23" s="1">
        <v>0</v>
      </c>
      <c r="C23" s="1" t="s">
        <v>2</v>
      </c>
      <c r="D23" s="1" t="s">
        <v>0</v>
      </c>
      <c r="E23" s="1">
        <v>3</v>
      </c>
      <c r="F23" s="1" t="s">
        <v>1</v>
      </c>
      <c r="G23" s="1" t="s">
        <v>0</v>
      </c>
      <c r="H23" s="1">
        <v>47</v>
      </c>
      <c r="I23" s="1">
        <v>1</v>
      </c>
    </row>
    <row r="24" spans="1:9" x14ac:dyDescent="0.3">
      <c r="A24" s="1">
        <v>2</v>
      </c>
      <c r="B24" s="1">
        <v>0</v>
      </c>
      <c r="C24" s="1" t="s">
        <v>2</v>
      </c>
      <c r="D24" s="1" t="s">
        <v>0</v>
      </c>
      <c r="E24" s="1">
        <v>9</v>
      </c>
      <c r="F24" s="1" t="s">
        <v>1</v>
      </c>
      <c r="G24" s="1" t="s">
        <v>0</v>
      </c>
      <c r="H24" s="1">
        <v>0</v>
      </c>
      <c r="I24" s="1">
        <v>0</v>
      </c>
    </row>
    <row r="25" spans="1:9" x14ac:dyDescent="0.3">
      <c r="A25" s="1">
        <v>2</v>
      </c>
      <c r="B25" s="1">
        <v>0</v>
      </c>
      <c r="C25" s="1" t="s">
        <v>2</v>
      </c>
      <c r="D25" s="1" t="s">
        <v>0</v>
      </c>
      <c r="E25" s="1">
        <v>21</v>
      </c>
      <c r="F25" s="1" t="s">
        <v>1</v>
      </c>
      <c r="G25" s="1" t="s">
        <v>0</v>
      </c>
      <c r="H25" s="1">
        <v>0</v>
      </c>
      <c r="I25" s="1">
        <v>0</v>
      </c>
    </row>
    <row r="26" spans="1:9" x14ac:dyDescent="0.3">
      <c r="A26" s="1">
        <v>2</v>
      </c>
      <c r="B26" s="1">
        <v>0</v>
      </c>
      <c r="C26" s="1" t="s">
        <v>2</v>
      </c>
      <c r="D26" s="1" t="s">
        <v>0</v>
      </c>
      <c r="E26" s="1">
        <v>5</v>
      </c>
      <c r="F26" s="1" t="s">
        <v>1</v>
      </c>
      <c r="G26" s="1" t="s">
        <v>0</v>
      </c>
      <c r="H26" s="1">
        <v>54</v>
      </c>
      <c r="I26" s="1">
        <v>1</v>
      </c>
    </row>
    <row r="27" spans="1:9" x14ac:dyDescent="0.3">
      <c r="A27" s="1">
        <v>2</v>
      </c>
      <c r="B27" s="1">
        <v>0</v>
      </c>
      <c r="C27" s="1" t="s">
        <v>2</v>
      </c>
      <c r="D27" s="1" t="s">
        <v>0</v>
      </c>
      <c r="E27" s="1">
        <v>2</v>
      </c>
      <c r="F27" s="1" t="s">
        <v>1</v>
      </c>
      <c r="G27" s="1" t="s">
        <v>0</v>
      </c>
      <c r="H27" s="1">
        <v>29</v>
      </c>
      <c r="I27" s="1">
        <v>1</v>
      </c>
    </row>
    <row r="28" spans="1:9" x14ac:dyDescent="0.3">
      <c r="A28" s="1">
        <v>2</v>
      </c>
      <c r="B28" s="1">
        <v>0</v>
      </c>
      <c r="C28" s="1" t="s">
        <v>2</v>
      </c>
      <c r="D28" s="1" t="s">
        <v>0</v>
      </c>
      <c r="E28" s="1">
        <v>12</v>
      </c>
      <c r="F28" s="1" t="s">
        <v>1</v>
      </c>
      <c r="G28" s="1" t="s">
        <v>0</v>
      </c>
      <c r="H28" s="1">
        <v>37</v>
      </c>
      <c r="I28" s="1">
        <v>1</v>
      </c>
    </row>
    <row r="29" spans="1:9" x14ac:dyDescent="0.3">
      <c r="A29" s="1">
        <v>2</v>
      </c>
      <c r="B29" s="1">
        <v>0</v>
      </c>
      <c r="C29" s="1" t="s">
        <v>2</v>
      </c>
      <c r="D29" s="1" t="s">
        <v>0</v>
      </c>
      <c r="E29" s="1">
        <v>2</v>
      </c>
      <c r="F29" s="1" t="s">
        <v>1</v>
      </c>
      <c r="G29" s="1" t="s">
        <v>0</v>
      </c>
      <c r="H29" s="1">
        <v>50</v>
      </c>
      <c r="I29" s="1">
        <v>1</v>
      </c>
    </row>
    <row r="30" spans="1:9" x14ac:dyDescent="0.3">
      <c r="A30" s="1">
        <v>2</v>
      </c>
      <c r="B30" s="1">
        <v>0</v>
      </c>
      <c r="C30" s="1" t="s">
        <v>2</v>
      </c>
      <c r="D30" s="1" t="s">
        <v>0</v>
      </c>
      <c r="E30" s="1">
        <v>7</v>
      </c>
      <c r="F30" s="1" t="s">
        <v>1</v>
      </c>
      <c r="G30" s="1" t="s">
        <v>0</v>
      </c>
      <c r="H30" s="1">
        <v>29</v>
      </c>
      <c r="I30" s="1">
        <v>1</v>
      </c>
    </row>
    <row r="31" spans="1:9" x14ac:dyDescent="0.3">
      <c r="A31" s="1">
        <v>2</v>
      </c>
      <c r="B31" s="1">
        <v>0</v>
      </c>
      <c r="C31" s="1" t="s">
        <v>2</v>
      </c>
      <c r="D31" s="1" t="s">
        <v>0</v>
      </c>
      <c r="E31" s="1">
        <v>7</v>
      </c>
      <c r="F31" s="1" t="s">
        <v>1</v>
      </c>
      <c r="G31" s="1" t="s">
        <v>0</v>
      </c>
      <c r="H31" s="1">
        <v>19</v>
      </c>
      <c r="I31" s="1">
        <v>1</v>
      </c>
    </row>
    <row r="32" spans="1:9" x14ac:dyDescent="0.3">
      <c r="A32" s="1">
        <v>2</v>
      </c>
      <c r="B32" s="1">
        <v>0</v>
      </c>
      <c r="C32" s="1" t="s">
        <v>2</v>
      </c>
      <c r="D32" s="1" t="s">
        <v>0</v>
      </c>
      <c r="E32" s="1">
        <v>2</v>
      </c>
      <c r="F32" s="1" t="s">
        <v>1</v>
      </c>
      <c r="G32" s="1" t="s">
        <v>0</v>
      </c>
      <c r="H32" s="1">
        <v>29</v>
      </c>
      <c r="I32" s="1">
        <v>1</v>
      </c>
    </row>
    <row r="33" spans="1:9" x14ac:dyDescent="0.3">
      <c r="A33" s="1">
        <v>2</v>
      </c>
      <c r="B33" s="1">
        <v>0</v>
      </c>
      <c r="C33" s="1" t="s">
        <v>2</v>
      </c>
      <c r="D33" s="1" t="s">
        <v>0</v>
      </c>
      <c r="E33" s="1">
        <v>0</v>
      </c>
      <c r="F33" s="1" t="s">
        <v>1</v>
      </c>
      <c r="G33" s="1" t="s">
        <v>0</v>
      </c>
      <c r="H33" s="1">
        <v>31</v>
      </c>
      <c r="I33" s="1">
        <v>1</v>
      </c>
    </row>
    <row r="34" spans="1:9" x14ac:dyDescent="0.3">
      <c r="A34" s="1">
        <v>2</v>
      </c>
      <c r="B34" s="1">
        <v>0</v>
      </c>
      <c r="C34" s="1" t="s">
        <v>2</v>
      </c>
      <c r="D34" s="1" t="s">
        <v>0</v>
      </c>
      <c r="E34" s="1">
        <v>4</v>
      </c>
      <c r="F34" s="1" t="s">
        <v>1</v>
      </c>
      <c r="G34" s="1" t="s">
        <v>0</v>
      </c>
      <c r="H34" s="1">
        <v>45</v>
      </c>
      <c r="I34" s="1">
        <v>1</v>
      </c>
    </row>
    <row r="35" spans="1:9" x14ac:dyDescent="0.3">
      <c r="A35" s="1">
        <v>2</v>
      </c>
      <c r="B35" s="1">
        <v>0</v>
      </c>
      <c r="C35" s="1" t="s">
        <v>2</v>
      </c>
      <c r="D35" s="1" t="s">
        <v>0</v>
      </c>
      <c r="E35" s="1">
        <v>0</v>
      </c>
      <c r="F35" s="1" t="s">
        <v>1</v>
      </c>
      <c r="G35" s="1" t="s">
        <v>0</v>
      </c>
      <c r="H35" s="1">
        <v>44</v>
      </c>
      <c r="I35" s="1">
        <v>1</v>
      </c>
    </row>
    <row r="36" spans="1:9" x14ac:dyDescent="0.3">
      <c r="A36" s="1">
        <v>2</v>
      </c>
      <c r="B36" s="1">
        <v>0</v>
      </c>
      <c r="C36" s="1" t="s">
        <v>2</v>
      </c>
      <c r="D36" s="1" t="s">
        <v>0</v>
      </c>
      <c r="E36" s="1">
        <v>47</v>
      </c>
      <c r="F36" s="1" t="s">
        <v>1</v>
      </c>
      <c r="G36" s="1" t="s">
        <v>0</v>
      </c>
      <c r="H36" s="1">
        <v>18</v>
      </c>
      <c r="I36" s="1">
        <v>0</v>
      </c>
    </row>
    <row r="37" spans="1:9" x14ac:dyDescent="0.3">
      <c r="A37" s="1">
        <v>2</v>
      </c>
      <c r="B37" s="1">
        <v>0</v>
      </c>
      <c r="C37" s="1" t="s">
        <v>2</v>
      </c>
      <c r="D37" s="1" t="s">
        <v>0</v>
      </c>
      <c r="E37" s="1">
        <v>10</v>
      </c>
      <c r="F37" s="1" t="s">
        <v>1</v>
      </c>
      <c r="G37" s="1" t="s">
        <v>0</v>
      </c>
      <c r="H37" s="1">
        <v>45</v>
      </c>
      <c r="I37" s="1">
        <v>1</v>
      </c>
    </row>
    <row r="38" spans="1:9" x14ac:dyDescent="0.3">
      <c r="A38" s="1">
        <v>2</v>
      </c>
      <c r="B38" s="1">
        <v>0</v>
      </c>
      <c r="C38" s="1" t="s">
        <v>2</v>
      </c>
      <c r="D38" s="1" t="s">
        <v>0</v>
      </c>
      <c r="E38" s="1">
        <v>10</v>
      </c>
      <c r="F38" s="1" t="s">
        <v>1</v>
      </c>
      <c r="G38" s="1" t="s">
        <v>0</v>
      </c>
      <c r="H38" s="1">
        <v>23</v>
      </c>
      <c r="I38" s="1">
        <v>1</v>
      </c>
    </row>
    <row r="39" spans="1:9" x14ac:dyDescent="0.3">
      <c r="A39" s="1">
        <v>2</v>
      </c>
      <c r="B39" s="1">
        <v>0</v>
      </c>
      <c r="C39" s="1" t="s">
        <v>2</v>
      </c>
      <c r="D39" s="1" t="s">
        <v>0</v>
      </c>
      <c r="E39" s="1">
        <v>0</v>
      </c>
      <c r="F39" s="1" t="s">
        <v>1</v>
      </c>
      <c r="G39" s="1" t="s">
        <v>0</v>
      </c>
      <c r="H39" s="1">
        <v>42</v>
      </c>
      <c r="I39" s="1">
        <v>1</v>
      </c>
    </row>
    <row r="40" spans="1:9" x14ac:dyDescent="0.3">
      <c r="A40" s="1">
        <v>2</v>
      </c>
      <c r="B40" s="1">
        <v>0</v>
      </c>
      <c r="C40" s="1" t="s">
        <v>2</v>
      </c>
      <c r="D40" s="1" t="s">
        <v>0</v>
      </c>
      <c r="E40" s="1">
        <v>35</v>
      </c>
      <c r="F40" s="1" t="s">
        <v>1</v>
      </c>
      <c r="G40" s="1" t="s">
        <v>0</v>
      </c>
      <c r="H40" s="1">
        <v>31</v>
      </c>
      <c r="I40" s="1">
        <v>0</v>
      </c>
    </row>
    <row r="41" spans="1:9" x14ac:dyDescent="0.3">
      <c r="A41" s="1">
        <v>2</v>
      </c>
      <c r="B41" s="1">
        <v>0</v>
      </c>
      <c r="C41" s="1" t="s">
        <v>2</v>
      </c>
      <c r="D41" s="1" t="s">
        <v>0</v>
      </c>
      <c r="E41" s="1">
        <v>2</v>
      </c>
      <c r="F41" s="1" t="s">
        <v>1</v>
      </c>
      <c r="G41" s="1" t="s">
        <v>0</v>
      </c>
      <c r="H41" s="1">
        <v>43</v>
      </c>
      <c r="I41" s="1">
        <v>1</v>
      </c>
    </row>
    <row r="42" spans="1:9" x14ac:dyDescent="0.3">
      <c r="A42" s="1">
        <v>2</v>
      </c>
      <c r="B42" s="1">
        <v>0</v>
      </c>
      <c r="C42" s="1" t="s">
        <v>2</v>
      </c>
      <c r="D42" s="1" t="s">
        <v>0</v>
      </c>
      <c r="E42" s="1">
        <v>26</v>
      </c>
      <c r="F42" s="1" t="s">
        <v>1</v>
      </c>
      <c r="G42" s="1" t="s">
        <v>0</v>
      </c>
      <c r="H42" s="1">
        <v>19</v>
      </c>
      <c r="I42" s="1">
        <v>0</v>
      </c>
    </row>
    <row r="43" spans="1:9" x14ac:dyDescent="0.3">
      <c r="A43" s="1">
        <v>2</v>
      </c>
      <c r="B43" s="1">
        <v>0</v>
      </c>
      <c r="C43" s="1" t="s">
        <v>2</v>
      </c>
      <c r="D43" s="1" t="s">
        <v>0</v>
      </c>
      <c r="E43" s="1">
        <v>0</v>
      </c>
      <c r="F43" s="1" t="s">
        <v>1</v>
      </c>
      <c r="G43" s="1" t="s">
        <v>0</v>
      </c>
      <c r="H43" s="1">
        <v>45</v>
      </c>
      <c r="I43" s="1">
        <v>1</v>
      </c>
    </row>
    <row r="44" spans="1:9" x14ac:dyDescent="0.3">
      <c r="A44" s="1">
        <v>2</v>
      </c>
      <c r="B44" s="1">
        <v>0</v>
      </c>
      <c r="C44" s="1" t="s">
        <v>2</v>
      </c>
      <c r="D44" s="1" t="s">
        <v>0</v>
      </c>
      <c r="E44" s="1">
        <v>2</v>
      </c>
      <c r="F44" s="1" t="s">
        <v>1</v>
      </c>
      <c r="G44" s="1" t="s">
        <v>0</v>
      </c>
      <c r="H44" s="1">
        <v>28</v>
      </c>
      <c r="I44" s="1">
        <v>1</v>
      </c>
    </row>
    <row r="45" spans="1:9" x14ac:dyDescent="0.3">
      <c r="A45" s="1">
        <v>2</v>
      </c>
      <c r="B45" s="1">
        <v>0</v>
      </c>
      <c r="C45" s="1" t="s">
        <v>2</v>
      </c>
      <c r="D45" s="1" t="s">
        <v>0</v>
      </c>
      <c r="E45" s="1">
        <v>4</v>
      </c>
      <c r="F45" s="1" t="s">
        <v>1</v>
      </c>
      <c r="G45" s="1" t="s">
        <v>0</v>
      </c>
      <c r="H45" s="1">
        <v>38</v>
      </c>
      <c r="I45" s="1">
        <v>1</v>
      </c>
    </row>
    <row r="46" spans="1:9" x14ac:dyDescent="0.3">
      <c r="A46" s="1">
        <v>2</v>
      </c>
      <c r="B46" s="1">
        <v>0</v>
      </c>
      <c r="C46" s="1" t="s">
        <v>2</v>
      </c>
      <c r="D46" s="1" t="s">
        <v>0</v>
      </c>
      <c r="E46" s="1">
        <v>2</v>
      </c>
      <c r="F46" s="1" t="s">
        <v>1</v>
      </c>
      <c r="G46" s="1" t="s">
        <v>0</v>
      </c>
      <c r="H46" s="1">
        <v>23</v>
      </c>
      <c r="I46" s="1">
        <v>1</v>
      </c>
    </row>
    <row r="47" spans="1:9" x14ac:dyDescent="0.3">
      <c r="A47" s="1">
        <v>2</v>
      </c>
      <c r="B47" s="1">
        <v>0</v>
      </c>
      <c r="C47" s="1" t="s">
        <v>2</v>
      </c>
      <c r="D47" s="1" t="s">
        <v>0</v>
      </c>
      <c r="E47" s="1">
        <v>0</v>
      </c>
      <c r="F47" s="1" t="s">
        <v>1</v>
      </c>
      <c r="G47" s="1" t="s">
        <v>0</v>
      </c>
      <c r="H47" s="1">
        <v>34</v>
      </c>
      <c r="I47" s="1">
        <v>1</v>
      </c>
    </row>
    <row r="48" spans="1:9" x14ac:dyDescent="0.3">
      <c r="A48" s="1">
        <v>2</v>
      </c>
      <c r="B48" s="1">
        <v>0</v>
      </c>
      <c r="C48" s="1" t="s">
        <v>2</v>
      </c>
      <c r="D48" s="1" t="s">
        <v>0</v>
      </c>
      <c r="E48" s="1">
        <v>2</v>
      </c>
      <c r="F48" s="1" t="s">
        <v>1</v>
      </c>
      <c r="G48" s="1" t="s">
        <v>0</v>
      </c>
      <c r="H48" s="1">
        <v>11</v>
      </c>
      <c r="I48" s="1">
        <v>1</v>
      </c>
    </row>
    <row r="49" spans="1:9" x14ac:dyDescent="0.3">
      <c r="A49" s="1">
        <v>2</v>
      </c>
      <c r="B49" s="1">
        <v>0</v>
      </c>
      <c r="C49" s="1" t="s">
        <v>2</v>
      </c>
      <c r="D49" s="1" t="s">
        <v>0</v>
      </c>
      <c r="E49" s="1">
        <v>0</v>
      </c>
      <c r="F49" s="1" t="s">
        <v>1</v>
      </c>
      <c r="G49" s="1" t="s">
        <v>0</v>
      </c>
      <c r="H49" s="1">
        <v>28</v>
      </c>
      <c r="I49" s="1">
        <v>1</v>
      </c>
    </row>
    <row r="50" spans="1:9" x14ac:dyDescent="0.3">
      <c r="A50" s="1">
        <v>2</v>
      </c>
      <c r="B50" s="1">
        <v>0</v>
      </c>
      <c r="C50" s="1" t="s">
        <v>2</v>
      </c>
      <c r="D50" s="1" t="s">
        <v>0</v>
      </c>
      <c r="E50" s="1">
        <v>0</v>
      </c>
      <c r="F50" s="1" t="s">
        <v>1</v>
      </c>
      <c r="G50" s="1" t="s">
        <v>0</v>
      </c>
      <c r="H50" s="1">
        <v>43</v>
      </c>
      <c r="I50" s="1">
        <v>1</v>
      </c>
    </row>
    <row r="51" spans="1:9" x14ac:dyDescent="0.3">
      <c r="A51" s="1">
        <v>2</v>
      </c>
      <c r="B51" s="1">
        <v>1</v>
      </c>
      <c r="C51" s="1" t="s">
        <v>2</v>
      </c>
      <c r="D51" s="1" t="s">
        <v>0</v>
      </c>
      <c r="E51" s="1">
        <v>4</v>
      </c>
      <c r="F51" s="1" t="s">
        <v>1</v>
      </c>
      <c r="G51" s="1" t="s">
        <v>0</v>
      </c>
      <c r="H51" s="1">
        <v>57</v>
      </c>
      <c r="I51" s="1">
        <v>1</v>
      </c>
    </row>
    <row r="52" spans="1:9" x14ac:dyDescent="0.3">
      <c r="A52" s="1">
        <v>2</v>
      </c>
      <c r="B52" s="1">
        <v>1</v>
      </c>
      <c r="C52" s="1" t="s">
        <v>2</v>
      </c>
      <c r="D52" s="1" t="s">
        <v>0</v>
      </c>
      <c r="E52" s="1">
        <v>2</v>
      </c>
      <c r="F52" s="1" t="s">
        <v>1</v>
      </c>
      <c r="G52" s="1" t="s">
        <v>0</v>
      </c>
      <c r="H52" s="1">
        <v>45</v>
      </c>
      <c r="I52" s="1">
        <v>1</v>
      </c>
    </row>
    <row r="53" spans="1:9" x14ac:dyDescent="0.3">
      <c r="A53" s="1">
        <v>2</v>
      </c>
      <c r="B53" s="1">
        <v>1</v>
      </c>
      <c r="C53" s="1" t="s">
        <v>2</v>
      </c>
      <c r="D53" s="1" t="s">
        <v>0</v>
      </c>
      <c r="E53" s="1">
        <v>21</v>
      </c>
      <c r="F53" s="1" t="s">
        <v>1</v>
      </c>
      <c r="G53" s="1" t="s">
        <v>0</v>
      </c>
      <c r="H53" s="1">
        <v>41</v>
      </c>
      <c r="I53" s="1">
        <v>1</v>
      </c>
    </row>
    <row r="54" spans="1:9" x14ac:dyDescent="0.3">
      <c r="A54" s="1">
        <v>2</v>
      </c>
      <c r="B54" s="1">
        <v>1</v>
      </c>
      <c r="C54" s="1" t="s">
        <v>2</v>
      </c>
      <c r="D54" s="1" t="s">
        <v>0</v>
      </c>
      <c r="E54" s="1">
        <v>2</v>
      </c>
      <c r="F54" s="1" t="s">
        <v>1</v>
      </c>
      <c r="G54" s="1" t="s">
        <v>0</v>
      </c>
      <c r="H54" s="1">
        <v>47</v>
      </c>
      <c r="I54" s="1">
        <v>1</v>
      </c>
    </row>
    <row r="55" spans="1:9" x14ac:dyDescent="0.3">
      <c r="A55" s="1">
        <v>2</v>
      </c>
      <c r="B55" s="1">
        <v>1</v>
      </c>
      <c r="C55" s="1" t="s">
        <v>2</v>
      </c>
      <c r="D55" s="1" t="s">
        <v>0</v>
      </c>
      <c r="E55" s="1">
        <v>9</v>
      </c>
      <c r="F55" s="1" t="s">
        <v>1</v>
      </c>
      <c r="G55" s="1" t="s">
        <v>0</v>
      </c>
      <c r="H55" s="1">
        <v>51</v>
      </c>
      <c r="I55" s="1">
        <v>1</v>
      </c>
    </row>
    <row r="56" spans="1:9" x14ac:dyDescent="0.3">
      <c r="A56" s="1">
        <v>2</v>
      </c>
      <c r="B56" s="1">
        <v>1</v>
      </c>
      <c r="C56" s="1" t="s">
        <v>2</v>
      </c>
      <c r="D56" s="1" t="s">
        <v>0</v>
      </c>
      <c r="E56" s="1">
        <v>0</v>
      </c>
      <c r="F56" s="1" t="s">
        <v>1</v>
      </c>
      <c r="G56" s="1" t="s">
        <v>0</v>
      </c>
      <c r="H56" s="1">
        <v>23</v>
      </c>
      <c r="I56" s="1">
        <v>1</v>
      </c>
    </row>
    <row r="57" spans="1:9" x14ac:dyDescent="0.3">
      <c r="A57" s="1">
        <v>2</v>
      </c>
      <c r="B57" s="1">
        <v>1</v>
      </c>
      <c r="C57" s="1" t="s">
        <v>2</v>
      </c>
      <c r="D57" s="1" t="s">
        <v>0</v>
      </c>
      <c r="E57" s="1">
        <v>0</v>
      </c>
      <c r="F57" s="1" t="s">
        <v>1</v>
      </c>
      <c r="G57" s="1" t="s">
        <v>0</v>
      </c>
      <c r="H57" s="1">
        <v>73</v>
      </c>
      <c r="I57" s="1">
        <v>1</v>
      </c>
    </row>
    <row r="58" spans="1:9" x14ac:dyDescent="0.3">
      <c r="A58" s="1">
        <v>2</v>
      </c>
      <c r="B58" s="1">
        <v>1</v>
      </c>
      <c r="C58" s="1" t="s">
        <v>2</v>
      </c>
      <c r="D58" s="1" t="s">
        <v>0</v>
      </c>
      <c r="E58" s="1">
        <v>2</v>
      </c>
      <c r="F58" s="1" t="s">
        <v>1</v>
      </c>
      <c r="G58" s="1" t="s">
        <v>0</v>
      </c>
      <c r="H58" s="1">
        <v>40</v>
      </c>
      <c r="I58" s="1">
        <v>1</v>
      </c>
    </row>
    <row r="59" spans="1:9" x14ac:dyDescent="0.3">
      <c r="A59" s="1">
        <v>2</v>
      </c>
      <c r="B59" s="1">
        <v>1</v>
      </c>
      <c r="C59" s="1" t="s">
        <v>2</v>
      </c>
      <c r="D59" s="1" t="s">
        <v>0</v>
      </c>
      <c r="E59" s="1">
        <v>24</v>
      </c>
      <c r="F59" s="1" t="s">
        <v>1</v>
      </c>
      <c r="G59" s="1" t="s">
        <v>0</v>
      </c>
      <c r="H59" s="1">
        <v>30</v>
      </c>
      <c r="I59" s="1">
        <v>1</v>
      </c>
    </row>
    <row r="60" spans="1:9" x14ac:dyDescent="0.3">
      <c r="A60" s="1">
        <v>2</v>
      </c>
      <c r="B60" s="1">
        <v>1</v>
      </c>
      <c r="C60" s="1" t="s">
        <v>2</v>
      </c>
      <c r="D60" s="1" t="s">
        <v>0</v>
      </c>
      <c r="E60" s="1">
        <v>12</v>
      </c>
      <c r="F60" s="1" t="s">
        <v>1</v>
      </c>
      <c r="G60" s="1" t="s">
        <v>0</v>
      </c>
      <c r="H60" s="1">
        <v>50</v>
      </c>
      <c r="I60" s="1">
        <v>1</v>
      </c>
    </row>
    <row r="61" spans="1:9" x14ac:dyDescent="0.3">
      <c r="A61" s="1">
        <v>2</v>
      </c>
      <c r="B61" s="1">
        <v>1</v>
      </c>
      <c r="C61" s="1" t="s">
        <v>2</v>
      </c>
      <c r="D61" s="1" t="s">
        <v>0</v>
      </c>
      <c r="E61" s="1">
        <v>6</v>
      </c>
      <c r="F61" s="1" t="s">
        <v>1</v>
      </c>
      <c r="G61" s="1" t="s">
        <v>0</v>
      </c>
      <c r="H61" s="1">
        <v>34</v>
      </c>
      <c r="I61" s="1">
        <v>1</v>
      </c>
    </row>
    <row r="62" spans="1:9" x14ac:dyDescent="0.3">
      <c r="A62" s="1">
        <v>2</v>
      </c>
      <c r="B62" s="1">
        <v>1</v>
      </c>
      <c r="C62" s="1" t="s">
        <v>2</v>
      </c>
      <c r="D62" s="1" t="s">
        <v>0</v>
      </c>
      <c r="E62" s="1">
        <v>0</v>
      </c>
      <c r="F62" s="1" t="s">
        <v>1</v>
      </c>
      <c r="G62" s="1" t="s">
        <v>0</v>
      </c>
      <c r="H62" s="1">
        <v>29</v>
      </c>
      <c r="I62" s="1">
        <v>1</v>
      </c>
    </row>
    <row r="63" spans="1:9" x14ac:dyDescent="0.3">
      <c r="A63" s="1">
        <v>2</v>
      </c>
      <c r="B63" s="1">
        <v>1</v>
      </c>
      <c r="C63" s="1" t="s">
        <v>2</v>
      </c>
      <c r="D63" s="1" t="s">
        <v>0</v>
      </c>
      <c r="E63" s="1">
        <v>6</v>
      </c>
      <c r="F63" s="1" t="s">
        <v>1</v>
      </c>
      <c r="G63" s="1" t="s">
        <v>0</v>
      </c>
      <c r="H63" s="1">
        <v>27</v>
      </c>
      <c r="I63" s="1">
        <v>1</v>
      </c>
    </row>
    <row r="64" spans="1:9" x14ac:dyDescent="0.3">
      <c r="A64" s="1">
        <v>2</v>
      </c>
      <c r="B64" s="1">
        <v>1</v>
      </c>
      <c r="C64" s="1" t="s">
        <v>2</v>
      </c>
      <c r="D64" s="1" t="s">
        <v>0</v>
      </c>
      <c r="E64" s="1">
        <v>0</v>
      </c>
      <c r="F64" s="1" t="s">
        <v>1</v>
      </c>
      <c r="G64" s="1" t="s">
        <v>0</v>
      </c>
      <c r="H64" s="1">
        <v>59</v>
      </c>
      <c r="I64" s="1">
        <v>1</v>
      </c>
    </row>
    <row r="65" spans="1:9" x14ac:dyDescent="0.3">
      <c r="A65" s="1">
        <v>2</v>
      </c>
      <c r="B65" s="1">
        <v>1</v>
      </c>
      <c r="C65" s="1" t="s">
        <v>2</v>
      </c>
      <c r="D65" s="1" t="s">
        <v>0</v>
      </c>
      <c r="E65" s="1">
        <v>14</v>
      </c>
      <c r="F65" s="1" t="s">
        <v>1</v>
      </c>
      <c r="G65" s="1" t="s">
        <v>0</v>
      </c>
      <c r="H65" s="1">
        <v>40</v>
      </c>
      <c r="I65" s="1">
        <v>1</v>
      </c>
    </row>
    <row r="66" spans="1:9" x14ac:dyDescent="0.3">
      <c r="A66" s="1">
        <v>2</v>
      </c>
      <c r="B66" s="1">
        <v>1</v>
      </c>
      <c r="C66" s="1" t="s">
        <v>2</v>
      </c>
      <c r="D66" s="1" t="s">
        <v>0</v>
      </c>
      <c r="E66" s="1">
        <v>3</v>
      </c>
      <c r="F66" s="1" t="s">
        <v>1</v>
      </c>
      <c r="G66" s="1" t="s">
        <v>0</v>
      </c>
      <c r="H66" s="1">
        <v>81</v>
      </c>
      <c r="I66" s="1">
        <v>1</v>
      </c>
    </row>
    <row r="67" spans="1:9" x14ac:dyDescent="0.3">
      <c r="A67" s="1">
        <v>2</v>
      </c>
      <c r="B67" s="1">
        <v>1</v>
      </c>
      <c r="C67" s="1" t="s">
        <v>2</v>
      </c>
      <c r="D67" s="1" t="s">
        <v>0</v>
      </c>
      <c r="E67" s="1">
        <v>2</v>
      </c>
      <c r="F67" s="1" t="s">
        <v>1</v>
      </c>
      <c r="G67" s="1" t="s">
        <v>0</v>
      </c>
      <c r="H67" s="1">
        <v>44</v>
      </c>
      <c r="I67" s="1">
        <v>1</v>
      </c>
    </row>
    <row r="68" spans="1:9" x14ac:dyDescent="0.3">
      <c r="A68" s="1">
        <v>2</v>
      </c>
      <c r="B68" s="1">
        <v>1</v>
      </c>
      <c r="C68" s="1" t="s">
        <v>2</v>
      </c>
      <c r="D68" s="1" t="s">
        <v>0</v>
      </c>
      <c r="E68" s="1">
        <v>7</v>
      </c>
      <c r="F68" s="1" t="s">
        <v>1</v>
      </c>
      <c r="G68" s="1" t="s">
        <v>0</v>
      </c>
      <c r="H68" s="1">
        <v>33</v>
      </c>
      <c r="I68" s="1">
        <v>1</v>
      </c>
    </row>
    <row r="69" spans="1:9" x14ac:dyDescent="0.3">
      <c r="A69" s="1">
        <v>2</v>
      </c>
      <c r="B69" s="1">
        <v>1</v>
      </c>
      <c r="C69" s="1" t="s">
        <v>2</v>
      </c>
      <c r="D69" s="1" t="s">
        <v>0</v>
      </c>
      <c r="E69" s="1">
        <v>3</v>
      </c>
      <c r="F69" s="1" t="s">
        <v>1</v>
      </c>
      <c r="G69" s="1" t="s">
        <v>0</v>
      </c>
      <c r="H69" s="1">
        <v>32</v>
      </c>
      <c r="I69" s="1">
        <v>1</v>
      </c>
    </row>
    <row r="70" spans="1:9" x14ac:dyDescent="0.3">
      <c r="A70" s="1">
        <v>2</v>
      </c>
      <c r="B70" s="1">
        <v>1</v>
      </c>
      <c r="C70" s="1" t="s">
        <v>2</v>
      </c>
      <c r="D70" s="1" t="s">
        <v>0</v>
      </c>
      <c r="E70" s="1">
        <v>17</v>
      </c>
      <c r="F70" s="1" t="s">
        <v>1</v>
      </c>
      <c r="G70" s="1" t="s">
        <v>0</v>
      </c>
      <c r="H70" s="1">
        <v>25</v>
      </c>
      <c r="I70" s="1">
        <v>1</v>
      </c>
    </row>
    <row r="71" spans="1:9" x14ac:dyDescent="0.3">
      <c r="A71" s="1">
        <v>2</v>
      </c>
      <c r="B71" s="1">
        <v>1</v>
      </c>
      <c r="C71" s="1" t="s">
        <v>2</v>
      </c>
      <c r="D71" s="1" t="s">
        <v>0</v>
      </c>
      <c r="E71" s="1">
        <v>0</v>
      </c>
      <c r="F71" s="1" t="s">
        <v>1</v>
      </c>
      <c r="G71" s="1" t="s">
        <v>0</v>
      </c>
      <c r="H71" s="1">
        <v>4</v>
      </c>
      <c r="I71" s="1">
        <v>1</v>
      </c>
    </row>
    <row r="72" spans="1:9" x14ac:dyDescent="0.3">
      <c r="A72" s="1">
        <v>2</v>
      </c>
      <c r="B72" s="1">
        <v>1</v>
      </c>
      <c r="C72" s="1" t="s">
        <v>2</v>
      </c>
      <c r="D72" s="1" t="s">
        <v>0</v>
      </c>
      <c r="E72" s="1">
        <v>0</v>
      </c>
      <c r="F72" s="1" t="s">
        <v>1</v>
      </c>
      <c r="G72" s="1" t="s">
        <v>0</v>
      </c>
      <c r="H72" s="1">
        <v>42</v>
      </c>
      <c r="I72" s="1">
        <v>1</v>
      </c>
    </row>
    <row r="73" spans="1:9" x14ac:dyDescent="0.3">
      <c r="A73" s="1">
        <v>2</v>
      </c>
      <c r="B73" s="1">
        <v>1</v>
      </c>
      <c r="C73" s="1" t="s">
        <v>2</v>
      </c>
      <c r="D73" s="1" t="s">
        <v>0</v>
      </c>
      <c r="E73" s="1">
        <v>26</v>
      </c>
      <c r="F73" s="1" t="s">
        <v>1</v>
      </c>
      <c r="G73" s="1" t="s">
        <v>0</v>
      </c>
      <c r="H73" s="1">
        <v>14</v>
      </c>
      <c r="I73" s="1">
        <v>0</v>
      </c>
    </row>
    <row r="74" spans="1:9" x14ac:dyDescent="0.3">
      <c r="A74" s="1">
        <v>2</v>
      </c>
      <c r="B74" s="1">
        <v>1</v>
      </c>
      <c r="C74" s="1" t="s">
        <v>2</v>
      </c>
      <c r="D74" s="1" t="s">
        <v>0</v>
      </c>
      <c r="E74" s="1">
        <v>2</v>
      </c>
      <c r="F74" s="1" t="s">
        <v>1</v>
      </c>
      <c r="G74" s="1" t="s">
        <v>0</v>
      </c>
      <c r="H74" s="1">
        <v>9</v>
      </c>
      <c r="I74" s="1">
        <v>1</v>
      </c>
    </row>
    <row r="75" spans="1:9" x14ac:dyDescent="0.3">
      <c r="A75" s="1">
        <v>2</v>
      </c>
      <c r="B75" s="1">
        <v>1</v>
      </c>
      <c r="C75" s="1" t="s">
        <v>2</v>
      </c>
      <c r="D75" s="1" t="s">
        <v>0</v>
      </c>
      <c r="E75" s="1">
        <v>0</v>
      </c>
      <c r="F75" s="1" t="s">
        <v>1</v>
      </c>
      <c r="G75" s="1" t="s">
        <v>0</v>
      </c>
      <c r="H75" s="1">
        <v>24</v>
      </c>
      <c r="I75" s="1">
        <v>1</v>
      </c>
    </row>
    <row r="76" spans="1:9" x14ac:dyDescent="0.3">
      <c r="A76" s="1">
        <v>2</v>
      </c>
      <c r="B76" s="1">
        <v>1</v>
      </c>
      <c r="C76" s="1" t="s">
        <v>2</v>
      </c>
      <c r="D76" s="1" t="s">
        <v>0</v>
      </c>
      <c r="E76" s="1">
        <v>24</v>
      </c>
      <c r="F76" s="1" t="s">
        <v>1</v>
      </c>
      <c r="G76" s="1" t="s">
        <v>0</v>
      </c>
      <c r="H76" s="1">
        <v>30</v>
      </c>
      <c r="I76" s="1">
        <v>1</v>
      </c>
    </row>
    <row r="77" spans="1:9" x14ac:dyDescent="0.3">
      <c r="A77" s="1">
        <v>2</v>
      </c>
      <c r="B77" s="1">
        <v>1</v>
      </c>
      <c r="C77" s="1" t="s">
        <v>2</v>
      </c>
      <c r="D77" s="1" t="s">
        <v>0</v>
      </c>
      <c r="E77" s="1">
        <v>2</v>
      </c>
      <c r="F77" s="1" t="s">
        <v>1</v>
      </c>
      <c r="G77" s="1" t="s">
        <v>0</v>
      </c>
      <c r="H77" s="1">
        <v>87</v>
      </c>
      <c r="I77" s="1">
        <v>1</v>
      </c>
    </row>
    <row r="78" spans="1:9" x14ac:dyDescent="0.3">
      <c r="A78" s="1">
        <v>2</v>
      </c>
      <c r="B78" s="1">
        <v>1</v>
      </c>
      <c r="C78" s="1" t="s">
        <v>2</v>
      </c>
      <c r="D78" s="1" t="s">
        <v>0</v>
      </c>
      <c r="E78" s="1">
        <v>8</v>
      </c>
      <c r="F78" s="1" t="s">
        <v>1</v>
      </c>
      <c r="G78" s="1" t="s">
        <v>0</v>
      </c>
      <c r="H78" s="1">
        <v>24</v>
      </c>
      <c r="I78" s="1">
        <v>1</v>
      </c>
    </row>
    <row r="79" spans="1:9" x14ac:dyDescent="0.3">
      <c r="A79" s="1">
        <v>2</v>
      </c>
      <c r="B79" s="1">
        <v>1</v>
      </c>
      <c r="C79" s="1" t="s">
        <v>2</v>
      </c>
      <c r="D79" s="1" t="s">
        <v>0</v>
      </c>
      <c r="E79" s="1">
        <v>0</v>
      </c>
      <c r="F79" s="1" t="s">
        <v>1</v>
      </c>
      <c r="G79" s="1" t="s">
        <v>0</v>
      </c>
      <c r="H79" s="1">
        <v>24</v>
      </c>
      <c r="I79" s="1">
        <v>1</v>
      </c>
    </row>
    <row r="80" spans="1:9" x14ac:dyDescent="0.3">
      <c r="A80" s="1">
        <v>2</v>
      </c>
      <c r="B80" s="1">
        <v>1</v>
      </c>
      <c r="C80" s="1" t="s">
        <v>2</v>
      </c>
      <c r="D80" s="1" t="s">
        <v>0</v>
      </c>
      <c r="E80" s="1">
        <v>14</v>
      </c>
      <c r="F80" s="1" t="s">
        <v>1</v>
      </c>
      <c r="G80" s="1" t="s">
        <v>0</v>
      </c>
      <c r="H80" s="1">
        <v>20</v>
      </c>
      <c r="I80" s="1">
        <v>1</v>
      </c>
    </row>
    <row r="81" spans="1:9" x14ac:dyDescent="0.3">
      <c r="A81" s="1">
        <v>2</v>
      </c>
      <c r="B81" s="1">
        <v>1</v>
      </c>
      <c r="C81" s="1" t="s">
        <v>2</v>
      </c>
      <c r="D81" s="1" t="s">
        <v>0</v>
      </c>
      <c r="E81" s="1">
        <v>19</v>
      </c>
      <c r="F81" s="1" t="s">
        <v>1</v>
      </c>
      <c r="G81" s="1" t="s">
        <v>0</v>
      </c>
      <c r="H81" s="1">
        <v>40</v>
      </c>
      <c r="I81" s="1">
        <v>1</v>
      </c>
    </row>
    <row r="82" spans="1:9" x14ac:dyDescent="0.3">
      <c r="A82" s="1">
        <v>2</v>
      </c>
      <c r="B82" s="1">
        <v>1</v>
      </c>
      <c r="C82" s="1" t="s">
        <v>2</v>
      </c>
      <c r="D82" s="1" t="s">
        <v>0</v>
      </c>
      <c r="E82" s="1">
        <v>4</v>
      </c>
      <c r="F82" s="1" t="s">
        <v>1</v>
      </c>
      <c r="G82" s="1" t="s">
        <v>0</v>
      </c>
      <c r="H82" s="1">
        <v>49</v>
      </c>
      <c r="I82" s="1">
        <v>1</v>
      </c>
    </row>
    <row r="83" spans="1:9" x14ac:dyDescent="0.3">
      <c r="A83" s="1">
        <v>2</v>
      </c>
      <c r="B83" s="1">
        <v>1</v>
      </c>
      <c r="C83" s="1" t="s">
        <v>2</v>
      </c>
      <c r="D83" s="1" t="s">
        <v>0</v>
      </c>
      <c r="E83" s="1">
        <v>0</v>
      </c>
      <c r="F83" s="1" t="s">
        <v>1</v>
      </c>
      <c r="G83" s="1" t="s">
        <v>0</v>
      </c>
      <c r="H83" s="1">
        <v>13</v>
      </c>
      <c r="I83" s="1">
        <v>1</v>
      </c>
    </row>
    <row r="84" spans="1:9" x14ac:dyDescent="0.3">
      <c r="A84" s="1">
        <v>2</v>
      </c>
      <c r="B84" s="1">
        <v>1</v>
      </c>
      <c r="C84" s="1" t="s">
        <v>2</v>
      </c>
      <c r="D84" s="1" t="s">
        <v>0</v>
      </c>
      <c r="E84" s="1">
        <v>24</v>
      </c>
      <c r="F84" s="1" t="s">
        <v>1</v>
      </c>
      <c r="G84" s="1" t="s">
        <v>0</v>
      </c>
      <c r="H84" s="1">
        <v>13</v>
      </c>
      <c r="I84" s="1">
        <v>0</v>
      </c>
    </row>
    <row r="85" spans="1:9" x14ac:dyDescent="0.3">
      <c r="A85" s="1">
        <v>2</v>
      </c>
      <c r="B85" s="1">
        <v>1</v>
      </c>
      <c r="C85" s="1" t="s">
        <v>2</v>
      </c>
      <c r="D85" s="1" t="s">
        <v>0</v>
      </c>
      <c r="E85" s="1">
        <v>0</v>
      </c>
      <c r="F85" s="1" t="s">
        <v>1</v>
      </c>
      <c r="G85" s="1" t="s">
        <v>0</v>
      </c>
      <c r="H85" s="1">
        <v>23</v>
      </c>
      <c r="I85" s="1">
        <v>1</v>
      </c>
    </row>
    <row r="86" spans="1:9" x14ac:dyDescent="0.3">
      <c r="A86" s="1">
        <v>2</v>
      </c>
      <c r="B86" s="1">
        <v>1</v>
      </c>
      <c r="C86" s="1" t="s">
        <v>2</v>
      </c>
      <c r="D86" s="1" t="s">
        <v>0</v>
      </c>
      <c r="E86" s="1">
        <v>5</v>
      </c>
      <c r="F86" s="1" t="s">
        <v>1</v>
      </c>
      <c r="G86" s="1" t="s">
        <v>0</v>
      </c>
      <c r="H86" s="1">
        <v>16</v>
      </c>
      <c r="I86" s="1">
        <v>1</v>
      </c>
    </row>
    <row r="87" spans="1:9" x14ac:dyDescent="0.3">
      <c r="A87" s="1">
        <v>2</v>
      </c>
      <c r="B87" s="1">
        <v>1</v>
      </c>
      <c r="C87" s="1" t="s">
        <v>2</v>
      </c>
      <c r="D87" s="1" t="s">
        <v>0</v>
      </c>
      <c r="E87" s="1">
        <v>0</v>
      </c>
      <c r="F87" s="1" t="s">
        <v>1</v>
      </c>
      <c r="G87" s="1" t="s">
        <v>0</v>
      </c>
      <c r="H87" s="1">
        <v>51</v>
      </c>
      <c r="I87" s="1">
        <v>1</v>
      </c>
    </row>
    <row r="88" spans="1:9" x14ac:dyDescent="0.3">
      <c r="A88" s="1">
        <v>2</v>
      </c>
      <c r="B88" s="1">
        <v>1</v>
      </c>
      <c r="C88" s="1" t="s">
        <v>2</v>
      </c>
      <c r="D88" s="1" t="s">
        <v>0</v>
      </c>
      <c r="E88" s="1">
        <v>0</v>
      </c>
      <c r="F88" s="1" t="s">
        <v>1</v>
      </c>
      <c r="G88" s="1" t="s">
        <v>0</v>
      </c>
      <c r="H88" s="1">
        <v>11</v>
      </c>
      <c r="I88" s="1">
        <v>1</v>
      </c>
    </row>
    <row r="89" spans="1:9" x14ac:dyDescent="0.3">
      <c r="A89" s="1">
        <v>2</v>
      </c>
      <c r="B89" s="1">
        <v>1</v>
      </c>
      <c r="C89" s="1" t="s">
        <v>2</v>
      </c>
      <c r="D89" s="1" t="s">
        <v>0</v>
      </c>
      <c r="E89" s="1">
        <v>7</v>
      </c>
      <c r="F89" s="1" t="s">
        <v>1</v>
      </c>
      <c r="G89" s="1" t="s">
        <v>0</v>
      </c>
      <c r="H89" s="1">
        <v>14</v>
      </c>
      <c r="I89" s="1">
        <v>1</v>
      </c>
    </row>
    <row r="90" spans="1:9" x14ac:dyDescent="0.3">
      <c r="A90" s="1">
        <v>2</v>
      </c>
      <c r="B90" s="1">
        <v>1</v>
      </c>
      <c r="C90" s="1" t="s">
        <v>2</v>
      </c>
      <c r="D90" s="1" t="s">
        <v>0</v>
      </c>
      <c r="E90" s="1">
        <v>4</v>
      </c>
      <c r="F90" s="1" t="s">
        <v>1</v>
      </c>
      <c r="G90" s="1" t="s">
        <v>0</v>
      </c>
      <c r="H90" s="1">
        <v>70</v>
      </c>
      <c r="I90" s="1">
        <v>1</v>
      </c>
    </row>
    <row r="91" spans="1:9" x14ac:dyDescent="0.3">
      <c r="A91" s="1">
        <v>2</v>
      </c>
      <c r="B91" s="1">
        <v>1</v>
      </c>
      <c r="C91" s="1" t="s">
        <v>2</v>
      </c>
      <c r="D91" s="1" t="s">
        <v>0</v>
      </c>
      <c r="E91" s="1">
        <v>0</v>
      </c>
      <c r="F91" s="1" t="s">
        <v>1</v>
      </c>
      <c r="G91" s="1" t="s">
        <v>0</v>
      </c>
      <c r="H91" s="1">
        <v>4</v>
      </c>
      <c r="I91" s="1">
        <v>1</v>
      </c>
    </row>
    <row r="92" spans="1:9" x14ac:dyDescent="0.3">
      <c r="A92" s="1">
        <v>2</v>
      </c>
      <c r="B92" s="1">
        <v>1</v>
      </c>
      <c r="C92" s="1" t="s">
        <v>2</v>
      </c>
      <c r="D92" s="1" t="s">
        <v>0</v>
      </c>
      <c r="E92" s="1">
        <v>1</v>
      </c>
      <c r="F92" s="1" t="s">
        <v>1</v>
      </c>
      <c r="G92" s="1" t="s">
        <v>0</v>
      </c>
      <c r="H92" s="1">
        <v>52</v>
      </c>
      <c r="I92" s="1">
        <v>1</v>
      </c>
    </row>
    <row r="93" spans="1:9" x14ac:dyDescent="0.3">
      <c r="A93" s="1">
        <v>2</v>
      </c>
      <c r="B93" s="1">
        <v>1</v>
      </c>
      <c r="C93" s="1" t="s">
        <v>2</v>
      </c>
      <c r="D93" s="1" t="s">
        <v>0</v>
      </c>
      <c r="E93" s="1">
        <v>7</v>
      </c>
      <c r="F93" s="1" t="s">
        <v>1</v>
      </c>
      <c r="G93" s="1" t="s">
        <v>0</v>
      </c>
      <c r="H93" s="1">
        <v>54</v>
      </c>
      <c r="I93" s="1">
        <v>1</v>
      </c>
    </row>
    <row r="94" spans="1:9" x14ac:dyDescent="0.3">
      <c r="A94" s="1">
        <v>2</v>
      </c>
      <c r="B94" s="1">
        <v>1</v>
      </c>
      <c r="C94" s="1" t="s">
        <v>2</v>
      </c>
      <c r="D94" s="1" t="s">
        <v>0</v>
      </c>
      <c r="E94" s="1">
        <v>4</v>
      </c>
      <c r="F94" s="1" t="s">
        <v>1</v>
      </c>
      <c r="G94" s="1" t="s">
        <v>0</v>
      </c>
      <c r="H94" s="1">
        <v>26</v>
      </c>
      <c r="I94" s="1">
        <v>1</v>
      </c>
    </row>
    <row r="95" spans="1:9" x14ac:dyDescent="0.3">
      <c r="A95" s="1">
        <v>2</v>
      </c>
      <c r="B95" s="1">
        <v>1</v>
      </c>
      <c r="C95" s="1" t="s">
        <v>2</v>
      </c>
      <c r="D95" s="1" t="s">
        <v>0</v>
      </c>
      <c r="E95" s="1">
        <v>0</v>
      </c>
      <c r="F95" s="1" t="s">
        <v>1</v>
      </c>
      <c r="G95" s="1" t="s">
        <v>0</v>
      </c>
      <c r="H95" s="1">
        <v>33</v>
      </c>
      <c r="I95" s="1">
        <v>1</v>
      </c>
    </row>
    <row r="96" spans="1:9" x14ac:dyDescent="0.3">
      <c r="A96" s="1">
        <v>2</v>
      </c>
      <c r="B96" s="1">
        <v>1</v>
      </c>
      <c r="C96" s="1" t="s">
        <v>2</v>
      </c>
      <c r="D96" s="1" t="s">
        <v>0</v>
      </c>
      <c r="E96" s="1">
        <v>6</v>
      </c>
      <c r="F96" s="1" t="s">
        <v>1</v>
      </c>
      <c r="G96" s="1" t="s">
        <v>0</v>
      </c>
      <c r="H96" s="1">
        <v>25</v>
      </c>
      <c r="I96" s="1">
        <v>1</v>
      </c>
    </row>
    <row r="97" spans="1:9" x14ac:dyDescent="0.3">
      <c r="A97" s="1">
        <v>2</v>
      </c>
      <c r="B97" s="1">
        <v>1</v>
      </c>
      <c r="C97" s="1" t="s">
        <v>2</v>
      </c>
      <c r="D97" s="1" t="s">
        <v>0</v>
      </c>
      <c r="E97" s="1">
        <v>12</v>
      </c>
      <c r="F97" s="1" t="s">
        <v>1</v>
      </c>
      <c r="G97" s="1" t="s">
        <v>0</v>
      </c>
      <c r="H97" s="1">
        <v>23</v>
      </c>
      <c r="I97" s="1">
        <v>1</v>
      </c>
    </row>
    <row r="98" spans="1:9" x14ac:dyDescent="0.3">
      <c r="A98" s="1">
        <v>2</v>
      </c>
      <c r="B98" s="1">
        <v>1</v>
      </c>
      <c r="C98" s="1" t="s">
        <v>2</v>
      </c>
      <c r="D98" s="1" t="s">
        <v>0</v>
      </c>
      <c r="E98" s="1">
        <v>18</v>
      </c>
      <c r="F98" s="1" t="s">
        <v>1</v>
      </c>
      <c r="G98" s="1" t="s">
        <v>0</v>
      </c>
      <c r="H98" s="1">
        <v>40</v>
      </c>
      <c r="I98" s="1">
        <v>1</v>
      </c>
    </row>
    <row r="99" spans="1:9" x14ac:dyDescent="0.3">
      <c r="A99" s="1">
        <v>2</v>
      </c>
      <c r="B99" s="1">
        <v>1</v>
      </c>
      <c r="C99" s="1" t="s">
        <v>2</v>
      </c>
      <c r="D99" s="1" t="s">
        <v>0</v>
      </c>
      <c r="E99" s="1">
        <v>0</v>
      </c>
      <c r="F99" s="1" t="s">
        <v>1</v>
      </c>
      <c r="G99" s="1" t="s">
        <v>0</v>
      </c>
      <c r="H99" s="1">
        <v>32</v>
      </c>
      <c r="I99" s="1">
        <v>1</v>
      </c>
    </row>
    <row r="100" spans="1:9" x14ac:dyDescent="0.3">
      <c r="A100" s="1">
        <v>2</v>
      </c>
      <c r="B100" s="1">
        <v>1</v>
      </c>
      <c r="C100" s="1" t="s">
        <v>2</v>
      </c>
      <c r="D100" s="1" t="s">
        <v>0</v>
      </c>
      <c r="E100" s="1">
        <v>0</v>
      </c>
      <c r="F100" s="1" t="s">
        <v>1</v>
      </c>
      <c r="G100" s="1" t="s">
        <v>0</v>
      </c>
      <c r="H100" s="1">
        <v>39</v>
      </c>
      <c r="I100" s="1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D50A-6E94-4837-B4C7-C2B802EF05EF}">
  <dimension ref="A1:T100"/>
  <sheetViews>
    <sheetView topLeftCell="K1" workbookViewId="0">
      <selection activeCell="T2" sqref="T2:T3"/>
    </sheetView>
  </sheetViews>
  <sheetFormatPr defaultRowHeight="14.4" x14ac:dyDescent="0.3"/>
  <cols>
    <col min="1" max="16384" width="8.88671875" style="1"/>
  </cols>
  <sheetData>
    <row r="1" spans="1:20" x14ac:dyDescent="0.3">
      <c r="A1" s="1">
        <v>2</v>
      </c>
      <c r="B1" s="1">
        <v>0</v>
      </c>
      <c r="C1" s="1" t="s">
        <v>2</v>
      </c>
      <c r="D1" s="1" t="s">
        <v>0</v>
      </c>
      <c r="E1" s="1">
        <v>1</v>
      </c>
      <c r="F1" s="1" t="s">
        <v>1</v>
      </c>
      <c r="G1" s="1" t="s">
        <v>0</v>
      </c>
      <c r="H1" s="1">
        <v>34</v>
      </c>
      <c r="I1" s="1">
        <v>1</v>
      </c>
      <c r="K1" s="2"/>
      <c r="L1" s="3"/>
      <c r="M1" s="24" t="s">
        <v>3</v>
      </c>
      <c r="N1" s="24"/>
      <c r="O1" s="19" t="s">
        <v>4</v>
      </c>
      <c r="P1" s="19"/>
      <c r="Q1" s="19" t="s">
        <v>5</v>
      </c>
      <c r="R1" s="19"/>
    </row>
    <row r="2" spans="1:20" x14ac:dyDescent="0.3">
      <c r="A2" s="1">
        <v>2</v>
      </c>
      <c r="B2" s="1">
        <v>0</v>
      </c>
      <c r="C2" s="1" t="s">
        <v>2</v>
      </c>
      <c r="D2" s="1" t="s">
        <v>0</v>
      </c>
      <c r="E2" s="1">
        <v>12</v>
      </c>
      <c r="F2" s="1" t="s">
        <v>1</v>
      </c>
      <c r="G2" s="1" t="s">
        <v>0</v>
      </c>
      <c r="H2" s="1">
        <v>28</v>
      </c>
      <c r="I2" s="1">
        <v>1</v>
      </c>
      <c r="K2" s="4"/>
      <c r="L2" s="5"/>
      <c r="M2" s="24"/>
      <c r="N2" s="24"/>
      <c r="O2" s="19"/>
      <c r="P2" s="19"/>
      <c r="Q2" s="19"/>
      <c r="R2" s="19"/>
      <c r="T2" t="s">
        <v>15</v>
      </c>
    </row>
    <row r="3" spans="1:20" x14ac:dyDescent="0.3">
      <c r="A3" s="1">
        <v>2</v>
      </c>
      <c r="B3" s="1">
        <v>0</v>
      </c>
      <c r="C3" s="1" t="s">
        <v>2</v>
      </c>
      <c r="D3" s="1" t="s">
        <v>0</v>
      </c>
      <c r="E3" s="1">
        <v>0</v>
      </c>
      <c r="F3" s="1" t="s">
        <v>1</v>
      </c>
      <c r="G3" s="1" t="s">
        <v>0</v>
      </c>
      <c r="H3" s="1">
        <v>61</v>
      </c>
      <c r="I3" s="1">
        <v>1</v>
      </c>
      <c r="K3" s="19" t="s">
        <v>6</v>
      </c>
      <c r="L3" s="19"/>
      <c r="M3" s="20">
        <f>COUNTIF($I$1:$I$100, 0)</f>
        <v>15</v>
      </c>
      <c r="N3" s="20"/>
      <c r="O3" s="20">
        <f>COUNTIFS($I$1:$I$100, 0, $B$1:$B$100, 0)</f>
        <v>7</v>
      </c>
      <c r="P3" s="20"/>
      <c r="Q3" s="21">
        <f>COUNTIFS($I$1:$I$100, 0, $B$1:$B$100, 1)</f>
        <v>8</v>
      </c>
      <c r="R3" s="10"/>
      <c r="T3" cm="1">
        <f t="array" ref="T3">SUMPRODUCT(--($E$1:$E$100=$H$1:$H$100))</f>
        <v>0</v>
      </c>
    </row>
    <row r="4" spans="1:20" x14ac:dyDescent="0.3">
      <c r="A4" s="1">
        <v>2</v>
      </c>
      <c r="B4" s="1">
        <v>0</v>
      </c>
      <c r="C4" s="1" t="s">
        <v>2</v>
      </c>
      <c r="D4" s="1" t="s">
        <v>0</v>
      </c>
      <c r="E4" s="1">
        <v>10</v>
      </c>
      <c r="F4" s="1" t="s">
        <v>1</v>
      </c>
      <c r="G4" s="1" t="s">
        <v>0</v>
      </c>
      <c r="H4" s="1">
        <v>36</v>
      </c>
      <c r="I4" s="1">
        <v>1</v>
      </c>
      <c r="K4" s="19"/>
      <c r="L4" s="19"/>
      <c r="M4" s="20"/>
      <c r="N4" s="20"/>
      <c r="O4" s="20"/>
      <c r="P4" s="20"/>
      <c r="Q4" s="20"/>
      <c r="R4" s="12"/>
    </row>
    <row r="5" spans="1:20" x14ac:dyDescent="0.3">
      <c r="A5" s="1">
        <v>2</v>
      </c>
      <c r="B5" s="1">
        <v>0</v>
      </c>
      <c r="C5" s="1" t="s">
        <v>2</v>
      </c>
      <c r="D5" s="1" t="s">
        <v>0</v>
      </c>
      <c r="E5" s="1">
        <v>5</v>
      </c>
      <c r="F5" s="1" t="s">
        <v>1</v>
      </c>
      <c r="G5" s="1" t="s">
        <v>0</v>
      </c>
      <c r="H5" s="1">
        <v>20</v>
      </c>
      <c r="I5" s="1">
        <v>1</v>
      </c>
      <c r="K5" s="19" t="s">
        <v>7</v>
      </c>
      <c r="L5" s="19"/>
      <c r="M5" s="11">
        <f>COUNTIF($I$1:$I$100, 1)</f>
        <v>85</v>
      </c>
      <c r="N5" s="20"/>
      <c r="O5" s="20">
        <f>COUNTIFS($I$1:$I$100, 1, $B$1:$B$100, 0)</f>
        <v>43</v>
      </c>
      <c r="P5" s="20"/>
      <c r="Q5" s="20">
        <f>COUNTIFS($I$1:$I$100, 1, $B$1:$B$100, 1)</f>
        <v>42</v>
      </c>
      <c r="R5" s="12"/>
    </row>
    <row r="6" spans="1:20" x14ac:dyDescent="0.3">
      <c r="A6" s="1">
        <v>2</v>
      </c>
      <c r="B6" s="1">
        <v>0</v>
      </c>
      <c r="C6" s="1" t="s">
        <v>2</v>
      </c>
      <c r="D6" s="1" t="s">
        <v>0</v>
      </c>
      <c r="E6" s="1">
        <v>23</v>
      </c>
      <c r="F6" s="1" t="s">
        <v>1</v>
      </c>
      <c r="G6" s="1" t="s">
        <v>0</v>
      </c>
      <c r="H6" s="1">
        <v>37</v>
      </c>
      <c r="I6" s="1">
        <v>1</v>
      </c>
      <c r="K6" s="19"/>
      <c r="L6" s="19"/>
      <c r="M6" s="13"/>
      <c r="N6" s="22"/>
      <c r="O6" s="22"/>
      <c r="P6" s="22"/>
      <c r="Q6" s="22"/>
      <c r="R6" s="14"/>
    </row>
    <row r="7" spans="1:20" x14ac:dyDescent="0.3">
      <c r="A7" s="1">
        <v>2</v>
      </c>
      <c r="B7" s="1">
        <v>0</v>
      </c>
      <c r="C7" s="1" t="s">
        <v>2</v>
      </c>
      <c r="D7" s="1" t="s">
        <v>0</v>
      </c>
      <c r="E7" s="1">
        <v>2</v>
      </c>
      <c r="F7" s="1" t="s">
        <v>1</v>
      </c>
      <c r="G7" s="1" t="s">
        <v>0</v>
      </c>
      <c r="H7" s="1">
        <v>50</v>
      </c>
      <c r="I7" s="1">
        <v>1</v>
      </c>
      <c r="K7" s="6"/>
      <c r="L7" s="6"/>
      <c r="M7" s="6"/>
      <c r="N7" s="6"/>
      <c r="O7" s="6"/>
      <c r="P7" s="6"/>
      <c r="Q7" s="6"/>
      <c r="R7" s="6"/>
    </row>
    <row r="8" spans="1:20" x14ac:dyDescent="0.3">
      <c r="A8" s="1">
        <v>2</v>
      </c>
      <c r="B8" s="1">
        <v>0</v>
      </c>
      <c r="C8" s="1" t="s">
        <v>2</v>
      </c>
      <c r="D8" s="1" t="s">
        <v>0</v>
      </c>
      <c r="E8" s="1">
        <v>0</v>
      </c>
      <c r="F8" s="1" t="s">
        <v>1</v>
      </c>
      <c r="G8" s="1" t="s">
        <v>0</v>
      </c>
      <c r="H8" s="1">
        <v>2</v>
      </c>
      <c r="I8" s="1">
        <v>1</v>
      </c>
      <c r="K8" s="7"/>
      <c r="L8" s="8"/>
      <c r="M8" s="23" t="s">
        <v>3</v>
      </c>
      <c r="N8" s="23"/>
      <c r="O8" s="23" t="s">
        <v>8</v>
      </c>
      <c r="P8" s="23"/>
      <c r="Q8" s="23" t="s">
        <v>9</v>
      </c>
      <c r="R8" s="23"/>
    </row>
    <row r="9" spans="1:20" x14ac:dyDescent="0.3">
      <c r="A9" s="1">
        <v>2</v>
      </c>
      <c r="B9" s="1">
        <v>0</v>
      </c>
      <c r="C9" s="1" t="s">
        <v>2</v>
      </c>
      <c r="D9" s="1" t="s">
        <v>0</v>
      </c>
      <c r="E9" s="1">
        <v>0</v>
      </c>
      <c r="F9" s="1" t="s">
        <v>1</v>
      </c>
      <c r="G9" s="1" t="s">
        <v>0</v>
      </c>
      <c r="H9" s="1">
        <v>27</v>
      </c>
      <c r="I9" s="1">
        <v>1</v>
      </c>
      <c r="K9" s="4"/>
      <c r="L9" s="5"/>
      <c r="M9" s="23"/>
      <c r="N9" s="23"/>
      <c r="O9" s="23"/>
      <c r="P9" s="23"/>
      <c r="Q9" s="23"/>
      <c r="R9" s="23"/>
    </row>
    <row r="10" spans="1:20" x14ac:dyDescent="0.3">
      <c r="A10" s="1">
        <v>2</v>
      </c>
      <c r="B10" s="1">
        <v>0</v>
      </c>
      <c r="C10" s="1" t="s">
        <v>2</v>
      </c>
      <c r="D10" s="1" t="s">
        <v>0</v>
      </c>
      <c r="E10" s="1">
        <v>0</v>
      </c>
      <c r="F10" s="1" t="s">
        <v>1</v>
      </c>
      <c r="G10" s="1" t="s">
        <v>0</v>
      </c>
      <c r="H10" s="1">
        <v>26</v>
      </c>
      <c r="I10" s="1">
        <v>1</v>
      </c>
      <c r="K10" s="19" t="s">
        <v>10</v>
      </c>
      <c r="L10" s="19"/>
      <c r="M10" s="20">
        <f>AVERAGE($E$1:$E$100,)</f>
        <v>10.762376237623762</v>
      </c>
      <c r="N10" s="20"/>
      <c r="O10" s="20" cm="1">
        <f t="array" ref="O10">AVERAGE(_xlfn._xlws.FILTER($E$1:$E$100,$I$1:$I$100 = 0))</f>
        <v>29.666666666666668</v>
      </c>
      <c r="P10" s="20"/>
      <c r="Q10" s="21" cm="1">
        <f t="array" ref="Q10">AVERAGE(_xlfn._xlws.FILTER($E$1:$E$100,$I$1:$I$100 = 1))</f>
        <v>7.552941176470588</v>
      </c>
      <c r="R10" s="10"/>
    </row>
    <row r="11" spans="1:20" x14ac:dyDescent="0.3">
      <c r="A11" s="1">
        <v>2</v>
      </c>
      <c r="B11" s="1">
        <v>0</v>
      </c>
      <c r="C11" s="1" t="s">
        <v>2</v>
      </c>
      <c r="D11" s="1" t="s">
        <v>0</v>
      </c>
      <c r="E11" s="1">
        <v>6</v>
      </c>
      <c r="F11" s="1" t="s">
        <v>1</v>
      </c>
      <c r="G11" s="1" t="s">
        <v>0</v>
      </c>
      <c r="H11" s="1">
        <v>50</v>
      </c>
      <c r="I11" s="1">
        <v>1</v>
      </c>
      <c r="K11" s="19"/>
      <c r="L11" s="19"/>
      <c r="M11" s="20"/>
      <c r="N11" s="20"/>
      <c r="O11" s="20"/>
      <c r="P11" s="20"/>
      <c r="Q11" s="20"/>
      <c r="R11" s="12"/>
    </row>
    <row r="12" spans="1:20" x14ac:dyDescent="0.3">
      <c r="A12" s="1">
        <v>2</v>
      </c>
      <c r="B12" s="1">
        <v>0</v>
      </c>
      <c r="C12" s="1" t="s">
        <v>2</v>
      </c>
      <c r="D12" s="1" t="s">
        <v>0</v>
      </c>
      <c r="E12" s="1">
        <v>7</v>
      </c>
      <c r="F12" s="1" t="s">
        <v>1</v>
      </c>
      <c r="G12" s="1" t="s">
        <v>0</v>
      </c>
      <c r="H12" s="1">
        <v>20</v>
      </c>
      <c r="I12" s="1">
        <v>1</v>
      </c>
      <c r="K12" s="19" t="s">
        <v>11</v>
      </c>
      <c r="L12" s="19"/>
      <c r="M12" s="20">
        <f>AVERAGE($H$1:$H$100,)</f>
        <v>32.514851485148512</v>
      </c>
      <c r="N12" s="20"/>
      <c r="O12" s="20" cm="1">
        <f t="array" ref="O12">AVERAGE(_xlfn._xlws.FILTER($H$1:$H$100,$I$1:$I$100 = 0))</f>
        <v>19.733333333333334</v>
      </c>
      <c r="P12" s="20"/>
      <c r="Q12" s="20" cm="1">
        <f t="array" ref="Q12">AVERAGE(_xlfn._xlws.FILTER($H$1:$H$100,$I$1:$I$100 = 1))</f>
        <v>35.152941176470591</v>
      </c>
      <c r="R12" s="12"/>
    </row>
    <row r="13" spans="1:20" x14ac:dyDescent="0.3">
      <c r="A13" s="1">
        <v>2</v>
      </c>
      <c r="B13" s="1">
        <v>0</v>
      </c>
      <c r="C13" s="1" t="s">
        <v>2</v>
      </c>
      <c r="D13" s="1" t="s">
        <v>0</v>
      </c>
      <c r="E13" s="1">
        <v>0</v>
      </c>
      <c r="F13" s="1" t="s">
        <v>1</v>
      </c>
      <c r="G13" s="1" t="s">
        <v>0</v>
      </c>
      <c r="H13" s="1">
        <v>46</v>
      </c>
      <c r="I13" s="1">
        <v>1</v>
      </c>
      <c r="K13" s="19"/>
      <c r="L13" s="19"/>
      <c r="M13" s="20"/>
      <c r="N13" s="20"/>
      <c r="O13" s="20"/>
      <c r="P13" s="20"/>
      <c r="Q13" s="20"/>
      <c r="R13" s="12"/>
    </row>
    <row r="14" spans="1:20" x14ac:dyDescent="0.3">
      <c r="A14" s="1">
        <v>2</v>
      </c>
      <c r="B14" s="1">
        <v>0</v>
      </c>
      <c r="C14" s="1" t="s">
        <v>2</v>
      </c>
      <c r="D14" s="1" t="s">
        <v>0</v>
      </c>
      <c r="E14" s="1">
        <v>2</v>
      </c>
      <c r="F14" s="1" t="s">
        <v>1</v>
      </c>
      <c r="G14" s="1" t="s">
        <v>0</v>
      </c>
      <c r="H14" s="1">
        <v>18</v>
      </c>
      <c r="I14" s="1">
        <v>1</v>
      </c>
      <c r="K14" s="9" t="s">
        <v>12</v>
      </c>
      <c r="L14" s="10"/>
      <c r="M14" s="15" cm="1">
        <f t="array" ref="M14">AVERAGE($E$1:$E$100 - $H$1:$H$100)</f>
        <v>-21.97</v>
      </c>
      <c r="N14" s="15"/>
      <c r="O14" s="15" cm="1">
        <f t="array" ref="O14">AVERAGE(_xlfn._xlws.FILTER($E$1:$E$100 - $H$1:$H$100, I$1:I$100 = 0))</f>
        <v>9.9333333333333336</v>
      </c>
      <c r="P14" s="15"/>
      <c r="Q14" s="15" cm="1">
        <f t="array" ref="Q14">AVERAGE(_xlfn._xlws.FILTER($E$1:$E$100 - $H$1:$H$100, I$1:I$100 = 1))</f>
        <v>-27.6</v>
      </c>
      <c r="R14" s="17"/>
    </row>
    <row r="15" spans="1:20" x14ac:dyDescent="0.3">
      <c r="A15" s="1">
        <v>2</v>
      </c>
      <c r="B15" s="1">
        <v>0</v>
      </c>
      <c r="C15" s="1" t="s">
        <v>2</v>
      </c>
      <c r="D15" s="1" t="s">
        <v>0</v>
      </c>
      <c r="E15" s="1">
        <v>6</v>
      </c>
      <c r="F15" s="1" t="s">
        <v>1</v>
      </c>
      <c r="G15" s="1" t="s">
        <v>0</v>
      </c>
      <c r="H15" s="1">
        <v>34</v>
      </c>
      <c r="I15" s="1">
        <v>1</v>
      </c>
      <c r="K15" s="11"/>
      <c r="L15" s="12"/>
      <c r="M15" s="15"/>
      <c r="N15" s="15"/>
      <c r="O15" s="15"/>
      <c r="P15" s="15"/>
      <c r="Q15" s="15"/>
      <c r="R15" s="17"/>
    </row>
    <row r="16" spans="1:20" x14ac:dyDescent="0.3">
      <c r="A16" s="1">
        <v>2</v>
      </c>
      <c r="B16" s="1">
        <v>0</v>
      </c>
      <c r="C16" s="1" t="s">
        <v>2</v>
      </c>
      <c r="D16" s="1" t="s">
        <v>0</v>
      </c>
      <c r="E16" s="1">
        <v>6</v>
      </c>
      <c r="F16" s="1" t="s">
        <v>1</v>
      </c>
      <c r="G16" s="1" t="s">
        <v>0</v>
      </c>
      <c r="H16" s="1">
        <v>63</v>
      </c>
      <c r="I16" s="1">
        <v>1</v>
      </c>
      <c r="K16" s="13"/>
      <c r="L16" s="14"/>
      <c r="M16" s="16"/>
      <c r="N16" s="16"/>
      <c r="O16" s="16"/>
      <c r="P16" s="16"/>
      <c r="Q16" s="16"/>
      <c r="R16" s="18"/>
    </row>
    <row r="17" spans="1:9" x14ac:dyDescent="0.3">
      <c r="A17" s="1">
        <v>2</v>
      </c>
      <c r="B17" s="1">
        <v>0</v>
      </c>
      <c r="C17" s="1" t="s">
        <v>2</v>
      </c>
      <c r="D17" s="1" t="s">
        <v>0</v>
      </c>
      <c r="E17" s="1">
        <v>43</v>
      </c>
      <c r="F17" s="1" t="s">
        <v>1</v>
      </c>
      <c r="G17" s="1" t="s">
        <v>0</v>
      </c>
      <c r="H17" s="1">
        <v>55</v>
      </c>
      <c r="I17" s="1">
        <v>1</v>
      </c>
    </row>
    <row r="18" spans="1:9" x14ac:dyDescent="0.3">
      <c r="A18" s="1">
        <v>2</v>
      </c>
      <c r="B18" s="1">
        <v>0</v>
      </c>
      <c r="C18" s="1" t="s">
        <v>2</v>
      </c>
      <c r="D18" s="1" t="s">
        <v>0</v>
      </c>
      <c r="E18" s="1">
        <v>2</v>
      </c>
      <c r="F18" s="1" t="s">
        <v>1</v>
      </c>
      <c r="G18" s="1" t="s">
        <v>0</v>
      </c>
      <c r="H18" s="1">
        <v>0</v>
      </c>
      <c r="I18" s="1">
        <v>0</v>
      </c>
    </row>
    <row r="19" spans="1:9" x14ac:dyDescent="0.3">
      <c r="A19" s="1">
        <v>2</v>
      </c>
      <c r="B19" s="1">
        <v>0</v>
      </c>
      <c r="C19" s="1" t="s">
        <v>2</v>
      </c>
      <c r="D19" s="1" t="s">
        <v>0</v>
      </c>
      <c r="E19" s="1">
        <v>34</v>
      </c>
      <c r="F19" s="1" t="s">
        <v>1</v>
      </c>
      <c r="G19" s="1" t="s">
        <v>0</v>
      </c>
      <c r="H19" s="1">
        <v>28</v>
      </c>
      <c r="I19" s="1">
        <v>0</v>
      </c>
    </row>
    <row r="20" spans="1:9" x14ac:dyDescent="0.3">
      <c r="A20" s="1">
        <v>2</v>
      </c>
      <c r="B20" s="1">
        <v>0</v>
      </c>
      <c r="C20" s="1" t="s">
        <v>2</v>
      </c>
      <c r="D20" s="1" t="s">
        <v>0</v>
      </c>
      <c r="E20" s="1">
        <v>0</v>
      </c>
      <c r="F20" s="1" t="s">
        <v>1</v>
      </c>
      <c r="G20" s="1" t="s">
        <v>0</v>
      </c>
      <c r="H20" s="1">
        <v>48</v>
      </c>
      <c r="I20" s="1">
        <v>1</v>
      </c>
    </row>
    <row r="21" spans="1:9" x14ac:dyDescent="0.3">
      <c r="A21" s="1">
        <v>2</v>
      </c>
      <c r="B21" s="1">
        <v>0</v>
      </c>
      <c r="C21" s="1" t="s">
        <v>2</v>
      </c>
      <c r="D21" s="1" t="s">
        <v>0</v>
      </c>
      <c r="E21" s="1">
        <v>0</v>
      </c>
      <c r="F21" s="1" t="s">
        <v>1</v>
      </c>
      <c r="G21" s="1" t="s">
        <v>0</v>
      </c>
      <c r="H21" s="1">
        <v>27</v>
      </c>
      <c r="I21" s="1">
        <v>1</v>
      </c>
    </row>
    <row r="22" spans="1:9" x14ac:dyDescent="0.3">
      <c r="A22" s="1">
        <v>2</v>
      </c>
      <c r="B22" s="1">
        <v>0</v>
      </c>
      <c r="C22" s="1" t="s">
        <v>2</v>
      </c>
      <c r="D22" s="1" t="s">
        <v>0</v>
      </c>
      <c r="E22" s="1">
        <v>35</v>
      </c>
      <c r="F22" s="1" t="s">
        <v>1</v>
      </c>
      <c r="G22" s="1" t="s">
        <v>0</v>
      </c>
      <c r="H22" s="1">
        <v>15</v>
      </c>
      <c r="I22" s="1">
        <v>0</v>
      </c>
    </row>
    <row r="23" spans="1:9" x14ac:dyDescent="0.3">
      <c r="A23" s="1">
        <v>2</v>
      </c>
      <c r="B23" s="1">
        <v>0</v>
      </c>
      <c r="C23" s="1" t="s">
        <v>2</v>
      </c>
      <c r="D23" s="1" t="s">
        <v>0</v>
      </c>
      <c r="E23" s="1">
        <v>2</v>
      </c>
      <c r="F23" s="1" t="s">
        <v>1</v>
      </c>
      <c r="G23" s="1" t="s">
        <v>0</v>
      </c>
      <c r="H23" s="1">
        <v>46</v>
      </c>
      <c r="I23" s="1">
        <v>1</v>
      </c>
    </row>
    <row r="24" spans="1:9" x14ac:dyDescent="0.3">
      <c r="A24" s="1">
        <v>2</v>
      </c>
      <c r="B24" s="1">
        <v>0</v>
      </c>
      <c r="C24" s="1" t="s">
        <v>2</v>
      </c>
      <c r="D24" s="1" t="s">
        <v>0</v>
      </c>
      <c r="E24" s="1">
        <v>1</v>
      </c>
      <c r="F24" s="1" t="s">
        <v>1</v>
      </c>
      <c r="G24" s="1" t="s">
        <v>0</v>
      </c>
      <c r="H24" s="1">
        <v>57</v>
      </c>
      <c r="I24" s="1">
        <v>1</v>
      </c>
    </row>
    <row r="25" spans="1:9" x14ac:dyDescent="0.3">
      <c r="A25" s="1">
        <v>2</v>
      </c>
      <c r="B25" s="1">
        <v>0</v>
      </c>
      <c r="C25" s="1" t="s">
        <v>2</v>
      </c>
      <c r="D25" s="1" t="s">
        <v>0</v>
      </c>
      <c r="E25" s="1">
        <v>22</v>
      </c>
      <c r="F25" s="1" t="s">
        <v>1</v>
      </c>
      <c r="G25" s="1" t="s">
        <v>0</v>
      </c>
      <c r="H25" s="1">
        <v>40</v>
      </c>
      <c r="I25" s="1">
        <v>1</v>
      </c>
    </row>
    <row r="26" spans="1:9" x14ac:dyDescent="0.3">
      <c r="A26" s="1">
        <v>2</v>
      </c>
      <c r="B26" s="1">
        <v>0</v>
      </c>
      <c r="C26" s="1" t="s">
        <v>2</v>
      </c>
      <c r="D26" s="1" t="s">
        <v>0</v>
      </c>
      <c r="E26" s="1">
        <v>38</v>
      </c>
      <c r="F26" s="1" t="s">
        <v>1</v>
      </c>
      <c r="G26" s="1" t="s">
        <v>0</v>
      </c>
      <c r="H26" s="1">
        <v>34</v>
      </c>
      <c r="I26" s="1">
        <v>0</v>
      </c>
    </row>
    <row r="27" spans="1:9" x14ac:dyDescent="0.3">
      <c r="A27" s="1">
        <v>2</v>
      </c>
      <c r="B27" s="1">
        <v>0</v>
      </c>
      <c r="C27" s="1" t="s">
        <v>2</v>
      </c>
      <c r="D27" s="1" t="s">
        <v>0</v>
      </c>
      <c r="E27" s="1">
        <v>17</v>
      </c>
      <c r="F27" s="1" t="s">
        <v>1</v>
      </c>
      <c r="G27" s="1" t="s">
        <v>0</v>
      </c>
      <c r="H27" s="1">
        <v>18</v>
      </c>
      <c r="I27" s="1">
        <v>1</v>
      </c>
    </row>
    <row r="28" spans="1:9" x14ac:dyDescent="0.3">
      <c r="A28" s="1">
        <v>2</v>
      </c>
      <c r="B28" s="1">
        <v>0</v>
      </c>
      <c r="C28" s="1" t="s">
        <v>2</v>
      </c>
      <c r="D28" s="1" t="s">
        <v>0</v>
      </c>
      <c r="E28" s="1">
        <v>0</v>
      </c>
      <c r="F28" s="1" t="s">
        <v>1</v>
      </c>
      <c r="G28" s="1" t="s">
        <v>0</v>
      </c>
      <c r="H28" s="1">
        <v>25</v>
      </c>
      <c r="I28" s="1">
        <v>1</v>
      </c>
    </row>
    <row r="29" spans="1:9" x14ac:dyDescent="0.3">
      <c r="A29" s="1">
        <v>2</v>
      </c>
      <c r="B29" s="1">
        <v>0</v>
      </c>
      <c r="C29" s="1" t="s">
        <v>2</v>
      </c>
      <c r="D29" s="1" t="s">
        <v>0</v>
      </c>
      <c r="E29" s="1">
        <v>2</v>
      </c>
      <c r="F29" s="1" t="s">
        <v>1</v>
      </c>
      <c r="G29" s="1" t="s">
        <v>0</v>
      </c>
      <c r="H29" s="1">
        <v>45</v>
      </c>
      <c r="I29" s="1">
        <v>1</v>
      </c>
    </row>
    <row r="30" spans="1:9" x14ac:dyDescent="0.3">
      <c r="A30" s="1">
        <v>2</v>
      </c>
      <c r="B30" s="1">
        <v>0</v>
      </c>
      <c r="C30" s="1" t="s">
        <v>2</v>
      </c>
      <c r="D30" s="1" t="s">
        <v>0</v>
      </c>
      <c r="E30" s="1">
        <v>2</v>
      </c>
      <c r="F30" s="1" t="s">
        <v>1</v>
      </c>
      <c r="G30" s="1" t="s">
        <v>0</v>
      </c>
      <c r="H30" s="1">
        <v>35</v>
      </c>
      <c r="I30" s="1">
        <v>1</v>
      </c>
    </row>
    <row r="31" spans="1:9" x14ac:dyDescent="0.3">
      <c r="A31" s="1">
        <v>2</v>
      </c>
      <c r="B31" s="1">
        <v>0</v>
      </c>
      <c r="C31" s="1" t="s">
        <v>2</v>
      </c>
      <c r="D31" s="1" t="s">
        <v>0</v>
      </c>
      <c r="E31" s="1">
        <v>22</v>
      </c>
      <c r="F31" s="1" t="s">
        <v>1</v>
      </c>
      <c r="G31" s="1" t="s">
        <v>0</v>
      </c>
      <c r="H31" s="1">
        <v>24</v>
      </c>
      <c r="I31" s="1">
        <v>1</v>
      </c>
    </row>
    <row r="32" spans="1:9" x14ac:dyDescent="0.3">
      <c r="A32" s="1">
        <v>2</v>
      </c>
      <c r="B32" s="1">
        <v>0</v>
      </c>
      <c r="C32" s="1" t="s">
        <v>2</v>
      </c>
      <c r="D32" s="1" t="s">
        <v>0</v>
      </c>
      <c r="E32" s="1">
        <v>25</v>
      </c>
      <c r="F32" s="1" t="s">
        <v>1</v>
      </c>
      <c r="G32" s="1" t="s">
        <v>0</v>
      </c>
      <c r="H32" s="1">
        <v>32</v>
      </c>
      <c r="I32" s="1">
        <v>1</v>
      </c>
    </row>
    <row r="33" spans="1:9" x14ac:dyDescent="0.3">
      <c r="A33" s="1">
        <v>2</v>
      </c>
      <c r="B33" s="1">
        <v>0</v>
      </c>
      <c r="C33" s="1" t="s">
        <v>2</v>
      </c>
      <c r="D33" s="1" t="s">
        <v>0</v>
      </c>
      <c r="E33" s="1">
        <v>7</v>
      </c>
      <c r="F33" s="1" t="s">
        <v>1</v>
      </c>
      <c r="G33" s="1" t="s">
        <v>0</v>
      </c>
      <c r="H33" s="1">
        <v>24</v>
      </c>
      <c r="I33" s="1">
        <v>1</v>
      </c>
    </row>
    <row r="34" spans="1:9" x14ac:dyDescent="0.3">
      <c r="A34" s="1">
        <v>2</v>
      </c>
      <c r="B34" s="1">
        <v>0</v>
      </c>
      <c r="C34" s="1" t="s">
        <v>2</v>
      </c>
      <c r="D34" s="1" t="s">
        <v>0</v>
      </c>
      <c r="E34" s="1">
        <v>10</v>
      </c>
      <c r="F34" s="1" t="s">
        <v>1</v>
      </c>
      <c r="G34" s="1" t="s">
        <v>0</v>
      </c>
      <c r="H34" s="1">
        <v>15</v>
      </c>
      <c r="I34" s="1">
        <v>1</v>
      </c>
    </row>
    <row r="35" spans="1:9" x14ac:dyDescent="0.3">
      <c r="A35" s="1">
        <v>2</v>
      </c>
      <c r="B35" s="1">
        <v>0</v>
      </c>
      <c r="C35" s="1" t="s">
        <v>2</v>
      </c>
      <c r="D35" s="1" t="s">
        <v>0</v>
      </c>
      <c r="E35" s="1">
        <v>25</v>
      </c>
      <c r="F35" s="1" t="s">
        <v>1</v>
      </c>
      <c r="G35" s="1" t="s">
        <v>0</v>
      </c>
      <c r="H35" s="1">
        <v>11</v>
      </c>
      <c r="I35" s="1">
        <v>0</v>
      </c>
    </row>
    <row r="36" spans="1:9" x14ac:dyDescent="0.3">
      <c r="A36" s="1">
        <v>2</v>
      </c>
      <c r="B36" s="1">
        <v>0</v>
      </c>
      <c r="C36" s="1" t="s">
        <v>2</v>
      </c>
      <c r="D36" s="1" t="s">
        <v>0</v>
      </c>
      <c r="E36" s="1">
        <v>3</v>
      </c>
      <c r="F36" s="1" t="s">
        <v>1</v>
      </c>
      <c r="G36" s="1" t="s">
        <v>0</v>
      </c>
      <c r="H36" s="1">
        <v>61</v>
      </c>
      <c r="I36" s="1">
        <v>1</v>
      </c>
    </row>
    <row r="37" spans="1:9" x14ac:dyDescent="0.3">
      <c r="A37" s="1">
        <v>2</v>
      </c>
      <c r="B37" s="1">
        <v>0</v>
      </c>
      <c r="C37" s="1" t="s">
        <v>2</v>
      </c>
      <c r="D37" s="1" t="s">
        <v>0</v>
      </c>
      <c r="E37" s="1">
        <v>25</v>
      </c>
      <c r="F37" s="1" t="s">
        <v>1</v>
      </c>
      <c r="G37" s="1" t="s">
        <v>0</v>
      </c>
      <c r="H37" s="1">
        <v>46</v>
      </c>
      <c r="I37" s="1">
        <v>1</v>
      </c>
    </row>
    <row r="38" spans="1:9" x14ac:dyDescent="0.3">
      <c r="A38" s="1">
        <v>2</v>
      </c>
      <c r="B38" s="1">
        <v>0</v>
      </c>
      <c r="C38" s="1" t="s">
        <v>2</v>
      </c>
      <c r="D38" s="1" t="s">
        <v>0</v>
      </c>
      <c r="E38" s="1">
        <v>31</v>
      </c>
      <c r="F38" s="1" t="s">
        <v>1</v>
      </c>
      <c r="G38" s="1" t="s">
        <v>0</v>
      </c>
      <c r="H38" s="1">
        <v>20</v>
      </c>
      <c r="I38" s="1">
        <v>0</v>
      </c>
    </row>
    <row r="39" spans="1:9" x14ac:dyDescent="0.3">
      <c r="A39" s="1">
        <v>2</v>
      </c>
      <c r="B39" s="1">
        <v>0</v>
      </c>
      <c r="C39" s="1" t="s">
        <v>2</v>
      </c>
      <c r="D39" s="1" t="s">
        <v>0</v>
      </c>
      <c r="E39" s="1">
        <v>9</v>
      </c>
      <c r="F39" s="1" t="s">
        <v>1</v>
      </c>
      <c r="G39" s="1" t="s">
        <v>0</v>
      </c>
      <c r="H39" s="1">
        <v>47</v>
      </c>
      <c r="I39" s="1">
        <v>1</v>
      </c>
    </row>
    <row r="40" spans="1:9" x14ac:dyDescent="0.3">
      <c r="A40" s="1">
        <v>2</v>
      </c>
      <c r="B40" s="1">
        <v>0</v>
      </c>
      <c r="C40" s="1" t="s">
        <v>2</v>
      </c>
      <c r="D40" s="1" t="s">
        <v>0</v>
      </c>
      <c r="E40" s="1">
        <v>15</v>
      </c>
      <c r="F40" s="1" t="s">
        <v>1</v>
      </c>
      <c r="G40" s="1" t="s">
        <v>0</v>
      </c>
      <c r="H40" s="1">
        <v>22</v>
      </c>
      <c r="I40" s="1">
        <v>1</v>
      </c>
    </row>
    <row r="41" spans="1:9" x14ac:dyDescent="0.3">
      <c r="A41" s="1">
        <v>2</v>
      </c>
      <c r="B41" s="1">
        <v>0</v>
      </c>
      <c r="C41" s="1" t="s">
        <v>2</v>
      </c>
      <c r="D41" s="1" t="s">
        <v>0</v>
      </c>
      <c r="E41" s="1">
        <v>3</v>
      </c>
      <c r="F41" s="1" t="s">
        <v>1</v>
      </c>
      <c r="G41" s="1" t="s">
        <v>0</v>
      </c>
      <c r="H41" s="1">
        <v>43</v>
      </c>
      <c r="I41" s="1">
        <v>1</v>
      </c>
    </row>
    <row r="42" spans="1:9" x14ac:dyDescent="0.3">
      <c r="A42" s="1">
        <v>2</v>
      </c>
      <c r="B42" s="1">
        <v>0</v>
      </c>
      <c r="C42" s="1" t="s">
        <v>2</v>
      </c>
      <c r="D42" s="1" t="s">
        <v>0</v>
      </c>
      <c r="E42" s="1">
        <v>0</v>
      </c>
      <c r="F42" s="1" t="s">
        <v>1</v>
      </c>
      <c r="G42" s="1" t="s">
        <v>0</v>
      </c>
      <c r="H42" s="1">
        <v>3</v>
      </c>
      <c r="I42" s="1">
        <v>1</v>
      </c>
    </row>
    <row r="43" spans="1:9" x14ac:dyDescent="0.3">
      <c r="A43" s="1">
        <v>2</v>
      </c>
      <c r="B43" s="1">
        <v>0</v>
      </c>
      <c r="C43" s="1" t="s">
        <v>2</v>
      </c>
      <c r="D43" s="1" t="s">
        <v>0</v>
      </c>
      <c r="E43" s="1">
        <v>19</v>
      </c>
      <c r="F43" s="1" t="s">
        <v>1</v>
      </c>
      <c r="G43" s="1" t="s">
        <v>0</v>
      </c>
      <c r="H43" s="1">
        <v>25</v>
      </c>
      <c r="I43" s="1">
        <v>1</v>
      </c>
    </row>
    <row r="44" spans="1:9" x14ac:dyDescent="0.3">
      <c r="A44" s="1">
        <v>2</v>
      </c>
      <c r="B44" s="1">
        <v>0</v>
      </c>
      <c r="C44" s="1" t="s">
        <v>2</v>
      </c>
      <c r="D44" s="1" t="s">
        <v>0</v>
      </c>
      <c r="E44" s="1">
        <v>19</v>
      </c>
      <c r="F44" s="1" t="s">
        <v>1</v>
      </c>
      <c r="G44" s="1" t="s">
        <v>0</v>
      </c>
      <c r="H44" s="1">
        <v>34</v>
      </c>
      <c r="I44" s="1">
        <v>1</v>
      </c>
    </row>
    <row r="45" spans="1:9" x14ac:dyDescent="0.3">
      <c r="A45" s="1">
        <v>2</v>
      </c>
      <c r="B45" s="1">
        <v>0</v>
      </c>
      <c r="C45" s="1" t="s">
        <v>2</v>
      </c>
      <c r="D45" s="1" t="s">
        <v>0</v>
      </c>
      <c r="E45" s="1">
        <v>48</v>
      </c>
      <c r="F45" s="1" t="s">
        <v>1</v>
      </c>
      <c r="G45" s="1" t="s">
        <v>0</v>
      </c>
      <c r="H45" s="1">
        <v>42</v>
      </c>
      <c r="I45" s="1">
        <v>0</v>
      </c>
    </row>
    <row r="46" spans="1:9" x14ac:dyDescent="0.3">
      <c r="A46" s="1">
        <v>2</v>
      </c>
      <c r="B46" s="1">
        <v>0</v>
      </c>
      <c r="C46" s="1" t="s">
        <v>2</v>
      </c>
      <c r="D46" s="1" t="s">
        <v>0</v>
      </c>
      <c r="E46" s="1">
        <v>4</v>
      </c>
      <c r="F46" s="1" t="s">
        <v>1</v>
      </c>
      <c r="G46" s="1" t="s">
        <v>0</v>
      </c>
      <c r="H46" s="1">
        <v>31</v>
      </c>
      <c r="I46" s="1">
        <v>1</v>
      </c>
    </row>
    <row r="47" spans="1:9" x14ac:dyDescent="0.3">
      <c r="A47" s="1">
        <v>2</v>
      </c>
      <c r="B47" s="1">
        <v>0</v>
      </c>
      <c r="C47" s="1" t="s">
        <v>2</v>
      </c>
      <c r="D47" s="1" t="s">
        <v>0</v>
      </c>
      <c r="E47" s="1">
        <v>9</v>
      </c>
      <c r="F47" s="1" t="s">
        <v>1</v>
      </c>
      <c r="G47" s="1" t="s">
        <v>0</v>
      </c>
      <c r="H47" s="1">
        <v>27</v>
      </c>
      <c r="I47" s="1">
        <v>1</v>
      </c>
    </row>
    <row r="48" spans="1:9" x14ac:dyDescent="0.3">
      <c r="A48" s="1">
        <v>2</v>
      </c>
      <c r="B48" s="1">
        <v>0</v>
      </c>
      <c r="C48" s="1" t="s">
        <v>2</v>
      </c>
      <c r="D48" s="1" t="s">
        <v>0</v>
      </c>
      <c r="E48" s="1">
        <v>16</v>
      </c>
      <c r="F48" s="1" t="s">
        <v>1</v>
      </c>
      <c r="G48" s="1" t="s">
        <v>0</v>
      </c>
      <c r="H48" s="1">
        <v>53</v>
      </c>
      <c r="I48" s="1">
        <v>1</v>
      </c>
    </row>
    <row r="49" spans="1:9" x14ac:dyDescent="0.3">
      <c r="A49" s="1">
        <v>2</v>
      </c>
      <c r="B49" s="1">
        <v>0</v>
      </c>
      <c r="C49" s="1" t="s">
        <v>2</v>
      </c>
      <c r="D49" s="1" t="s">
        <v>0</v>
      </c>
      <c r="E49" s="1">
        <v>12</v>
      </c>
      <c r="F49" s="1" t="s">
        <v>1</v>
      </c>
      <c r="G49" s="1" t="s">
        <v>0</v>
      </c>
      <c r="H49" s="1">
        <v>41</v>
      </c>
      <c r="I49" s="1">
        <v>1</v>
      </c>
    </row>
    <row r="50" spans="1:9" x14ac:dyDescent="0.3">
      <c r="A50" s="1">
        <v>2</v>
      </c>
      <c r="B50" s="1">
        <v>0</v>
      </c>
      <c r="C50" s="1" t="s">
        <v>2</v>
      </c>
      <c r="D50" s="1" t="s">
        <v>0</v>
      </c>
      <c r="E50" s="1">
        <v>21</v>
      </c>
      <c r="F50" s="1" t="s">
        <v>1</v>
      </c>
      <c r="G50" s="1" t="s">
        <v>0</v>
      </c>
      <c r="H50" s="1">
        <v>34</v>
      </c>
      <c r="I50" s="1">
        <v>1</v>
      </c>
    </row>
    <row r="51" spans="1:9" x14ac:dyDescent="0.3">
      <c r="A51" s="1">
        <v>2</v>
      </c>
      <c r="B51" s="1">
        <v>1</v>
      </c>
      <c r="C51" s="1" t="s">
        <v>2</v>
      </c>
      <c r="D51" s="1" t="s">
        <v>0</v>
      </c>
      <c r="E51" s="1">
        <v>2</v>
      </c>
      <c r="F51" s="1" t="s">
        <v>1</v>
      </c>
      <c r="G51" s="1" t="s">
        <v>0</v>
      </c>
      <c r="H51" s="1">
        <v>31</v>
      </c>
      <c r="I51" s="1">
        <v>1</v>
      </c>
    </row>
    <row r="52" spans="1:9" x14ac:dyDescent="0.3">
      <c r="A52" s="1">
        <v>2</v>
      </c>
      <c r="B52" s="1">
        <v>1</v>
      </c>
      <c r="C52" s="1" t="s">
        <v>2</v>
      </c>
      <c r="D52" s="1" t="s">
        <v>0</v>
      </c>
      <c r="E52" s="1">
        <v>0</v>
      </c>
      <c r="F52" s="1" t="s">
        <v>1</v>
      </c>
      <c r="G52" s="1" t="s">
        <v>0</v>
      </c>
      <c r="H52" s="1">
        <v>17</v>
      </c>
      <c r="I52" s="1">
        <v>1</v>
      </c>
    </row>
    <row r="53" spans="1:9" x14ac:dyDescent="0.3">
      <c r="A53" s="1">
        <v>2</v>
      </c>
      <c r="B53" s="1">
        <v>1</v>
      </c>
      <c r="C53" s="1" t="s">
        <v>2</v>
      </c>
      <c r="D53" s="1" t="s">
        <v>0</v>
      </c>
      <c r="E53" s="1">
        <v>33</v>
      </c>
      <c r="F53" s="1" t="s">
        <v>1</v>
      </c>
      <c r="G53" s="1" t="s">
        <v>0</v>
      </c>
      <c r="H53" s="1">
        <v>29</v>
      </c>
      <c r="I53" s="1">
        <v>0</v>
      </c>
    </row>
    <row r="54" spans="1:9" x14ac:dyDescent="0.3">
      <c r="A54" s="1">
        <v>2</v>
      </c>
      <c r="B54" s="1">
        <v>1</v>
      </c>
      <c r="C54" s="1" t="s">
        <v>2</v>
      </c>
      <c r="D54" s="1" t="s">
        <v>0</v>
      </c>
      <c r="E54" s="1">
        <v>2</v>
      </c>
      <c r="F54" s="1" t="s">
        <v>1</v>
      </c>
      <c r="G54" s="1" t="s">
        <v>0</v>
      </c>
      <c r="H54" s="1">
        <v>22</v>
      </c>
      <c r="I54" s="1">
        <v>1</v>
      </c>
    </row>
    <row r="55" spans="1:9" x14ac:dyDescent="0.3">
      <c r="A55" s="1">
        <v>2</v>
      </c>
      <c r="B55" s="1">
        <v>1</v>
      </c>
      <c r="C55" s="1" t="s">
        <v>2</v>
      </c>
      <c r="D55" s="1" t="s">
        <v>0</v>
      </c>
      <c r="E55" s="1">
        <v>0</v>
      </c>
      <c r="F55" s="1" t="s">
        <v>1</v>
      </c>
      <c r="G55" s="1" t="s">
        <v>0</v>
      </c>
      <c r="H55" s="1">
        <v>27</v>
      </c>
      <c r="I55" s="1">
        <v>1</v>
      </c>
    </row>
    <row r="56" spans="1:9" x14ac:dyDescent="0.3">
      <c r="A56" s="1">
        <v>2</v>
      </c>
      <c r="B56" s="1">
        <v>1</v>
      </c>
      <c r="C56" s="1" t="s">
        <v>2</v>
      </c>
      <c r="D56" s="1" t="s">
        <v>0</v>
      </c>
      <c r="E56" s="1">
        <v>8</v>
      </c>
      <c r="F56" s="1" t="s">
        <v>1</v>
      </c>
      <c r="G56" s="1" t="s">
        <v>0</v>
      </c>
      <c r="H56" s="1">
        <v>53</v>
      </c>
      <c r="I56" s="1">
        <v>1</v>
      </c>
    </row>
    <row r="57" spans="1:9" x14ac:dyDescent="0.3">
      <c r="A57" s="1">
        <v>2</v>
      </c>
      <c r="B57" s="1">
        <v>1</v>
      </c>
      <c r="C57" s="1" t="s">
        <v>2</v>
      </c>
      <c r="D57" s="1" t="s">
        <v>0</v>
      </c>
      <c r="E57" s="1">
        <v>10</v>
      </c>
      <c r="F57" s="1" t="s">
        <v>1</v>
      </c>
      <c r="G57" s="1" t="s">
        <v>0</v>
      </c>
      <c r="H57" s="1">
        <v>42</v>
      </c>
      <c r="I57" s="1">
        <v>1</v>
      </c>
    </row>
    <row r="58" spans="1:9" x14ac:dyDescent="0.3">
      <c r="A58" s="1">
        <v>2</v>
      </c>
      <c r="B58" s="1">
        <v>1</v>
      </c>
      <c r="C58" s="1" t="s">
        <v>2</v>
      </c>
      <c r="D58" s="1" t="s">
        <v>0</v>
      </c>
      <c r="E58" s="1">
        <v>0</v>
      </c>
      <c r="F58" s="1" t="s">
        <v>1</v>
      </c>
      <c r="G58" s="1" t="s">
        <v>0</v>
      </c>
      <c r="H58" s="1">
        <v>26</v>
      </c>
      <c r="I58" s="1">
        <v>1</v>
      </c>
    </row>
    <row r="59" spans="1:9" x14ac:dyDescent="0.3">
      <c r="A59" s="1">
        <v>2</v>
      </c>
      <c r="B59" s="1">
        <v>1</v>
      </c>
      <c r="C59" s="1" t="s">
        <v>2</v>
      </c>
      <c r="D59" s="1" t="s">
        <v>0</v>
      </c>
      <c r="E59" s="1">
        <v>13</v>
      </c>
      <c r="F59" s="1" t="s">
        <v>1</v>
      </c>
      <c r="G59" s="1" t="s">
        <v>0</v>
      </c>
      <c r="H59" s="1">
        <v>42</v>
      </c>
      <c r="I59" s="1">
        <v>1</v>
      </c>
    </row>
    <row r="60" spans="1:9" x14ac:dyDescent="0.3">
      <c r="A60" s="1">
        <v>2</v>
      </c>
      <c r="B60" s="1">
        <v>1</v>
      </c>
      <c r="C60" s="1" t="s">
        <v>2</v>
      </c>
      <c r="D60" s="1" t="s">
        <v>0</v>
      </c>
      <c r="E60" s="1">
        <v>16</v>
      </c>
      <c r="F60" s="1" t="s">
        <v>1</v>
      </c>
      <c r="G60" s="1" t="s">
        <v>0</v>
      </c>
      <c r="H60" s="1">
        <v>29</v>
      </c>
      <c r="I60" s="1">
        <v>1</v>
      </c>
    </row>
    <row r="61" spans="1:9" x14ac:dyDescent="0.3">
      <c r="A61" s="1">
        <v>2</v>
      </c>
      <c r="B61" s="1">
        <v>1</v>
      </c>
      <c r="C61" s="1" t="s">
        <v>2</v>
      </c>
      <c r="D61" s="1" t="s">
        <v>0</v>
      </c>
      <c r="E61" s="1">
        <v>7</v>
      </c>
      <c r="F61" s="1" t="s">
        <v>1</v>
      </c>
      <c r="G61" s="1" t="s">
        <v>0</v>
      </c>
      <c r="H61" s="1">
        <v>20</v>
      </c>
      <c r="I61" s="1">
        <v>1</v>
      </c>
    </row>
    <row r="62" spans="1:9" x14ac:dyDescent="0.3">
      <c r="A62" s="1">
        <v>2</v>
      </c>
      <c r="B62" s="1">
        <v>1</v>
      </c>
      <c r="C62" s="1" t="s">
        <v>2</v>
      </c>
      <c r="D62" s="1" t="s">
        <v>0</v>
      </c>
      <c r="E62" s="1">
        <v>16</v>
      </c>
      <c r="F62" s="1" t="s">
        <v>1</v>
      </c>
      <c r="G62" s="1" t="s">
        <v>0</v>
      </c>
      <c r="H62" s="1">
        <v>46</v>
      </c>
      <c r="I62" s="1">
        <v>1</v>
      </c>
    </row>
    <row r="63" spans="1:9" x14ac:dyDescent="0.3">
      <c r="A63" s="1">
        <v>2</v>
      </c>
      <c r="B63" s="1">
        <v>1</v>
      </c>
      <c r="C63" s="1" t="s">
        <v>2</v>
      </c>
      <c r="D63" s="1" t="s">
        <v>0</v>
      </c>
      <c r="E63" s="1">
        <v>0</v>
      </c>
      <c r="F63" s="1" t="s">
        <v>1</v>
      </c>
      <c r="G63" s="1" t="s">
        <v>0</v>
      </c>
      <c r="H63" s="1">
        <v>43</v>
      </c>
      <c r="I63" s="1">
        <v>1</v>
      </c>
    </row>
    <row r="64" spans="1:9" x14ac:dyDescent="0.3">
      <c r="A64" s="1">
        <v>2</v>
      </c>
      <c r="B64" s="1">
        <v>1</v>
      </c>
      <c r="C64" s="1" t="s">
        <v>2</v>
      </c>
      <c r="D64" s="1" t="s">
        <v>0</v>
      </c>
      <c r="E64" s="1">
        <v>18</v>
      </c>
      <c r="F64" s="1" t="s">
        <v>1</v>
      </c>
      <c r="G64" s="1" t="s">
        <v>0</v>
      </c>
      <c r="H64" s="1">
        <v>21</v>
      </c>
      <c r="I64" s="1">
        <v>1</v>
      </c>
    </row>
    <row r="65" spans="1:9" x14ac:dyDescent="0.3">
      <c r="A65" s="1">
        <v>2</v>
      </c>
      <c r="B65" s="1">
        <v>1</v>
      </c>
      <c r="C65" s="1" t="s">
        <v>2</v>
      </c>
      <c r="D65" s="1" t="s">
        <v>0</v>
      </c>
      <c r="E65" s="1">
        <v>25</v>
      </c>
      <c r="F65" s="1" t="s">
        <v>1</v>
      </c>
      <c r="G65" s="1" t="s">
        <v>0</v>
      </c>
      <c r="H65" s="1">
        <v>11</v>
      </c>
      <c r="I65" s="1">
        <v>0</v>
      </c>
    </row>
    <row r="66" spans="1:9" x14ac:dyDescent="0.3">
      <c r="A66" s="1">
        <v>2</v>
      </c>
      <c r="B66" s="1">
        <v>1</v>
      </c>
      <c r="C66" s="1" t="s">
        <v>2</v>
      </c>
      <c r="D66" s="1" t="s">
        <v>0</v>
      </c>
      <c r="E66" s="1">
        <v>0</v>
      </c>
      <c r="F66" s="1" t="s">
        <v>1</v>
      </c>
      <c r="G66" s="1" t="s">
        <v>0</v>
      </c>
      <c r="H66" s="1">
        <v>6</v>
      </c>
      <c r="I66" s="1">
        <v>1</v>
      </c>
    </row>
    <row r="67" spans="1:9" x14ac:dyDescent="0.3">
      <c r="A67" s="1">
        <v>2</v>
      </c>
      <c r="B67" s="1">
        <v>1</v>
      </c>
      <c r="C67" s="1" t="s">
        <v>2</v>
      </c>
      <c r="D67" s="1" t="s">
        <v>0</v>
      </c>
      <c r="E67" s="1">
        <v>22</v>
      </c>
      <c r="F67" s="1" t="s">
        <v>1</v>
      </c>
      <c r="G67" s="1" t="s">
        <v>0</v>
      </c>
      <c r="H67" s="1">
        <v>51</v>
      </c>
      <c r="I67" s="1">
        <v>1</v>
      </c>
    </row>
    <row r="68" spans="1:9" x14ac:dyDescent="0.3">
      <c r="A68" s="1">
        <v>2</v>
      </c>
      <c r="B68" s="1">
        <v>1</v>
      </c>
      <c r="C68" s="1" t="s">
        <v>2</v>
      </c>
      <c r="D68" s="1" t="s">
        <v>0</v>
      </c>
      <c r="E68" s="1">
        <v>3</v>
      </c>
      <c r="F68" s="1" t="s">
        <v>1</v>
      </c>
      <c r="G68" s="1" t="s">
        <v>0</v>
      </c>
      <c r="H68" s="1">
        <v>33</v>
      </c>
      <c r="I68" s="1">
        <v>1</v>
      </c>
    </row>
    <row r="69" spans="1:9" x14ac:dyDescent="0.3">
      <c r="A69" s="1">
        <v>2</v>
      </c>
      <c r="B69" s="1">
        <v>1</v>
      </c>
      <c r="C69" s="1" t="s">
        <v>2</v>
      </c>
      <c r="D69" s="1" t="s">
        <v>0</v>
      </c>
      <c r="E69" s="1">
        <v>0</v>
      </c>
      <c r="F69" s="1" t="s">
        <v>1</v>
      </c>
      <c r="G69" s="1" t="s">
        <v>0</v>
      </c>
      <c r="H69" s="1">
        <v>37</v>
      </c>
      <c r="I69" s="1">
        <v>1</v>
      </c>
    </row>
    <row r="70" spans="1:9" x14ac:dyDescent="0.3">
      <c r="A70" s="1">
        <v>2</v>
      </c>
      <c r="B70" s="1">
        <v>1</v>
      </c>
      <c r="C70" s="1" t="s">
        <v>2</v>
      </c>
      <c r="D70" s="1" t="s">
        <v>0</v>
      </c>
      <c r="E70" s="1">
        <v>4</v>
      </c>
      <c r="F70" s="1" t="s">
        <v>1</v>
      </c>
      <c r="G70" s="1" t="s">
        <v>0</v>
      </c>
      <c r="H70" s="1">
        <v>55</v>
      </c>
      <c r="I70" s="1">
        <v>1</v>
      </c>
    </row>
    <row r="71" spans="1:9" x14ac:dyDescent="0.3">
      <c r="A71" s="1">
        <v>2</v>
      </c>
      <c r="B71" s="1">
        <v>1</v>
      </c>
      <c r="C71" s="1" t="s">
        <v>2</v>
      </c>
      <c r="D71" s="1" t="s">
        <v>0</v>
      </c>
      <c r="E71" s="1">
        <v>3</v>
      </c>
      <c r="F71" s="1" t="s">
        <v>1</v>
      </c>
      <c r="G71" s="1" t="s">
        <v>0</v>
      </c>
      <c r="H71" s="1">
        <v>5</v>
      </c>
      <c r="I71" s="1">
        <v>1</v>
      </c>
    </row>
    <row r="72" spans="1:9" x14ac:dyDescent="0.3">
      <c r="A72" s="1">
        <v>2</v>
      </c>
      <c r="B72" s="1">
        <v>1</v>
      </c>
      <c r="C72" s="1" t="s">
        <v>2</v>
      </c>
      <c r="D72" s="1" t="s">
        <v>0</v>
      </c>
      <c r="E72" s="1">
        <v>0</v>
      </c>
      <c r="F72" s="1" t="s">
        <v>1</v>
      </c>
      <c r="G72" s="1" t="s">
        <v>0</v>
      </c>
      <c r="H72" s="1">
        <v>50</v>
      </c>
      <c r="I72" s="1">
        <v>1</v>
      </c>
    </row>
    <row r="73" spans="1:9" x14ac:dyDescent="0.3">
      <c r="A73" s="1">
        <v>2</v>
      </c>
      <c r="B73" s="1">
        <v>1</v>
      </c>
      <c r="C73" s="1" t="s">
        <v>2</v>
      </c>
      <c r="D73" s="1" t="s">
        <v>0</v>
      </c>
      <c r="E73" s="1">
        <v>0</v>
      </c>
      <c r="F73" s="1" t="s">
        <v>1</v>
      </c>
      <c r="G73" s="1" t="s">
        <v>0</v>
      </c>
      <c r="H73" s="1">
        <v>37</v>
      </c>
      <c r="I73" s="1">
        <v>1</v>
      </c>
    </row>
    <row r="74" spans="1:9" x14ac:dyDescent="0.3">
      <c r="A74" s="1">
        <v>2</v>
      </c>
      <c r="B74" s="1">
        <v>1</v>
      </c>
      <c r="C74" s="1" t="s">
        <v>2</v>
      </c>
      <c r="D74" s="1" t="s">
        <v>0</v>
      </c>
      <c r="E74" s="1">
        <v>9</v>
      </c>
      <c r="F74" s="1" t="s">
        <v>1</v>
      </c>
      <c r="G74" s="1" t="s">
        <v>0</v>
      </c>
      <c r="H74" s="1">
        <v>11</v>
      </c>
      <c r="I74" s="1">
        <v>1</v>
      </c>
    </row>
    <row r="75" spans="1:9" x14ac:dyDescent="0.3">
      <c r="A75" s="1">
        <v>2</v>
      </c>
      <c r="B75" s="1">
        <v>1</v>
      </c>
      <c r="C75" s="1" t="s">
        <v>2</v>
      </c>
      <c r="D75" s="1" t="s">
        <v>0</v>
      </c>
      <c r="E75" s="1">
        <v>1</v>
      </c>
      <c r="F75" s="1" t="s">
        <v>1</v>
      </c>
      <c r="G75" s="1" t="s">
        <v>0</v>
      </c>
      <c r="H75" s="1">
        <v>17</v>
      </c>
      <c r="I75" s="1">
        <v>1</v>
      </c>
    </row>
    <row r="76" spans="1:9" x14ac:dyDescent="0.3">
      <c r="A76" s="1">
        <v>2</v>
      </c>
      <c r="B76" s="1">
        <v>1</v>
      </c>
      <c r="C76" s="1" t="s">
        <v>2</v>
      </c>
      <c r="D76" s="1" t="s">
        <v>0</v>
      </c>
      <c r="E76" s="1">
        <v>28</v>
      </c>
      <c r="F76" s="1" t="s">
        <v>1</v>
      </c>
      <c r="G76" s="1" t="s">
        <v>0</v>
      </c>
      <c r="H76" s="1">
        <v>22</v>
      </c>
      <c r="I76" s="1">
        <v>0</v>
      </c>
    </row>
    <row r="77" spans="1:9" x14ac:dyDescent="0.3">
      <c r="A77" s="1">
        <v>2</v>
      </c>
      <c r="B77" s="1">
        <v>1</v>
      </c>
      <c r="C77" s="1" t="s">
        <v>2</v>
      </c>
      <c r="D77" s="1" t="s">
        <v>0</v>
      </c>
      <c r="E77" s="1">
        <v>24</v>
      </c>
      <c r="F77" s="1" t="s">
        <v>1</v>
      </c>
      <c r="G77" s="1" t="s">
        <v>0</v>
      </c>
      <c r="H77" s="1">
        <v>15</v>
      </c>
      <c r="I77" s="1">
        <v>0</v>
      </c>
    </row>
    <row r="78" spans="1:9" x14ac:dyDescent="0.3">
      <c r="A78" s="1">
        <v>2</v>
      </c>
      <c r="B78" s="1">
        <v>1</v>
      </c>
      <c r="C78" s="1" t="s">
        <v>2</v>
      </c>
      <c r="D78" s="1" t="s">
        <v>0</v>
      </c>
      <c r="E78" s="1">
        <v>11</v>
      </c>
      <c r="F78" s="1" t="s">
        <v>1</v>
      </c>
      <c r="G78" s="1" t="s">
        <v>0</v>
      </c>
      <c r="H78" s="1">
        <v>31</v>
      </c>
      <c r="I78" s="1">
        <v>1</v>
      </c>
    </row>
    <row r="79" spans="1:9" x14ac:dyDescent="0.3">
      <c r="A79" s="1">
        <v>2</v>
      </c>
      <c r="B79" s="1">
        <v>1</v>
      </c>
      <c r="C79" s="1" t="s">
        <v>2</v>
      </c>
      <c r="D79" s="1" t="s">
        <v>0</v>
      </c>
      <c r="E79" s="1">
        <v>2</v>
      </c>
      <c r="F79" s="1" t="s">
        <v>1</v>
      </c>
      <c r="G79" s="1" t="s">
        <v>0</v>
      </c>
      <c r="H79" s="1">
        <v>28</v>
      </c>
      <c r="I79" s="1">
        <v>1</v>
      </c>
    </row>
    <row r="80" spans="1:9" x14ac:dyDescent="0.3">
      <c r="A80" s="1">
        <v>2</v>
      </c>
      <c r="B80" s="1">
        <v>1</v>
      </c>
      <c r="C80" s="1" t="s">
        <v>2</v>
      </c>
      <c r="D80" s="1" t="s">
        <v>0</v>
      </c>
      <c r="E80" s="1">
        <v>35</v>
      </c>
      <c r="F80" s="1" t="s">
        <v>1</v>
      </c>
      <c r="G80" s="1" t="s">
        <v>0</v>
      </c>
      <c r="H80" s="1">
        <v>9</v>
      </c>
      <c r="I80" s="1">
        <v>0</v>
      </c>
    </row>
    <row r="81" spans="1:9" x14ac:dyDescent="0.3">
      <c r="A81" s="1">
        <v>2</v>
      </c>
      <c r="B81" s="1">
        <v>1</v>
      </c>
      <c r="C81" s="1" t="s">
        <v>2</v>
      </c>
      <c r="D81" s="1" t="s">
        <v>0</v>
      </c>
      <c r="E81" s="1">
        <v>11</v>
      </c>
      <c r="F81" s="1" t="s">
        <v>1</v>
      </c>
      <c r="G81" s="1" t="s">
        <v>0</v>
      </c>
      <c r="H81" s="1">
        <v>38</v>
      </c>
      <c r="I81" s="1">
        <v>1</v>
      </c>
    </row>
    <row r="82" spans="1:9" x14ac:dyDescent="0.3">
      <c r="A82" s="1">
        <v>2</v>
      </c>
      <c r="B82" s="1">
        <v>1</v>
      </c>
      <c r="C82" s="1" t="s">
        <v>2</v>
      </c>
      <c r="D82" s="1" t="s">
        <v>0</v>
      </c>
      <c r="E82" s="1">
        <v>31</v>
      </c>
      <c r="F82" s="1" t="s">
        <v>1</v>
      </c>
      <c r="G82" s="1" t="s">
        <v>0</v>
      </c>
      <c r="H82" s="1">
        <v>26</v>
      </c>
      <c r="I82" s="1">
        <v>0</v>
      </c>
    </row>
    <row r="83" spans="1:9" x14ac:dyDescent="0.3">
      <c r="A83" s="1">
        <v>2</v>
      </c>
      <c r="B83" s="1">
        <v>1</v>
      </c>
      <c r="C83" s="1" t="s">
        <v>2</v>
      </c>
      <c r="D83" s="1" t="s">
        <v>0</v>
      </c>
      <c r="E83" s="1">
        <v>0</v>
      </c>
      <c r="F83" s="1" t="s">
        <v>1</v>
      </c>
      <c r="G83" s="1" t="s">
        <v>0</v>
      </c>
      <c r="H83" s="1">
        <v>18</v>
      </c>
      <c r="I83" s="1">
        <v>1</v>
      </c>
    </row>
    <row r="84" spans="1:9" x14ac:dyDescent="0.3">
      <c r="A84" s="1">
        <v>2</v>
      </c>
      <c r="B84" s="1">
        <v>1</v>
      </c>
      <c r="C84" s="1" t="s">
        <v>2</v>
      </c>
      <c r="D84" s="1" t="s">
        <v>0</v>
      </c>
      <c r="E84" s="1">
        <v>13</v>
      </c>
      <c r="F84" s="1" t="s">
        <v>1</v>
      </c>
      <c r="G84" s="1" t="s">
        <v>0</v>
      </c>
      <c r="H84" s="1">
        <v>58</v>
      </c>
      <c r="I84" s="1">
        <v>1</v>
      </c>
    </row>
    <row r="85" spans="1:9" x14ac:dyDescent="0.3">
      <c r="A85" s="1">
        <v>2</v>
      </c>
      <c r="B85" s="1">
        <v>1</v>
      </c>
      <c r="C85" s="1" t="s">
        <v>2</v>
      </c>
      <c r="D85" s="1" t="s">
        <v>0</v>
      </c>
      <c r="E85" s="1">
        <v>0</v>
      </c>
      <c r="F85" s="1" t="s">
        <v>1</v>
      </c>
      <c r="G85" s="1" t="s">
        <v>0</v>
      </c>
      <c r="H85" s="1">
        <v>35</v>
      </c>
      <c r="I85" s="1">
        <v>1</v>
      </c>
    </row>
    <row r="86" spans="1:9" x14ac:dyDescent="0.3">
      <c r="A86" s="1">
        <v>2</v>
      </c>
      <c r="B86" s="1">
        <v>1</v>
      </c>
      <c r="C86" s="1" t="s">
        <v>2</v>
      </c>
      <c r="D86" s="1" t="s">
        <v>0</v>
      </c>
      <c r="E86" s="1">
        <v>43</v>
      </c>
      <c r="F86" s="1" t="s">
        <v>1</v>
      </c>
      <c r="G86" s="1" t="s">
        <v>0</v>
      </c>
      <c r="H86" s="1">
        <v>22</v>
      </c>
      <c r="I86" s="1">
        <v>0</v>
      </c>
    </row>
    <row r="87" spans="1:9" x14ac:dyDescent="0.3">
      <c r="A87" s="1">
        <v>2</v>
      </c>
      <c r="B87" s="1">
        <v>1</v>
      </c>
      <c r="C87" s="1" t="s">
        <v>2</v>
      </c>
      <c r="D87" s="1" t="s">
        <v>0</v>
      </c>
      <c r="E87" s="1">
        <v>6</v>
      </c>
      <c r="F87" s="1" t="s">
        <v>1</v>
      </c>
      <c r="G87" s="1" t="s">
        <v>0</v>
      </c>
      <c r="H87" s="1">
        <v>22</v>
      </c>
      <c r="I87" s="1">
        <v>1</v>
      </c>
    </row>
    <row r="88" spans="1:9" x14ac:dyDescent="0.3">
      <c r="A88" s="1">
        <v>2</v>
      </c>
      <c r="B88" s="1">
        <v>1</v>
      </c>
      <c r="C88" s="1" t="s">
        <v>2</v>
      </c>
      <c r="D88" s="1" t="s">
        <v>0</v>
      </c>
      <c r="E88" s="1">
        <v>0</v>
      </c>
      <c r="F88" s="1" t="s">
        <v>1</v>
      </c>
      <c r="G88" s="1" t="s">
        <v>0</v>
      </c>
      <c r="H88" s="1">
        <v>48</v>
      </c>
      <c r="I88" s="1">
        <v>1</v>
      </c>
    </row>
    <row r="89" spans="1:9" x14ac:dyDescent="0.3">
      <c r="A89" s="1">
        <v>2</v>
      </c>
      <c r="B89" s="1">
        <v>1</v>
      </c>
      <c r="C89" s="1" t="s">
        <v>2</v>
      </c>
      <c r="D89" s="1" t="s">
        <v>0</v>
      </c>
      <c r="E89" s="1">
        <v>0</v>
      </c>
      <c r="F89" s="1" t="s">
        <v>1</v>
      </c>
      <c r="G89" s="1" t="s">
        <v>0</v>
      </c>
      <c r="H89" s="1">
        <v>33</v>
      </c>
      <c r="I89" s="1">
        <v>1</v>
      </c>
    </row>
    <row r="90" spans="1:9" x14ac:dyDescent="0.3">
      <c r="A90" s="1">
        <v>2</v>
      </c>
      <c r="B90" s="1">
        <v>1</v>
      </c>
      <c r="C90" s="1" t="s">
        <v>2</v>
      </c>
      <c r="D90" s="1" t="s">
        <v>0</v>
      </c>
      <c r="E90" s="1">
        <v>2</v>
      </c>
      <c r="F90" s="1" t="s">
        <v>1</v>
      </c>
      <c r="G90" s="1" t="s">
        <v>0</v>
      </c>
      <c r="H90" s="1">
        <v>73</v>
      </c>
      <c r="I90" s="1">
        <v>1</v>
      </c>
    </row>
    <row r="91" spans="1:9" x14ac:dyDescent="0.3">
      <c r="A91" s="1">
        <v>2</v>
      </c>
      <c r="B91" s="1">
        <v>1</v>
      </c>
      <c r="C91" s="1" t="s">
        <v>2</v>
      </c>
      <c r="D91" s="1" t="s">
        <v>0</v>
      </c>
      <c r="E91" s="1">
        <v>13</v>
      </c>
      <c r="F91" s="1" t="s">
        <v>1</v>
      </c>
      <c r="G91" s="1" t="s">
        <v>0</v>
      </c>
      <c r="H91" s="1">
        <v>12</v>
      </c>
      <c r="I91" s="1">
        <v>0</v>
      </c>
    </row>
    <row r="92" spans="1:9" x14ac:dyDescent="0.3">
      <c r="A92" s="1">
        <v>2</v>
      </c>
      <c r="B92" s="1">
        <v>1</v>
      </c>
      <c r="C92" s="1" t="s">
        <v>2</v>
      </c>
      <c r="D92" s="1" t="s">
        <v>0</v>
      </c>
      <c r="E92" s="1">
        <v>10</v>
      </c>
      <c r="F92" s="1" t="s">
        <v>1</v>
      </c>
      <c r="G92" s="1" t="s">
        <v>0</v>
      </c>
      <c r="H92" s="1">
        <v>53</v>
      </c>
      <c r="I92" s="1">
        <v>1</v>
      </c>
    </row>
    <row r="93" spans="1:9" x14ac:dyDescent="0.3">
      <c r="A93" s="1">
        <v>2</v>
      </c>
      <c r="B93" s="1">
        <v>1</v>
      </c>
      <c r="C93" s="1" t="s">
        <v>2</v>
      </c>
      <c r="D93" s="1" t="s">
        <v>0</v>
      </c>
      <c r="E93" s="1">
        <v>0</v>
      </c>
      <c r="F93" s="1" t="s">
        <v>1</v>
      </c>
      <c r="G93" s="1" t="s">
        <v>0</v>
      </c>
      <c r="H93" s="1">
        <v>38</v>
      </c>
      <c r="I93" s="1">
        <v>1</v>
      </c>
    </row>
    <row r="94" spans="1:9" x14ac:dyDescent="0.3">
      <c r="A94" s="1">
        <v>2</v>
      </c>
      <c r="B94" s="1">
        <v>1</v>
      </c>
      <c r="C94" s="1" t="s">
        <v>2</v>
      </c>
      <c r="D94" s="1" t="s">
        <v>0</v>
      </c>
      <c r="E94" s="1">
        <v>23</v>
      </c>
      <c r="F94" s="1" t="s">
        <v>1</v>
      </c>
      <c r="G94" s="1" t="s">
        <v>0</v>
      </c>
      <c r="H94" s="1">
        <v>51</v>
      </c>
      <c r="I94" s="1">
        <v>1</v>
      </c>
    </row>
    <row r="95" spans="1:9" x14ac:dyDescent="0.3">
      <c r="A95" s="1">
        <v>2</v>
      </c>
      <c r="B95" s="1">
        <v>1</v>
      </c>
      <c r="C95" s="1" t="s">
        <v>2</v>
      </c>
      <c r="D95" s="1" t="s">
        <v>0</v>
      </c>
      <c r="E95" s="1">
        <v>2</v>
      </c>
      <c r="F95" s="1" t="s">
        <v>1</v>
      </c>
      <c r="G95" s="1" t="s">
        <v>0</v>
      </c>
      <c r="H95" s="1">
        <v>46</v>
      </c>
      <c r="I95" s="1">
        <v>1</v>
      </c>
    </row>
    <row r="96" spans="1:9" x14ac:dyDescent="0.3">
      <c r="A96" s="1">
        <v>2</v>
      </c>
      <c r="B96" s="1">
        <v>1</v>
      </c>
      <c r="C96" s="1" t="s">
        <v>2</v>
      </c>
      <c r="D96" s="1" t="s">
        <v>0</v>
      </c>
      <c r="E96" s="1">
        <v>0</v>
      </c>
      <c r="F96" s="1" t="s">
        <v>1</v>
      </c>
      <c r="G96" s="1" t="s">
        <v>0</v>
      </c>
      <c r="H96" s="1">
        <v>29</v>
      </c>
      <c r="I96" s="1">
        <v>1</v>
      </c>
    </row>
    <row r="97" spans="1:9" x14ac:dyDescent="0.3">
      <c r="A97" s="1">
        <v>2</v>
      </c>
      <c r="B97" s="1">
        <v>1</v>
      </c>
      <c r="C97" s="1" t="s">
        <v>2</v>
      </c>
      <c r="D97" s="1" t="s">
        <v>0</v>
      </c>
      <c r="E97" s="1">
        <v>3</v>
      </c>
      <c r="F97" s="1" t="s">
        <v>1</v>
      </c>
      <c r="G97" s="1" t="s">
        <v>0</v>
      </c>
      <c r="H97" s="1">
        <v>43</v>
      </c>
      <c r="I97" s="1">
        <v>1</v>
      </c>
    </row>
    <row r="98" spans="1:9" x14ac:dyDescent="0.3">
      <c r="A98" s="1">
        <v>2</v>
      </c>
      <c r="B98" s="1">
        <v>1</v>
      </c>
      <c r="C98" s="1" t="s">
        <v>2</v>
      </c>
      <c r="D98" s="1" t="s">
        <v>0</v>
      </c>
      <c r="E98" s="1">
        <v>8</v>
      </c>
      <c r="F98" s="1" t="s">
        <v>1</v>
      </c>
      <c r="G98" s="1" t="s">
        <v>0</v>
      </c>
      <c r="H98" s="1">
        <v>31</v>
      </c>
      <c r="I98" s="1">
        <v>1</v>
      </c>
    </row>
    <row r="99" spans="1:9" x14ac:dyDescent="0.3">
      <c r="A99" s="1">
        <v>2</v>
      </c>
      <c r="B99" s="1">
        <v>1</v>
      </c>
      <c r="C99" s="1" t="s">
        <v>2</v>
      </c>
      <c r="D99" s="1" t="s">
        <v>0</v>
      </c>
      <c r="E99" s="1">
        <v>11</v>
      </c>
      <c r="F99" s="1" t="s">
        <v>1</v>
      </c>
      <c r="G99" s="1" t="s">
        <v>0</v>
      </c>
      <c r="H99" s="1">
        <v>31</v>
      </c>
      <c r="I99" s="1">
        <v>1</v>
      </c>
    </row>
    <row r="100" spans="1:9" x14ac:dyDescent="0.3">
      <c r="A100" s="1">
        <v>2</v>
      </c>
      <c r="B100" s="1">
        <v>1</v>
      </c>
      <c r="C100" s="1" t="s">
        <v>2</v>
      </c>
      <c r="D100" s="1" t="s">
        <v>0</v>
      </c>
      <c r="E100" s="1">
        <v>18</v>
      </c>
      <c r="F100" s="1" t="s">
        <v>1</v>
      </c>
      <c r="G100" s="1" t="s">
        <v>0</v>
      </c>
      <c r="H100" s="1">
        <v>51</v>
      </c>
      <c r="I100" s="1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04C58-A512-4CC4-B328-0E2D6D2A2543}">
  <dimension ref="A1:T100"/>
  <sheetViews>
    <sheetView topLeftCell="L1" workbookViewId="0">
      <selection activeCell="T2" sqref="T2:T3"/>
    </sheetView>
  </sheetViews>
  <sheetFormatPr defaultRowHeight="14.4" x14ac:dyDescent="0.3"/>
  <cols>
    <col min="1" max="16384" width="8.88671875" style="1"/>
  </cols>
  <sheetData>
    <row r="1" spans="1:20" x14ac:dyDescent="0.3">
      <c r="A1" s="1">
        <v>2</v>
      </c>
      <c r="B1" s="1">
        <v>0</v>
      </c>
      <c r="C1" s="1" t="s">
        <v>2</v>
      </c>
      <c r="D1" s="1" t="s">
        <v>0</v>
      </c>
      <c r="E1" s="1">
        <v>8</v>
      </c>
      <c r="F1" s="1" t="s">
        <v>1</v>
      </c>
      <c r="G1" s="1" t="s">
        <v>0</v>
      </c>
      <c r="H1" s="1">
        <v>21</v>
      </c>
      <c r="I1" s="1">
        <v>1</v>
      </c>
      <c r="K1" s="2"/>
      <c r="L1" s="3"/>
      <c r="M1" s="24" t="s">
        <v>3</v>
      </c>
      <c r="N1" s="24"/>
      <c r="O1" s="19" t="s">
        <v>4</v>
      </c>
      <c r="P1" s="19"/>
      <c r="Q1" s="19" t="s">
        <v>5</v>
      </c>
      <c r="R1" s="19"/>
    </row>
    <row r="2" spans="1:20" x14ac:dyDescent="0.3">
      <c r="A2" s="1">
        <v>2</v>
      </c>
      <c r="B2" s="1">
        <v>0</v>
      </c>
      <c r="C2" s="1" t="s">
        <v>2</v>
      </c>
      <c r="D2" s="1" t="s">
        <v>0</v>
      </c>
      <c r="E2" s="1">
        <v>16</v>
      </c>
      <c r="F2" s="1" t="s">
        <v>1</v>
      </c>
      <c r="G2" s="1" t="s">
        <v>0</v>
      </c>
      <c r="H2" s="1">
        <v>22</v>
      </c>
      <c r="I2" s="1">
        <v>1</v>
      </c>
      <c r="K2" s="4"/>
      <c r="L2" s="5"/>
      <c r="M2" s="24"/>
      <c r="N2" s="24"/>
      <c r="O2" s="19"/>
      <c r="P2" s="19"/>
      <c r="Q2" s="19"/>
      <c r="R2" s="19"/>
      <c r="T2" t="s">
        <v>15</v>
      </c>
    </row>
    <row r="3" spans="1:20" x14ac:dyDescent="0.3">
      <c r="A3" s="1">
        <v>2</v>
      </c>
      <c r="B3" s="1">
        <v>0</v>
      </c>
      <c r="C3" s="1" t="s">
        <v>2</v>
      </c>
      <c r="D3" s="1" t="s">
        <v>0</v>
      </c>
      <c r="E3" s="1">
        <v>0</v>
      </c>
      <c r="F3" s="1" t="s">
        <v>1</v>
      </c>
      <c r="G3" s="1" t="s">
        <v>0</v>
      </c>
      <c r="H3" s="1">
        <v>28</v>
      </c>
      <c r="I3" s="1">
        <v>1</v>
      </c>
      <c r="K3" s="19" t="s">
        <v>6</v>
      </c>
      <c r="L3" s="19"/>
      <c r="M3" s="20">
        <f>COUNTIF($I$1:$I$100, 0)</f>
        <v>12</v>
      </c>
      <c r="N3" s="20"/>
      <c r="O3" s="20">
        <f>COUNTIFS($I$1:$I$100, 0, $B$1:$B$100, 0)</f>
        <v>5</v>
      </c>
      <c r="P3" s="20"/>
      <c r="Q3" s="21">
        <f>COUNTIFS($I$1:$I$100, 0, $B$1:$B$100, 1)</f>
        <v>7</v>
      </c>
      <c r="R3" s="10"/>
      <c r="T3" cm="1">
        <f t="array" ref="T3">SUMPRODUCT(--($E$1:$E$100=$H$1:$H$100))</f>
        <v>0</v>
      </c>
    </row>
    <row r="4" spans="1:20" x14ac:dyDescent="0.3">
      <c r="A4" s="1">
        <v>2</v>
      </c>
      <c r="B4" s="1">
        <v>0</v>
      </c>
      <c r="C4" s="1" t="s">
        <v>2</v>
      </c>
      <c r="D4" s="1" t="s">
        <v>0</v>
      </c>
      <c r="E4" s="1">
        <v>0</v>
      </c>
      <c r="F4" s="1" t="s">
        <v>1</v>
      </c>
      <c r="G4" s="1" t="s">
        <v>0</v>
      </c>
      <c r="H4" s="1">
        <v>44</v>
      </c>
      <c r="I4" s="1">
        <v>1</v>
      </c>
      <c r="K4" s="19"/>
      <c r="L4" s="19"/>
      <c r="M4" s="20"/>
      <c r="N4" s="20"/>
      <c r="O4" s="20"/>
      <c r="P4" s="20"/>
      <c r="Q4" s="20"/>
      <c r="R4" s="12"/>
    </row>
    <row r="5" spans="1:20" x14ac:dyDescent="0.3">
      <c r="A5" s="1">
        <v>2</v>
      </c>
      <c r="B5" s="1">
        <v>0</v>
      </c>
      <c r="C5" s="1" t="s">
        <v>2</v>
      </c>
      <c r="D5" s="1" t="s">
        <v>0</v>
      </c>
      <c r="E5" s="1">
        <v>1</v>
      </c>
      <c r="F5" s="1" t="s">
        <v>1</v>
      </c>
      <c r="G5" s="1" t="s">
        <v>0</v>
      </c>
      <c r="H5" s="1">
        <v>25</v>
      </c>
      <c r="I5" s="1">
        <v>1</v>
      </c>
      <c r="K5" s="19" t="s">
        <v>7</v>
      </c>
      <c r="L5" s="19"/>
      <c r="M5" s="11">
        <f>COUNTIF($I$1:$I$100, 1)</f>
        <v>88</v>
      </c>
      <c r="N5" s="20"/>
      <c r="O5" s="20">
        <f>COUNTIFS($I$1:$I$100, 1, $B$1:$B$100, 0)</f>
        <v>45</v>
      </c>
      <c r="P5" s="20"/>
      <c r="Q5" s="20">
        <f>COUNTIFS($I$1:$I$100, 1, $B$1:$B$100, 1)</f>
        <v>43</v>
      </c>
      <c r="R5" s="12"/>
    </row>
    <row r="6" spans="1:20" x14ac:dyDescent="0.3">
      <c r="A6" s="1">
        <v>2</v>
      </c>
      <c r="B6" s="1">
        <v>0</v>
      </c>
      <c r="C6" s="1" t="s">
        <v>2</v>
      </c>
      <c r="D6" s="1" t="s">
        <v>0</v>
      </c>
      <c r="E6" s="1">
        <v>17</v>
      </c>
      <c r="F6" s="1" t="s">
        <v>1</v>
      </c>
      <c r="G6" s="1" t="s">
        <v>0</v>
      </c>
      <c r="H6" s="1">
        <v>49</v>
      </c>
      <c r="I6" s="1">
        <v>1</v>
      </c>
      <c r="K6" s="19"/>
      <c r="L6" s="19"/>
      <c r="M6" s="13"/>
      <c r="N6" s="22"/>
      <c r="O6" s="22"/>
      <c r="P6" s="22"/>
      <c r="Q6" s="22"/>
      <c r="R6" s="14"/>
    </row>
    <row r="7" spans="1:20" x14ac:dyDescent="0.3">
      <c r="A7" s="1">
        <v>2</v>
      </c>
      <c r="B7" s="1">
        <v>0</v>
      </c>
      <c r="C7" s="1" t="s">
        <v>2</v>
      </c>
      <c r="D7" s="1" t="s">
        <v>0</v>
      </c>
      <c r="E7" s="1">
        <v>2</v>
      </c>
      <c r="F7" s="1" t="s">
        <v>1</v>
      </c>
      <c r="G7" s="1" t="s">
        <v>0</v>
      </c>
      <c r="H7" s="1">
        <v>27</v>
      </c>
      <c r="I7" s="1">
        <v>1</v>
      </c>
      <c r="K7" s="6"/>
      <c r="L7" s="6"/>
      <c r="M7" s="6"/>
      <c r="N7" s="6"/>
      <c r="O7" s="6"/>
      <c r="P7" s="6"/>
      <c r="Q7" s="6"/>
      <c r="R7" s="6"/>
    </row>
    <row r="8" spans="1:20" x14ac:dyDescent="0.3">
      <c r="A8" s="1">
        <v>2</v>
      </c>
      <c r="B8" s="1">
        <v>0</v>
      </c>
      <c r="C8" s="1" t="s">
        <v>2</v>
      </c>
      <c r="D8" s="1" t="s">
        <v>0</v>
      </c>
      <c r="E8" s="1">
        <v>5</v>
      </c>
      <c r="F8" s="1" t="s">
        <v>1</v>
      </c>
      <c r="G8" s="1" t="s">
        <v>0</v>
      </c>
      <c r="H8" s="1">
        <v>54</v>
      </c>
      <c r="I8" s="1">
        <v>1</v>
      </c>
      <c r="K8" s="7"/>
      <c r="L8" s="8"/>
      <c r="M8" s="23" t="s">
        <v>3</v>
      </c>
      <c r="N8" s="23"/>
      <c r="O8" s="23" t="s">
        <v>8</v>
      </c>
      <c r="P8" s="23"/>
      <c r="Q8" s="23" t="s">
        <v>9</v>
      </c>
      <c r="R8" s="23"/>
    </row>
    <row r="9" spans="1:20" x14ac:dyDescent="0.3">
      <c r="A9" s="1">
        <v>2</v>
      </c>
      <c r="B9" s="1">
        <v>0</v>
      </c>
      <c r="C9" s="1" t="s">
        <v>2</v>
      </c>
      <c r="D9" s="1" t="s">
        <v>0</v>
      </c>
      <c r="E9" s="1">
        <v>0</v>
      </c>
      <c r="F9" s="1" t="s">
        <v>1</v>
      </c>
      <c r="G9" s="1" t="s">
        <v>0</v>
      </c>
      <c r="H9" s="1">
        <v>45</v>
      </c>
      <c r="I9" s="1">
        <v>1</v>
      </c>
      <c r="K9" s="4"/>
      <c r="L9" s="5"/>
      <c r="M9" s="23"/>
      <c r="N9" s="23"/>
      <c r="O9" s="23"/>
      <c r="P9" s="23"/>
      <c r="Q9" s="23"/>
      <c r="R9" s="23"/>
    </row>
    <row r="10" spans="1:20" x14ac:dyDescent="0.3">
      <c r="A10" s="1">
        <v>2</v>
      </c>
      <c r="B10" s="1">
        <v>0</v>
      </c>
      <c r="C10" s="1" t="s">
        <v>2</v>
      </c>
      <c r="D10" s="1" t="s">
        <v>0</v>
      </c>
      <c r="E10" s="1">
        <v>7</v>
      </c>
      <c r="F10" s="1" t="s">
        <v>1</v>
      </c>
      <c r="G10" s="1" t="s">
        <v>0</v>
      </c>
      <c r="H10" s="1">
        <v>54</v>
      </c>
      <c r="I10" s="1">
        <v>1</v>
      </c>
      <c r="K10" s="19" t="s">
        <v>10</v>
      </c>
      <c r="L10" s="19"/>
      <c r="M10" s="20">
        <f>AVERAGE($E$1:$E$100,)</f>
        <v>10.148514851485148</v>
      </c>
      <c r="N10" s="20"/>
      <c r="O10" s="20" cm="1">
        <f t="array" ref="O10">AVERAGE(_xlfn._xlws.FILTER($E$1:$E$100,$I$1:$I$100 = 0))</f>
        <v>27</v>
      </c>
      <c r="P10" s="20"/>
      <c r="Q10" s="21" cm="1">
        <f t="array" ref="Q10">AVERAGE(_xlfn._xlws.FILTER($E$1:$E$100,$I$1:$I$100 = 1))</f>
        <v>7.9659090909090908</v>
      </c>
      <c r="R10" s="10"/>
    </row>
    <row r="11" spans="1:20" x14ac:dyDescent="0.3">
      <c r="A11" s="1">
        <v>2</v>
      </c>
      <c r="B11" s="1">
        <v>0</v>
      </c>
      <c r="C11" s="1" t="s">
        <v>2</v>
      </c>
      <c r="D11" s="1" t="s">
        <v>0</v>
      </c>
      <c r="E11" s="1">
        <v>14</v>
      </c>
      <c r="F11" s="1" t="s">
        <v>1</v>
      </c>
      <c r="G11" s="1" t="s">
        <v>0</v>
      </c>
      <c r="H11" s="1">
        <v>52</v>
      </c>
      <c r="I11" s="1">
        <v>1</v>
      </c>
      <c r="K11" s="19"/>
      <c r="L11" s="19"/>
      <c r="M11" s="20"/>
      <c r="N11" s="20"/>
      <c r="O11" s="20"/>
      <c r="P11" s="20"/>
      <c r="Q11" s="20"/>
      <c r="R11" s="12"/>
    </row>
    <row r="12" spans="1:20" x14ac:dyDescent="0.3">
      <c r="A12" s="1">
        <v>2</v>
      </c>
      <c r="B12" s="1">
        <v>0</v>
      </c>
      <c r="C12" s="1" t="s">
        <v>2</v>
      </c>
      <c r="D12" s="1" t="s">
        <v>0</v>
      </c>
      <c r="E12" s="1">
        <v>33</v>
      </c>
      <c r="F12" s="1" t="s">
        <v>1</v>
      </c>
      <c r="G12" s="1" t="s">
        <v>0</v>
      </c>
      <c r="H12" s="1">
        <v>50</v>
      </c>
      <c r="I12" s="1">
        <v>1</v>
      </c>
      <c r="K12" s="19" t="s">
        <v>11</v>
      </c>
      <c r="L12" s="19"/>
      <c r="M12" s="20">
        <f>AVERAGE($H$1:$H$100,)</f>
        <v>34.475247524752476</v>
      </c>
      <c r="N12" s="20"/>
      <c r="O12" s="20" cm="1">
        <f t="array" ref="O12">AVERAGE(_xlfn._xlws.FILTER($H$1:$H$100,$I$1:$I$100 = 0))</f>
        <v>12.25</v>
      </c>
      <c r="P12" s="20"/>
      <c r="Q12" s="20" cm="1">
        <f t="array" ref="Q12">AVERAGE(_xlfn._xlws.FILTER($H$1:$H$100,$I$1:$I$100 = 1))</f>
        <v>37.897727272727273</v>
      </c>
      <c r="R12" s="12"/>
    </row>
    <row r="13" spans="1:20" x14ac:dyDescent="0.3">
      <c r="A13" s="1">
        <v>2</v>
      </c>
      <c r="B13" s="1">
        <v>0</v>
      </c>
      <c r="C13" s="1" t="s">
        <v>2</v>
      </c>
      <c r="D13" s="1" t="s">
        <v>0</v>
      </c>
      <c r="E13" s="1">
        <v>9</v>
      </c>
      <c r="F13" s="1" t="s">
        <v>1</v>
      </c>
      <c r="G13" s="1" t="s">
        <v>0</v>
      </c>
      <c r="H13" s="1">
        <v>36</v>
      </c>
      <c r="I13" s="1">
        <v>1</v>
      </c>
      <c r="K13" s="19"/>
      <c r="L13" s="19"/>
      <c r="M13" s="20"/>
      <c r="N13" s="20"/>
      <c r="O13" s="20"/>
      <c r="P13" s="20"/>
      <c r="Q13" s="20"/>
      <c r="R13" s="12"/>
    </row>
    <row r="14" spans="1:20" x14ac:dyDescent="0.3">
      <c r="A14" s="1">
        <v>2</v>
      </c>
      <c r="B14" s="1">
        <v>0</v>
      </c>
      <c r="C14" s="1" t="s">
        <v>2</v>
      </c>
      <c r="D14" s="1" t="s">
        <v>0</v>
      </c>
      <c r="E14" s="1">
        <v>0</v>
      </c>
      <c r="F14" s="1" t="s">
        <v>1</v>
      </c>
      <c r="G14" s="1" t="s">
        <v>0</v>
      </c>
      <c r="H14" s="1">
        <v>29</v>
      </c>
      <c r="I14" s="1">
        <v>1</v>
      </c>
      <c r="K14" s="9" t="s">
        <v>12</v>
      </c>
      <c r="L14" s="10"/>
      <c r="M14" s="15" cm="1">
        <f t="array" ref="M14">AVERAGE($E$1:$E$100 - $H$1:$H$100)</f>
        <v>-24.57</v>
      </c>
      <c r="N14" s="15"/>
      <c r="O14" s="15" cm="1">
        <f t="array" ref="O14">AVERAGE(_xlfn._xlws.FILTER($E$1:$E$100 - $H$1:$H$100, I$1:I$100 = 0))</f>
        <v>14.75</v>
      </c>
      <c r="P14" s="15"/>
      <c r="Q14" s="15" cm="1">
        <f t="array" ref="Q14">AVERAGE(_xlfn._xlws.FILTER($E$1:$E$100 - $H$1:$H$100, I$1:I$100 = 1))</f>
        <v>-29.931818181818183</v>
      </c>
      <c r="R14" s="17"/>
    </row>
    <row r="15" spans="1:20" x14ac:dyDescent="0.3">
      <c r="A15" s="1">
        <v>2</v>
      </c>
      <c r="B15" s="1">
        <v>0</v>
      </c>
      <c r="C15" s="1" t="s">
        <v>2</v>
      </c>
      <c r="D15" s="1" t="s">
        <v>0</v>
      </c>
      <c r="E15" s="1">
        <v>17</v>
      </c>
      <c r="F15" s="1" t="s">
        <v>1</v>
      </c>
      <c r="G15" s="1" t="s">
        <v>0</v>
      </c>
      <c r="H15" s="1">
        <v>43</v>
      </c>
      <c r="I15" s="1">
        <v>1</v>
      </c>
      <c r="K15" s="11"/>
      <c r="L15" s="12"/>
      <c r="M15" s="15"/>
      <c r="N15" s="15"/>
      <c r="O15" s="15"/>
      <c r="P15" s="15"/>
      <c r="Q15" s="15"/>
      <c r="R15" s="17"/>
    </row>
    <row r="16" spans="1:20" x14ac:dyDescent="0.3">
      <c r="A16" s="1">
        <v>2</v>
      </c>
      <c r="B16" s="1">
        <v>0</v>
      </c>
      <c r="C16" s="1" t="s">
        <v>2</v>
      </c>
      <c r="D16" s="1" t="s">
        <v>0</v>
      </c>
      <c r="E16" s="1">
        <v>0</v>
      </c>
      <c r="F16" s="1" t="s">
        <v>1</v>
      </c>
      <c r="G16" s="1" t="s">
        <v>0</v>
      </c>
      <c r="H16" s="1">
        <v>21</v>
      </c>
      <c r="I16" s="1">
        <v>1</v>
      </c>
      <c r="K16" s="13"/>
      <c r="L16" s="14"/>
      <c r="M16" s="16"/>
      <c r="N16" s="16"/>
      <c r="O16" s="16"/>
      <c r="P16" s="16"/>
      <c r="Q16" s="16"/>
      <c r="R16" s="18"/>
    </row>
    <row r="17" spans="1:9" x14ac:dyDescent="0.3">
      <c r="A17" s="1">
        <v>2</v>
      </c>
      <c r="B17" s="1">
        <v>0</v>
      </c>
      <c r="C17" s="1" t="s">
        <v>2</v>
      </c>
      <c r="D17" s="1" t="s">
        <v>0</v>
      </c>
      <c r="E17" s="1">
        <v>9</v>
      </c>
      <c r="F17" s="1" t="s">
        <v>1</v>
      </c>
      <c r="G17" s="1" t="s">
        <v>0</v>
      </c>
      <c r="H17" s="1">
        <v>7</v>
      </c>
      <c r="I17" s="1">
        <v>0</v>
      </c>
    </row>
    <row r="18" spans="1:9" x14ac:dyDescent="0.3">
      <c r="A18" s="1">
        <v>2</v>
      </c>
      <c r="B18" s="1">
        <v>0</v>
      </c>
      <c r="C18" s="1" t="s">
        <v>2</v>
      </c>
      <c r="D18" s="1" t="s">
        <v>0</v>
      </c>
      <c r="E18" s="1">
        <v>32</v>
      </c>
      <c r="F18" s="1" t="s">
        <v>1</v>
      </c>
      <c r="G18" s="1" t="s">
        <v>0</v>
      </c>
      <c r="H18" s="1">
        <v>10</v>
      </c>
      <c r="I18" s="1">
        <v>0</v>
      </c>
    </row>
    <row r="19" spans="1:9" x14ac:dyDescent="0.3">
      <c r="A19" s="1">
        <v>2</v>
      </c>
      <c r="B19" s="1">
        <v>0</v>
      </c>
      <c r="C19" s="1" t="s">
        <v>2</v>
      </c>
      <c r="D19" s="1" t="s">
        <v>0</v>
      </c>
      <c r="E19" s="1">
        <v>2</v>
      </c>
      <c r="F19" s="1" t="s">
        <v>1</v>
      </c>
      <c r="G19" s="1" t="s">
        <v>0</v>
      </c>
      <c r="H19" s="1">
        <v>24</v>
      </c>
      <c r="I19" s="1">
        <v>1</v>
      </c>
    </row>
    <row r="20" spans="1:9" x14ac:dyDescent="0.3">
      <c r="A20" s="1">
        <v>2</v>
      </c>
      <c r="B20" s="1">
        <v>0</v>
      </c>
      <c r="C20" s="1" t="s">
        <v>2</v>
      </c>
      <c r="D20" s="1" t="s">
        <v>0</v>
      </c>
      <c r="E20" s="1">
        <v>9</v>
      </c>
      <c r="F20" s="1" t="s">
        <v>1</v>
      </c>
      <c r="G20" s="1" t="s">
        <v>0</v>
      </c>
      <c r="H20" s="1">
        <v>24</v>
      </c>
      <c r="I20" s="1">
        <v>1</v>
      </c>
    </row>
    <row r="21" spans="1:9" x14ac:dyDescent="0.3">
      <c r="A21" s="1">
        <v>2</v>
      </c>
      <c r="B21" s="1">
        <v>0</v>
      </c>
      <c r="C21" s="1" t="s">
        <v>2</v>
      </c>
      <c r="D21" s="1" t="s">
        <v>0</v>
      </c>
      <c r="E21" s="1">
        <v>0</v>
      </c>
      <c r="F21" s="1" t="s">
        <v>1</v>
      </c>
      <c r="G21" s="1" t="s">
        <v>0</v>
      </c>
      <c r="H21" s="1">
        <v>41</v>
      </c>
      <c r="I21" s="1">
        <v>1</v>
      </c>
    </row>
    <row r="22" spans="1:9" x14ac:dyDescent="0.3">
      <c r="A22" s="1">
        <v>2</v>
      </c>
      <c r="B22" s="1">
        <v>0</v>
      </c>
      <c r="C22" s="1" t="s">
        <v>2</v>
      </c>
      <c r="D22" s="1" t="s">
        <v>0</v>
      </c>
      <c r="E22" s="1">
        <v>17</v>
      </c>
      <c r="F22" s="1" t="s">
        <v>1</v>
      </c>
      <c r="G22" s="1" t="s">
        <v>0</v>
      </c>
      <c r="H22" s="1">
        <v>20</v>
      </c>
      <c r="I22" s="1">
        <v>1</v>
      </c>
    </row>
    <row r="23" spans="1:9" x14ac:dyDescent="0.3">
      <c r="A23" s="1">
        <v>2</v>
      </c>
      <c r="B23" s="1">
        <v>0</v>
      </c>
      <c r="C23" s="1" t="s">
        <v>2</v>
      </c>
      <c r="D23" s="1" t="s">
        <v>0</v>
      </c>
      <c r="E23" s="1">
        <v>17</v>
      </c>
      <c r="F23" s="1" t="s">
        <v>1</v>
      </c>
      <c r="G23" s="1" t="s">
        <v>0</v>
      </c>
      <c r="H23" s="1">
        <v>36</v>
      </c>
      <c r="I23" s="1">
        <v>1</v>
      </c>
    </row>
    <row r="24" spans="1:9" x14ac:dyDescent="0.3">
      <c r="A24" s="1">
        <v>2</v>
      </c>
      <c r="B24" s="1">
        <v>0</v>
      </c>
      <c r="C24" s="1" t="s">
        <v>2</v>
      </c>
      <c r="D24" s="1" t="s">
        <v>0</v>
      </c>
      <c r="E24" s="1">
        <v>2</v>
      </c>
      <c r="F24" s="1" t="s">
        <v>1</v>
      </c>
      <c r="G24" s="1" t="s">
        <v>0</v>
      </c>
      <c r="H24" s="1">
        <v>32</v>
      </c>
      <c r="I24" s="1">
        <v>1</v>
      </c>
    </row>
    <row r="25" spans="1:9" x14ac:dyDescent="0.3">
      <c r="A25" s="1">
        <v>2</v>
      </c>
      <c r="B25" s="1">
        <v>0</v>
      </c>
      <c r="C25" s="1" t="s">
        <v>2</v>
      </c>
      <c r="D25" s="1" t="s">
        <v>0</v>
      </c>
      <c r="E25" s="1">
        <v>0</v>
      </c>
      <c r="F25" s="1" t="s">
        <v>1</v>
      </c>
      <c r="G25" s="1" t="s">
        <v>0</v>
      </c>
      <c r="H25" s="1">
        <v>60</v>
      </c>
      <c r="I25" s="1">
        <v>1</v>
      </c>
    </row>
    <row r="26" spans="1:9" x14ac:dyDescent="0.3">
      <c r="A26" s="1">
        <v>2</v>
      </c>
      <c r="B26" s="1">
        <v>0</v>
      </c>
      <c r="C26" s="1" t="s">
        <v>2</v>
      </c>
      <c r="D26" s="1" t="s">
        <v>0</v>
      </c>
      <c r="E26" s="1">
        <v>12</v>
      </c>
      <c r="F26" s="1" t="s">
        <v>1</v>
      </c>
      <c r="G26" s="1" t="s">
        <v>0</v>
      </c>
      <c r="H26" s="1">
        <v>43</v>
      </c>
      <c r="I26" s="1">
        <v>1</v>
      </c>
    </row>
    <row r="27" spans="1:9" x14ac:dyDescent="0.3">
      <c r="A27" s="1">
        <v>2</v>
      </c>
      <c r="B27" s="1">
        <v>0</v>
      </c>
      <c r="C27" s="1" t="s">
        <v>2</v>
      </c>
      <c r="D27" s="1" t="s">
        <v>0</v>
      </c>
      <c r="E27" s="1">
        <v>2</v>
      </c>
      <c r="F27" s="1" t="s">
        <v>1</v>
      </c>
      <c r="G27" s="1" t="s">
        <v>0</v>
      </c>
      <c r="H27" s="1">
        <v>21</v>
      </c>
      <c r="I27" s="1">
        <v>1</v>
      </c>
    </row>
    <row r="28" spans="1:9" x14ac:dyDescent="0.3">
      <c r="A28" s="1">
        <v>2</v>
      </c>
      <c r="B28" s="1">
        <v>0</v>
      </c>
      <c r="C28" s="1" t="s">
        <v>2</v>
      </c>
      <c r="D28" s="1" t="s">
        <v>0</v>
      </c>
      <c r="E28" s="1">
        <v>36</v>
      </c>
      <c r="F28" s="1" t="s">
        <v>1</v>
      </c>
      <c r="G28" s="1" t="s">
        <v>0</v>
      </c>
      <c r="H28" s="1">
        <v>22</v>
      </c>
      <c r="I28" s="1">
        <v>0</v>
      </c>
    </row>
    <row r="29" spans="1:9" x14ac:dyDescent="0.3">
      <c r="A29" s="1">
        <v>2</v>
      </c>
      <c r="B29" s="1">
        <v>0</v>
      </c>
      <c r="C29" s="1" t="s">
        <v>2</v>
      </c>
      <c r="D29" s="1" t="s">
        <v>0</v>
      </c>
      <c r="E29" s="1">
        <v>27</v>
      </c>
      <c r="F29" s="1" t="s">
        <v>1</v>
      </c>
      <c r="G29" s="1" t="s">
        <v>0</v>
      </c>
      <c r="H29" s="1">
        <v>46</v>
      </c>
      <c r="I29" s="1">
        <v>1</v>
      </c>
    </row>
    <row r="30" spans="1:9" x14ac:dyDescent="0.3">
      <c r="A30" s="1">
        <v>2</v>
      </c>
      <c r="B30" s="1">
        <v>0</v>
      </c>
      <c r="C30" s="1" t="s">
        <v>2</v>
      </c>
      <c r="D30" s="1" t="s">
        <v>0</v>
      </c>
      <c r="E30" s="1">
        <v>0</v>
      </c>
      <c r="F30" s="1" t="s">
        <v>1</v>
      </c>
      <c r="G30" s="1" t="s">
        <v>0</v>
      </c>
      <c r="H30" s="1">
        <v>38</v>
      </c>
      <c r="I30" s="1">
        <v>1</v>
      </c>
    </row>
    <row r="31" spans="1:9" x14ac:dyDescent="0.3">
      <c r="A31" s="1">
        <v>2</v>
      </c>
      <c r="B31" s="1">
        <v>0</v>
      </c>
      <c r="C31" s="1" t="s">
        <v>2</v>
      </c>
      <c r="D31" s="1" t="s">
        <v>0</v>
      </c>
      <c r="E31" s="1">
        <v>13</v>
      </c>
      <c r="F31" s="1" t="s">
        <v>1</v>
      </c>
      <c r="G31" s="1" t="s">
        <v>0</v>
      </c>
      <c r="H31" s="1">
        <v>42</v>
      </c>
      <c r="I31" s="1">
        <v>1</v>
      </c>
    </row>
    <row r="32" spans="1:9" x14ac:dyDescent="0.3">
      <c r="A32" s="1">
        <v>2</v>
      </c>
      <c r="B32" s="1">
        <v>0</v>
      </c>
      <c r="C32" s="1" t="s">
        <v>2</v>
      </c>
      <c r="D32" s="1" t="s">
        <v>0</v>
      </c>
      <c r="E32" s="1">
        <v>0</v>
      </c>
      <c r="F32" s="1" t="s">
        <v>1</v>
      </c>
      <c r="G32" s="1" t="s">
        <v>0</v>
      </c>
      <c r="H32" s="1">
        <v>32</v>
      </c>
      <c r="I32" s="1">
        <v>1</v>
      </c>
    </row>
    <row r="33" spans="1:9" x14ac:dyDescent="0.3">
      <c r="A33" s="1">
        <v>2</v>
      </c>
      <c r="B33" s="1">
        <v>0</v>
      </c>
      <c r="C33" s="1" t="s">
        <v>2</v>
      </c>
      <c r="D33" s="1" t="s">
        <v>0</v>
      </c>
      <c r="E33" s="1">
        <v>10</v>
      </c>
      <c r="F33" s="1" t="s">
        <v>1</v>
      </c>
      <c r="G33" s="1" t="s">
        <v>0</v>
      </c>
      <c r="H33" s="1">
        <v>50</v>
      </c>
      <c r="I33" s="1">
        <v>1</v>
      </c>
    </row>
    <row r="34" spans="1:9" x14ac:dyDescent="0.3">
      <c r="A34" s="1">
        <v>2</v>
      </c>
      <c r="B34" s="1">
        <v>0</v>
      </c>
      <c r="C34" s="1" t="s">
        <v>2</v>
      </c>
      <c r="D34" s="1" t="s">
        <v>0</v>
      </c>
      <c r="E34" s="1">
        <v>17</v>
      </c>
      <c r="F34" s="1" t="s">
        <v>1</v>
      </c>
      <c r="G34" s="1" t="s">
        <v>0</v>
      </c>
      <c r="H34" s="1">
        <v>15</v>
      </c>
      <c r="I34" s="1">
        <v>0</v>
      </c>
    </row>
    <row r="35" spans="1:9" x14ac:dyDescent="0.3">
      <c r="A35" s="1">
        <v>2</v>
      </c>
      <c r="B35" s="1">
        <v>0</v>
      </c>
      <c r="C35" s="1" t="s">
        <v>2</v>
      </c>
      <c r="D35" s="1" t="s">
        <v>0</v>
      </c>
      <c r="E35" s="1">
        <v>22</v>
      </c>
      <c r="F35" s="1" t="s">
        <v>1</v>
      </c>
      <c r="G35" s="1" t="s">
        <v>0</v>
      </c>
      <c r="H35" s="1">
        <v>43</v>
      </c>
      <c r="I35" s="1">
        <v>1</v>
      </c>
    </row>
    <row r="36" spans="1:9" x14ac:dyDescent="0.3">
      <c r="A36" s="1">
        <v>2</v>
      </c>
      <c r="B36" s="1">
        <v>0</v>
      </c>
      <c r="C36" s="1" t="s">
        <v>2</v>
      </c>
      <c r="D36" s="1" t="s">
        <v>0</v>
      </c>
      <c r="E36" s="1">
        <v>0</v>
      </c>
      <c r="F36" s="1" t="s">
        <v>1</v>
      </c>
      <c r="G36" s="1" t="s">
        <v>0</v>
      </c>
      <c r="H36" s="1">
        <v>42</v>
      </c>
      <c r="I36" s="1">
        <v>1</v>
      </c>
    </row>
    <row r="37" spans="1:9" x14ac:dyDescent="0.3">
      <c r="A37" s="1">
        <v>2</v>
      </c>
      <c r="B37" s="1">
        <v>0</v>
      </c>
      <c r="C37" s="1" t="s">
        <v>2</v>
      </c>
      <c r="D37" s="1" t="s">
        <v>0</v>
      </c>
      <c r="E37" s="1">
        <v>15</v>
      </c>
      <c r="F37" s="1" t="s">
        <v>1</v>
      </c>
      <c r="G37" s="1" t="s">
        <v>0</v>
      </c>
      <c r="H37" s="1">
        <v>30</v>
      </c>
      <c r="I37" s="1">
        <v>1</v>
      </c>
    </row>
    <row r="38" spans="1:9" x14ac:dyDescent="0.3">
      <c r="A38" s="1">
        <v>2</v>
      </c>
      <c r="B38" s="1">
        <v>0</v>
      </c>
      <c r="C38" s="1" t="s">
        <v>2</v>
      </c>
      <c r="D38" s="1" t="s">
        <v>0</v>
      </c>
      <c r="E38" s="1">
        <v>0</v>
      </c>
      <c r="F38" s="1" t="s">
        <v>1</v>
      </c>
      <c r="G38" s="1" t="s">
        <v>0</v>
      </c>
      <c r="H38" s="1">
        <v>59</v>
      </c>
      <c r="I38" s="1">
        <v>1</v>
      </c>
    </row>
    <row r="39" spans="1:9" x14ac:dyDescent="0.3">
      <c r="A39" s="1">
        <v>2</v>
      </c>
      <c r="B39" s="1">
        <v>0</v>
      </c>
      <c r="C39" s="1" t="s">
        <v>2</v>
      </c>
      <c r="D39" s="1" t="s">
        <v>0</v>
      </c>
      <c r="E39" s="1">
        <v>0</v>
      </c>
      <c r="F39" s="1" t="s">
        <v>1</v>
      </c>
      <c r="G39" s="1" t="s">
        <v>0</v>
      </c>
      <c r="H39" s="1">
        <v>41</v>
      </c>
      <c r="I39" s="1">
        <v>1</v>
      </c>
    </row>
    <row r="40" spans="1:9" x14ac:dyDescent="0.3">
      <c r="A40" s="1">
        <v>2</v>
      </c>
      <c r="B40" s="1">
        <v>0</v>
      </c>
      <c r="C40" s="1" t="s">
        <v>2</v>
      </c>
      <c r="D40" s="1" t="s">
        <v>0</v>
      </c>
      <c r="E40" s="1">
        <v>0</v>
      </c>
      <c r="F40" s="1" t="s">
        <v>1</v>
      </c>
      <c r="G40" s="1" t="s">
        <v>0</v>
      </c>
      <c r="H40" s="1">
        <v>28</v>
      </c>
      <c r="I40" s="1">
        <v>1</v>
      </c>
    </row>
    <row r="41" spans="1:9" x14ac:dyDescent="0.3">
      <c r="A41" s="1">
        <v>2</v>
      </c>
      <c r="B41" s="1">
        <v>0</v>
      </c>
      <c r="C41" s="1" t="s">
        <v>2</v>
      </c>
      <c r="D41" s="1" t="s">
        <v>0</v>
      </c>
      <c r="E41" s="1">
        <v>24</v>
      </c>
      <c r="F41" s="1" t="s">
        <v>1</v>
      </c>
      <c r="G41" s="1" t="s">
        <v>0</v>
      </c>
      <c r="H41" s="1">
        <v>77</v>
      </c>
      <c r="I41" s="1">
        <v>1</v>
      </c>
    </row>
    <row r="42" spans="1:9" x14ac:dyDescent="0.3">
      <c r="A42" s="1">
        <v>2</v>
      </c>
      <c r="B42" s="1">
        <v>0</v>
      </c>
      <c r="C42" s="1" t="s">
        <v>2</v>
      </c>
      <c r="D42" s="1" t="s">
        <v>0</v>
      </c>
      <c r="E42" s="1">
        <v>26</v>
      </c>
      <c r="F42" s="1" t="s">
        <v>1</v>
      </c>
      <c r="G42" s="1" t="s">
        <v>0</v>
      </c>
      <c r="H42" s="1">
        <v>7</v>
      </c>
      <c r="I42" s="1">
        <v>0</v>
      </c>
    </row>
    <row r="43" spans="1:9" x14ac:dyDescent="0.3">
      <c r="A43" s="1">
        <v>2</v>
      </c>
      <c r="B43" s="1">
        <v>0</v>
      </c>
      <c r="C43" s="1" t="s">
        <v>2</v>
      </c>
      <c r="D43" s="1" t="s">
        <v>0</v>
      </c>
      <c r="E43" s="1">
        <v>4</v>
      </c>
      <c r="F43" s="1" t="s">
        <v>1</v>
      </c>
      <c r="G43" s="1" t="s">
        <v>0</v>
      </c>
      <c r="H43" s="1">
        <v>21</v>
      </c>
      <c r="I43" s="1">
        <v>1</v>
      </c>
    </row>
    <row r="44" spans="1:9" x14ac:dyDescent="0.3">
      <c r="A44" s="1">
        <v>2</v>
      </c>
      <c r="B44" s="1">
        <v>0</v>
      </c>
      <c r="C44" s="1" t="s">
        <v>2</v>
      </c>
      <c r="D44" s="1" t="s">
        <v>0</v>
      </c>
      <c r="E44" s="1">
        <v>0</v>
      </c>
      <c r="F44" s="1" t="s">
        <v>1</v>
      </c>
      <c r="G44" s="1" t="s">
        <v>0</v>
      </c>
      <c r="H44" s="1">
        <v>37</v>
      </c>
      <c r="I44" s="1">
        <v>1</v>
      </c>
    </row>
    <row r="45" spans="1:9" x14ac:dyDescent="0.3">
      <c r="A45" s="1">
        <v>2</v>
      </c>
      <c r="B45" s="1">
        <v>0</v>
      </c>
      <c r="C45" s="1" t="s">
        <v>2</v>
      </c>
      <c r="D45" s="1" t="s">
        <v>0</v>
      </c>
      <c r="E45" s="1">
        <v>0</v>
      </c>
      <c r="F45" s="1" t="s">
        <v>1</v>
      </c>
      <c r="G45" s="1" t="s">
        <v>0</v>
      </c>
      <c r="H45" s="1">
        <v>35</v>
      </c>
      <c r="I45" s="1">
        <v>1</v>
      </c>
    </row>
    <row r="46" spans="1:9" x14ac:dyDescent="0.3">
      <c r="A46" s="1">
        <v>2</v>
      </c>
      <c r="B46" s="1">
        <v>0</v>
      </c>
      <c r="C46" s="1" t="s">
        <v>2</v>
      </c>
      <c r="D46" s="1" t="s">
        <v>0</v>
      </c>
      <c r="E46" s="1">
        <v>27</v>
      </c>
      <c r="F46" s="1" t="s">
        <v>1</v>
      </c>
      <c r="G46" s="1" t="s">
        <v>0</v>
      </c>
      <c r="H46" s="1">
        <v>63</v>
      </c>
      <c r="I46" s="1">
        <v>1</v>
      </c>
    </row>
    <row r="47" spans="1:9" x14ac:dyDescent="0.3">
      <c r="A47" s="1">
        <v>2</v>
      </c>
      <c r="B47" s="1">
        <v>0</v>
      </c>
      <c r="C47" s="1" t="s">
        <v>2</v>
      </c>
      <c r="D47" s="1" t="s">
        <v>0</v>
      </c>
      <c r="E47" s="1">
        <v>0</v>
      </c>
      <c r="F47" s="1" t="s">
        <v>1</v>
      </c>
      <c r="G47" s="1" t="s">
        <v>0</v>
      </c>
      <c r="H47" s="1">
        <v>15</v>
      </c>
      <c r="I47" s="1">
        <v>1</v>
      </c>
    </row>
    <row r="48" spans="1:9" x14ac:dyDescent="0.3">
      <c r="A48" s="1">
        <v>2</v>
      </c>
      <c r="B48" s="1">
        <v>0</v>
      </c>
      <c r="C48" s="1" t="s">
        <v>2</v>
      </c>
      <c r="D48" s="1" t="s">
        <v>0</v>
      </c>
      <c r="E48" s="1">
        <v>12</v>
      </c>
      <c r="F48" s="1" t="s">
        <v>1</v>
      </c>
      <c r="G48" s="1" t="s">
        <v>0</v>
      </c>
      <c r="H48" s="1">
        <v>30</v>
      </c>
      <c r="I48" s="1">
        <v>1</v>
      </c>
    </row>
    <row r="49" spans="1:9" x14ac:dyDescent="0.3">
      <c r="A49" s="1">
        <v>2</v>
      </c>
      <c r="B49" s="1">
        <v>0</v>
      </c>
      <c r="C49" s="1" t="s">
        <v>2</v>
      </c>
      <c r="D49" s="1" t="s">
        <v>0</v>
      </c>
      <c r="E49" s="1">
        <v>13</v>
      </c>
      <c r="F49" s="1" t="s">
        <v>1</v>
      </c>
      <c r="G49" s="1" t="s">
        <v>0</v>
      </c>
      <c r="H49" s="1">
        <v>25</v>
      </c>
      <c r="I49" s="1">
        <v>1</v>
      </c>
    </row>
    <row r="50" spans="1:9" x14ac:dyDescent="0.3">
      <c r="A50" s="1">
        <v>2</v>
      </c>
      <c r="B50" s="1">
        <v>0</v>
      </c>
      <c r="C50" s="1" t="s">
        <v>2</v>
      </c>
      <c r="D50" s="1" t="s">
        <v>0</v>
      </c>
      <c r="E50" s="1">
        <v>9</v>
      </c>
      <c r="F50" s="1" t="s">
        <v>1</v>
      </c>
      <c r="G50" s="1" t="s">
        <v>0</v>
      </c>
      <c r="H50" s="1">
        <v>13</v>
      </c>
      <c r="I50" s="1">
        <v>1</v>
      </c>
    </row>
    <row r="51" spans="1:9" x14ac:dyDescent="0.3">
      <c r="A51" s="1">
        <v>2</v>
      </c>
      <c r="B51" s="1">
        <v>1</v>
      </c>
      <c r="C51" s="1" t="s">
        <v>2</v>
      </c>
      <c r="D51" s="1" t="s">
        <v>0</v>
      </c>
      <c r="E51" s="1">
        <v>22</v>
      </c>
      <c r="F51" s="1" t="s">
        <v>1</v>
      </c>
      <c r="G51" s="1" t="s">
        <v>0</v>
      </c>
      <c r="H51" s="1">
        <v>15</v>
      </c>
      <c r="I51" s="1">
        <v>0</v>
      </c>
    </row>
    <row r="52" spans="1:9" x14ac:dyDescent="0.3">
      <c r="A52" s="1">
        <v>2</v>
      </c>
      <c r="B52" s="1">
        <v>1</v>
      </c>
      <c r="C52" s="1" t="s">
        <v>2</v>
      </c>
      <c r="D52" s="1" t="s">
        <v>0</v>
      </c>
      <c r="E52" s="1">
        <v>0</v>
      </c>
      <c r="F52" s="1" t="s">
        <v>1</v>
      </c>
      <c r="G52" s="1" t="s">
        <v>0</v>
      </c>
      <c r="H52" s="1">
        <v>44</v>
      </c>
      <c r="I52" s="1">
        <v>1</v>
      </c>
    </row>
    <row r="53" spans="1:9" x14ac:dyDescent="0.3">
      <c r="A53" s="1">
        <v>2</v>
      </c>
      <c r="B53" s="1">
        <v>1</v>
      </c>
      <c r="C53" s="1" t="s">
        <v>2</v>
      </c>
      <c r="D53" s="1" t="s">
        <v>0</v>
      </c>
      <c r="E53" s="1">
        <v>11</v>
      </c>
      <c r="F53" s="1" t="s">
        <v>1</v>
      </c>
      <c r="G53" s="1" t="s">
        <v>0</v>
      </c>
      <c r="H53" s="1">
        <v>50</v>
      </c>
      <c r="I53" s="1">
        <v>1</v>
      </c>
    </row>
    <row r="54" spans="1:9" x14ac:dyDescent="0.3">
      <c r="A54" s="1">
        <v>2</v>
      </c>
      <c r="B54" s="1">
        <v>1</v>
      </c>
      <c r="C54" s="1" t="s">
        <v>2</v>
      </c>
      <c r="D54" s="1" t="s">
        <v>0</v>
      </c>
      <c r="E54" s="1">
        <v>12</v>
      </c>
      <c r="F54" s="1" t="s">
        <v>1</v>
      </c>
      <c r="G54" s="1" t="s">
        <v>0</v>
      </c>
      <c r="H54" s="1">
        <v>40</v>
      </c>
      <c r="I54" s="1">
        <v>1</v>
      </c>
    </row>
    <row r="55" spans="1:9" x14ac:dyDescent="0.3">
      <c r="A55" s="1">
        <v>2</v>
      </c>
      <c r="B55" s="1">
        <v>1</v>
      </c>
      <c r="C55" s="1" t="s">
        <v>2</v>
      </c>
      <c r="D55" s="1" t="s">
        <v>0</v>
      </c>
      <c r="E55" s="1">
        <v>15</v>
      </c>
      <c r="F55" s="1" t="s">
        <v>1</v>
      </c>
      <c r="G55" s="1" t="s">
        <v>0</v>
      </c>
      <c r="H55" s="1">
        <v>16</v>
      </c>
      <c r="I55" s="1">
        <v>1</v>
      </c>
    </row>
    <row r="56" spans="1:9" x14ac:dyDescent="0.3">
      <c r="A56" s="1">
        <v>2</v>
      </c>
      <c r="B56" s="1">
        <v>1</v>
      </c>
      <c r="C56" s="1" t="s">
        <v>2</v>
      </c>
      <c r="D56" s="1" t="s">
        <v>0</v>
      </c>
      <c r="E56" s="1">
        <v>41</v>
      </c>
      <c r="F56" s="1" t="s">
        <v>1</v>
      </c>
      <c r="G56" s="1" t="s">
        <v>0</v>
      </c>
      <c r="H56" s="1">
        <v>10</v>
      </c>
      <c r="I56" s="1">
        <v>0</v>
      </c>
    </row>
    <row r="57" spans="1:9" x14ac:dyDescent="0.3">
      <c r="A57" s="1">
        <v>2</v>
      </c>
      <c r="B57" s="1">
        <v>1</v>
      </c>
      <c r="C57" s="1" t="s">
        <v>2</v>
      </c>
      <c r="D57" s="1" t="s">
        <v>0</v>
      </c>
      <c r="E57" s="1">
        <v>18</v>
      </c>
      <c r="F57" s="1" t="s">
        <v>1</v>
      </c>
      <c r="G57" s="1" t="s">
        <v>0</v>
      </c>
      <c r="H57" s="1">
        <v>41</v>
      </c>
      <c r="I57" s="1">
        <v>1</v>
      </c>
    </row>
    <row r="58" spans="1:9" x14ac:dyDescent="0.3">
      <c r="A58" s="1">
        <v>2</v>
      </c>
      <c r="B58" s="1">
        <v>1</v>
      </c>
      <c r="C58" s="1" t="s">
        <v>2</v>
      </c>
      <c r="D58" s="1" t="s">
        <v>0</v>
      </c>
      <c r="E58" s="1">
        <v>0</v>
      </c>
      <c r="F58" s="1" t="s">
        <v>1</v>
      </c>
      <c r="G58" s="1" t="s">
        <v>0</v>
      </c>
      <c r="H58" s="1">
        <v>62</v>
      </c>
      <c r="I58" s="1">
        <v>1</v>
      </c>
    </row>
    <row r="59" spans="1:9" x14ac:dyDescent="0.3">
      <c r="A59" s="1">
        <v>2</v>
      </c>
      <c r="B59" s="1">
        <v>1</v>
      </c>
      <c r="C59" s="1" t="s">
        <v>2</v>
      </c>
      <c r="D59" s="1" t="s">
        <v>0</v>
      </c>
      <c r="E59" s="1">
        <v>2</v>
      </c>
      <c r="F59" s="1" t="s">
        <v>1</v>
      </c>
      <c r="G59" s="1" t="s">
        <v>0</v>
      </c>
      <c r="H59" s="1">
        <v>45</v>
      </c>
      <c r="I59" s="1">
        <v>1</v>
      </c>
    </row>
    <row r="60" spans="1:9" x14ac:dyDescent="0.3">
      <c r="A60" s="1">
        <v>2</v>
      </c>
      <c r="B60" s="1">
        <v>1</v>
      </c>
      <c r="C60" s="1" t="s">
        <v>2</v>
      </c>
      <c r="D60" s="1" t="s">
        <v>0</v>
      </c>
      <c r="E60" s="1">
        <v>6</v>
      </c>
      <c r="F60" s="1" t="s">
        <v>1</v>
      </c>
      <c r="G60" s="1" t="s">
        <v>0</v>
      </c>
      <c r="H60" s="1">
        <v>34</v>
      </c>
      <c r="I60" s="1">
        <v>1</v>
      </c>
    </row>
    <row r="61" spans="1:9" x14ac:dyDescent="0.3">
      <c r="A61" s="1">
        <v>2</v>
      </c>
      <c r="B61" s="1">
        <v>1</v>
      </c>
      <c r="C61" s="1" t="s">
        <v>2</v>
      </c>
      <c r="D61" s="1" t="s">
        <v>0</v>
      </c>
      <c r="E61" s="1">
        <v>49</v>
      </c>
      <c r="F61" s="1" t="s">
        <v>1</v>
      </c>
      <c r="G61" s="1" t="s">
        <v>0</v>
      </c>
      <c r="H61" s="1">
        <v>9</v>
      </c>
      <c r="I61" s="1">
        <v>0</v>
      </c>
    </row>
    <row r="62" spans="1:9" x14ac:dyDescent="0.3">
      <c r="A62" s="1">
        <v>2</v>
      </c>
      <c r="B62" s="1">
        <v>1</v>
      </c>
      <c r="C62" s="1" t="s">
        <v>2</v>
      </c>
      <c r="D62" s="1" t="s">
        <v>0</v>
      </c>
      <c r="E62" s="1">
        <v>0</v>
      </c>
      <c r="F62" s="1" t="s">
        <v>1</v>
      </c>
      <c r="G62" s="1" t="s">
        <v>0</v>
      </c>
      <c r="H62" s="1">
        <v>46</v>
      </c>
      <c r="I62" s="1">
        <v>1</v>
      </c>
    </row>
    <row r="63" spans="1:9" x14ac:dyDescent="0.3">
      <c r="A63" s="1">
        <v>2</v>
      </c>
      <c r="B63" s="1">
        <v>1</v>
      </c>
      <c r="C63" s="1" t="s">
        <v>2</v>
      </c>
      <c r="D63" s="1" t="s">
        <v>0</v>
      </c>
      <c r="E63" s="1">
        <v>16</v>
      </c>
      <c r="F63" s="1" t="s">
        <v>1</v>
      </c>
      <c r="G63" s="1" t="s">
        <v>0</v>
      </c>
      <c r="H63" s="1">
        <v>21</v>
      </c>
      <c r="I63" s="1">
        <v>1</v>
      </c>
    </row>
    <row r="64" spans="1:9" x14ac:dyDescent="0.3">
      <c r="A64" s="1">
        <v>2</v>
      </c>
      <c r="B64" s="1">
        <v>1</v>
      </c>
      <c r="C64" s="1" t="s">
        <v>2</v>
      </c>
      <c r="D64" s="1" t="s">
        <v>0</v>
      </c>
      <c r="E64" s="1">
        <v>0</v>
      </c>
      <c r="F64" s="1" t="s">
        <v>1</v>
      </c>
      <c r="G64" s="1" t="s">
        <v>0</v>
      </c>
      <c r="H64" s="1">
        <v>25</v>
      </c>
      <c r="I64" s="1">
        <v>1</v>
      </c>
    </row>
    <row r="65" spans="1:9" x14ac:dyDescent="0.3">
      <c r="A65" s="1">
        <v>2</v>
      </c>
      <c r="B65" s="1">
        <v>1</v>
      </c>
      <c r="C65" s="1" t="s">
        <v>2</v>
      </c>
      <c r="D65" s="1" t="s">
        <v>0</v>
      </c>
      <c r="E65" s="1">
        <v>9</v>
      </c>
      <c r="F65" s="1" t="s">
        <v>1</v>
      </c>
      <c r="G65" s="1" t="s">
        <v>0</v>
      </c>
      <c r="H65" s="1">
        <v>54</v>
      </c>
      <c r="I65" s="1">
        <v>1</v>
      </c>
    </row>
    <row r="66" spans="1:9" x14ac:dyDescent="0.3">
      <c r="A66" s="1">
        <v>2</v>
      </c>
      <c r="B66" s="1">
        <v>1</v>
      </c>
      <c r="C66" s="1" t="s">
        <v>2</v>
      </c>
      <c r="D66" s="1" t="s">
        <v>0</v>
      </c>
      <c r="E66" s="1">
        <v>7</v>
      </c>
      <c r="F66" s="1" t="s">
        <v>1</v>
      </c>
      <c r="G66" s="1" t="s">
        <v>0</v>
      </c>
      <c r="H66" s="1">
        <v>42</v>
      </c>
      <c r="I66" s="1">
        <v>1</v>
      </c>
    </row>
    <row r="67" spans="1:9" x14ac:dyDescent="0.3">
      <c r="A67" s="1">
        <v>2</v>
      </c>
      <c r="B67" s="1">
        <v>1</v>
      </c>
      <c r="C67" s="1" t="s">
        <v>2</v>
      </c>
      <c r="D67" s="1" t="s">
        <v>0</v>
      </c>
      <c r="E67" s="1">
        <v>13</v>
      </c>
      <c r="F67" s="1" t="s">
        <v>1</v>
      </c>
      <c r="G67" s="1" t="s">
        <v>0</v>
      </c>
      <c r="H67" s="1">
        <v>6</v>
      </c>
      <c r="I67" s="1">
        <v>0</v>
      </c>
    </row>
    <row r="68" spans="1:9" x14ac:dyDescent="0.3">
      <c r="A68" s="1">
        <v>2</v>
      </c>
      <c r="B68" s="1">
        <v>1</v>
      </c>
      <c r="C68" s="1" t="s">
        <v>2</v>
      </c>
      <c r="D68" s="1" t="s">
        <v>0</v>
      </c>
      <c r="E68" s="1">
        <v>7</v>
      </c>
      <c r="F68" s="1" t="s">
        <v>1</v>
      </c>
      <c r="G68" s="1" t="s">
        <v>0</v>
      </c>
      <c r="H68" s="1">
        <v>36</v>
      </c>
      <c r="I68" s="1">
        <v>1</v>
      </c>
    </row>
    <row r="69" spans="1:9" x14ac:dyDescent="0.3">
      <c r="A69" s="1">
        <v>2</v>
      </c>
      <c r="B69" s="1">
        <v>1</v>
      </c>
      <c r="C69" s="1" t="s">
        <v>2</v>
      </c>
      <c r="D69" s="1" t="s">
        <v>0</v>
      </c>
      <c r="E69" s="1">
        <v>3</v>
      </c>
      <c r="F69" s="1" t="s">
        <v>1</v>
      </c>
      <c r="G69" s="1" t="s">
        <v>0</v>
      </c>
      <c r="H69" s="1">
        <v>19</v>
      </c>
      <c r="I69" s="1">
        <v>1</v>
      </c>
    </row>
    <row r="70" spans="1:9" x14ac:dyDescent="0.3">
      <c r="A70" s="1">
        <v>2</v>
      </c>
      <c r="B70" s="1">
        <v>1</v>
      </c>
      <c r="C70" s="1" t="s">
        <v>2</v>
      </c>
      <c r="D70" s="1" t="s">
        <v>0</v>
      </c>
      <c r="E70" s="1">
        <v>1</v>
      </c>
      <c r="F70" s="1" t="s">
        <v>1</v>
      </c>
      <c r="G70" s="1" t="s">
        <v>0</v>
      </c>
      <c r="H70" s="1">
        <v>25</v>
      </c>
      <c r="I70" s="1">
        <v>1</v>
      </c>
    </row>
    <row r="71" spans="1:9" x14ac:dyDescent="0.3">
      <c r="A71" s="1">
        <v>2</v>
      </c>
      <c r="B71" s="1">
        <v>1</v>
      </c>
      <c r="C71" s="1" t="s">
        <v>2</v>
      </c>
      <c r="D71" s="1" t="s">
        <v>0</v>
      </c>
      <c r="E71" s="1">
        <v>7</v>
      </c>
      <c r="F71" s="1" t="s">
        <v>1</v>
      </c>
      <c r="G71" s="1" t="s">
        <v>0</v>
      </c>
      <c r="H71" s="1">
        <v>42</v>
      </c>
      <c r="I71" s="1">
        <v>1</v>
      </c>
    </row>
    <row r="72" spans="1:9" x14ac:dyDescent="0.3">
      <c r="A72" s="1">
        <v>2</v>
      </c>
      <c r="B72" s="1">
        <v>1</v>
      </c>
      <c r="C72" s="1" t="s">
        <v>2</v>
      </c>
      <c r="D72" s="1" t="s">
        <v>0</v>
      </c>
      <c r="E72" s="1">
        <v>15</v>
      </c>
      <c r="F72" s="1" t="s">
        <v>1</v>
      </c>
      <c r="G72" s="1" t="s">
        <v>0</v>
      </c>
      <c r="H72" s="1">
        <v>2</v>
      </c>
      <c r="I72" s="1">
        <v>0</v>
      </c>
    </row>
    <row r="73" spans="1:9" x14ac:dyDescent="0.3">
      <c r="A73" s="1">
        <v>2</v>
      </c>
      <c r="B73" s="1">
        <v>1</v>
      </c>
      <c r="C73" s="1" t="s">
        <v>2</v>
      </c>
      <c r="D73" s="1" t="s">
        <v>0</v>
      </c>
      <c r="E73" s="1">
        <v>8</v>
      </c>
      <c r="F73" s="1" t="s">
        <v>1</v>
      </c>
      <c r="G73" s="1" t="s">
        <v>0</v>
      </c>
      <c r="H73" s="1">
        <v>34</v>
      </c>
      <c r="I73" s="1">
        <v>1</v>
      </c>
    </row>
    <row r="74" spans="1:9" x14ac:dyDescent="0.3">
      <c r="A74" s="1">
        <v>2</v>
      </c>
      <c r="B74" s="1">
        <v>1</v>
      </c>
      <c r="C74" s="1" t="s">
        <v>2</v>
      </c>
      <c r="D74" s="1" t="s">
        <v>0</v>
      </c>
      <c r="E74" s="1">
        <v>11</v>
      </c>
      <c r="F74" s="1" t="s">
        <v>1</v>
      </c>
      <c r="G74" s="1" t="s">
        <v>0</v>
      </c>
      <c r="H74" s="1">
        <v>52</v>
      </c>
      <c r="I74" s="1">
        <v>1</v>
      </c>
    </row>
    <row r="75" spans="1:9" x14ac:dyDescent="0.3">
      <c r="A75" s="1">
        <v>2</v>
      </c>
      <c r="B75" s="1">
        <v>1</v>
      </c>
      <c r="C75" s="1" t="s">
        <v>2</v>
      </c>
      <c r="D75" s="1" t="s">
        <v>0</v>
      </c>
      <c r="E75" s="1">
        <v>2</v>
      </c>
      <c r="F75" s="1" t="s">
        <v>1</v>
      </c>
      <c r="G75" s="1" t="s">
        <v>0</v>
      </c>
      <c r="H75" s="1">
        <v>45</v>
      </c>
      <c r="I75" s="1">
        <v>1</v>
      </c>
    </row>
    <row r="76" spans="1:9" x14ac:dyDescent="0.3">
      <c r="A76" s="1">
        <v>2</v>
      </c>
      <c r="B76" s="1">
        <v>1</v>
      </c>
      <c r="C76" s="1" t="s">
        <v>2</v>
      </c>
      <c r="D76" s="1" t="s">
        <v>0</v>
      </c>
      <c r="E76" s="1">
        <v>29</v>
      </c>
      <c r="F76" s="1" t="s">
        <v>1</v>
      </c>
      <c r="G76" s="1" t="s">
        <v>0</v>
      </c>
      <c r="H76" s="1">
        <v>47</v>
      </c>
      <c r="I76" s="1">
        <v>1</v>
      </c>
    </row>
    <row r="77" spans="1:9" x14ac:dyDescent="0.3">
      <c r="A77" s="1">
        <v>2</v>
      </c>
      <c r="B77" s="1">
        <v>1</v>
      </c>
      <c r="C77" s="1" t="s">
        <v>2</v>
      </c>
      <c r="D77" s="1" t="s">
        <v>0</v>
      </c>
      <c r="E77" s="1">
        <v>6</v>
      </c>
      <c r="F77" s="1" t="s">
        <v>1</v>
      </c>
      <c r="G77" s="1" t="s">
        <v>0</v>
      </c>
      <c r="H77" s="1">
        <v>14</v>
      </c>
      <c r="I77" s="1">
        <v>1</v>
      </c>
    </row>
    <row r="78" spans="1:9" x14ac:dyDescent="0.3">
      <c r="A78" s="1">
        <v>2</v>
      </c>
      <c r="B78" s="1">
        <v>1</v>
      </c>
      <c r="C78" s="1" t="s">
        <v>2</v>
      </c>
      <c r="D78" s="1" t="s">
        <v>0</v>
      </c>
      <c r="E78" s="1">
        <v>29</v>
      </c>
      <c r="F78" s="1" t="s">
        <v>1</v>
      </c>
      <c r="G78" s="1" t="s">
        <v>0</v>
      </c>
      <c r="H78" s="1">
        <v>41</v>
      </c>
      <c r="I78" s="1">
        <v>1</v>
      </c>
    </row>
    <row r="79" spans="1:9" x14ac:dyDescent="0.3">
      <c r="A79" s="1">
        <v>2</v>
      </c>
      <c r="B79" s="1">
        <v>1</v>
      </c>
      <c r="C79" s="1" t="s">
        <v>2</v>
      </c>
      <c r="D79" s="1" t="s">
        <v>0</v>
      </c>
      <c r="E79" s="1">
        <v>2</v>
      </c>
      <c r="F79" s="1" t="s">
        <v>1</v>
      </c>
      <c r="G79" s="1" t="s">
        <v>0</v>
      </c>
      <c r="H79" s="1">
        <v>50</v>
      </c>
      <c r="I79" s="1">
        <v>1</v>
      </c>
    </row>
    <row r="80" spans="1:9" x14ac:dyDescent="0.3">
      <c r="A80" s="1">
        <v>2</v>
      </c>
      <c r="B80" s="1">
        <v>1</v>
      </c>
      <c r="C80" s="1" t="s">
        <v>2</v>
      </c>
      <c r="D80" s="1" t="s">
        <v>0</v>
      </c>
      <c r="E80" s="1">
        <v>0</v>
      </c>
      <c r="F80" s="1" t="s">
        <v>1</v>
      </c>
      <c r="G80" s="1" t="s">
        <v>0</v>
      </c>
      <c r="H80" s="1">
        <v>43</v>
      </c>
      <c r="I80" s="1">
        <v>1</v>
      </c>
    </row>
    <row r="81" spans="1:9" x14ac:dyDescent="0.3">
      <c r="A81" s="1">
        <v>2</v>
      </c>
      <c r="B81" s="1">
        <v>1</v>
      </c>
      <c r="C81" s="1" t="s">
        <v>2</v>
      </c>
      <c r="D81" s="1" t="s">
        <v>0</v>
      </c>
      <c r="E81" s="1">
        <v>22</v>
      </c>
      <c r="F81" s="1" t="s">
        <v>1</v>
      </c>
      <c r="G81" s="1" t="s">
        <v>0</v>
      </c>
      <c r="H81" s="1">
        <v>15</v>
      </c>
      <c r="I81" s="1">
        <v>0</v>
      </c>
    </row>
    <row r="82" spans="1:9" x14ac:dyDescent="0.3">
      <c r="A82" s="1">
        <v>2</v>
      </c>
      <c r="B82" s="1">
        <v>1</v>
      </c>
      <c r="C82" s="1" t="s">
        <v>2</v>
      </c>
      <c r="D82" s="1" t="s">
        <v>0</v>
      </c>
      <c r="E82" s="1">
        <v>7</v>
      </c>
      <c r="F82" s="1" t="s">
        <v>1</v>
      </c>
      <c r="G82" s="1" t="s">
        <v>0</v>
      </c>
      <c r="H82" s="1">
        <v>19</v>
      </c>
      <c r="I82" s="1">
        <v>1</v>
      </c>
    </row>
    <row r="83" spans="1:9" x14ac:dyDescent="0.3">
      <c r="A83" s="1">
        <v>2</v>
      </c>
      <c r="B83" s="1">
        <v>1</v>
      </c>
      <c r="C83" s="1" t="s">
        <v>2</v>
      </c>
      <c r="D83" s="1" t="s">
        <v>0</v>
      </c>
      <c r="E83" s="1">
        <v>4</v>
      </c>
      <c r="F83" s="1" t="s">
        <v>1</v>
      </c>
      <c r="G83" s="1" t="s">
        <v>0</v>
      </c>
      <c r="H83" s="1">
        <v>42</v>
      </c>
      <c r="I83" s="1">
        <v>1</v>
      </c>
    </row>
    <row r="84" spans="1:9" x14ac:dyDescent="0.3">
      <c r="A84" s="1">
        <v>2</v>
      </c>
      <c r="B84" s="1">
        <v>1</v>
      </c>
      <c r="C84" s="1" t="s">
        <v>2</v>
      </c>
      <c r="D84" s="1" t="s">
        <v>0</v>
      </c>
      <c r="E84" s="1">
        <v>2</v>
      </c>
      <c r="F84" s="1" t="s">
        <v>1</v>
      </c>
      <c r="G84" s="1" t="s">
        <v>0</v>
      </c>
      <c r="H84" s="1">
        <v>11</v>
      </c>
      <c r="I84" s="1">
        <v>1</v>
      </c>
    </row>
    <row r="85" spans="1:9" x14ac:dyDescent="0.3">
      <c r="A85" s="1">
        <v>2</v>
      </c>
      <c r="B85" s="1">
        <v>1</v>
      </c>
      <c r="C85" s="1" t="s">
        <v>2</v>
      </c>
      <c r="D85" s="1" t="s">
        <v>0</v>
      </c>
      <c r="E85" s="1">
        <v>2</v>
      </c>
      <c r="F85" s="1" t="s">
        <v>1</v>
      </c>
      <c r="G85" s="1" t="s">
        <v>0</v>
      </c>
      <c r="H85" s="1">
        <v>21</v>
      </c>
      <c r="I85" s="1">
        <v>1</v>
      </c>
    </row>
    <row r="86" spans="1:9" x14ac:dyDescent="0.3">
      <c r="A86" s="1">
        <v>2</v>
      </c>
      <c r="B86" s="1">
        <v>1</v>
      </c>
      <c r="C86" s="1" t="s">
        <v>2</v>
      </c>
      <c r="D86" s="1" t="s">
        <v>0</v>
      </c>
      <c r="E86" s="1">
        <v>0</v>
      </c>
      <c r="F86" s="1" t="s">
        <v>1</v>
      </c>
      <c r="G86" s="1" t="s">
        <v>0</v>
      </c>
      <c r="H86" s="1">
        <v>29</v>
      </c>
      <c r="I86" s="1">
        <v>1</v>
      </c>
    </row>
    <row r="87" spans="1:9" x14ac:dyDescent="0.3">
      <c r="A87" s="1">
        <v>2</v>
      </c>
      <c r="B87" s="1">
        <v>1</v>
      </c>
      <c r="C87" s="1" t="s">
        <v>2</v>
      </c>
      <c r="D87" s="1" t="s">
        <v>0</v>
      </c>
      <c r="E87" s="1">
        <v>2</v>
      </c>
      <c r="F87" s="1" t="s">
        <v>1</v>
      </c>
      <c r="G87" s="1" t="s">
        <v>0</v>
      </c>
      <c r="H87" s="1">
        <v>53</v>
      </c>
      <c r="I87" s="1">
        <v>1</v>
      </c>
    </row>
    <row r="88" spans="1:9" x14ac:dyDescent="0.3">
      <c r="A88" s="1">
        <v>2</v>
      </c>
      <c r="B88" s="1">
        <v>1</v>
      </c>
      <c r="C88" s="1" t="s">
        <v>2</v>
      </c>
      <c r="D88" s="1" t="s">
        <v>0</v>
      </c>
      <c r="E88" s="1">
        <v>2</v>
      </c>
      <c r="F88" s="1" t="s">
        <v>1</v>
      </c>
      <c r="G88" s="1" t="s">
        <v>0</v>
      </c>
      <c r="H88" s="1">
        <v>78</v>
      </c>
      <c r="I88" s="1">
        <v>1</v>
      </c>
    </row>
    <row r="89" spans="1:9" x14ac:dyDescent="0.3">
      <c r="A89" s="1">
        <v>2</v>
      </c>
      <c r="B89" s="1">
        <v>1</v>
      </c>
      <c r="C89" s="1" t="s">
        <v>2</v>
      </c>
      <c r="D89" s="1" t="s">
        <v>0</v>
      </c>
      <c r="E89" s="1">
        <v>0</v>
      </c>
      <c r="F89" s="1" t="s">
        <v>1</v>
      </c>
      <c r="G89" s="1" t="s">
        <v>0</v>
      </c>
      <c r="H89" s="1">
        <v>47</v>
      </c>
      <c r="I89" s="1">
        <v>1</v>
      </c>
    </row>
    <row r="90" spans="1:9" x14ac:dyDescent="0.3">
      <c r="A90" s="1">
        <v>2</v>
      </c>
      <c r="B90" s="1">
        <v>1</v>
      </c>
      <c r="C90" s="1" t="s">
        <v>2</v>
      </c>
      <c r="D90" s="1" t="s">
        <v>0</v>
      </c>
      <c r="E90" s="1">
        <v>42</v>
      </c>
      <c r="F90" s="1" t="s">
        <v>1</v>
      </c>
      <c r="G90" s="1" t="s">
        <v>0</v>
      </c>
      <c r="H90" s="1">
        <v>29</v>
      </c>
      <c r="I90" s="1">
        <v>0</v>
      </c>
    </row>
    <row r="91" spans="1:9" x14ac:dyDescent="0.3">
      <c r="A91" s="1">
        <v>2</v>
      </c>
      <c r="B91" s="1">
        <v>1</v>
      </c>
      <c r="C91" s="1" t="s">
        <v>2</v>
      </c>
      <c r="D91" s="1" t="s">
        <v>0</v>
      </c>
      <c r="E91" s="1">
        <v>2</v>
      </c>
      <c r="F91" s="1" t="s">
        <v>1</v>
      </c>
      <c r="G91" s="1" t="s">
        <v>0</v>
      </c>
      <c r="H91" s="1">
        <v>54</v>
      </c>
      <c r="I91" s="1">
        <v>1</v>
      </c>
    </row>
    <row r="92" spans="1:9" x14ac:dyDescent="0.3">
      <c r="A92" s="1">
        <v>2</v>
      </c>
      <c r="B92" s="1">
        <v>1</v>
      </c>
      <c r="C92" s="1" t="s">
        <v>2</v>
      </c>
      <c r="D92" s="1" t="s">
        <v>0</v>
      </c>
      <c r="E92" s="1">
        <v>7</v>
      </c>
      <c r="F92" s="1" t="s">
        <v>1</v>
      </c>
      <c r="G92" s="1" t="s">
        <v>0</v>
      </c>
      <c r="H92" s="1">
        <v>58</v>
      </c>
      <c r="I92" s="1">
        <v>1</v>
      </c>
    </row>
    <row r="93" spans="1:9" x14ac:dyDescent="0.3">
      <c r="A93" s="1">
        <v>2</v>
      </c>
      <c r="B93" s="1">
        <v>1</v>
      </c>
      <c r="C93" s="1" t="s">
        <v>2</v>
      </c>
      <c r="D93" s="1" t="s">
        <v>0</v>
      </c>
      <c r="E93" s="1">
        <v>5</v>
      </c>
      <c r="F93" s="1" t="s">
        <v>1</v>
      </c>
      <c r="G93" s="1" t="s">
        <v>0</v>
      </c>
      <c r="H93" s="1">
        <v>53</v>
      </c>
      <c r="I93" s="1">
        <v>1</v>
      </c>
    </row>
    <row r="94" spans="1:9" x14ac:dyDescent="0.3">
      <c r="A94" s="1">
        <v>2</v>
      </c>
      <c r="B94" s="1">
        <v>1</v>
      </c>
      <c r="C94" s="1" t="s">
        <v>2</v>
      </c>
      <c r="D94" s="1" t="s">
        <v>0</v>
      </c>
      <c r="E94" s="1">
        <v>28</v>
      </c>
      <c r="F94" s="1" t="s">
        <v>1</v>
      </c>
      <c r="G94" s="1" t="s">
        <v>0</v>
      </c>
      <c r="H94" s="1">
        <v>42</v>
      </c>
      <c r="I94" s="1">
        <v>1</v>
      </c>
    </row>
    <row r="95" spans="1:9" x14ac:dyDescent="0.3">
      <c r="A95" s="1">
        <v>2</v>
      </c>
      <c r="B95" s="1">
        <v>1</v>
      </c>
      <c r="C95" s="1" t="s">
        <v>2</v>
      </c>
      <c r="D95" s="1" t="s">
        <v>0</v>
      </c>
      <c r="E95" s="1">
        <v>0</v>
      </c>
      <c r="F95" s="1" t="s">
        <v>1</v>
      </c>
      <c r="G95" s="1" t="s">
        <v>0</v>
      </c>
      <c r="H95" s="1">
        <v>41</v>
      </c>
      <c r="I95" s="1">
        <v>1</v>
      </c>
    </row>
    <row r="96" spans="1:9" x14ac:dyDescent="0.3">
      <c r="A96" s="1">
        <v>2</v>
      </c>
      <c r="B96" s="1">
        <v>1</v>
      </c>
      <c r="C96" s="1" t="s">
        <v>2</v>
      </c>
      <c r="D96" s="1" t="s">
        <v>0</v>
      </c>
      <c r="E96" s="1">
        <v>5</v>
      </c>
      <c r="F96" s="1" t="s">
        <v>1</v>
      </c>
      <c r="G96" s="1" t="s">
        <v>0</v>
      </c>
      <c r="H96" s="1">
        <v>38</v>
      </c>
      <c r="I96" s="1">
        <v>1</v>
      </c>
    </row>
    <row r="97" spans="1:9" x14ac:dyDescent="0.3">
      <c r="A97" s="1">
        <v>2</v>
      </c>
      <c r="B97" s="1">
        <v>1</v>
      </c>
      <c r="C97" s="1" t="s">
        <v>2</v>
      </c>
      <c r="D97" s="1" t="s">
        <v>0</v>
      </c>
      <c r="E97" s="1">
        <v>37</v>
      </c>
      <c r="F97" s="1" t="s">
        <v>1</v>
      </c>
      <c r="G97" s="1" t="s">
        <v>0</v>
      </c>
      <c r="H97" s="1">
        <v>38</v>
      </c>
      <c r="I97" s="1">
        <v>1</v>
      </c>
    </row>
    <row r="98" spans="1:9" x14ac:dyDescent="0.3">
      <c r="A98" s="1">
        <v>2</v>
      </c>
      <c r="B98" s="1">
        <v>1</v>
      </c>
      <c r="C98" s="1" t="s">
        <v>2</v>
      </c>
      <c r="D98" s="1" t="s">
        <v>0</v>
      </c>
      <c r="E98" s="1">
        <v>17</v>
      </c>
      <c r="F98" s="1" t="s">
        <v>1</v>
      </c>
      <c r="G98" s="1" t="s">
        <v>0</v>
      </c>
      <c r="H98" s="1">
        <v>39</v>
      </c>
      <c r="I98" s="1">
        <v>1</v>
      </c>
    </row>
    <row r="99" spans="1:9" x14ac:dyDescent="0.3">
      <c r="A99" s="1">
        <v>2</v>
      </c>
      <c r="B99" s="1">
        <v>1</v>
      </c>
      <c r="C99" s="1" t="s">
        <v>2</v>
      </c>
      <c r="D99" s="1" t="s">
        <v>0</v>
      </c>
      <c r="E99" s="1">
        <v>9</v>
      </c>
      <c r="F99" s="1" t="s">
        <v>1</v>
      </c>
      <c r="G99" s="1" t="s">
        <v>0</v>
      </c>
      <c r="H99" s="1">
        <v>12</v>
      </c>
      <c r="I99" s="1">
        <v>1</v>
      </c>
    </row>
    <row r="100" spans="1:9" x14ac:dyDescent="0.3">
      <c r="A100" s="1">
        <v>2</v>
      </c>
      <c r="B100" s="1">
        <v>1</v>
      </c>
      <c r="C100" s="1" t="s">
        <v>2</v>
      </c>
      <c r="D100" s="1" t="s">
        <v>0</v>
      </c>
      <c r="E100" s="1">
        <v>5</v>
      </c>
      <c r="F100" s="1" t="s">
        <v>1</v>
      </c>
      <c r="G100" s="1" t="s">
        <v>0</v>
      </c>
      <c r="H100" s="1">
        <v>24</v>
      </c>
      <c r="I100" s="1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E400-581D-447F-BECB-5DE0D71E76D3}">
  <dimension ref="A1:T100"/>
  <sheetViews>
    <sheetView topLeftCell="L1" workbookViewId="0">
      <selection activeCell="T2" sqref="T2:T3"/>
    </sheetView>
  </sheetViews>
  <sheetFormatPr defaultRowHeight="14.4" x14ac:dyDescent="0.3"/>
  <cols>
    <col min="1" max="16384" width="8.88671875" style="1"/>
  </cols>
  <sheetData>
    <row r="1" spans="1:20" x14ac:dyDescent="0.3">
      <c r="A1" s="1">
        <v>2</v>
      </c>
      <c r="B1" s="1">
        <v>0</v>
      </c>
      <c r="C1" s="1" t="s">
        <v>2</v>
      </c>
      <c r="D1" s="1" t="s">
        <v>0</v>
      </c>
      <c r="E1" s="1">
        <v>32</v>
      </c>
      <c r="F1" s="1" t="s">
        <v>1</v>
      </c>
      <c r="G1" s="1" t="s">
        <v>0</v>
      </c>
      <c r="H1" s="1">
        <v>17</v>
      </c>
      <c r="I1" s="1">
        <v>0</v>
      </c>
      <c r="K1" s="2"/>
      <c r="L1" s="3"/>
      <c r="M1" s="24" t="s">
        <v>3</v>
      </c>
      <c r="N1" s="24"/>
      <c r="O1" s="19" t="s">
        <v>4</v>
      </c>
      <c r="P1" s="19"/>
      <c r="Q1" s="19" t="s">
        <v>5</v>
      </c>
      <c r="R1" s="19"/>
    </row>
    <row r="2" spans="1:20" x14ac:dyDescent="0.3">
      <c r="A2" s="1">
        <v>2</v>
      </c>
      <c r="B2" s="1">
        <v>0</v>
      </c>
      <c r="C2" s="1" t="s">
        <v>2</v>
      </c>
      <c r="D2" s="1" t="s">
        <v>0</v>
      </c>
      <c r="E2" s="1">
        <v>24</v>
      </c>
      <c r="F2" s="1" t="s">
        <v>1</v>
      </c>
      <c r="G2" s="1" t="s">
        <v>0</v>
      </c>
      <c r="H2" s="1">
        <v>39</v>
      </c>
      <c r="I2" s="1">
        <v>1</v>
      </c>
      <c r="K2" s="4"/>
      <c r="L2" s="5"/>
      <c r="M2" s="24"/>
      <c r="N2" s="24"/>
      <c r="O2" s="19"/>
      <c r="P2" s="19"/>
      <c r="Q2" s="19"/>
      <c r="R2" s="19"/>
      <c r="T2" t="s">
        <v>15</v>
      </c>
    </row>
    <row r="3" spans="1:20" x14ac:dyDescent="0.3">
      <c r="A3" s="1">
        <v>2</v>
      </c>
      <c r="B3" s="1">
        <v>0</v>
      </c>
      <c r="C3" s="1" t="s">
        <v>2</v>
      </c>
      <c r="D3" s="1" t="s">
        <v>0</v>
      </c>
      <c r="E3" s="1">
        <v>23</v>
      </c>
      <c r="F3" s="1" t="s">
        <v>1</v>
      </c>
      <c r="G3" s="1" t="s">
        <v>0</v>
      </c>
      <c r="H3" s="1">
        <v>38</v>
      </c>
      <c r="I3" s="1">
        <v>1</v>
      </c>
      <c r="K3" s="19" t="s">
        <v>6</v>
      </c>
      <c r="L3" s="19"/>
      <c r="M3" s="20">
        <f>COUNTIF($I$1:$I$100, 0)</f>
        <v>21</v>
      </c>
      <c r="N3" s="20"/>
      <c r="O3" s="20">
        <f>COUNTIFS($I$1:$I$100, 0, $B$1:$B$100, 0)</f>
        <v>12</v>
      </c>
      <c r="P3" s="20"/>
      <c r="Q3" s="21">
        <f>COUNTIFS($I$1:$I$100, 0, $B$1:$B$100, 1)</f>
        <v>9</v>
      </c>
      <c r="R3" s="10"/>
      <c r="T3" cm="1">
        <f t="array" ref="T3">SUMPRODUCT(--($E$1:$E$100=$H$1:$H$100))</f>
        <v>0</v>
      </c>
    </row>
    <row r="4" spans="1:20" x14ac:dyDescent="0.3">
      <c r="A4" s="1">
        <v>2</v>
      </c>
      <c r="B4" s="1">
        <v>0</v>
      </c>
      <c r="C4" s="1" t="s">
        <v>2</v>
      </c>
      <c r="D4" s="1" t="s">
        <v>0</v>
      </c>
      <c r="E4" s="1">
        <v>2</v>
      </c>
      <c r="F4" s="1" t="s">
        <v>1</v>
      </c>
      <c r="G4" s="1" t="s">
        <v>0</v>
      </c>
      <c r="H4" s="1">
        <v>30</v>
      </c>
      <c r="I4" s="1">
        <v>1</v>
      </c>
      <c r="K4" s="19"/>
      <c r="L4" s="19"/>
      <c r="M4" s="20"/>
      <c r="N4" s="20"/>
      <c r="O4" s="20"/>
      <c r="P4" s="20"/>
      <c r="Q4" s="20"/>
      <c r="R4" s="12"/>
    </row>
    <row r="5" spans="1:20" x14ac:dyDescent="0.3">
      <c r="A5" s="1">
        <v>2</v>
      </c>
      <c r="B5" s="1">
        <v>0</v>
      </c>
      <c r="C5" s="1" t="s">
        <v>2</v>
      </c>
      <c r="D5" s="1" t="s">
        <v>0</v>
      </c>
      <c r="E5" s="1">
        <v>12</v>
      </c>
      <c r="F5" s="1" t="s">
        <v>1</v>
      </c>
      <c r="G5" s="1" t="s">
        <v>0</v>
      </c>
      <c r="H5" s="1">
        <v>7</v>
      </c>
      <c r="I5" s="1">
        <v>0</v>
      </c>
      <c r="K5" s="19" t="s">
        <v>7</v>
      </c>
      <c r="L5" s="19"/>
      <c r="M5" s="11">
        <f>COUNTIF($I$1:$I$100, 1)</f>
        <v>79</v>
      </c>
      <c r="N5" s="20"/>
      <c r="O5" s="20">
        <f>COUNTIFS($I$1:$I$100, 1, $B$1:$B$100, 0)</f>
        <v>38</v>
      </c>
      <c r="P5" s="20"/>
      <c r="Q5" s="20">
        <f>COUNTIFS($I$1:$I$100, 1, $B$1:$B$100, 1)</f>
        <v>41</v>
      </c>
      <c r="R5" s="12"/>
    </row>
    <row r="6" spans="1:20" x14ac:dyDescent="0.3">
      <c r="A6" s="1">
        <v>2</v>
      </c>
      <c r="B6" s="1">
        <v>0</v>
      </c>
      <c r="C6" s="1" t="s">
        <v>2</v>
      </c>
      <c r="D6" s="1" t="s">
        <v>0</v>
      </c>
      <c r="E6" s="1">
        <v>0</v>
      </c>
      <c r="F6" s="1" t="s">
        <v>1</v>
      </c>
      <c r="G6" s="1" t="s">
        <v>0</v>
      </c>
      <c r="H6" s="1">
        <v>50</v>
      </c>
      <c r="I6" s="1">
        <v>1</v>
      </c>
      <c r="K6" s="19"/>
      <c r="L6" s="19"/>
      <c r="M6" s="13"/>
      <c r="N6" s="22"/>
      <c r="O6" s="22"/>
      <c r="P6" s="22"/>
      <c r="Q6" s="22"/>
      <c r="R6" s="14"/>
    </row>
    <row r="7" spans="1:20" x14ac:dyDescent="0.3">
      <c r="A7" s="1">
        <v>2</v>
      </c>
      <c r="B7" s="1">
        <v>0</v>
      </c>
      <c r="C7" s="1" t="s">
        <v>2</v>
      </c>
      <c r="D7" s="1" t="s">
        <v>0</v>
      </c>
      <c r="E7" s="1">
        <v>24</v>
      </c>
      <c r="F7" s="1" t="s">
        <v>1</v>
      </c>
      <c r="G7" s="1" t="s">
        <v>0</v>
      </c>
      <c r="H7" s="1">
        <v>40</v>
      </c>
      <c r="I7" s="1">
        <v>1</v>
      </c>
      <c r="K7" s="6"/>
      <c r="L7" s="6"/>
      <c r="M7" s="6"/>
      <c r="N7" s="6"/>
      <c r="O7" s="6"/>
      <c r="P7" s="6"/>
      <c r="Q7" s="6"/>
      <c r="R7" s="6"/>
    </row>
    <row r="8" spans="1:20" x14ac:dyDescent="0.3">
      <c r="A8" s="1">
        <v>2</v>
      </c>
      <c r="B8" s="1">
        <v>0</v>
      </c>
      <c r="C8" s="1" t="s">
        <v>2</v>
      </c>
      <c r="D8" s="1" t="s">
        <v>0</v>
      </c>
      <c r="E8" s="1">
        <v>0</v>
      </c>
      <c r="F8" s="1" t="s">
        <v>1</v>
      </c>
      <c r="G8" s="1" t="s">
        <v>0</v>
      </c>
      <c r="H8" s="1">
        <v>25</v>
      </c>
      <c r="I8" s="1">
        <v>1</v>
      </c>
      <c r="K8" s="7"/>
      <c r="L8" s="8"/>
      <c r="M8" s="23" t="s">
        <v>3</v>
      </c>
      <c r="N8" s="23"/>
      <c r="O8" s="23" t="s">
        <v>8</v>
      </c>
      <c r="P8" s="23"/>
      <c r="Q8" s="23" t="s">
        <v>9</v>
      </c>
      <c r="R8" s="23"/>
    </row>
    <row r="9" spans="1:20" x14ac:dyDescent="0.3">
      <c r="A9" s="1">
        <v>2</v>
      </c>
      <c r="B9" s="1">
        <v>0</v>
      </c>
      <c r="C9" s="1" t="s">
        <v>2</v>
      </c>
      <c r="D9" s="1" t="s">
        <v>0</v>
      </c>
      <c r="E9" s="1">
        <v>10</v>
      </c>
      <c r="F9" s="1" t="s">
        <v>1</v>
      </c>
      <c r="G9" s="1" t="s">
        <v>0</v>
      </c>
      <c r="H9" s="1">
        <v>15</v>
      </c>
      <c r="I9" s="1">
        <v>1</v>
      </c>
      <c r="K9" s="4"/>
      <c r="L9" s="5"/>
      <c r="M9" s="23"/>
      <c r="N9" s="23"/>
      <c r="O9" s="23"/>
      <c r="P9" s="23"/>
      <c r="Q9" s="23"/>
      <c r="R9" s="23"/>
    </row>
    <row r="10" spans="1:20" x14ac:dyDescent="0.3">
      <c r="A10" s="1">
        <v>2</v>
      </c>
      <c r="B10" s="1">
        <v>0</v>
      </c>
      <c r="C10" s="1" t="s">
        <v>2</v>
      </c>
      <c r="D10" s="1" t="s">
        <v>0</v>
      </c>
      <c r="E10" s="1">
        <v>52</v>
      </c>
      <c r="F10" s="1" t="s">
        <v>1</v>
      </c>
      <c r="G10" s="1" t="s">
        <v>0</v>
      </c>
      <c r="H10" s="1">
        <v>41</v>
      </c>
      <c r="I10" s="1">
        <v>0</v>
      </c>
      <c r="K10" s="19" t="s">
        <v>10</v>
      </c>
      <c r="L10" s="19"/>
      <c r="M10" s="20">
        <f>AVERAGE($E$1:$E$100,)</f>
        <v>12.158415841584159</v>
      </c>
      <c r="N10" s="20"/>
      <c r="O10" s="20" cm="1">
        <f t="array" ref="O10">AVERAGE(_xlfn._xlws.FILTER($E$1:$E$100,$I$1:$I$100 = 0))</f>
        <v>26.714285714285715</v>
      </c>
      <c r="P10" s="20"/>
      <c r="Q10" s="21" cm="1">
        <f t="array" ref="Q10">AVERAGE(_xlfn._xlws.FILTER($E$1:$E$100,$I$1:$I$100 = 1))</f>
        <v>8.4430379746835449</v>
      </c>
      <c r="R10" s="10"/>
    </row>
    <row r="11" spans="1:20" x14ac:dyDescent="0.3">
      <c r="A11" s="1">
        <v>2</v>
      </c>
      <c r="B11" s="1">
        <v>0</v>
      </c>
      <c r="C11" s="1" t="s">
        <v>2</v>
      </c>
      <c r="D11" s="1" t="s">
        <v>0</v>
      </c>
      <c r="E11" s="1">
        <v>2</v>
      </c>
      <c r="F11" s="1" t="s">
        <v>1</v>
      </c>
      <c r="G11" s="1" t="s">
        <v>0</v>
      </c>
      <c r="H11" s="1">
        <v>58</v>
      </c>
      <c r="I11" s="1">
        <v>1</v>
      </c>
      <c r="K11" s="19"/>
      <c r="L11" s="19"/>
      <c r="M11" s="20"/>
      <c r="N11" s="20"/>
      <c r="O11" s="20"/>
      <c r="P11" s="20"/>
      <c r="Q11" s="20"/>
      <c r="R11" s="12"/>
    </row>
    <row r="12" spans="1:20" x14ac:dyDescent="0.3">
      <c r="A12" s="1">
        <v>2</v>
      </c>
      <c r="B12" s="1">
        <v>0</v>
      </c>
      <c r="C12" s="1" t="s">
        <v>2</v>
      </c>
      <c r="D12" s="1" t="s">
        <v>0</v>
      </c>
      <c r="E12" s="1">
        <v>3</v>
      </c>
      <c r="F12" s="1" t="s">
        <v>1</v>
      </c>
      <c r="G12" s="1" t="s">
        <v>0</v>
      </c>
      <c r="H12" s="1">
        <v>23</v>
      </c>
      <c r="I12" s="1">
        <v>1</v>
      </c>
      <c r="K12" s="19" t="s">
        <v>11</v>
      </c>
      <c r="L12" s="19"/>
      <c r="M12" s="20">
        <f>AVERAGE($H$1:$H$100,)</f>
        <v>28.009900990099009</v>
      </c>
      <c r="N12" s="20"/>
      <c r="O12" s="20" cm="1">
        <f t="array" ref="O12">AVERAGE(_xlfn._xlws.FILTER($H$1:$H$100,$I$1:$I$100 = 0))</f>
        <v>13.952380952380953</v>
      </c>
      <c r="P12" s="20"/>
      <c r="Q12" s="20" cm="1">
        <f t="array" ref="Q12">AVERAGE(_xlfn._xlws.FILTER($H$1:$H$100,$I$1:$I$100 = 1))</f>
        <v>32.101265822784811</v>
      </c>
      <c r="R12" s="12"/>
    </row>
    <row r="13" spans="1:20" x14ac:dyDescent="0.3">
      <c r="A13" s="1">
        <v>2</v>
      </c>
      <c r="B13" s="1">
        <v>0</v>
      </c>
      <c r="C13" s="1" t="s">
        <v>2</v>
      </c>
      <c r="D13" s="1" t="s">
        <v>0</v>
      </c>
      <c r="E13" s="1">
        <v>13</v>
      </c>
      <c r="F13" s="1" t="s">
        <v>1</v>
      </c>
      <c r="G13" s="1" t="s">
        <v>0</v>
      </c>
      <c r="H13" s="1">
        <v>40</v>
      </c>
      <c r="I13" s="1">
        <v>1</v>
      </c>
      <c r="K13" s="19"/>
      <c r="L13" s="19"/>
      <c r="M13" s="20"/>
      <c r="N13" s="20"/>
      <c r="O13" s="20"/>
      <c r="P13" s="20"/>
      <c r="Q13" s="20"/>
      <c r="R13" s="12"/>
    </row>
    <row r="14" spans="1:20" x14ac:dyDescent="0.3">
      <c r="A14" s="1">
        <v>2</v>
      </c>
      <c r="B14" s="1">
        <v>0</v>
      </c>
      <c r="C14" s="1" t="s">
        <v>2</v>
      </c>
      <c r="D14" s="1" t="s">
        <v>0</v>
      </c>
      <c r="E14" s="1">
        <v>1</v>
      </c>
      <c r="F14" s="1" t="s">
        <v>1</v>
      </c>
      <c r="G14" s="1" t="s">
        <v>0</v>
      </c>
      <c r="H14" s="1">
        <v>25</v>
      </c>
      <c r="I14" s="1">
        <v>1</v>
      </c>
      <c r="K14" s="9" t="s">
        <v>12</v>
      </c>
      <c r="L14" s="10"/>
      <c r="M14" s="15" cm="1">
        <f t="array" ref="M14">AVERAGE($E$1:$E$100 - $H$1:$H$100)</f>
        <v>-16.010000000000002</v>
      </c>
      <c r="N14" s="15"/>
      <c r="O14" s="15" cm="1">
        <f t="array" ref="O14">AVERAGE(_xlfn._xlws.FILTER($E$1:$E$100 - $H$1:$H$100, I$1:I$100 = 0))</f>
        <v>12.761904761904763</v>
      </c>
      <c r="P14" s="15"/>
      <c r="Q14" s="15" cm="1">
        <f t="array" ref="Q14">AVERAGE(_xlfn._xlws.FILTER($E$1:$E$100 - $H$1:$H$100, I$1:I$100 = 1))</f>
        <v>-23.658227848101266</v>
      </c>
      <c r="R14" s="17"/>
    </row>
    <row r="15" spans="1:20" x14ac:dyDescent="0.3">
      <c r="A15" s="1">
        <v>2</v>
      </c>
      <c r="B15" s="1">
        <v>0</v>
      </c>
      <c r="C15" s="1" t="s">
        <v>2</v>
      </c>
      <c r="D15" s="1" t="s">
        <v>0</v>
      </c>
      <c r="E15" s="1">
        <v>2</v>
      </c>
      <c r="F15" s="1" t="s">
        <v>1</v>
      </c>
      <c r="G15" s="1" t="s">
        <v>0</v>
      </c>
      <c r="H15" s="1">
        <v>30</v>
      </c>
      <c r="I15" s="1">
        <v>1</v>
      </c>
      <c r="K15" s="11"/>
      <c r="L15" s="12"/>
      <c r="M15" s="15"/>
      <c r="N15" s="15"/>
      <c r="O15" s="15"/>
      <c r="P15" s="15"/>
      <c r="Q15" s="15"/>
      <c r="R15" s="17"/>
    </row>
    <row r="16" spans="1:20" x14ac:dyDescent="0.3">
      <c r="A16" s="1">
        <v>2</v>
      </c>
      <c r="B16" s="1">
        <v>0</v>
      </c>
      <c r="C16" s="1" t="s">
        <v>2</v>
      </c>
      <c r="D16" s="1" t="s">
        <v>0</v>
      </c>
      <c r="E16" s="1">
        <v>26</v>
      </c>
      <c r="F16" s="1" t="s">
        <v>1</v>
      </c>
      <c r="G16" s="1" t="s">
        <v>0</v>
      </c>
      <c r="H16" s="1">
        <v>11</v>
      </c>
      <c r="I16" s="1">
        <v>0</v>
      </c>
      <c r="K16" s="13"/>
      <c r="L16" s="14"/>
      <c r="M16" s="16"/>
      <c r="N16" s="16"/>
      <c r="O16" s="16"/>
      <c r="P16" s="16"/>
      <c r="Q16" s="16"/>
      <c r="R16" s="18"/>
    </row>
    <row r="17" spans="1:9" x14ac:dyDescent="0.3">
      <c r="A17" s="1">
        <v>2</v>
      </c>
      <c r="B17" s="1">
        <v>0</v>
      </c>
      <c r="C17" s="1" t="s">
        <v>2</v>
      </c>
      <c r="D17" s="1" t="s">
        <v>0</v>
      </c>
      <c r="E17" s="1">
        <v>2</v>
      </c>
      <c r="F17" s="1" t="s">
        <v>1</v>
      </c>
      <c r="G17" s="1" t="s">
        <v>0</v>
      </c>
      <c r="H17" s="1">
        <v>33</v>
      </c>
      <c r="I17" s="1">
        <v>1</v>
      </c>
    </row>
    <row r="18" spans="1:9" x14ac:dyDescent="0.3">
      <c r="A18" s="1">
        <v>2</v>
      </c>
      <c r="B18" s="1">
        <v>0</v>
      </c>
      <c r="C18" s="1" t="s">
        <v>2</v>
      </c>
      <c r="D18" s="1" t="s">
        <v>0</v>
      </c>
      <c r="E18" s="1">
        <v>4</v>
      </c>
      <c r="F18" s="1" t="s">
        <v>1</v>
      </c>
      <c r="G18" s="1" t="s">
        <v>0</v>
      </c>
      <c r="H18" s="1">
        <v>24</v>
      </c>
      <c r="I18" s="1">
        <v>1</v>
      </c>
    </row>
    <row r="19" spans="1:9" x14ac:dyDescent="0.3">
      <c r="A19" s="1">
        <v>2</v>
      </c>
      <c r="B19" s="1">
        <v>0</v>
      </c>
      <c r="C19" s="1" t="s">
        <v>2</v>
      </c>
      <c r="D19" s="1" t="s">
        <v>0</v>
      </c>
      <c r="E19" s="1">
        <v>17</v>
      </c>
      <c r="F19" s="1" t="s">
        <v>1</v>
      </c>
      <c r="G19" s="1" t="s">
        <v>0</v>
      </c>
      <c r="H19" s="1">
        <v>37</v>
      </c>
      <c r="I19" s="1">
        <v>1</v>
      </c>
    </row>
    <row r="20" spans="1:9" x14ac:dyDescent="0.3">
      <c r="A20" s="1">
        <v>2</v>
      </c>
      <c r="B20" s="1">
        <v>0</v>
      </c>
      <c r="C20" s="1" t="s">
        <v>2</v>
      </c>
      <c r="D20" s="1" t="s">
        <v>0</v>
      </c>
      <c r="E20" s="1">
        <v>21</v>
      </c>
      <c r="F20" s="1" t="s">
        <v>1</v>
      </c>
      <c r="G20" s="1" t="s">
        <v>0</v>
      </c>
      <c r="H20" s="1">
        <v>13</v>
      </c>
      <c r="I20" s="1">
        <v>0</v>
      </c>
    </row>
    <row r="21" spans="1:9" x14ac:dyDescent="0.3">
      <c r="A21" s="1">
        <v>2</v>
      </c>
      <c r="B21" s="1">
        <v>0</v>
      </c>
      <c r="C21" s="1" t="s">
        <v>2</v>
      </c>
      <c r="D21" s="1" t="s">
        <v>0</v>
      </c>
      <c r="E21" s="1">
        <v>2</v>
      </c>
      <c r="F21" s="1" t="s">
        <v>1</v>
      </c>
      <c r="G21" s="1" t="s">
        <v>0</v>
      </c>
      <c r="H21" s="1">
        <v>13</v>
      </c>
      <c r="I21" s="1">
        <v>1</v>
      </c>
    </row>
    <row r="22" spans="1:9" x14ac:dyDescent="0.3">
      <c r="A22" s="1">
        <v>2</v>
      </c>
      <c r="B22" s="1">
        <v>0</v>
      </c>
      <c r="C22" s="1" t="s">
        <v>2</v>
      </c>
      <c r="D22" s="1" t="s">
        <v>0</v>
      </c>
      <c r="E22" s="1">
        <v>17</v>
      </c>
      <c r="F22" s="1" t="s">
        <v>1</v>
      </c>
      <c r="G22" s="1" t="s">
        <v>0</v>
      </c>
      <c r="H22" s="1">
        <v>2</v>
      </c>
      <c r="I22" s="1">
        <v>0</v>
      </c>
    </row>
    <row r="23" spans="1:9" x14ac:dyDescent="0.3">
      <c r="A23" s="1">
        <v>2</v>
      </c>
      <c r="B23" s="1">
        <v>0</v>
      </c>
      <c r="C23" s="1" t="s">
        <v>2</v>
      </c>
      <c r="D23" s="1" t="s">
        <v>0</v>
      </c>
      <c r="E23" s="1">
        <v>45</v>
      </c>
      <c r="F23" s="1" t="s">
        <v>1</v>
      </c>
      <c r="G23" s="1" t="s">
        <v>0</v>
      </c>
      <c r="H23" s="1">
        <v>0</v>
      </c>
      <c r="I23" s="1">
        <v>0</v>
      </c>
    </row>
    <row r="24" spans="1:9" x14ac:dyDescent="0.3">
      <c r="A24" s="1">
        <v>2</v>
      </c>
      <c r="B24" s="1">
        <v>0</v>
      </c>
      <c r="C24" s="1" t="s">
        <v>2</v>
      </c>
      <c r="D24" s="1" t="s">
        <v>0</v>
      </c>
      <c r="E24" s="1">
        <v>2</v>
      </c>
      <c r="F24" s="1" t="s">
        <v>1</v>
      </c>
      <c r="G24" s="1" t="s">
        <v>0</v>
      </c>
      <c r="H24" s="1">
        <v>39</v>
      </c>
      <c r="I24" s="1">
        <v>1</v>
      </c>
    </row>
    <row r="25" spans="1:9" x14ac:dyDescent="0.3">
      <c r="A25" s="1">
        <v>2</v>
      </c>
      <c r="B25" s="1">
        <v>0</v>
      </c>
      <c r="C25" s="1" t="s">
        <v>2</v>
      </c>
      <c r="D25" s="1" t="s">
        <v>0</v>
      </c>
      <c r="E25" s="1">
        <v>0</v>
      </c>
      <c r="F25" s="1" t="s">
        <v>1</v>
      </c>
      <c r="G25" s="1" t="s">
        <v>0</v>
      </c>
      <c r="H25" s="1">
        <v>33</v>
      </c>
      <c r="I25" s="1">
        <v>1</v>
      </c>
    </row>
    <row r="26" spans="1:9" x14ac:dyDescent="0.3">
      <c r="A26" s="1">
        <v>2</v>
      </c>
      <c r="B26" s="1">
        <v>0</v>
      </c>
      <c r="C26" s="1" t="s">
        <v>2</v>
      </c>
      <c r="D26" s="1" t="s">
        <v>0</v>
      </c>
      <c r="E26" s="1">
        <v>9</v>
      </c>
      <c r="F26" s="1" t="s">
        <v>1</v>
      </c>
      <c r="G26" s="1" t="s">
        <v>0</v>
      </c>
      <c r="H26" s="1">
        <v>17</v>
      </c>
      <c r="I26" s="1">
        <v>1</v>
      </c>
    </row>
    <row r="27" spans="1:9" x14ac:dyDescent="0.3">
      <c r="A27" s="1">
        <v>2</v>
      </c>
      <c r="B27" s="1">
        <v>0</v>
      </c>
      <c r="C27" s="1" t="s">
        <v>2</v>
      </c>
      <c r="D27" s="1" t="s">
        <v>0</v>
      </c>
      <c r="E27" s="1">
        <v>2</v>
      </c>
      <c r="F27" s="1" t="s">
        <v>1</v>
      </c>
      <c r="G27" s="1" t="s">
        <v>0</v>
      </c>
      <c r="H27" s="1">
        <v>41</v>
      </c>
      <c r="I27" s="1">
        <v>1</v>
      </c>
    </row>
    <row r="28" spans="1:9" x14ac:dyDescent="0.3">
      <c r="A28" s="1">
        <v>2</v>
      </c>
      <c r="B28" s="1">
        <v>0</v>
      </c>
      <c r="C28" s="1" t="s">
        <v>2</v>
      </c>
      <c r="D28" s="1" t="s">
        <v>0</v>
      </c>
      <c r="E28" s="1">
        <v>29</v>
      </c>
      <c r="F28" s="1" t="s">
        <v>1</v>
      </c>
      <c r="G28" s="1" t="s">
        <v>0</v>
      </c>
      <c r="H28" s="1">
        <v>21</v>
      </c>
      <c r="I28" s="1">
        <v>0</v>
      </c>
    </row>
    <row r="29" spans="1:9" x14ac:dyDescent="0.3">
      <c r="A29" s="1">
        <v>2</v>
      </c>
      <c r="B29" s="1">
        <v>0</v>
      </c>
      <c r="C29" s="1" t="s">
        <v>2</v>
      </c>
      <c r="D29" s="1" t="s">
        <v>0</v>
      </c>
      <c r="E29" s="1">
        <v>4</v>
      </c>
      <c r="F29" s="1" t="s">
        <v>1</v>
      </c>
      <c r="G29" s="1" t="s">
        <v>0</v>
      </c>
      <c r="H29" s="1">
        <v>42</v>
      </c>
      <c r="I29" s="1">
        <v>1</v>
      </c>
    </row>
    <row r="30" spans="1:9" x14ac:dyDescent="0.3">
      <c r="A30" s="1">
        <v>2</v>
      </c>
      <c r="B30" s="1">
        <v>0</v>
      </c>
      <c r="C30" s="1" t="s">
        <v>2</v>
      </c>
      <c r="D30" s="1" t="s">
        <v>0</v>
      </c>
      <c r="E30" s="1">
        <v>12</v>
      </c>
      <c r="F30" s="1" t="s">
        <v>1</v>
      </c>
      <c r="G30" s="1" t="s">
        <v>0</v>
      </c>
      <c r="H30" s="1">
        <v>34</v>
      </c>
      <c r="I30" s="1">
        <v>1</v>
      </c>
    </row>
    <row r="31" spans="1:9" x14ac:dyDescent="0.3">
      <c r="A31" s="1">
        <v>2</v>
      </c>
      <c r="B31" s="1">
        <v>0</v>
      </c>
      <c r="C31" s="1" t="s">
        <v>2</v>
      </c>
      <c r="D31" s="1" t="s">
        <v>0</v>
      </c>
      <c r="E31" s="1">
        <v>21</v>
      </c>
      <c r="F31" s="1" t="s">
        <v>1</v>
      </c>
      <c r="G31" s="1" t="s">
        <v>0</v>
      </c>
      <c r="H31" s="1">
        <v>47</v>
      </c>
      <c r="I31" s="1">
        <v>1</v>
      </c>
    </row>
    <row r="32" spans="1:9" x14ac:dyDescent="0.3">
      <c r="A32" s="1">
        <v>2</v>
      </c>
      <c r="B32" s="1">
        <v>0</v>
      </c>
      <c r="C32" s="1" t="s">
        <v>2</v>
      </c>
      <c r="D32" s="1" t="s">
        <v>0</v>
      </c>
      <c r="E32" s="1">
        <v>12</v>
      </c>
      <c r="F32" s="1" t="s">
        <v>1</v>
      </c>
      <c r="G32" s="1" t="s">
        <v>0</v>
      </c>
      <c r="H32" s="1">
        <v>31</v>
      </c>
      <c r="I32" s="1">
        <v>1</v>
      </c>
    </row>
    <row r="33" spans="1:9" x14ac:dyDescent="0.3">
      <c r="A33" s="1">
        <v>2</v>
      </c>
      <c r="B33" s="1">
        <v>0</v>
      </c>
      <c r="C33" s="1" t="s">
        <v>2</v>
      </c>
      <c r="D33" s="1" t="s">
        <v>0</v>
      </c>
      <c r="E33" s="1">
        <v>16</v>
      </c>
      <c r="F33" s="1" t="s">
        <v>1</v>
      </c>
      <c r="G33" s="1" t="s">
        <v>0</v>
      </c>
      <c r="H33" s="1">
        <v>29</v>
      </c>
      <c r="I33" s="1">
        <v>1</v>
      </c>
    </row>
    <row r="34" spans="1:9" x14ac:dyDescent="0.3">
      <c r="A34" s="1">
        <v>2</v>
      </c>
      <c r="B34" s="1">
        <v>0</v>
      </c>
      <c r="C34" s="1" t="s">
        <v>2</v>
      </c>
      <c r="D34" s="1" t="s">
        <v>0</v>
      </c>
      <c r="E34" s="1">
        <v>35</v>
      </c>
      <c r="F34" s="1" t="s">
        <v>1</v>
      </c>
      <c r="G34" s="1" t="s">
        <v>0</v>
      </c>
      <c r="H34" s="1">
        <v>37</v>
      </c>
      <c r="I34" s="1">
        <v>1</v>
      </c>
    </row>
    <row r="35" spans="1:9" x14ac:dyDescent="0.3">
      <c r="A35" s="1">
        <v>2</v>
      </c>
      <c r="B35" s="1">
        <v>0</v>
      </c>
      <c r="C35" s="1" t="s">
        <v>2</v>
      </c>
      <c r="D35" s="1" t="s">
        <v>0</v>
      </c>
      <c r="E35" s="1">
        <v>24</v>
      </c>
      <c r="F35" s="1" t="s">
        <v>1</v>
      </c>
      <c r="G35" s="1" t="s">
        <v>0</v>
      </c>
      <c r="H35" s="1">
        <v>2</v>
      </c>
      <c r="I35" s="1">
        <v>0</v>
      </c>
    </row>
    <row r="36" spans="1:9" x14ac:dyDescent="0.3">
      <c r="A36" s="1">
        <v>2</v>
      </c>
      <c r="B36" s="1">
        <v>0</v>
      </c>
      <c r="C36" s="1" t="s">
        <v>2</v>
      </c>
      <c r="D36" s="1" t="s">
        <v>0</v>
      </c>
      <c r="E36" s="1">
        <v>6</v>
      </c>
      <c r="F36" s="1" t="s">
        <v>1</v>
      </c>
      <c r="G36" s="1" t="s">
        <v>0</v>
      </c>
      <c r="H36" s="1">
        <v>7</v>
      </c>
      <c r="I36" s="1">
        <v>1</v>
      </c>
    </row>
    <row r="37" spans="1:9" x14ac:dyDescent="0.3">
      <c r="A37" s="1">
        <v>2</v>
      </c>
      <c r="B37" s="1">
        <v>0</v>
      </c>
      <c r="C37" s="1" t="s">
        <v>2</v>
      </c>
      <c r="D37" s="1" t="s">
        <v>0</v>
      </c>
      <c r="E37" s="1">
        <v>0</v>
      </c>
      <c r="F37" s="1" t="s">
        <v>1</v>
      </c>
      <c r="G37" s="1" t="s">
        <v>0</v>
      </c>
      <c r="H37" s="1">
        <v>27</v>
      </c>
      <c r="I37" s="1">
        <v>1</v>
      </c>
    </row>
    <row r="38" spans="1:9" x14ac:dyDescent="0.3">
      <c r="A38" s="1">
        <v>2</v>
      </c>
      <c r="B38" s="1">
        <v>0</v>
      </c>
      <c r="C38" s="1" t="s">
        <v>2</v>
      </c>
      <c r="D38" s="1" t="s">
        <v>0</v>
      </c>
      <c r="E38" s="1">
        <v>0</v>
      </c>
      <c r="F38" s="1" t="s">
        <v>1</v>
      </c>
      <c r="G38" s="1" t="s">
        <v>0</v>
      </c>
      <c r="H38" s="1">
        <v>42</v>
      </c>
      <c r="I38" s="1">
        <v>1</v>
      </c>
    </row>
    <row r="39" spans="1:9" x14ac:dyDescent="0.3">
      <c r="A39" s="1">
        <v>2</v>
      </c>
      <c r="B39" s="1">
        <v>0</v>
      </c>
      <c r="C39" s="1" t="s">
        <v>2</v>
      </c>
      <c r="D39" s="1" t="s">
        <v>0</v>
      </c>
      <c r="E39" s="1">
        <v>0</v>
      </c>
      <c r="F39" s="1" t="s">
        <v>1</v>
      </c>
      <c r="G39" s="1" t="s">
        <v>0</v>
      </c>
      <c r="H39" s="1">
        <v>30</v>
      </c>
      <c r="I39" s="1">
        <v>1</v>
      </c>
    </row>
    <row r="40" spans="1:9" x14ac:dyDescent="0.3">
      <c r="A40" s="1">
        <v>2</v>
      </c>
      <c r="B40" s="1">
        <v>0</v>
      </c>
      <c r="C40" s="1" t="s">
        <v>2</v>
      </c>
      <c r="D40" s="1" t="s">
        <v>0</v>
      </c>
      <c r="E40" s="1">
        <v>0</v>
      </c>
      <c r="F40" s="1" t="s">
        <v>1</v>
      </c>
      <c r="G40" s="1" t="s">
        <v>0</v>
      </c>
      <c r="H40" s="1">
        <v>28</v>
      </c>
      <c r="I40" s="1">
        <v>1</v>
      </c>
    </row>
    <row r="41" spans="1:9" x14ac:dyDescent="0.3">
      <c r="A41" s="1">
        <v>2</v>
      </c>
      <c r="B41" s="1">
        <v>0</v>
      </c>
      <c r="C41" s="1" t="s">
        <v>2</v>
      </c>
      <c r="D41" s="1" t="s">
        <v>0</v>
      </c>
      <c r="E41" s="1">
        <v>7</v>
      </c>
      <c r="F41" s="1" t="s">
        <v>1</v>
      </c>
      <c r="G41" s="1" t="s">
        <v>0</v>
      </c>
      <c r="H41" s="1">
        <v>39</v>
      </c>
      <c r="I41" s="1">
        <v>1</v>
      </c>
    </row>
    <row r="42" spans="1:9" x14ac:dyDescent="0.3">
      <c r="A42" s="1">
        <v>2</v>
      </c>
      <c r="B42" s="1">
        <v>0</v>
      </c>
      <c r="C42" s="1" t="s">
        <v>2</v>
      </c>
      <c r="D42" s="1" t="s">
        <v>0</v>
      </c>
      <c r="E42" s="1">
        <v>24</v>
      </c>
      <c r="F42" s="1" t="s">
        <v>1</v>
      </c>
      <c r="G42" s="1" t="s">
        <v>0</v>
      </c>
      <c r="H42" s="1">
        <v>23</v>
      </c>
      <c r="I42" s="1">
        <v>0</v>
      </c>
    </row>
    <row r="43" spans="1:9" x14ac:dyDescent="0.3">
      <c r="A43" s="1">
        <v>2</v>
      </c>
      <c r="B43" s="1">
        <v>0</v>
      </c>
      <c r="C43" s="1" t="s">
        <v>2</v>
      </c>
      <c r="D43" s="1" t="s">
        <v>0</v>
      </c>
      <c r="E43" s="1">
        <v>16</v>
      </c>
      <c r="F43" s="1" t="s">
        <v>1</v>
      </c>
      <c r="G43" s="1" t="s">
        <v>0</v>
      </c>
      <c r="H43" s="1">
        <v>8</v>
      </c>
      <c r="I43" s="1">
        <v>0</v>
      </c>
    </row>
    <row r="44" spans="1:9" x14ac:dyDescent="0.3">
      <c r="A44" s="1">
        <v>2</v>
      </c>
      <c r="B44" s="1">
        <v>0</v>
      </c>
      <c r="C44" s="1" t="s">
        <v>2</v>
      </c>
      <c r="D44" s="1" t="s">
        <v>0</v>
      </c>
      <c r="E44" s="1">
        <v>14</v>
      </c>
      <c r="F44" s="1" t="s">
        <v>1</v>
      </c>
      <c r="G44" s="1" t="s">
        <v>0</v>
      </c>
      <c r="H44" s="1">
        <v>17</v>
      </c>
      <c r="I44" s="1">
        <v>1</v>
      </c>
    </row>
    <row r="45" spans="1:9" x14ac:dyDescent="0.3">
      <c r="A45" s="1">
        <v>2</v>
      </c>
      <c r="B45" s="1">
        <v>0</v>
      </c>
      <c r="C45" s="1" t="s">
        <v>2</v>
      </c>
      <c r="D45" s="1" t="s">
        <v>0</v>
      </c>
      <c r="E45" s="1">
        <v>58</v>
      </c>
      <c r="F45" s="1" t="s">
        <v>1</v>
      </c>
      <c r="G45" s="1" t="s">
        <v>0</v>
      </c>
      <c r="H45" s="1">
        <v>2</v>
      </c>
      <c r="I45" s="1">
        <v>0</v>
      </c>
    </row>
    <row r="46" spans="1:9" x14ac:dyDescent="0.3">
      <c r="A46" s="1">
        <v>2</v>
      </c>
      <c r="B46" s="1">
        <v>0</v>
      </c>
      <c r="C46" s="1" t="s">
        <v>2</v>
      </c>
      <c r="D46" s="1" t="s">
        <v>0</v>
      </c>
      <c r="E46" s="1">
        <v>7</v>
      </c>
      <c r="F46" s="1" t="s">
        <v>1</v>
      </c>
      <c r="G46" s="1" t="s">
        <v>0</v>
      </c>
      <c r="H46" s="1">
        <v>64</v>
      </c>
      <c r="I46" s="1">
        <v>1</v>
      </c>
    </row>
    <row r="47" spans="1:9" x14ac:dyDescent="0.3">
      <c r="A47" s="1">
        <v>2</v>
      </c>
      <c r="B47" s="1">
        <v>0</v>
      </c>
      <c r="C47" s="1" t="s">
        <v>2</v>
      </c>
      <c r="D47" s="1" t="s">
        <v>0</v>
      </c>
      <c r="E47" s="1">
        <v>2</v>
      </c>
      <c r="F47" s="1" t="s">
        <v>1</v>
      </c>
      <c r="G47" s="1" t="s">
        <v>0</v>
      </c>
      <c r="H47" s="1">
        <v>25</v>
      </c>
      <c r="I47" s="1">
        <v>1</v>
      </c>
    </row>
    <row r="48" spans="1:9" x14ac:dyDescent="0.3">
      <c r="A48" s="1">
        <v>2</v>
      </c>
      <c r="B48" s="1">
        <v>0</v>
      </c>
      <c r="C48" s="1" t="s">
        <v>2</v>
      </c>
      <c r="D48" s="1" t="s">
        <v>0</v>
      </c>
      <c r="E48" s="1">
        <v>0</v>
      </c>
      <c r="F48" s="1" t="s">
        <v>1</v>
      </c>
      <c r="G48" s="1" t="s">
        <v>0</v>
      </c>
      <c r="H48" s="1">
        <v>38</v>
      </c>
      <c r="I48" s="1">
        <v>1</v>
      </c>
    </row>
    <row r="49" spans="1:9" x14ac:dyDescent="0.3">
      <c r="A49" s="1">
        <v>2</v>
      </c>
      <c r="B49" s="1">
        <v>0</v>
      </c>
      <c r="C49" s="1" t="s">
        <v>2</v>
      </c>
      <c r="D49" s="1" t="s">
        <v>0</v>
      </c>
      <c r="E49" s="1">
        <v>27</v>
      </c>
      <c r="F49" s="1" t="s">
        <v>1</v>
      </c>
      <c r="G49" s="1" t="s">
        <v>0</v>
      </c>
      <c r="H49" s="1">
        <v>32</v>
      </c>
      <c r="I49" s="1">
        <v>1</v>
      </c>
    </row>
    <row r="50" spans="1:9" x14ac:dyDescent="0.3">
      <c r="A50" s="1">
        <v>2</v>
      </c>
      <c r="B50" s="1">
        <v>0</v>
      </c>
      <c r="C50" s="1" t="s">
        <v>2</v>
      </c>
      <c r="D50" s="1" t="s">
        <v>0</v>
      </c>
      <c r="E50" s="1">
        <v>0</v>
      </c>
      <c r="F50" s="1" t="s">
        <v>1</v>
      </c>
      <c r="G50" s="1" t="s">
        <v>0</v>
      </c>
      <c r="H50" s="1">
        <v>22</v>
      </c>
      <c r="I50" s="1">
        <v>1</v>
      </c>
    </row>
    <row r="51" spans="1:9" x14ac:dyDescent="0.3">
      <c r="A51" s="1">
        <v>2</v>
      </c>
      <c r="B51" s="1">
        <v>1</v>
      </c>
      <c r="C51" s="1" t="s">
        <v>2</v>
      </c>
      <c r="D51" s="1" t="s">
        <v>0</v>
      </c>
      <c r="E51" s="1">
        <v>34</v>
      </c>
      <c r="F51" s="1" t="s">
        <v>1</v>
      </c>
      <c r="G51" s="1" t="s">
        <v>0</v>
      </c>
      <c r="H51" s="1">
        <v>56</v>
      </c>
      <c r="I51" s="1">
        <v>1</v>
      </c>
    </row>
    <row r="52" spans="1:9" x14ac:dyDescent="0.3">
      <c r="A52" s="1">
        <v>2</v>
      </c>
      <c r="B52" s="1">
        <v>1</v>
      </c>
      <c r="C52" s="1" t="s">
        <v>2</v>
      </c>
      <c r="D52" s="1" t="s">
        <v>0</v>
      </c>
      <c r="E52" s="1">
        <v>8</v>
      </c>
      <c r="F52" s="1" t="s">
        <v>1</v>
      </c>
      <c r="G52" s="1" t="s">
        <v>0</v>
      </c>
      <c r="H52" s="1">
        <v>45</v>
      </c>
      <c r="I52" s="1">
        <v>1</v>
      </c>
    </row>
    <row r="53" spans="1:9" x14ac:dyDescent="0.3">
      <c r="A53" s="1">
        <v>2</v>
      </c>
      <c r="B53" s="1">
        <v>1</v>
      </c>
      <c r="C53" s="1" t="s">
        <v>2</v>
      </c>
      <c r="D53" s="1" t="s">
        <v>0</v>
      </c>
      <c r="E53" s="1">
        <v>12</v>
      </c>
      <c r="F53" s="1" t="s">
        <v>1</v>
      </c>
      <c r="G53" s="1" t="s">
        <v>0</v>
      </c>
      <c r="H53" s="1">
        <v>13</v>
      </c>
      <c r="I53" s="1">
        <v>1</v>
      </c>
    </row>
    <row r="54" spans="1:9" x14ac:dyDescent="0.3">
      <c r="A54" s="1">
        <v>2</v>
      </c>
      <c r="B54" s="1">
        <v>1</v>
      </c>
      <c r="C54" s="1" t="s">
        <v>2</v>
      </c>
      <c r="D54" s="1" t="s">
        <v>0</v>
      </c>
      <c r="E54" s="1">
        <v>0</v>
      </c>
      <c r="F54" s="1" t="s">
        <v>1</v>
      </c>
      <c r="G54" s="1" t="s">
        <v>0</v>
      </c>
      <c r="H54" s="1">
        <v>25</v>
      </c>
      <c r="I54" s="1">
        <v>1</v>
      </c>
    </row>
    <row r="55" spans="1:9" x14ac:dyDescent="0.3">
      <c r="A55" s="1">
        <v>2</v>
      </c>
      <c r="B55" s="1">
        <v>1</v>
      </c>
      <c r="C55" s="1" t="s">
        <v>2</v>
      </c>
      <c r="D55" s="1" t="s">
        <v>0</v>
      </c>
      <c r="E55" s="1">
        <v>3</v>
      </c>
      <c r="F55" s="1" t="s">
        <v>1</v>
      </c>
      <c r="G55" s="1" t="s">
        <v>0</v>
      </c>
      <c r="H55" s="1">
        <v>47</v>
      </c>
      <c r="I55" s="1">
        <v>1</v>
      </c>
    </row>
    <row r="56" spans="1:9" x14ac:dyDescent="0.3">
      <c r="A56" s="1">
        <v>2</v>
      </c>
      <c r="B56" s="1">
        <v>1</v>
      </c>
      <c r="C56" s="1" t="s">
        <v>2</v>
      </c>
      <c r="D56" s="1" t="s">
        <v>0</v>
      </c>
      <c r="E56" s="1">
        <v>25</v>
      </c>
      <c r="F56" s="1" t="s">
        <v>1</v>
      </c>
      <c r="G56" s="1" t="s">
        <v>0</v>
      </c>
      <c r="H56" s="1">
        <v>23</v>
      </c>
      <c r="I56" s="1">
        <v>0</v>
      </c>
    </row>
    <row r="57" spans="1:9" x14ac:dyDescent="0.3">
      <c r="A57" s="1">
        <v>2</v>
      </c>
      <c r="B57" s="1">
        <v>1</v>
      </c>
      <c r="C57" s="1" t="s">
        <v>2</v>
      </c>
      <c r="D57" s="1" t="s">
        <v>0</v>
      </c>
      <c r="E57" s="1">
        <v>13</v>
      </c>
      <c r="F57" s="1" t="s">
        <v>1</v>
      </c>
      <c r="G57" s="1" t="s">
        <v>0</v>
      </c>
      <c r="H57" s="1">
        <v>26</v>
      </c>
      <c r="I57" s="1">
        <v>1</v>
      </c>
    </row>
    <row r="58" spans="1:9" x14ac:dyDescent="0.3">
      <c r="A58" s="1">
        <v>2</v>
      </c>
      <c r="B58" s="1">
        <v>1</v>
      </c>
      <c r="C58" s="1" t="s">
        <v>2</v>
      </c>
      <c r="D58" s="1" t="s">
        <v>0</v>
      </c>
      <c r="E58" s="1">
        <v>17</v>
      </c>
      <c r="F58" s="1" t="s">
        <v>1</v>
      </c>
      <c r="G58" s="1" t="s">
        <v>0</v>
      </c>
      <c r="H58" s="1">
        <v>28</v>
      </c>
      <c r="I58" s="1">
        <v>1</v>
      </c>
    </row>
    <row r="59" spans="1:9" x14ac:dyDescent="0.3">
      <c r="A59" s="1">
        <v>2</v>
      </c>
      <c r="B59" s="1">
        <v>1</v>
      </c>
      <c r="C59" s="1" t="s">
        <v>2</v>
      </c>
      <c r="D59" s="1" t="s">
        <v>0</v>
      </c>
      <c r="E59" s="1">
        <v>15</v>
      </c>
      <c r="F59" s="1" t="s">
        <v>1</v>
      </c>
      <c r="G59" s="1" t="s">
        <v>0</v>
      </c>
      <c r="H59" s="1">
        <v>23</v>
      </c>
      <c r="I59" s="1">
        <v>1</v>
      </c>
    </row>
    <row r="60" spans="1:9" x14ac:dyDescent="0.3">
      <c r="A60" s="1">
        <v>2</v>
      </c>
      <c r="B60" s="1">
        <v>1</v>
      </c>
      <c r="C60" s="1" t="s">
        <v>2</v>
      </c>
      <c r="D60" s="1" t="s">
        <v>0</v>
      </c>
      <c r="E60" s="1">
        <v>3</v>
      </c>
      <c r="F60" s="1" t="s">
        <v>1</v>
      </c>
      <c r="G60" s="1" t="s">
        <v>0</v>
      </c>
      <c r="H60" s="1">
        <v>52</v>
      </c>
      <c r="I60" s="1">
        <v>1</v>
      </c>
    </row>
    <row r="61" spans="1:9" x14ac:dyDescent="0.3">
      <c r="A61" s="1">
        <v>2</v>
      </c>
      <c r="B61" s="1">
        <v>1</v>
      </c>
      <c r="C61" s="1" t="s">
        <v>2</v>
      </c>
      <c r="D61" s="1" t="s">
        <v>0</v>
      </c>
      <c r="E61" s="1">
        <v>7</v>
      </c>
      <c r="F61" s="1" t="s">
        <v>1</v>
      </c>
      <c r="G61" s="1" t="s">
        <v>0</v>
      </c>
      <c r="H61" s="1">
        <v>26</v>
      </c>
      <c r="I61" s="1">
        <v>1</v>
      </c>
    </row>
    <row r="62" spans="1:9" x14ac:dyDescent="0.3">
      <c r="A62" s="1">
        <v>2</v>
      </c>
      <c r="B62" s="1">
        <v>1</v>
      </c>
      <c r="C62" s="1" t="s">
        <v>2</v>
      </c>
      <c r="D62" s="1" t="s">
        <v>0</v>
      </c>
      <c r="E62" s="1">
        <v>10</v>
      </c>
      <c r="F62" s="1" t="s">
        <v>1</v>
      </c>
      <c r="G62" s="1" t="s">
        <v>0</v>
      </c>
      <c r="H62" s="1">
        <v>40</v>
      </c>
      <c r="I62" s="1">
        <v>1</v>
      </c>
    </row>
    <row r="63" spans="1:9" x14ac:dyDescent="0.3">
      <c r="A63" s="1">
        <v>2</v>
      </c>
      <c r="B63" s="1">
        <v>1</v>
      </c>
      <c r="C63" s="1" t="s">
        <v>2</v>
      </c>
      <c r="D63" s="1" t="s">
        <v>0</v>
      </c>
      <c r="E63" s="1">
        <v>9</v>
      </c>
      <c r="F63" s="1" t="s">
        <v>1</v>
      </c>
      <c r="G63" s="1" t="s">
        <v>0</v>
      </c>
      <c r="H63" s="1">
        <v>43</v>
      </c>
      <c r="I63" s="1">
        <v>1</v>
      </c>
    </row>
    <row r="64" spans="1:9" x14ac:dyDescent="0.3">
      <c r="A64" s="1">
        <v>2</v>
      </c>
      <c r="B64" s="1">
        <v>1</v>
      </c>
      <c r="C64" s="1" t="s">
        <v>2</v>
      </c>
      <c r="D64" s="1" t="s">
        <v>0</v>
      </c>
      <c r="E64" s="1">
        <v>0</v>
      </c>
      <c r="F64" s="1" t="s">
        <v>1</v>
      </c>
      <c r="G64" s="1" t="s">
        <v>0</v>
      </c>
      <c r="H64" s="1">
        <v>29</v>
      </c>
      <c r="I64" s="1">
        <v>1</v>
      </c>
    </row>
    <row r="65" spans="1:9" x14ac:dyDescent="0.3">
      <c r="A65" s="1">
        <v>2</v>
      </c>
      <c r="B65" s="1">
        <v>1</v>
      </c>
      <c r="C65" s="1" t="s">
        <v>2</v>
      </c>
      <c r="D65" s="1" t="s">
        <v>0</v>
      </c>
      <c r="E65" s="1">
        <v>14</v>
      </c>
      <c r="F65" s="1" t="s">
        <v>1</v>
      </c>
      <c r="G65" s="1" t="s">
        <v>0</v>
      </c>
      <c r="H65" s="1">
        <v>18</v>
      </c>
      <c r="I65" s="1">
        <v>1</v>
      </c>
    </row>
    <row r="66" spans="1:9" x14ac:dyDescent="0.3">
      <c r="A66" s="1">
        <v>2</v>
      </c>
      <c r="B66" s="1">
        <v>1</v>
      </c>
      <c r="C66" s="1" t="s">
        <v>2</v>
      </c>
      <c r="D66" s="1" t="s">
        <v>0</v>
      </c>
      <c r="E66" s="1">
        <v>7</v>
      </c>
      <c r="F66" s="1" t="s">
        <v>1</v>
      </c>
      <c r="G66" s="1" t="s">
        <v>0</v>
      </c>
      <c r="H66" s="1">
        <v>17</v>
      </c>
      <c r="I66" s="1">
        <v>1</v>
      </c>
    </row>
    <row r="67" spans="1:9" x14ac:dyDescent="0.3">
      <c r="A67" s="1">
        <v>2</v>
      </c>
      <c r="B67" s="1">
        <v>1</v>
      </c>
      <c r="C67" s="1" t="s">
        <v>2</v>
      </c>
      <c r="D67" s="1" t="s">
        <v>0</v>
      </c>
      <c r="E67" s="1">
        <v>0</v>
      </c>
      <c r="F67" s="1" t="s">
        <v>1</v>
      </c>
      <c r="G67" s="1" t="s">
        <v>0</v>
      </c>
      <c r="H67" s="1">
        <v>54</v>
      </c>
      <c r="I67" s="1">
        <v>1</v>
      </c>
    </row>
    <row r="68" spans="1:9" x14ac:dyDescent="0.3">
      <c r="A68" s="1">
        <v>2</v>
      </c>
      <c r="B68" s="1">
        <v>1</v>
      </c>
      <c r="C68" s="1" t="s">
        <v>2</v>
      </c>
      <c r="D68" s="1" t="s">
        <v>0</v>
      </c>
      <c r="E68" s="1">
        <v>22</v>
      </c>
      <c r="F68" s="1" t="s">
        <v>1</v>
      </c>
      <c r="G68" s="1" t="s">
        <v>0</v>
      </c>
      <c r="H68" s="1">
        <v>18</v>
      </c>
      <c r="I68" s="1">
        <v>0</v>
      </c>
    </row>
    <row r="69" spans="1:9" x14ac:dyDescent="0.3">
      <c r="A69" s="1">
        <v>2</v>
      </c>
      <c r="B69" s="1">
        <v>1</v>
      </c>
      <c r="C69" s="1" t="s">
        <v>2</v>
      </c>
      <c r="D69" s="1" t="s">
        <v>0</v>
      </c>
      <c r="E69" s="1">
        <v>0</v>
      </c>
      <c r="F69" s="1" t="s">
        <v>1</v>
      </c>
      <c r="G69" s="1" t="s">
        <v>0</v>
      </c>
      <c r="H69" s="1">
        <v>46</v>
      </c>
      <c r="I69" s="1">
        <v>1</v>
      </c>
    </row>
    <row r="70" spans="1:9" x14ac:dyDescent="0.3">
      <c r="A70" s="1">
        <v>2</v>
      </c>
      <c r="B70" s="1">
        <v>1</v>
      </c>
      <c r="C70" s="1" t="s">
        <v>2</v>
      </c>
      <c r="D70" s="1" t="s">
        <v>0</v>
      </c>
      <c r="E70" s="1">
        <v>23</v>
      </c>
      <c r="F70" s="1" t="s">
        <v>1</v>
      </c>
      <c r="G70" s="1" t="s">
        <v>0</v>
      </c>
      <c r="H70" s="1">
        <v>36</v>
      </c>
      <c r="I70" s="1">
        <v>1</v>
      </c>
    </row>
    <row r="71" spans="1:9" x14ac:dyDescent="0.3">
      <c r="A71" s="1">
        <v>2</v>
      </c>
      <c r="B71" s="1">
        <v>1</v>
      </c>
      <c r="C71" s="1" t="s">
        <v>2</v>
      </c>
      <c r="D71" s="1" t="s">
        <v>0</v>
      </c>
      <c r="E71" s="1">
        <v>0</v>
      </c>
      <c r="F71" s="1" t="s">
        <v>1</v>
      </c>
      <c r="G71" s="1" t="s">
        <v>0</v>
      </c>
      <c r="H71" s="1">
        <v>22</v>
      </c>
      <c r="I71" s="1">
        <v>1</v>
      </c>
    </row>
    <row r="72" spans="1:9" x14ac:dyDescent="0.3">
      <c r="A72" s="1">
        <v>2</v>
      </c>
      <c r="B72" s="1">
        <v>1</v>
      </c>
      <c r="C72" s="1" t="s">
        <v>2</v>
      </c>
      <c r="D72" s="1" t="s">
        <v>0</v>
      </c>
      <c r="E72" s="1">
        <v>0</v>
      </c>
      <c r="F72" s="1" t="s">
        <v>1</v>
      </c>
      <c r="G72" s="1" t="s">
        <v>0</v>
      </c>
      <c r="H72" s="1">
        <v>6</v>
      </c>
      <c r="I72" s="1">
        <v>1</v>
      </c>
    </row>
    <row r="73" spans="1:9" x14ac:dyDescent="0.3">
      <c r="A73" s="1">
        <v>2</v>
      </c>
      <c r="B73" s="1">
        <v>1</v>
      </c>
      <c r="C73" s="1" t="s">
        <v>2</v>
      </c>
      <c r="D73" s="1" t="s">
        <v>0</v>
      </c>
      <c r="E73" s="1">
        <v>24</v>
      </c>
      <c r="F73" s="1" t="s">
        <v>1</v>
      </c>
      <c r="G73" s="1" t="s">
        <v>0</v>
      </c>
      <c r="H73" s="1">
        <v>9</v>
      </c>
      <c r="I73" s="1">
        <v>0</v>
      </c>
    </row>
    <row r="74" spans="1:9" x14ac:dyDescent="0.3">
      <c r="A74" s="1">
        <v>2</v>
      </c>
      <c r="B74" s="1">
        <v>1</v>
      </c>
      <c r="C74" s="1" t="s">
        <v>2</v>
      </c>
      <c r="D74" s="1" t="s">
        <v>0</v>
      </c>
      <c r="E74" s="1">
        <v>18</v>
      </c>
      <c r="F74" s="1" t="s">
        <v>1</v>
      </c>
      <c r="G74" s="1" t="s">
        <v>0</v>
      </c>
      <c r="H74" s="1">
        <v>16</v>
      </c>
      <c r="I74" s="1">
        <v>0</v>
      </c>
    </row>
    <row r="75" spans="1:9" x14ac:dyDescent="0.3">
      <c r="A75" s="1">
        <v>2</v>
      </c>
      <c r="B75" s="1">
        <v>1</v>
      </c>
      <c r="C75" s="1" t="s">
        <v>2</v>
      </c>
      <c r="D75" s="1" t="s">
        <v>0</v>
      </c>
      <c r="E75" s="1">
        <v>0</v>
      </c>
      <c r="F75" s="1" t="s">
        <v>1</v>
      </c>
      <c r="G75" s="1" t="s">
        <v>0</v>
      </c>
      <c r="H75" s="1">
        <v>38</v>
      </c>
      <c r="I75" s="1">
        <v>1</v>
      </c>
    </row>
    <row r="76" spans="1:9" x14ac:dyDescent="0.3">
      <c r="A76" s="1">
        <v>2</v>
      </c>
      <c r="B76" s="1">
        <v>1</v>
      </c>
      <c r="C76" s="1" t="s">
        <v>2</v>
      </c>
      <c r="D76" s="1" t="s">
        <v>0</v>
      </c>
      <c r="E76" s="1">
        <v>4</v>
      </c>
      <c r="F76" s="1" t="s">
        <v>1</v>
      </c>
      <c r="G76" s="1" t="s">
        <v>0</v>
      </c>
      <c r="H76" s="1">
        <v>11</v>
      </c>
      <c r="I76" s="1">
        <v>1</v>
      </c>
    </row>
    <row r="77" spans="1:9" x14ac:dyDescent="0.3">
      <c r="A77" s="1">
        <v>2</v>
      </c>
      <c r="B77" s="1">
        <v>1</v>
      </c>
      <c r="C77" s="1" t="s">
        <v>2</v>
      </c>
      <c r="D77" s="1" t="s">
        <v>0</v>
      </c>
      <c r="E77" s="1">
        <v>16</v>
      </c>
      <c r="F77" s="1" t="s">
        <v>1</v>
      </c>
      <c r="G77" s="1" t="s">
        <v>0</v>
      </c>
      <c r="H77" s="1">
        <v>18</v>
      </c>
      <c r="I77" s="1">
        <v>1</v>
      </c>
    </row>
    <row r="78" spans="1:9" x14ac:dyDescent="0.3">
      <c r="A78" s="1">
        <v>2</v>
      </c>
      <c r="B78" s="1">
        <v>1</v>
      </c>
      <c r="C78" s="1" t="s">
        <v>2</v>
      </c>
      <c r="D78" s="1" t="s">
        <v>0</v>
      </c>
      <c r="E78" s="1">
        <v>34</v>
      </c>
      <c r="F78" s="1" t="s">
        <v>1</v>
      </c>
      <c r="G78" s="1" t="s">
        <v>0</v>
      </c>
      <c r="H78" s="1">
        <v>48</v>
      </c>
      <c r="I78" s="1">
        <v>1</v>
      </c>
    </row>
    <row r="79" spans="1:9" x14ac:dyDescent="0.3">
      <c r="A79" s="1">
        <v>2</v>
      </c>
      <c r="B79" s="1">
        <v>1</v>
      </c>
      <c r="C79" s="1" t="s">
        <v>2</v>
      </c>
      <c r="D79" s="1" t="s">
        <v>0</v>
      </c>
      <c r="E79" s="1">
        <v>20</v>
      </c>
      <c r="F79" s="1" t="s">
        <v>1</v>
      </c>
      <c r="G79" s="1" t="s">
        <v>0</v>
      </c>
      <c r="H79" s="1">
        <v>44</v>
      </c>
      <c r="I79" s="1">
        <v>1</v>
      </c>
    </row>
    <row r="80" spans="1:9" x14ac:dyDescent="0.3">
      <c r="A80" s="1">
        <v>2</v>
      </c>
      <c r="B80" s="1">
        <v>1</v>
      </c>
      <c r="C80" s="1" t="s">
        <v>2</v>
      </c>
      <c r="D80" s="1" t="s">
        <v>0</v>
      </c>
      <c r="E80" s="1">
        <v>0</v>
      </c>
      <c r="F80" s="1" t="s">
        <v>1</v>
      </c>
      <c r="G80" s="1" t="s">
        <v>0</v>
      </c>
      <c r="H80" s="1">
        <v>18</v>
      </c>
      <c r="I80" s="1">
        <v>1</v>
      </c>
    </row>
    <row r="81" spans="1:9" x14ac:dyDescent="0.3">
      <c r="A81" s="1">
        <v>2</v>
      </c>
      <c r="B81" s="1">
        <v>1</v>
      </c>
      <c r="C81" s="1" t="s">
        <v>2</v>
      </c>
      <c r="D81" s="1" t="s">
        <v>0</v>
      </c>
      <c r="E81" s="1">
        <v>25</v>
      </c>
      <c r="F81" s="1" t="s">
        <v>1</v>
      </c>
      <c r="G81" s="1" t="s">
        <v>0</v>
      </c>
      <c r="H81" s="1">
        <v>15</v>
      </c>
      <c r="I81" s="1">
        <v>0</v>
      </c>
    </row>
    <row r="82" spans="1:9" x14ac:dyDescent="0.3">
      <c r="A82" s="1">
        <v>2</v>
      </c>
      <c r="B82" s="1">
        <v>1</v>
      </c>
      <c r="C82" s="1" t="s">
        <v>2</v>
      </c>
      <c r="D82" s="1" t="s">
        <v>0</v>
      </c>
      <c r="E82" s="1">
        <v>2</v>
      </c>
      <c r="F82" s="1" t="s">
        <v>1</v>
      </c>
      <c r="G82" s="1" t="s">
        <v>0</v>
      </c>
      <c r="H82" s="1">
        <v>37</v>
      </c>
      <c r="I82" s="1">
        <v>1</v>
      </c>
    </row>
    <row r="83" spans="1:9" x14ac:dyDescent="0.3">
      <c r="A83" s="1">
        <v>2</v>
      </c>
      <c r="B83" s="1">
        <v>1</v>
      </c>
      <c r="C83" s="1" t="s">
        <v>2</v>
      </c>
      <c r="D83" s="1" t="s">
        <v>0</v>
      </c>
      <c r="E83" s="1">
        <v>19</v>
      </c>
      <c r="F83" s="1" t="s">
        <v>1</v>
      </c>
      <c r="G83" s="1" t="s">
        <v>0</v>
      </c>
      <c r="H83" s="1">
        <v>2</v>
      </c>
      <c r="I83" s="1">
        <v>0</v>
      </c>
    </row>
    <row r="84" spans="1:9" x14ac:dyDescent="0.3">
      <c r="A84" s="1">
        <v>2</v>
      </c>
      <c r="B84" s="1">
        <v>1</v>
      </c>
      <c r="C84" s="1" t="s">
        <v>2</v>
      </c>
      <c r="D84" s="1" t="s">
        <v>0</v>
      </c>
      <c r="E84" s="1">
        <v>21</v>
      </c>
      <c r="F84" s="1" t="s">
        <v>1</v>
      </c>
      <c r="G84" s="1" t="s">
        <v>0</v>
      </c>
      <c r="H84" s="1">
        <v>33</v>
      </c>
      <c r="I84" s="1">
        <v>1</v>
      </c>
    </row>
    <row r="85" spans="1:9" x14ac:dyDescent="0.3">
      <c r="A85" s="1">
        <v>2</v>
      </c>
      <c r="B85" s="1">
        <v>1</v>
      </c>
      <c r="C85" s="1" t="s">
        <v>2</v>
      </c>
      <c r="D85" s="1" t="s">
        <v>0</v>
      </c>
      <c r="E85" s="1">
        <v>3</v>
      </c>
      <c r="F85" s="1" t="s">
        <v>1</v>
      </c>
      <c r="G85" s="1" t="s">
        <v>0</v>
      </c>
      <c r="H85" s="1">
        <v>30</v>
      </c>
      <c r="I85" s="1">
        <v>1</v>
      </c>
    </row>
    <row r="86" spans="1:9" x14ac:dyDescent="0.3">
      <c r="A86" s="1">
        <v>2</v>
      </c>
      <c r="B86" s="1">
        <v>1</v>
      </c>
      <c r="C86" s="1" t="s">
        <v>2</v>
      </c>
      <c r="D86" s="1" t="s">
        <v>0</v>
      </c>
      <c r="E86" s="1">
        <v>22</v>
      </c>
      <c r="F86" s="1" t="s">
        <v>1</v>
      </c>
      <c r="G86" s="1" t="s">
        <v>0</v>
      </c>
      <c r="H86" s="1">
        <v>16</v>
      </c>
      <c r="I86" s="1">
        <v>0</v>
      </c>
    </row>
    <row r="87" spans="1:9" x14ac:dyDescent="0.3">
      <c r="A87" s="1">
        <v>2</v>
      </c>
      <c r="B87" s="1">
        <v>1</v>
      </c>
      <c r="C87" s="1" t="s">
        <v>2</v>
      </c>
      <c r="D87" s="1" t="s">
        <v>0</v>
      </c>
      <c r="E87" s="1">
        <v>13</v>
      </c>
      <c r="F87" s="1" t="s">
        <v>1</v>
      </c>
      <c r="G87" s="1" t="s">
        <v>0</v>
      </c>
      <c r="H87" s="1">
        <v>31</v>
      </c>
      <c r="I87" s="1">
        <v>1</v>
      </c>
    </row>
    <row r="88" spans="1:9" x14ac:dyDescent="0.3">
      <c r="A88" s="1">
        <v>2</v>
      </c>
      <c r="B88" s="1">
        <v>1</v>
      </c>
      <c r="C88" s="1" t="s">
        <v>2</v>
      </c>
      <c r="D88" s="1" t="s">
        <v>0</v>
      </c>
      <c r="E88" s="1">
        <v>0</v>
      </c>
      <c r="F88" s="1" t="s">
        <v>1</v>
      </c>
      <c r="G88" s="1" t="s">
        <v>0</v>
      </c>
      <c r="H88" s="1">
        <v>28</v>
      </c>
      <c r="I88" s="1">
        <v>1</v>
      </c>
    </row>
    <row r="89" spans="1:9" x14ac:dyDescent="0.3">
      <c r="A89" s="1">
        <v>2</v>
      </c>
      <c r="B89" s="1">
        <v>1</v>
      </c>
      <c r="C89" s="1" t="s">
        <v>2</v>
      </c>
      <c r="D89" s="1" t="s">
        <v>0</v>
      </c>
      <c r="E89" s="1">
        <v>21</v>
      </c>
      <c r="F89" s="1" t="s">
        <v>1</v>
      </c>
      <c r="G89" s="1" t="s">
        <v>0</v>
      </c>
      <c r="H89" s="1">
        <v>32</v>
      </c>
      <c r="I89" s="1">
        <v>1</v>
      </c>
    </row>
    <row r="90" spans="1:9" x14ac:dyDescent="0.3">
      <c r="A90" s="1">
        <v>2</v>
      </c>
      <c r="B90" s="1">
        <v>1</v>
      </c>
      <c r="C90" s="1" t="s">
        <v>2</v>
      </c>
      <c r="D90" s="1" t="s">
        <v>0</v>
      </c>
      <c r="E90" s="1">
        <v>6</v>
      </c>
      <c r="F90" s="1" t="s">
        <v>1</v>
      </c>
      <c r="G90" s="1" t="s">
        <v>0</v>
      </c>
      <c r="H90" s="1">
        <v>31</v>
      </c>
      <c r="I90" s="1">
        <v>1</v>
      </c>
    </row>
    <row r="91" spans="1:9" x14ac:dyDescent="0.3">
      <c r="A91" s="1">
        <v>2</v>
      </c>
      <c r="B91" s="1">
        <v>1</v>
      </c>
      <c r="C91" s="1" t="s">
        <v>2</v>
      </c>
      <c r="D91" s="1" t="s">
        <v>0</v>
      </c>
      <c r="E91" s="1">
        <v>36</v>
      </c>
      <c r="F91" s="1" t="s">
        <v>1</v>
      </c>
      <c r="G91" s="1" t="s">
        <v>0</v>
      </c>
      <c r="H91" s="1">
        <v>35</v>
      </c>
      <c r="I91" s="1">
        <v>0</v>
      </c>
    </row>
    <row r="92" spans="1:9" x14ac:dyDescent="0.3">
      <c r="A92" s="1">
        <v>2</v>
      </c>
      <c r="B92" s="1">
        <v>1</v>
      </c>
      <c r="C92" s="1" t="s">
        <v>2</v>
      </c>
      <c r="D92" s="1" t="s">
        <v>0</v>
      </c>
      <c r="E92" s="1">
        <v>0</v>
      </c>
      <c r="F92" s="1" t="s">
        <v>1</v>
      </c>
      <c r="G92" s="1" t="s">
        <v>0</v>
      </c>
      <c r="H92" s="1">
        <v>23</v>
      </c>
      <c r="I92" s="1">
        <v>1</v>
      </c>
    </row>
    <row r="93" spans="1:9" x14ac:dyDescent="0.3">
      <c r="A93" s="1">
        <v>2</v>
      </c>
      <c r="B93" s="1">
        <v>1</v>
      </c>
      <c r="C93" s="1" t="s">
        <v>2</v>
      </c>
      <c r="D93" s="1" t="s">
        <v>0</v>
      </c>
      <c r="E93" s="1">
        <v>11</v>
      </c>
      <c r="F93" s="1" t="s">
        <v>1</v>
      </c>
      <c r="G93" s="1" t="s">
        <v>0</v>
      </c>
      <c r="H93" s="1">
        <v>12</v>
      </c>
      <c r="I93" s="1">
        <v>1</v>
      </c>
    </row>
    <row r="94" spans="1:9" x14ac:dyDescent="0.3">
      <c r="A94" s="1">
        <v>2</v>
      </c>
      <c r="B94" s="1">
        <v>1</v>
      </c>
      <c r="C94" s="1" t="s">
        <v>2</v>
      </c>
      <c r="D94" s="1" t="s">
        <v>0</v>
      </c>
      <c r="E94" s="1">
        <v>15</v>
      </c>
      <c r="F94" s="1" t="s">
        <v>1</v>
      </c>
      <c r="G94" s="1" t="s">
        <v>0</v>
      </c>
      <c r="H94" s="1">
        <v>45</v>
      </c>
      <c r="I94" s="1">
        <v>1</v>
      </c>
    </row>
    <row r="95" spans="1:9" x14ac:dyDescent="0.3">
      <c r="A95" s="1">
        <v>2</v>
      </c>
      <c r="B95" s="1">
        <v>1</v>
      </c>
      <c r="C95" s="1" t="s">
        <v>2</v>
      </c>
      <c r="D95" s="1" t="s">
        <v>0</v>
      </c>
      <c r="E95" s="1">
        <v>2</v>
      </c>
      <c r="F95" s="1" t="s">
        <v>1</v>
      </c>
      <c r="G95" s="1" t="s">
        <v>0</v>
      </c>
      <c r="H95" s="1">
        <v>14</v>
      </c>
      <c r="I95" s="1">
        <v>1</v>
      </c>
    </row>
    <row r="96" spans="1:9" x14ac:dyDescent="0.3">
      <c r="A96" s="1">
        <v>2</v>
      </c>
      <c r="B96" s="1">
        <v>1</v>
      </c>
      <c r="C96" s="1" t="s">
        <v>2</v>
      </c>
      <c r="D96" s="1" t="s">
        <v>0</v>
      </c>
      <c r="E96" s="1">
        <v>14</v>
      </c>
      <c r="F96" s="1" t="s">
        <v>1</v>
      </c>
      <c r="G96" s="1" t="s">
        <v>0</v>
      </c>
      <c r="H96" s="1">
        <v>12</v>
      </c>
      <c r="I96" s="1">
        <v>0</v>
      </c>
    </row>
    <row r="97" spans="1:9" x14ac:dyDescent="0.3">
      <c r="A97" s="1">
        <v>2</v>
      </c>
      <c r="B97" s="1">
        <v>1</v>
      </c>
      <c r="C97" s="1" t="s">
        <v>2</v>
      </c>
      <c r="D97" s="1" t="s">
        <v>0</v>
      </c>
      <c r="E97" s="1">
        <v>19</v>
      </c>
      <c r="F97" s="1" t="s">
        <v>1</v>
      </c>
      <c r="G97" s="1" t="s">
        <v>0</v>
      </c>
      <c r="H97" s="1">
        <v>28</v>
      </c>
      <c r="I97" s="1">
        <v>1</v>
      </c>
    </row>
    <row r="98" spans="1:9" x14ac:dyDescent="0.3">
      <c r="A98" s="1">
        <v>2</v>
      </c>
      <c r="B98" s="1">
        <v>1</v>
      </c>
      <c r="C98" s="1" t="s">
        <v>2</v>
      </c>
      <c r="D98" s="1" t="s">
        <v>0</v>
      </c>
      <c r="E98" s="1">
        <v>0</v>
      </c>
      <c r="F98" s="1" t="s">
        <v>1</v>
      </c>
      <c r="G98" s="1" t="s">
        <v>0</v>
      </c>
      <c r="H98" s="1">
        <v>7</v>
      </c>
      <c r="I98" s="1">
        <v>1</v>
      </c>
    </row>
    <row r="99" spans="1:9" x14ac:dyDescent="0.3">
      <c r="A99" s="1">
        <v>2</v>
      </c>
      <c r="B99" s="1">
        <v>1</v>
      </c>
      <c r="C99" s="1" t="s">
        <v>2</v>
      </c>
      <c r="D99" s="1" t="s">
        <v>0</v>
      </c>
      <c r="E99" s="1">
        <v>0</v>
      </c>
      <c r="F99" s="1" t="s">
        <v>1</v>
      </c>
      <c r="G99" s="1" t="s">
        <v>0</v>
      </c>
      <c r="H99" s="1">
        <v>80</v>
      </c>
      <c r="I99" s="1">
        <v>1</v>
      </c>
    </row>
    <row r="100" spans="1:9" x14ac:dyDescent="0.3">
      <c r="A100" s="1">
        <v>2</v>
      </c>
      <c r="B100" s="1">
        <v>1</v>
      </c>
      <c r="C100" s="1" t="s">
        <v>2</v>
      </c>
      <c r="D100" s="1" t="s">
        <v>0</v>
      </c>
      <c r="E100" s="1">
        <v>0</v>
      </c>
      <c r="F100" s="1" t="s">
        <v>1</v>
      </c>
      <c r="G100" s="1" t="s">
        <v>0</v>
      </c>
      <c r="H100" s="1">
        <v>35</v>
      </c>
      <c r="I100" s="1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346A-68B5-4C7E-9EA5-7584F0501979}">
  <dimension ref="A1:T100"/>
  <sheetViews>
    <sheetView topLeftCell="K1" workbookViewId="0">
      <selection activeCell="T2" sqref="T2:T3"/>
    </sheetView>
  </sheetViews>
  <sheetFormatPr defaultRowHeight="14.4" x14ac:dyDescent="0.3"/>
  <cols>
    <col min="1" max="16384" width="8.88671875" style="1"/>
  </cols>
  <sheetData>
    <row r="1" spans="1:20" x14ac:dyDescent="0.3">
      <c r="A1" s="1">
        <v>2</v>
      </c>
      <c r="B1" s="1">
        <v>0</v>
      </c>
      <c r="C1" s="1" t="s">
        <v>2</v>
      </c>
      <c r="D1" s="1" t="s">
        <v>0</v>
      </c>
      <c r="E1" s="1">
        <v>26</v>
      </c>
      <c r="F1" s="1" t="s">
        <v>1</v>
      </c>
      <c r="G1" s="1" t="s">
        <v>0</v>
      </c>
      <c r="H1" s="1">
        <v>14</v>
      </c>
      <c r="I1" s="1">
        <v>0</v>
      </c>
      <c r="K1" s="2"/>
      <c r="L1" s="3"/>
      <c r="M1" s="24" t="s">
        <v>3</v>
      </c>
      <c r="N1" s="24"/>
      <c r="O1" s="19" t="s">
        <v>4</v>
      </c>
      <c r="P1" s="19"/>
      <c r="Q1" s="19" t="s">
        <v>5</v>
      </c>
      <c r="R1" s="19"/>
    </row>
    <row r="2" spans="1:20" x14ac:dyDescent="0.3">
      <c r="A2" s="1">
        <v>2</v>
      </c>
      <c r="B2" s="1">
        <v>0</v>
      </c>
      <c r="C2" s="1" t="s">
        <v>2</v>
      </c>
      <c r="D2" s="1" t="s">
        <v>0</v>
      </c>
      <c r="E2" s="1">
        <v>27</v>
      </c>
      <c r="F2" s="1" t="s">
        <v>1</v>
      </c>
      <c r="G2" s="1" t="s">
        <v>0</v>
      </c>
      <c r="H2" s="1">
        <v>20</v>
      </c>
      <c r="I2" s="1">
        <v>0</v>
      </c>
      <c r="K2" s="4"/>
      <c r="L2" s="5"/>
      <c r="M2" s="24"/>
      <c r="N2" s="24"/>
      <c r="O2" s="19"/>
      <c r="P2" s="19"/>
      <c r="Q2" s="19"/>
      <c r="R2" s="19"/>
      <c r="T2" t="s">
        <v>15</v>
      </c>
    </row>
    <row r="3" spans="1:20" x14ac:dyDescent="0.3">
      <c r="A3" s="1">
        <v>2</v>
      </c>
      <c r="B3" s="1">
        <v>0</v>
      </c>
      <c r="C3" s="1" t="s">
        <v>2</v>
      </c>
      <c r="D3" s="1" t="s">
        <v>0</v>
      </c>
      <c r="E3" s="1">
        <v>0</v>
      </c>
      <c r="F3" s="1" t="s">
        <v>1</v>
      </c>
      <c r="G3" s="1" t="s">
        <v>0</v>
      </c>
      <c r="H3" s="1">
        <v>14</v>
      </c>
      <c r="I3" s="1">
        <v>1</v>
      </c>
      <c r="K3" s="19" t="s">
        <v>6</v>
      </c>
      <c r="L3" s="19"/>
      <c r="M3" s="20">
        <f>COUNTIF($I$1:$I$100, 0)</f>
        <v>29</v>
      </c>
      <c r="N3" s="20"/>
      <c r="O3" s="20">
        <f>COUNTIFS($I$1:$I$100, 0, $B$1:$B$100, 0)</f>
        <v>15</v>
      </c>
      <c r="P3" s="20"/>
      <c r="Q3" s="21">
        <f>COUNTIFS($I$1:$I$100, 0, $B$1:$B$100, 1)</f>
        <v>14</v>
      </c>
      <c r="R3" s="10"/>
      <c r="T3" cm="1">
        <f t="array" ref="T3">SUMPRODUCT(--($E$1:$E$100=$H$1:$H$100))</f>
        <v>1</v>
      </c>
    </row>
    <row r="4" spans="1:20" x14ac:dyDescent="0.3">
      <c r="A4" s="1">
        <v>2</v>
      </c>
      <c r="B4" s="1">
        <v>0</v>
      </c>
      <c r="C4" s="1" t="s">
        <v>2</v>
      </c>
      <c r="D4" s="1" t="s">
        <v>0</v>
      </c>
      <c r="E4" s="1">
        <v>34</v>
      </c>
      <c r="F4" s="1" t="s">
        <v>1</v>
      </c>
      <c r="G4" s="1" t="s">
        <v>0</v>
      </c>
      <c r="H4" s="1">
        <v>0</v>
      </c>
      <c r="I4" s="1">
        <v>0</v>
      </c>
      <c r="K4" s="19"/>
      <c r="L4" s="19"/>
      <c r="M4" s="20"/>
      <c r="N4" s="20"/>
      <c r="O4" s="20"/>
      <c r="P4" s="20"/>
      <c r="Q4" s="20"/>
      <c r="R4" s="12"/>
    </row>
    <row r="5" spans="1:20" x14ac:dyDescent="0.3">
      <c r="A5" s="1">
        <v>2</v>
      </c>
      <c r="B5" s="1">
        <v>0</v>
      </c>
      <c r="C5" s="1" t="s">
        <v>2</v>
      </c>
      <c r="D5" s="1" t="s">
        <v>0</v>
      </c>
      <c r="E5" s="1">
        <v>39</v>
      </c>
      <c r="F5" s="1" t="s">
        <v>1</v>
      </c>
      <c r="G5" s="1" t="s">
        <v>0</v>
      </c>
      <c r="H5" s="1">
        <v>2</v>
      </c>
      <c r="I5" s="1">
        <v>0</v>
      </c>
      <c r="K5" s="19" t="s">
        <v>7</v>
      </c>
      <c r="L5" s="19"/>
      <c r="M5" s="11">
        <f>COUNTIF($I$1:$I$100, 1)</f>
        <v>71</v>
      </c>
      <c r="N5" s="20"/>
      <c r="O5" s="20">
        <f>COUNTIFS($I$1:$I$100, 1, $B$1:$B$100, 0)</f>
        <v>35</v>
      </c>
      <c r="P5" s="20"/>
      <c r="Q5" s="20">
        <f>COUNTIFS($I$1:$I$100, 1, $B$1:$B$100, 1)</f>
        <v>36</v>
      </c>
      <c r="R5" s="12"/>
    </row>
    <row r="6" spans="1:20" x14ac:dyDescent="0.3">
      <c r="A6" s="1">
        <v>2</v>
      </c>
      <c r="B6" s="1">
        <v>0</v>
      </c>
      <c r="C6" s="1" t="s">
        <v>2</v>
      </c>
      <c r="D6" s="1" t="s">
        <v>0</v>
      </c>
      <c r="E6" s="1">
        <v>2</v>
      </c>
      <c r="F6" s="1" t="s">
        <v>1</v>
      </c>
      <c r="G6" s="1" t="s">
        <v>0</v>
      </c>
      <c r="H6" s="1">
        <v>35</v>
      </c>
      <c r="I6" s="1">
        <v>1</v>
      </c>
      <c r="K6" s="19"/>
      <c r="L6" s="19"/>
      <c r="M6" s="13"/>
      <c r="N6" s="22"/>
      <c r="O6" s="22"/>
      <c r="P6" s="22"/>
      <c r="Q6" s="22"/>
      <c r="R6" s="14"/>
    </row>
    <row r="7" spans="1:20" x14ac:dyDescent="0.3">
      <c r="A7" s="1">
        <v>2</v>
      </c>
      <c r="B7" s="1">
        <v>0</v>
      </c>
      <c r="C7" s="1" t="s">
        <v>2</v>
      </c>
      <c r="D7" s="1" t="s">
        <v>0</v>
      </c>
      <c r="E7" s="1">
        <v>22</v>
      </c>
      <c r="F7" s="1" t="s">
        <v>1</v>
      </c>
      <c r="G7" s="1" t="s">
        <v>0</v>
      </c>
      <c r="H7" s="1">
        <v>43</v>
      </c>
      <c r="I7" s="1">
        <v>1</v>
      </c>
      <c r="K7" s="6"/>
      <c r="L7" s="6"/>
      <c r="M7" s="6"/>
      <c r="N7" s="6"/>
      <c r="O7" s="6"/>
      <c r="P7" s="6"/>
      <c r="Q7" s="6"/>
      <c r="R7" s="6"/>
    </row>
    <row r="8" spans="1:20" x14ac:dyDescent="0.3">
      <c r="A8" s="1">
        <v>2</v>
      </c>
      <c r="B8" s="1">
        <v>0</v>
      </c>
      <c r="C8" s="1" t="s">
        <v>2</v>
      </c>
      <c r="D8" s="1" t="s">
        <v>0</v>
      </c>
      <c r="E8" s="1">
        <v>2</v>
      </c>
      <c r="F8" s="1" t="s">
        <v>1</v>
      </c>
      <c r="G8" s="1" t="s">
        <v>0</v>
      </c>
      <c r="H8" s="1">
        <v>38</v>
      </c>
      <c r="I8" s="1">
        <v>1</v>
      </c>
      <c r="K8" s="7"/>
      <c r="L8" s="8"/>
      <c r="M8" s="23" t="s">
        <v>3</v>
      </c>
      <c r="N8" s="23"/>
      <c r="O8" s="23" t="s">
        <v>8</v>
      </c>
      <c r="P8" s="23"/>
      <c r="Q8" s="23" t="s">
        <v>9</v>
      </c>
      <c r="R8" s="23"/>
    </row>
    <row r="9" spans="1:20" x14ac:dyDescent="0.3">
      <c r="A9" s="1">
        <v>2</v>
      </c>
      <c r="B9" s="1">
        <v>0</v>
      </c>
      <c r="C9" s="1" t="s">
        <v>2</v>
      </c>
      <c r="D9" s="1" t="s">
        <v>0</v>
      </c>
      <c r="E9" s="1">
        <v>18</v>
      </c>
      <c r="F9" s="1" t="s">
        <v>1</v>
      </c>
      <c r="G9" s="1" t="s">
        <v>0</v>
      </c>
      <c r="H9" s="1">
        <v>2</v>
      </c>
      <c r="I9" s="1">
        <v>0</v>
      </c>
      <c r="K9" s="4"/>
      <c r="L9" s="5"/>
      <c r="M9" s="23"/>
      <c r="N9" s="23"/>
      <c r="O9" s="23"/>
      <c r="P9" s="23"/>
      <c r="Q9" s="23"/>
      <c r="R9" s="23"/>
    </row>
    <row r="10" spans="1:20" x14ac:dyDescent="0.3">
      <c r="A10" s="1">
        <v>2</v>
      </c>
      <c r="B10" s="1">
        <v>0</v>
      </c>
      <c r="C10" s="1" t="s">
        <v>2</v>
      </c>
      <c r="D10" s="1" t="s">
        <v>0</v>
      </c>
      <c r="E10" s="1">
        <v>6</v>
      </c>
      <c r="F10" s="1" t="s">
        <v>1</v>
      </c>
      <c r="G10" s="1" t="s">
        <v>0</v>
      </c>
      <c r="H10" s="1">
        <v>13</v>
      </c>
      <c r="I10" s="1">
        <v>1</v>
      </c>
      <c r="K10" s="19" t="s">
        <v>10</v>
      </c>
      <c r="L10" s="19"/>
      <c r="M10" s="20">
        <f>AVERAGE($E$1:$E$100,)</f>
        <v>15.217821782178218</v>
      </c>
      <c r="N10" s="20"/>
      <c r="O10" s="20" cm="1">
        <f t="array" ref="O10">AVERAGE(_xlfn._xlws.FILTER($E$1:$E$100,$I$1:$I$100 = 0))</f>
        <v>32.448275862068968</v>
      </c>
      <c r="P10" s="20"/>
      <c r="Q10" s="21" cm="1">
        <f t="array" ref="Q10">AVERAGE(_xlfn._xlws.FILTER($E$1:$E$100,$I$1:$I$100 = 1))</f>
        <v>8.3943661971830981</v>
      </c>
      <c r="R10" s="10"/>
    </row>
    <row r="11" spans="1:20" x14ac:dyDescent="0.3">
      <c r="A11" s="1">
        <v>2</v>
      </c>
      <c r="B11" s="1">
        <v>0</v>
      </c>
      <c r="C11" s="1" t="s">
        <v>2</v>
      </c>
      <c r="D11" s="1" t="s">
        <v>0</v>
      </c>
      <c r="E11" s="1">
        <v>34</v>
      </c>
      <c r="F11" s="1" t="s">
        <v>1</v>
      </c>
      <c r="G11" s="1" t="s">
        <v>0</v>
      </c>
      <c r="H11" s="1">
        <v>25</v>
      </c>
      <c r="I11" s="1">
        <v>0</v>
      </c>
      <c r="K11" s="19"/>
      <c r="L11" s="19"/>
      <c r="M11" s="20"/>
      <c r="N11" s="20"/>
      <c r="O11" s="20"/>
      <c r="P11" s="20"/>
      <c r="Q11" s="20"/>
      <c r="R11" s="12"/>
    </row>
    <row r="12" spans="1:20" x14ac:dyDescent="0.3">
      <c r="A12" s="1">
        <v>2</v>
      </c>
      <c r="B12" s="1">
        <v>0</v>
      </c>
      <c r="C12" s="1" t="s">
        <v>2</v>
      </c>
      <c r="D12" s="1" t="s">
        <v>0</v>
      </c>
      <c r="E12" s="1">
        <v>4</v>
      </c>
      <c r="F12" s="1" t="s">
        <v>1</v>
      </c>
      <c r="G12" s="1" t="s">
        <v>0</v>
      </c>
      <c r="H12" s="1">
        <v>45</v>
      </c>
      <c r="I12" s="1">
        <v>1</v>
      </c>
      <c r="K12" s="19" t="s">
        <v>11</v>
      </c>
      <c r="L12" s="19"/>
      <c r="M12" s="20">
        <f>AVERAGE($H$1:$H$100,)</f>
        <v>30.841584158415841</v>
      </c>
      <c r="N12" s="20"/>
      <c r="O12" s="20" cm="1">
        <f t="array" ref="O12">AVERAGE(_xlfn._xlws.FILTER($H$1:$H$100,$I$1:$I$100 = 0))</f>
        <v>15.551724137931034</v>
      </c>
      <c r="P12" s="20"/>
      <c r="Q12" s="20" cm="1">
        <f t="array" ref="Q12">AVERAGE(_xlfn._xlws.FILTER($H$1:$H$100,$I$1:$I$100 = 1))</f>
        <v>37.521126760563384</v>
      </c>
      <c r="R12" s="12"/>
    </row>
    <row r="13" spans="1:20" x14ac:dyDescent="0.3">
      <c r="A13" s="1">
        <v>2</v>
      </c>
      <c r="B13" s="1">
        <v>0</v>
      </c>
      <c r="C13" s="1" t="s">
        <v>2</v>
      </c>
      <c r="D13" s="1" t="s">
        <v>0</v>
      </c>
      <c r="E13" s="1">
        <v>18</v>
      </c>
      <c r="F13" s="1" t="s">
        <v>1</v>
      </c>
      <c r="G13" s="1" t="s">
        <v>0</v>
      </c>
      <c r="H13" s="1">
        <v>38</v>
      </c>
      <c r="I13" s="1">
        <v>1</v>
      </c>
      <c r="K13" s="19"/>
      <c r="L13" s="19"/>
      <c r="M13" s="20"/>
      <c r="N13" s="20"/>
      <c r="O13" s="20"/>
      <c r="P13" s="20"/>
      <c r="Q13" s="20"/>
      <c r="R13" s="12"/>
    </row>
    <row r="14" spans="1:20" x14ac:dyDescent="0.3">
      <c r="A14" s="1">
        <v>2</v>
      </c>
      <c r="B14" s="1">
        <v>0</v>
      </c>
      <c r="C14" s="1" t="s">
        <v>2</v>
      </c>
      <c r="D14" s="1" t="s">
        <v>0</v>
      </c>
      <c r="E14" s="1">
        <v>3</v>
      </c>
      <c r="F14" s="1" t="s">
        <v>1</v>
      </c>
      <c r="G14" s="1" t="s">
        <v>0</v>
      </c>
      <c r="H14" s="1">
        <v>9</v>
      </c>
      <c r="I14" s="1">
        <v>1</v>
      </c>
      <c r="K14" s="9" t="s">
        <v>12</v>
      </c>
      <c r="L14" s="10"/>
      <c r="M14" s="15" cm="1">
        <f t="array" ref="M14">AVERAGE($E$1:$E$100 - $H$1:$H$100)</f>
        <v>-15.78</v>
      </c>
      <c r="N14" s="15"/>
      <c r="O14" s="15" cm="1">
        <f t="array" ref="O14">AVERAGE(_xlfn._xlws.FILTER($E$1:$E$100 - $H$1:$H$100, I$1:I$100 = 0))</f>
        <v>16.896551724137932</v>
      </c>
      <c r="P14" s="15"/>
      <c r="Q14" s="15" cm="1">
        <f t="array" ref="Q14">AVERAGE(_xlfn._xlws.FILTER($E$1:$E$100 - $H$1:$H$100, I$1:I$100 = 1))</f>
        <v>-29.12676056338028</v>
      </c>
      <c r="R14" s="17"/>
    </row>
    <row r="15" spans="1:20" x14ac:dyDescent="0.3">
      <c r="A15" s="1">
        <v>2</v>
      </c>
      <c r="B15" s="1">
        <v>0</v>
      </c>
      <c r="C15" s="1" t="s">
        <v>2</v>
      </c>
      <c r="D15" s="1" t="s">
        <v>0</v>
      </c>
      <c r="E15" s="1">
        <v>27</v>
      </c>
      <c r="F15" s="1" t="s">
        <v>1</v>
      </c>
      <c r="G15" s="1" t="s">
        <v>0</v>
      </c>
      <c r="H15" s="1">
        <v>11</v>
      </c>
      <c r="I15" s="1">
        <v>0</v>
      </c>
      <c r="K15" s="11"/>
      <c r="L15" s="12"/>
      <c r="M15" s="15"/>
      <c r="N15" s="15"/>
      <c r="O15" s="15"/>
      <c r="P15" s="15"/>
      <c r="Q15" s="15"/>
      <c r="R15" s="17"/>
    </row>
    <row r="16" spans="1:20" x14ac:dyDescent="0.3">
      <c r="A16" s="1">
        <v>2</v>
      </c>
      <c r="B16" s="1">
        <v>0</v>
      </c>
      <c r="C16" s="1" t="s">
        <v>2</v>
      </c>
      <c r="D16" s="1" t="s">
        <v>0</v>
      </c>
      <c r="E16" s="1">
        <v>19</v>
      </c>
      <c r="F16" s="1" t="s">
        <v>1</v>
      </c>
      <c r="G16" s="1" t="s">
        <v>0</v>
      </c>
      <c r="H16" s="1">
        <v>25</v>
      </c>
      <c r="I16" s="1">
        <v>1</v>
      </c>
      <c r="K16" s="13"/>
      <c r="L16" s="14"/>
      <c r="M16" s="16"/>
      <c r="N16" s="16"/>
      <c r="O16" s="16"/>
      <c r="P16" s="16"/>
      <c r="Q16" s="16"/>
      <c r="R16" s="18"/>
    </row>
    <row r="17" spans="1:9" x14ac:dyDescent="0.3">
      <c r="A17" s="1">
        <v>2</v>
      </c>
      <c r="B17" s="1">
        <v>0</v>
      </c>
      <c r="C17" s="1" t="s">
        <v>2</v>
      </c>
      <c r="D17" s="1" t="s">
        <v>0</v>
      </c>
      <c r="E17" s="1">
        <v>0</v>
      </c>
      <c r="F17" s="1" t="s">
        <v>1</v>
      </c>
      <c r="G17" s="1" t="s">
        <v>0</v>
      </c>
      <c r="H17" s="1">
        <v>23</v>
      </c>
      <c r="I17" s="1">
        <v>1</v>
      </c>
    </row>
    <row r="18" spans="1:9" x14ac:dyDescent="0.3">
      <c r="A18" s="1">
        <v>2</v>
      </c>
      <c r="B18" s="1">
        <v>0</v>
      </c>
      <c r="C18" s="1" t="s">
        <v>2</v>
      </c>
      <c r="D18" s="1" t="s">
        <v>0</v>
      </c>
      <c r="E18" s="1">
        <v>39</v>
      </c>
      <c r="F18" s="1" t="s">
        <v>1</v>
      </c>
      <c r="G18" s="1" t="s">
        <v>0</v>
      </c>
      <c r="H18" s="1">
        <v>16</v>
      </c>
      <c r="I18" s="1">
        <v>0</v>
      </c>
    </row>
    <row r="19" spans="1:9" x14ac:dyDescent="0.3">
      <c r="A19" s="1">
        <v>2</v>
      </c>
      <c r="B19" s="1">
        <v>0</v>
      </c>
      <c r="C19" s="1" t="s">
        <v>2</v>
      </c>
      <c r="D19" s="1" t="s">
        <v>0</v>
      </c>
      <c r="E19" s="1">
        <v>33</v>
      </c>
      <c r="F19" s="1" t="s">
        <v>1</v>
      </c>
      <c r="G19" s="1" t="s">
        <v>0</v>
      </c>
      <c r="H19" s="1">
        <v>41</v>
      </c>
      <c r="I19" s="1">
        <v>1</v>
      </c>
    </row>
    <row r="20" spans="1:9" x14ac:dyDescent="0.3">
      <c r="A20" s="1">
        <v>2</v>
      </c>
      <c r="B20" s="1">
        <v>0</v>
      </c>
      <c r="C20" s="1" t="s">
        <v>2</v>
      </c>
      <c r="D20" s="1" t="s">
        <v>0</v>
      </c>
      <c r="E20" s="1">
        <v>41</v>
      </c>
      <c r="F20" s="1" t="s">
        <v>1</v>
      </c>
      <c r="G20" s="1" t="s">
        <v>0</v>
      </c>
      <c r="H20" s="1">
        <v>0</v>
      </c>
      <c r="I20" s="1">
        <v>0</v>
      </c>
    </row>
    <row r="21" spans="1:9" x14ac:dyDescent="0.3">
      <c r="A21" s="1">
        <v>2</v>
      </c>
      <c r="B21" s="1">
        <v>0</v>
      </c>
      <c r="C21" s="1" t="s">
        <v>2</v>
      </c>
      <c r="D21" s="1" t="s">
        <v>0</v>
      </c>
      <c r="E21" s="1">
        <v>21</v>
      </c>
      <c r="F21" s="1" t="s">
        <v>1</v>
      </c>
      <c r="G21" s="1" t="s">
        <v>0</v>
      </c>
      <c r="H21" s="1">
        <v>17</v>
      </c>
      <c r="I21" s="1">
        <v>0</v>
      </c>
    </row>
    <row r="22" spans="1:9" x14ac:dyDescent="0.3">
      <c r="A22" s="1">
        <v>2</v>
      </c>
      <c r="B22" s="1">
        <v>0</v>
      </c>
      <c r="C22" s="1" t="s">
        <v>2</v>
      </c>
      <c r="D22" s="1" t="s">
        <v>0</v>
      </c>
      <c r="E22" s="1">
        <v>17</v>
      </c>
      <c r="F22" s="1" t="s">
        <v>1</v>
      </c>
      <c r="G22" s="1" t="s">
        <v>0</v>
      </c>
      <c r="H22" s="1">
        <v>24</v>
      </c>
      <c r="I22" s="1">
        <v>1</v>
      </c>
    </row>
    <row r="23" spans="1:9" x14ac:dyDescent="0.3">
      <c r="A23" s="1">
        <v>2</v>
      </c>
      <c r="B23" s="1">
        <v>0</v>
      </c>
      <c r="C23" s="1" t="s">
        <v>2</v>
      </c>
      <c r="D23" s="1" t="s">
        <v>0</v>
      </c>
      <c r="E23" s="1">
        <v>2</v>
      </c>
      <c r="F23" s="1" t="s">
        <v>1</v>
      </c>
      <c r="G23" s="1" t="s">
        <v>0</v>
      </c>
      <c r="H23" s="1">
        <v>55</v>
      </c>
      <c r="I23" s="1">
        <v>1</v>
      </c>
    </row>
    <row r="24" spans="1:9" x14ac:dyDescent="0.3">
      <c r="A24" s="1">
        <v>2</v>
      </c>
      <c r="B24" s="1">
        <v>0</v>
      </c>
      <c r="C24" s="1" t="s">
        <v>2</v>
      </c>
      <c r="D24" s="1" t="s">
        <v>0</v>
      </c>
      <c r="E24" s="1">
        <v>10</v>
      </c>
      <c r="F24" s="1" t="s">
        <v>1</v>
      </c>
      <c r="G24" s="1" t="s">
        <v>0</v>
      </c>
      <c r="H24" s="1">
        <v>14</v>
      </c>
      <c r="I24" s="1">
        <v>1</v>
      </c>
    </row>
    <row r="25" spans="1:9" x14ac:dyDescent="0.3">
      <c r="A25" s="1">
        <v>2</v>
      </c>
      <c r="B25" s="1">
        <v>0</v>
      </c>
      <c r="C25" s="1" t="s">
        <v>2</v>
      </c>
      <c r="D25" s="1" t="s">
        <v>0</v>
      </c>
      <c r="E25" s="1">
        <v>5</v>
      </c>
      <c r="F25" s="1" t="s">
        <v>1</v>
      </c>
      <c r="G25" s="1" t="s">
        <v>0</v>
      </c>
      <c r="H25" s="1">
        <v>28</v>
      </c>
      <c r="I25" s="1">
        <v>1</v>
      </c>
    </row>
    <row r="26" spans="1:9" x14ac:dyDescent="0.3">
      <c r="A26" s="1">
        <v>2</v>
      </c>
      <c r="B26" s="1">
        <v>0</v>
      </c>
      <c r="C26" s="1" t="s">
        <v>2</v>
      </c>
      <c r="D26" s="1" t="s">
        <v>0</v>
      </c>
      <c r="E26" s="1">
        <v>20</v>
      </c>
      <c r="F26" s="1" t="s">
        <v>1</v>
      </c>
      <c r="G26" s="1" t="s">
        <v>0</v>
      </c>
      <c r="H26" s="1">
        <v>3</v>
      </c>
      <c r="I26" s="1">
        <v>0</v>
      </c>
    </row>
    <row r="27" spans="1:9" x14ac:dyDescent="0.3">
      <c r="A27" s="1">
        <v>2</v>
      </c>
      <c r="B27" s="1">
        <v>0</v>
      </c>
      <c r="C27" s="1" t="s">
        <v>2</v>
      </c>
      <c r="D27" s="1" t="s">
        <v>0</v>
      </c>
      <c r="E27" s="1">
        <v>2</v>
      </c>
      <c r="F27" s="1" t="s">
        <v>1</v>
      </c>
      <c r="G27" s="1" t="s">
        <v>0</v>
      </c>
      <c r="H27" s="1">
        <v>51</v>
      </c>
      <c r="I27" s="1">
        <v>1</v>
      </c>
    </row>
    <row r="28" spans="1:9" x14ac:dyDescent="0.3">
      <c r="A28" s="1">
        <v>2</v>
      </c>
      <c r="B28" s="1">
        <v>0</v>
      </c>
      <c r="C28" s="1" t="s">
        <v>2</v>
      </c>
      <c r="D28" s="1" t="s">
        <v>0</v>
      </c>
      <c r="E28" s="1">
        <v>50</v>
      </c>
      <c r="F28" s="1" t="s">
        <v>1</v>
      </c>
      <c r="G28" s="1" t="s">
        <v>0</v>
      </c>
      <c r="H28" s="1">
        <v>14</v>
      </c>
      <c r="I28" s="1">
        <v>0</v>
      </c>
    </row>
    <row r="29" spans="1:9" x14ac:dyDescent="0.3">
      <c r="A29" s="1">
        <v>2</v>
      </c>
      <c r="B29" s="1">
        <v>0</v>
      </c>
      <c r="C29" s="1" t="s">
        <v>2</v>
      </c>
      <c r="D29" s="1" t="s">
        <v>0</v>
      </c>
      <c r="E29" s="1">
        <v>16</v>
      </c>
      <c r="F29" s="1" t="s">
        <v>1</v>
      </c>
      <c r="G29" s="1" t="s">
        <v>0</v>
      </c>
      <c r="H29" s="1">
        <v>50</v>
      </c>
      <c r="I29" s="1">
        <v>1</v>
      </c>
    </row>
    <row r="30" spans="1:9" x14ac:dyDescent="0.3">
      <c r="A30" s="1">
        <v>2</v>
      </c>
      <c r="B30" s="1">
        <v>0</v>
      </c>
      <c r="C30" s="1" t="s">
        <v>2</v>
      </c>
      <c r="D30" s="1" t="s">
        <v>0</v>
      </c>
      <c r="E30" s="1">
        <v>31</v>
      </c>
      <c r="F30" s="1" t="s">
        <v>1</v>
      </c>
      <c r="G30" s="1" t="s">
        <v>0</v>
      </c>
      <c r="H30" s="1">
        <v>22</v>
      </c>
      <c r="I30" s="1">
        <v>0</v>
      </c>
    </row>
    <row r="31" spans="1:9" x14ac:dyDescent="0.3">
      <c r="A31" s="1">
        <v>2</v>
      </c>
      <c r="B31" s="1">
        <v>0</v>
      </c>
      <c r="C31" s="1" t="s">
        <v>2</v>
      </c>
      <c r="D31" s="1" t="s">
        <v>0</v>
      </c>
      <c r="E31" s="1">
        <v>4</v>
      </c>
      <c r="F31" s="1" t="s">
        <v>1</v>
      </c>
      <c r="G31" s="1" t="s">
        <v>0</v>
      </c>
      <c r="H31" s="1">
        <v>14</v>
      </c>
      <c r="I31" s="1">
        <v>1</v>
      </c>
    </row>
    <row r="32" spans="1:9" x14ac:dyDescent="0.3">
      <c r="A32" s="1">
        <v>2</v>
      </c>
      <c r="B32" s="1">
        <v>0</v>
      </c>
      <c r="C32" s="1" t="s">
        <v>2</v>
      </c>
      <c r="D32" s="1" t="s">
        <v>0</v>
      </c>
      <c r="E32" s="1">
        <v>0</v>
      </c>
      <c r="F32" s="1" t="s">
        <v>1</v>
      </c>
      <c r="G32" s="1" t="s">
        <v>0</v>
      </c>
      <c r="H32" s="1">
        <v>51</v>
      </c>
      <c r="I32" s="1">
        <v>1</v>
      </c>
    </row>
    <row r="33" spans="1:9" x14ac:dyDescent="0.3">
      <c r="A33" s="1">
        <v>2</v>
      </c>
      <c r="B33" s="1">
        <v>0</v>
      </c>
      <c r="C33" s="1" t="s">
        <v>2</v>
      </c>
      <c r="D33" s="1" t="s">
        <v>0</v>
      </c>
      <c r="E33" s="1">
        <v>4</v>
      </c>
      <c r="F33" s="1" t="s">
        <v>1</v>
      </c>
      <c r="G33" s="1" t="s">
        <v>0</v>
      </c>
      <c r="H33" s="1">
        <v>38</v>
      </c>
      <c r="I33" s="1">
        <v>1</v>
      </c>
    </row>
    <row r="34" spans="1:9" x14ac:dyDescent="0.3">
      <c r="A34" s="1">
        <v>2</v>
      </c>
      <c r="B34" s="1">
        <v>0</v>
      </c>
      <c r="C34" s="1" t="s">
        <v>2</v>
      </c>
      <c r="D34" s="1" t="s">
        <v>0</v>
      </c>
      <c r="E34" s="1">
        <v>2</v>
      </c>
      <c r="F34" s="1" t="s">
        <v>1</v>
      </c>
      <c r="G34" s="1" t="s">
        <v>0</v>
      </c>
      <c r="H34" s="1">
        <v>45</v>
      </c>
      <c r="I34" s="1">
        <v>1</v>
      </c>
    </row>
    <row r="35" spans="1:9" x14ac:dyDescent="0.3">
      <c r="A35" s="1">
        <v>2</v>
      </c>
      <c r="B35" s="1">
        <v>0</v>
      </c>
      <c r="C35" s="1" t="s">
        <v>2</v>
      </c>
      <c r="D35" s="1" t="s">
        <v>0</v>
      </c>
      <c r="E35" s="1">
        <v>7</v>
      </c>
      <c r="F35" s="1" t="s">
        <v>1</v>
      </c>
      <c r="G35" s="1" t="s">
        <v>0</v>
      </c>
      <c r="H35" s="1">
        <v>65</v>
      </c>
      <c r="I35" s="1">
        <v>1</v>
      </c>
    </row>
    <row r="36" spans="1:9" x14ac:dyDescent="0.3">
      <c r="A36" s="1">
        <v>2</v>
      </c>
      <c r="B36" s="1">
        <v>0</v>
      </c>
      <c r="C36" s="1" t="s">
        <v>2</v>
      </c>
      <c r="D36" s="1" t="s">
        <v>0</v>
      </c>
      <c r="E36" s="1">
        <v>0</v>
      </c>
      <c r="F36" s="1" t="s">
        <v>1</v>
      </c>
      <c r="G36" s="1" t="s">
        <v>0</v>
      </c>
      <c r="H36" s="1">
        <v>53</v>
      </c>
      <c r="I36" s="1">
        <v>1</v>
      </c>
    </row>
    <row r="37" spans="1:9" x14ac:dyDescent="0.3">
      <c r="A37" s="1">
        <v>2</v>
      </c>
      <c r="B37" s="1">
        <v>0</v>
      </c>
      <c r="C37" s="1" t="s">
        <v>2</v>
      </c>
      <c r="D37" s="1" t="s">
        <v>0</v>
      </c>
      <c r="E37" s="1">
        <v>13</v>
      </c>
      <c r="F37" s="1" t="s">
        <v>1</v>
      </c>
      <c r="G37" s="1" t="s">
        <v>0</v>
      </c>
      <c r="H37" s="1">
        <v>31</v>
      </c>
      <c r="I37" s="1">
        <v>1</v>
      </c>
    </row>
    <row r="38" spans="1:9" x14ac:dyDescent="0.3">
      <c r="A38" s="1">
        <v>2</v>
      </c>
      <c r="B38" s="1">
        <v>0</v>
      </c>
      <c r="C38" s="1" t="s">
        <v>2</v>
      </c>
      <c r="D38" s="1" t="s">
        <v>0</v>
      </c>
      <c r="E38" s="1">
        <v>19</v>
      </c>
      <c r="F38" s="1" t="s">
        <v>1</v>
      </c>
      <c r="G38" s="1" t="s">
        <v>0</v>
      </c>
      <c r="H38" s="1">
        <v>32</v>
      </c>
      <c r="I38" s="1">
        <v>1</v>
      </c>
    </row>
    <row r="39" spans="1:9" x14ac:dyDescent="0.3">
      <c r="A39" s="1">
        <v>2</v>
      </c>
      <c r="B39" s="1">
        <v>0</v>
      </c>
      <c r="C39" s="1" t="s">
        <v>2</v>
      </c>
      <c r="D39" s="1" t="s">
        <v>0</v>
      </c>
      <c r="E39" s="1">
        <v>17</v>
      </c>
      <c r="F39" s="1" t="s">
        <v>1</v>
      </c>
      <c r="G39" s="1" t="s">
        <v>0</v>
      </c>
      <c r="H39" s="1">
        <v>45</v>
      </c>
      <c r="I39" s="1">
        <v>1</v>
      </c>
    </row>
    <row r="40" spans="1:9" x14ac:dyDescent="0.3">
      <c r="A40" s="1">
        <v>2</v>
      </c>
      <c r="B40" s="1">
        <v>0</v>
      </c>
      <c r="C40" s="1" t="s">
        <v>2</v>
      </c>
      <c r="D40" s="1" t="s">
        <v>0</v>
      </c>
      <c r="E40" s="1">
        <v>10</v>
      </c>
      <c r="F40" s="1" t="s">
        <v>1</v>
      </c>
      <c r="G40" s="1" t="s">
        <v>0</v>
      </c>
      <c r="H40" s="1">
        <v>31</v>
      </c>
      <c r="I40" s="1">
        <v>1</v>
      </c>
    </row>
    <row r="41" spans="1:9" x14ac:dyDescent="0.3">
      <c r="A41" s="1">
        <v>2</v>
      </c>
      <c r="B41" s="1">
        <v>0</v>
      </c>
      <c r="C41" s="1" t="s">
        <v>2</v>
      </c>
      <c r="D41" s="1" t="s">
        <v>0</v>
      </c>
      <c r="E41" s="1">
        <v>3</v>
      </c>
      <c r="F41" s="1" t="s">
        <v>1</v>
      </c>
      <c r="G41" s="1" t="s">
        <v>0</v>
      </c>
      <c r="H41" s="1">
        <v>31</v>
      </c>
      <c r="I41" s="1">
        <v>1</v>
      </c>
    </row>
    <row r="42" spans="1:9" x14ac:dyDescent="0.3">
      <c r="A42" s="1">
        <v>2</v>
      </c>
      <c r="B42" s="1">
        <v>0</v>
      </c>
      <c r="C42" s="1" t="s">
        <v>2</v>
      </c>
      <c r="D42" s="1" t="s">
        <v>0</v>
      </c>
      <c r="E42" s="1">
        <v>36</v>
      </c>
      <c r="F42" s="1" t="s">
        <v>1</v>
      </c>
      <c r="G42" s="1" t="s">
        <v>0</v>
      </c>
      <c r="H42" s="1">
        <v>26</v>
      </c>
      <c r="I42" s="1">
        <v>0</v>
      </c>
    </row>
    <row r="43" spans="1:9" x14ac:dyDescent="0.3">
      <c r="A43" s="1">
        <v>2</v>
      </c>
      <c r="B43" s="1">
        <v>0</v>
      </c>
      <c r="C43" s="1" t="s">
        <v>2</v>
      </c>
      <c r="D43" s="1" t="s">
        <v>0</v>
      </c>
      <c r="E43" s="1">
        <v>34</v>
      </c>
      <c r="F43" s="1" t="s">
        <v>1</v>
      </c>
      <c r="G43" s="1" t="s">
        <v>0</v>
      </c>
      <c r="H43" s="1">
        <v>27</v>
      </c>
      <c r="I43" s="1">
        <v>0</v>
      </c>
    </row>
    <row r="44" spans="1:9" x14ac:dyDescent="0.3">
      <c r="A44" s="1">
        <v>2</v>
      </c>
      <c r="B44" s="1">
        <v>0</v>
      </c>
      <c r="C44" s="1" t="s">
        <v>2</v>
      </c>
      <c r="D44" s="1" t="s">
        <v>0</v>
      </c>
      <c r="E44" s="1">
        <v>15</v>
      </c>
      <c r="F44" s="1" t="s">
        <v>1</v>
      </c>
      <c r="G44" s="1" t="s">
        <v>0</v>
      </c>
      <c r="H44" s="1">
        <v>46</v>
      </c>
      <c r="I44" s="1">
        <v>1</v>
      </c>
    </row>
    <row r="45" spans="1:9" x14ac:dyDescent="0.3">
      <c r="A45" s="1">
        <v>2</v>
      </c>
      <c r="B45" s="1">
        <v>0</v>
      </c>
      <c r="C45" s="1" t="s">
        <v>2</v>
      </c>
      <c r="D45" s="1" t="s">
        <v>0</v>
      </c>
      <c r="E45" s="1">
        <v>3</v>
      </c>
      <c r="F45" s="1" t="s">
        <v>1</v>
      </c>
      <c r="G45" s="1" t="s">
        <v>0</v>
      </c>
      <c r="H45" s="1">
        <v>45</v>
      </c>
      <c r="I45" s="1">
        <v>1</v>
      </c>
    </row>
    <row r="46" spans="1:9" x14ac:dyDescent="0.3">
      <c r="A46" s="1">
        <v>2</v>
      </c>
      <c r="B46" s="1">
        <v>0</v>
      </c>
      <c r="C46" s="1" t="s">
        <v>2</v>
      </c>
      <c r="D46" s="1" t="s">
        <v>0</v>
      </c>
      <c r="E46" s="1">
        <v>9</v>
      </c>
      <c r="F46" s="1" t="s">
        <v>1</v>
      </c>
      <c r="G46" s="1" t="s">
        <v>0</v>
      </c>
      <c r="H46" s="1">
        <v>23</v>
      </c>
      <c r="I46" s="1">
        <v>1</v>
      </c>
    </row>
    <row r="47" spans="1:9" x14ac:dyDescent="0.3">
      <c r="A47" s="1">
        <v>2</v>
      </c>
      <c r="B47" s="1">
        <v>0</v>
      </c>
      <c r="C47" s="1" t="s">
        <v>2</v>
      </c>
      <c r="D47" s="1" t="s">
        <v>0</v>
      </c>
      <c r="E47" s="1">
        <v>0</v>
      </c>
      <c r="F47" s="1" t="s">
        <v>1</v>
      </c>
      <c r="G47" s="1" t="s">
        <v>0</v>
      </c>
      <c r="H47" s="1">
        <v>37</v>
      </c>
      <c r="I47" s="1">
        <v>1</v>
      </c>
    </row>
    <row r="48" spans="1:9" x14ac:dyDescent="0.3">
      <c r="A48" s="1">
        <v>2</v>
      </c>
      <c r="B48" s="1">
        <v>0</v>
      </c>
      <c r="C48" s="1" t="s">
        <v>2</v>
      </c>
      <c r="D48" s="1" t="s">
        <v>0</v>
      </c>
      <c r="E48" s="1">
        <v>2</v>
      </c>
      <c r="F48" s="1" t="s">
        <v>1</v>
      </c>
      <c r="G48" s="1" t="s">
        <v>0</v>
      </c>
      <c r="H48" s="1">
        <v>36</v>
      </c>
      <c r="I48" s="1">
        <v>1</v>
      </c>
    </row>
    <row r="49" spans="1:9" x14ac:dyDescent="0.3">
      <c r="A49" s="1">
        <v>2</v>
      </c>
      <c r="B49" s="1">
        <v>0</v>
      </c>
      <c r="C49" s="1" t="s">
        <v>2</v>
      </c>
      <c r="D49" s="1" t="s">
        <v>0</v>
      </c>
      <c r="E49" s="1">
        <v>16</v>
      </c>
      <c r="F49" s="1" t="s">
        <v>1</v>
      </c>
      <c r="G49" s="1" t="s">
        <v>0</v>
      </c>
      <c r="H49" s="1">
        <v>23</v>
      </c>
      <c r="I49" s="1">
        <v>1</v>
      </c>
    </row>
    <row r="50" spans="1:9" x14ac:dyDescent="0.3">
      <c r="A50" s="1">
        <v>2</v>
      </c>
      <c r="B50" s="1">
        <v>0</v>
      </c>
      <c r="C50" s="1" t="s">
        <v>2</v>
      </c>
      <c r="D50" s="1" t="s">
        <v>0</v>
      </c>
      <c r="E50" s="1">
        <v>1</v>
      </c>
      <c r="F50" s="1" t="s">
        <v>1</v>
      </c>
      <c r="G50" s="1" t="s">
        <v>0</v>
      </c>
      <c r="H50" s="1">
        <v>49</v>
      </c>
      <c r="I50" s="1">
        <v>1</v>
      </c>
    </row>
    <row r="51" spans="1:9" x14ac:dyDescent="0.3">
      <c r="A51" s="1">
        <v>2</v>
      </c>
      <c r="B51" s="1">
        <v>1</v>
      </c>
      <c r="C51" s="1" t="s">
        <v>2</v>
      </c>
      <c r="D51" s="1" t="s">
        <v>0</v>
      </c>
      <c r="E51" s="1">
        <v>25</v>
      </c>
      <c r="F51" s="1" t="s">
        <v>1</v>
      </c>
      <c r="G51" s="1" t="s">
        <v>0</v>
      </c>
      <c r="H51" s="1">
        <v>16</v>
      </c>
      <c r="I51" s="1">
        <v>0</v>
      </c>
    </row>
    <row r="52" spans="1:9" x14ac:dyDescent="0.3">
      <c r="A52" s="1">
        <v>2</v>
      </c>
      <c r="B52" s="1">
        <v>1</v>
      </c>
      <c r="C52" s="1" t="s">
        <v>2</v>
      </c>
      <c r="D52" s="1" t="s">
        <v>0</v>
      </c>
      <c r="E52" s="1">
        <v>2</v>
      </c>
      <c r="F52" s="1" t="s">
        <v>1</v>
      </c>
      <c r="G52" s="1" t="s">
        <v>0</v>
      </c>
      <c r="H52" s="1">
        <v>33</v>
      </c>
      <c r="I52" s="1">
        <v>1</v>
      </c>
    </row>
    <row r="53" spans="1:9" x14ac:dyDescent="0.3">
      <c r="A53" s="1">
        <v>2</v>
      </c>
      <c r="B53" s="1">
        <v>1</v>
      </c>
      <c r="C53" s="1" t="s">
        <v>2</v>
      </c>
      <c r="D53" s="1" t="s">
        <v>0</v>
      </c>
      <c r="E53" s="1">
        <v>0</v>
      </c>
      <c r="F53" s="1" t="s">
        <v>1</v>
      </c>
      <c r="G53" s="1" t="s">
        <v>0</v>
      </c>
      <c r="H53" s="1">
        <v>24</v>
      </c>
      <c r="I53" s="1">
        <v>1</v>
      </c>
    </row>
    <row r="54" spans="1:9" x14ac:dyDescent="0.3">
      <c r="A54" s="1">
        <v>2</v>
      </c>
      <c r="B54" s="1">
        <v>1</v>
      </c>
      <c r="C54" s="1" t="s">
        <v>2</v>
      </c>
      <c r="D54" s="1" t="s">
        <v>0</v>
      </c>
      <c r="E54" s="1">
        <v>8</v>
      </c>
      <c r="F54" s="1" t="s">
        <v>1</v>
      </c>
      <c r="G54" s="1" t="s">
        <v>0</v>
      </c>
      <c r="H54" s="1">
        <v>39</v>
      </c>
      <c r="I54" s="1">
        <v>1</v>
      </c>
    </row>
    <row r="55" spans="1:9" x14ac:dyDescent="0.3">
      <c r="A55" s="1">
        <v>2</v>
      </c>
      <c r="B55" s="1">
        <v>1</v>
      </c>
      <c r="C55" s="1" t="s">
        <v>2</v>
      </c>
      <c r="D55" s="1" t="s">
        <v>0</v>
      </c>
      <c r="E55" s="1">
        <v>16</v>
      </c>
      <c r="F55" s="1" t="s">
        <v>1</v>
      </c>
      <c r="G55" s="1" t="s">
        <v>0</v>
      </c>
      <c r="H55" s="1">
        <v>25</v>
      </c>
      <c r="I55" s="1">
        <v>1</v>
      </c>
    </row>
    <row r="56" spans="1:9" x14ac:dyDescent="0.3">
      <c r="A56" s="1">
        <v>2</v>
      </c>
      <c r="B56" s="1">
        <v>1</v>
      </c>
      <c r="C56" s="1" t="s">
        <v>2</v>
      </c>
      <c r="D56" s="1" t="s">
        <v>0</v>
      </c>
      <c r="E56" s="1">
        <v>14</v>
      </c>
      <c r="F56" s="1" t="s">
        <v>1</v>
      </c>
      <c r="G56" s="1" t="s">
        <v>0</v>
      </c>
      <c r="H56" s="1">
        <v>28</v>
      </c>
      <c r="I56" s="1">
        <v>1</v>
      </c>
    </row>
    <row r="57" spans="1:9" x14ac:dyDescent="0.3">
      <c r="A57" s="1">
        <v>2</v>
      </c>
      <c r="B57" s="1">
        <v>1</v>
      </c>
      <c r="C57" s="1" t="s">
        <v>2</v>
      </c>
      <c r="D57" s="1" t="s">
        <v>0</v>
      </c>
      <c r="E57" s="1">
        <v>56</v>
      </c>
      <c r="F57" s="1" t="s">
        <v>1</v>
      </c>
      <c r="G57" s="1" t="s">
        <v>0</v>
      </c>
      <c r="H57" s="1">
        <v>16</v>
      </c>
      <c r="I57" s="1">
        <v>0</v>
      </c>
    </row>
    <row r="58" spans="1:9" x14ac:dyDescent="0.3">
      <c r="A58" s="1">
        <v>2</v>
      </c>
      <c r="B58" s="1">
        <v>1</v>
      </c>
      <c r="C58" s="1" t="s">
        <v>2</v>
      </c>
      <c r="D58" s="1" t="s">
        <v>0</v>
      </c>
      <c r="E58" s="1">
        <v>2</v>
      </c>
      <c r="F58" s="1" t="s">
        <v>1</v>
      </c>
      <c r="G58" s="1" t="s">
        <v>0</v>
      </c>
      <c r="H58" s="1">
        <v>18</v>
      </c>
      <c r="I58" s="1">
        <v>1</v>
      </c>
    </row>
    <row r="59" spans="1:9" x14ac:dyDescent="0.3">
      <c r="A59" s="1">
        <v>2</v>
      </c>
      <c r="B59" s="1">
        <v>1</v>
      </c>
      <c r="C59" s="1" t="s">
        <v>2</v>
      </c>
      <c r="D59" s="1" t="s">
        <v>0</v>
      </c>
      <c r="E59" s="1">
        <v>34</v>
      </c>
      <c r="F59" s="1" t="s">
        <v>1</v>
      </c>
      <c r="G59" s="1" t="s">
        <v>0</v>
      </c>
      <c r="H59" s="1">
        <v>21</v>
      </c>
      <c r="I59" s="1">
        <v>0</v>
      </c>
    </row>
    <row r="60" spans="1:9" x14ac:dyDescent="0.3">
      <c r="A60" s="1">
        <v>2</v>
      </c>
      <c r="B60" s="1">
        <v>1</v>
      </c>
      <c r="C60" s="1" t="s">
        <v>2</v>
      </c>
      <c r="D60" s="1" t="s">
        <v>0</v>
      </c>
      <c r="E60" s="1">
        <v>27</v>
      </c>
      <c r="F60" s="1" t="s">
        <v>1</v>
      </c>
      <c r="G60" s="1" t="s">
        <v>0</v>
      </c>
      <c r="H60" s="1">
        <v>25</v>
      </c>
      <c r="I60" s="1">
        <v>0</v>
      </c>
    </row>
    <row r="61" spans="1:9" x14ac:dyDescent="0.3">
      <c r="A61" s="1">
        <v>2</v>
      </c>
      <c r="B61" s="1">
        <v>1</v>
      </c>
      <c r="C61" s="1" t="s">
        <v>2</v>
      </c>
      <c r="D61" s="1" t="s">
        <v>0</v>
      </c>
      <c r="E61" s="1">
        <v>14</v>
      </c>
      <c r="F61" s="1" t="s">
        <v>1</v>
      </c>
      <c r="G61" s="1" t="s">
        <v>0</v>
      </c>
      <c r="H61" s="1">
        <v>47</v>
      </c>
      <c r="I61" s="1">
        <v>1</v>
      </c>
    </row>
    <row r="62" spans="1:9" x14ac:dyDescent="0.3">
      <c r="A62" s="1">
        <v>2</v>
      </c>
      <c r="B62" s="1">
        <v>1</v>
      </c>
      <c r="C62" s="1" t="s">
        <v>2</v>
      </c>
      <c r="D62" s="1" t="s">
        <v>0</v>
      </c>
      <c r="E62" s="1">
        <v>6</v>
      </c>
      <c r="F62" s="1" t="s">
        <v>1</v>
      </c>
      <c r="G62" s="1" t="s">
        <v>0</v>
      </c>
      <c r="H62" s="1">
        <v>32</v>
      </c>
      <c r="I62" s="1">
        <v>1</v>
      </c>
    </row>
    <row r="63" spans="1:9" x14ac:dyDescent="0.3">
      <c r="A63" s="1">
        <v>2</v>
      </c>
      <c r="B63" s="1">
        <v>1</v>
      </c>
      <c r="C63" s="1" t="s">
        <v>2</v>
      </c>
      <c r="D63" s="1" t="s">
        <v>0</v>
      </c>
      <c r="E63" s="1">
        <v>14</v>
      </c>
      <c r="F63" s="1" t="s">
        <v>1</v>
      </c>
      <c r="G63" s="1" t="s">
        <v>0</v>
      </c>
      <c r="H63" s="1">
        <v>30</v>
      </c>
      <c r="I63" s="1">
        <v>1</v>
      </c>
    </row>
    <row r="64" spans="1:9" x14ac:dyDescent="0.3">
      <c r="A64" s="1">
        <v>2</v>
      </c>
      <c r="B64" s="1">
        <v>1</v>
      </c>
      <c r="C64" s="1" t="s">
        <v>2</v>
      </c>
      <c r="D64" s="1" t="s">
        <v>0</v>
      </c>
      <c r="E64" s="1">
        <v>12</v>
      </c>
      <c r="F64" s="1" t="s">
        <v>1</v>
      </c>
      <c r="G64" s="1" t="s">
        <v>0</v>
      </c>
      <c r="H64" s="1">
        <v>35</v>
      </c>
      <c r="I64" s="1">
        <v>1</v>
      </c>
    </row>
    <row r="65" spans="1:9" x14ac:dyDescent="0.3">
      <c r="A65" s="1">
        <v>2</v>
      </c>
      <c r="B65" s="1">
        <v>1</v>
      </c>
      <c r="C65" s="1" t="s">
        <v>2</v>
      </c>
      <c r="D65" s="1" t="s">
        <v>0</v>
      </c>
      <c r="E65" s="1">
        <v>2</v>
      </c>
      <c r="F65" s="1" t="s">
        <v>1</v>
      </c>
      <c r="G65" s="1" t="s">
        <v>0</v>
      </c>
      <c r="H65" s="1">
        <v>58</v>
      </c>
      <c r="I65" s="1">
        <v>1</v>
      </c>
    </row>
    <row r="66" spans="1:9" x14ac:dyDescent="0.3">
      <c r="A66" s="1">
        <v>2</v>
      </c>
      <c r="B66" s="1">
        <v>1</v>
      </c>
      <c r="C66" s="1" t="s">
        <v>2</v>
      </c>
      <c r="D66" s="1" t="s">
        <v>0</v>
      </c>
      <c r="E66" s="1">
        <v>21</v>
      </c>
      <c r="F66" s="1" t="s">
        <v>1</v>
      </c>
      <c r="G66" s="1" t="s">
        <v>0</v>
      </c>
      <c r="H66" s="1">
        <v>19</v>
      </c>
      <c r="I66" s="1">
        <v>0</v>
      </c>
    </row>
    <row r="67" spans="1:9" x14ac:dyDescent="0.3">
      <c r="A67" s="1">
        <v>2</v>
      </c>
      <c r="B67" s="1">
        <v>1</v>
      </c>
      <c r="C67" s="1" t="s">
        <v>2</v>
      </c>
      <c r="D67" s="1" t="s">
        <v>0</v>
      </c>
      <c r="E67" s="1">
        <v>7</v>
      </c>
      <c r="F67" s="1" t="s">
        <v>1</v>
      </c>
      <c r="G67" s="1" t="s">
        <v>0</v>
      </c>
      <c r="H67" s="1">
        <v>32</v>
      </c>
      <c r="I67" s="1">
        <v>1</v>
      </c>
    </row>
    <row r="68" spans="1:9" x14ac:dyDescent="0.3">
      <c r="A68" s="1">
        <v>2</v>
      </c>
      <c r="B68" s="1">
        <v>1</v>
      </c>
      <c r="C68" s="1" t="s">
        <v>2</v>
      </c>
      <c r="D68" s="1" t="s">
        <v>0</v>
      </c>
      <c r="E68" s="1">
        <v>13</v>
      </c>
      <c r="F68" s="1" t="s">
        <v>1</v>
      </c>
      <c r="G68" s="1" t="s">
        <v>0</v>
      </c>
      <c r="H68" s="1">
        <v>17</v>
      </c>
      <c r="I68" s="1">
        <v>1</v>
      </c>
    </row>
    <row r="69" spans="1:9" x14ac:dyDescent="0.3">
      <c r="A69" s="1">
        <v>2</v>
      </c>
      <c r="B69" s="1">
        <v>1</v>
      </c>
      <c r="C69" s="1" t="s">
        <v>2</v>
      </c>
      <c r="D69" s="1" t="s">
        <v>0</v>
      </c>
      <c r="E69" s="1">
        <v>5</v>
      </c>
      <c r="F69" s="1" t="s">
        <v>1</v>
      </c>
      <c r="G69" s="1" t="s">
        <v>0</v>
      </c>
      <c r="H69" s="1">
        <v>5</v>
      </c>
      <c r="I69" s="1">
        <v>0</v>
      </c>
    </row>
    <row r="70" spans="1:9" x14ac:dyDescent="0.3">
      <c r="A70" s="1">
        <v>2</v>
      </c>
      <c r="B70" s="1">
        <v>1</v>
      </c>
      <c r="C70" s="1" t="s">
        <v>2</v>
      </c>
      <c r="D70" s="1" t="s">
        <v>0</v>
      </c>
      <c r="E70" s="1">
        <v>53</v>
      </c>
      <c r="F70" s="1" t="s">
        <v>1</v>
      </c>
      <c r="G70" s="1" t="s">
        <v>0</v>
      </c>
      <c r="H70" s="1">
        <v>35</v>
      </c>
      <c r="I70" s="1">
        <v>0</v>
      </c>
    </row>
    <row r="71" spans="1:9" x14ac:dyDescent="0.3">
      <c r="A71" s="1">
        <v>2</v>
      </c>
      <c r="B71" s="1">
        <v>1</v>
      </c>
      <c r="C71" s="1" t="s">
        <v>2</v>
      </c>
      <c r="D71" s="1" t="s">
        <v>0</v>
      </c>
      <c r="E71" s="1">
        <v>55</v>
      </c>
      <c r="F71" s="1" t="s">
        <v>1</v>
      </c>
      <c r="G71" s="1" t="s">
        <v>0</v>
      </c>
      <c r="H71" s="1">
        <v>33</v>
      </c>
      <c r="I71" s="1">
        <v>0</v>
      </c>
    </row>
    <row r="72" spans="1:9" x14ac:dyDescent="0.3">
      <c r="A72" s="1">
        <v>2</v>
      </c>
      <c r="B72" s="1">
        <v>1</v>
      </c>
      <c r="C72" s="1" t="s">
        <v>2</v>
      </c>
      <c r="D72" s="1" t="s">
        <v>0</v>
      </c>
      <c r="E72" s="1">
        <v>5</v>
      </c>
      <c r="F72" s="1" t="s">
        <v>1</v>
      </c>
      <c r="G72" s="1" t="s">
        <v>0</v>
      </c>
      <c r="H72" s="1">
        <v>10</v>
      </c>
      <c r="I72" s="1">
        <v>1</v>
      </c>
    </row>
    <row r="73" spans="1:9" x14ac:dyDescent="0.3">
      <c r="A73" s="1">
        <v>2</v>
      </c>
      <c r="B73" s="1">
        <v>1</v>
      </c>
      <c r="C73" s="1" t="s">
        <v>2</v>
      </c>
      <c r="D73" s="1" t="s">
        <v>0</v>
      </c>
      <c r="E73" s="1">
        <v>44</v>
      </c>
      <c r="F73" s="1" t="s">
        <v>1</v>
      </c>
      <c r="G73" s="1" t="s">
        <v>0</v>
      </c>
      <c r="H73" s="1">
        <v>18</v>
      </c>
      <c r="I73" s="1">
        <v>0</v>
      </c>
    </row>
    <row r="74" spans="1:9" x14ac:dyDescent="0.3">
      <c r="A74" s="1">
        <v>2</v>
      </c>
      <c r="B74" s="1">
        <v>1</v>
      </c>
      <c r="C74" s="1" t="s">
        <v>2</v>
      </c>
      <c r="D74" s="1" t="s">
        <v>0</v>
      </c>
      <c r="E74" s="1">
        <v>0</v>
      </c>
      <c r="F74" s="1" t="s">
        <v>1</v>
      </c>
      <c r="G74" s="1" t="s">
        <v>0</v>
      </c>
      <c r="H74" s="1">
        <v>73</v>
      </c>
      <c r="I74" s="1">
        <v>1</v>
      </c>
    </row>
    <row r="75" spans="1:9" x14ac:dyDescent="0.3">
      <c r="A75" s="1">
        <v>2</v>
      </c>
      <c r="B75" s="1">
        <v>1</v>
      </c>
      <c r="C75" s="1" t="s">
        <v>2</v>
      </c>
      <c r="D75" s="1" t="s">
        <v>0</v>
      </c>
      <c r="E75" s="1">
        <v>0</v>
      </c>
      <c r="F75" s="1" t="s">
        <v>1</v>
      </c>
      <c r="G75" s="1" t="s">
        <v>0</v>
      </c>
      <c r="H75" s="1">
        <v>47</v>
      </c>
      <c r="I75" s="1">
        <v>1</v>
      </c>
    </row>
    <row r="76" spans="1:9" x14ac:dyDescent="0.3">
      <c r="A76" s="1">
        <v>2</v>
      </c>
      <c r="B76" s="1">
        <v>1</v>
      </c>
      <c r="C76" s="1" t="s">
        <v>2</v>
      </c>
      <c r="D76" s="1" t="s">
        <v>0</v>
      </c>
      <c r="E76" s="1">
        <v>2</v>
      </c>
      <c r="F76" s="1" t="s">
        <v>1</v>
      </c>
      <c r="G76" s="1" t="s">
        <v>0</v>
      </c>
      <c r="H76" s="1">
        <v>30</v>
      </c>
      <c r="I76" s="1">
        <v>1</v>
      </c>
    </row>
    <row r="77" spans="1:9" x14ac:dyDescent="0.3">
      <c r="A77" s="1">
        <v>2</v>
      </c>
      <c r="B77" s="1">
        <v>1</v>
      </c>
      <c r="C77" s="1" t="s">
        <v>2</v>
      </c>
      <c r="D77" s="1" t="s">
        <v>0</v>
      </c>
      <c r="E77" s="1">
        <v>4</v>
      </c>
      <c r="F77" s="1" t="s">
        <v>1</v>
      </c>
      <c r="G77" s="1" t="s">
        <v>0</v>
      </c>
      <c r="H77" s="1">
        <v>48</v>
      </c>
      <c r="I77" s="1">
        <v>1</v>
      </c>
    </row>
    <row r="78" spans="1:9" x14ac:dyDescent="0.3">
      <c r="A78" s="1">
        <v>2</v>
      </c>
      <c r="B78" s="1">
        <v>1</v>
      </c>
      <c r="C78" s="1" t="s">
        <v>2</v>
      </c>
      <c r="D78" s="1" t="s">
        <v>0</v>
      </c>
      <c r="E78" s="1">
        <v>10</v>
      </c>
      <c r="F78" s="1" t="s">
        <v>1</v>
      </c>
      <c r="G78" s="1" t="s">
        <v>0</v>
      </c>
      <c r="H78" s="1">
        <v>4</v>
      </c>
      <c r="I78" s="1">
        <v>0</v>
      </c>
    </row>
    <row r="79" spans="1:9" x14ac:dyDescent="0.3">
      <c r="A79" s="1">
        <v>2</v>
      </c>
      <c r="B79" s="1">
        <v>1</v>
      </c>
      <c r="C79" s="1" t="s">
        <v>2</v>
      </c>
      <c r="D79" s="1" t="s">
        <v>0</v>
      </c>
      <c r="E79" s="1">
        <v>2</v>
      </c>
      <c r="F79" s="1" t="s">
        <v>1</v>
      </c>
      <c r="G79" s="1" t="s">
        <v>0</v>
      </c>
      <c r="H79" s="1">
        <v>48</v>
      </c>
      <c r="I79" s="1">
        <v>1</v>
      </c>
    </row>
    <row r="80" spans="1:9" x14ac:dyDescent="0.3">
      <c r="A80" s="1">
        <v>2</v>
      </c>
      <c r="B80" s="1">
        <v>1</v>
      </c>
      <c r="C80" s="1" t="s">
        <v>2</v>
      </c>
      <c r="D80" s="1" t="s">
        <v>0</v>
      </c>
      <c r="E80" s="1">
        <v>2</v>
      </c>
      <c r="F80" s="1" t="s">
        <v>1</v>
      </c>
      <c r="G80" s="1" t="s">
        <v>0</v>
      </c>
      <c r="H80" s="1">
        <v>62</v>
      </c>
      <c r="I80" s="1">
        <v>1</v>
      </c>
    </row>
    <row r="81" spans="1:9" x14ac:dyDescent="0.3">
      <c r="A81" s="1">
        <v>2</v>
      </c>
      <c r="B81" s="1">
        <v>1</v>
      </c>
      <c r="C81" s="1" t="s">
        <v>2</v>
      </c>
      <c r="D81" s="1" t="s">
        <v>0</v>
      </c>
      <c r="E81" s="1">
        <v>10</v>
      </c>
      <c r="F81" s="1" t="s">
        <v>1</v>
      </c>
      <c r="G81" s="1" t="s">
        <v>0</v>
      </c>
      <c r="H81" s="1">
        <v>50</v>
      </c>
      <c r="I81" s="1">
        <v>1</v>
      </c>
    </row>
    <row r="82" spans="1:9" x14ac:dyDescent="0.3">
      <c r="A82" s="1">
        <v>2</v>
      </c>
      <c r="B82" s="1">
        <v>1</v>
      </c>
      <c r="C82" s="1" t="s">
        <v>2</v>
      </c>
      <c r="D82" s="1" t="s">
        <v>0</v>
      </c>
      <c r="E82" s="1">
        <v>61</v>
      </c>
      <c r="F82" s="1" t="s">
        <v>1</v>
      </c>
      <c r="G82" s="1" t="s">
        <v>0</v>
      </c>
      <c r="H82" s="1">
        <v>17</v>
      </c>
      <c r="I82" s="1">
        <v>0</v>
      </c>
    </row>
    <row r="83" spans="1:9" x14ac:dyDescent="0.3">
      <c r="A83" s="1">
        <v>2</v>
      </c>
      <c r="B83" s="1">
        <v>1</v>
      </c>
      <c r="C83" s="1" t="s">
        <v>2</v>
      </c>
      <c r="D83" s="1" t="s">
        <v>0</v>
      </c>
      <c r="E83" s="1">
        <v>23</v>
      </c>
      <c r="F83" s="1" t="s">
        <v>1</v>
      </c>
      <c r="G83" s="1" t="s">
        <v>0</v>
      </c>
      <c r="H83" s="1">
        <v>7</v>
      </c>
      <c r="I83" s="1">
        <v>0</v>
      </c>
    </row>
    <row r="84" spans="1:9" x14ac:dyDescent="0.3">
      <c r="A84" s="1">
        <v>2</v>
      </c>
      <c r="B84" s="1">
        <v>1</v>
      </c>
      <c r="C84" s="1" t="s">
        <v>2</v>
      </c>
      <c r="D84" s="1" t="s">
        <v>0</v>
      </c>
      <c r="E84" s="1">
        <v>2</v>
      </c>
      <c r="F84" s="1" t="s">
        <v>1</v>
      </c>
      <c r="G84" s="1" t="s">
        <v>0</v>
      </c>
      <c r="H84" s="1">
        <v>39</v>
      </c>
      <c r="I84" s="1">
        <v>1</v>
      </c>
    </row>
    <row r="85" spans="1:9" x14ac:dyDescent="0.3">
      <c r="A85" s="1">
        <v>2</v>
      </c>
      <c r="B85" s="1">
        <v>1</v>
      </c>
      <c r="C85" s="1" t="s">
        <v>2</v>
      </c>
      <c r="D85" s="1" t="s">
        <v>0</v>
      </c>
      <c r="E85" s="1">
        <v>0</v>
      </c>
      <c r="F85" s="1" t="s">
        <v>1</v>
      </c>
      <c r="G85" s="1" t="s">
        <v>0</v>
      </c>
      <c r="H85" s="1">
        <v>48</v>
      </c>
      <c r="I85" s="1">
        <v>1</v>
      </c>
    </row>
    <row r="86" spans="1:9" x14ac:dyDescent="0.3">
      <c r="A86" s="1">
        <v>2</v>
      </c>
      <c r="B86" s="1">
        <v>1</v>
      </c>
      <c r="C86" s="1" t="s">
        <v>2</v>
      </c>
      <c r="D86" s="1" t="s">
        <v>0</v>
      </c>
      <c r="E86" s="1">
        <v>7</v>
      </c>
      <c r="F86" s="1" t="s">
        <v>1</v>
      </c>
      <c r="G86" s="1" t="s">
        <v>0</v>
      </c>
      <c r="H86" s="1">
        <v>53</v>
      </c>
      <c r="I86" s="1">
        <v>1</v>
      </c>
    </row>
    <row r="87" spans="1:9" x14ac:dyDescent="0.3">
      <c r="A87" s="1">
        <v>2</v>
      </c>
      <c r="B87" s="1">
        <v>1</v>
      </c>
      <c r="C87" s="1" t="s">
        <v>2</v>
      </c>
      <c r="D87" s="1" t="s">
        <v>0</v>
      </c>
      <c r="E87" s="1">
        <v>20</v>
      </c>
      <c r="F87" s="1" t="s">
        <v>1</v>
      </c>
      <c r="G87" s="1" t="s">
        <v>0</v>
      </c>
      <c r="H87" s="1">
        <v>42</v>
      </c>
      <c r="I87" s="1">
        <v>1</v>
      </c>
    </row>
    <row r="88" spans="1:9" x14ac:dyDescent="0.3">
      <c r="A88" s="1">
        <v>2</v>
      </c>
      <c r="B88" s="1">
        <v>1</v>
      </c>
      <c r="C88" s="1" t="s">
        <v>2</v>
      </c>
      <c r="D88" s="1" t="s">
        <v>0</v>
      </c>
      <c r="E88" s="1">
        <v>2</v>
      </c>
      <c r="F88" s="1" t="s">
        <v>1</v>
      </c>
      <c r="G88" s="1" t="s">
        <v>0</v>
      </c>
      <c r="H88" s="1">
        <v>59</v>
      </c>
      <c r="I88" s="1">
        <v>1</v>
      </c>
    </row>
    <row r="89" spans="1:9" x14ac:dyDescent="0.3">
      <c r="A89" s="1">
        <v>2</v>
      </c>
      <c r="B89" s="1">
        <v>1</v>
      </c>
      <c r="C89" s="1" t="s">
        <v>2</v>
      </c>
      <c r="D89" s="1" t="s">
        <v>0</v>
      </c>
      <c r="E89" s="1">
        <v>0</v>
      </c>
      <c r="F89" s="1" t="s">
        <v>1</v>
      </c>
      <c r="G89" s="1" t="s">
        <v>0</v>
      </c>
      <c r="H89" s="1">
        <v>57</v>
      </c>
      <c r="I89" s="1">
        <v>1</v>
      </c>
    </row>
    <row r="90" spans="1:9" x14ac:dyDescent="0.3">
      <c r="A90" s="1">
        <v>2</v>
      </c>
      <c r="B90" s="1">
        <v>1</v>
      </c>
      <c r="C90" s="1" t="s">
        <v>2</v>
      </c>
      <c r="D90" s="1" t="s">
        <v>0</v>
      </c>
      <c r="E90" s="1">
        <v>3</v>
      </c>
      <c r="F90" s="1" t="s">
        <v>1</v>
      </c>
      <c r="G90" s="1" t="s">
        <v>0</v>
      </c>
      <c r="H90" s="1">
        <v>49</v>
      </c>
      <c r="I90" s="1">
        <v>1</v>
      </c>
    </row>
    <row r="91" spans="1:9" x14ac:dyDescent="0.3">
      <c r="A91" s="1">
        <v>2</v>
      </c>
      <c r="B91" s="1">
        <v>1</v>
      </c>
      <c r="C91" s="1" t="s">
        <v>2</v>
      </c>
      <c r="D91" s="1" t="s">
        <v>0</v>
      </c>
      <c r="E91" s="1">
        <v>35</v>
      </c>
      <c r="F91" s="1" t="s">
        <v>1</v>
      </c>
      <c r="G91" s="1" t="s">
        <v>0</v>
      </c>
      <c r="H91" s="1">
        <v>52</v>
      </c>
      <c r="I91" s="1">
        <v>1</v>
      </c>
    </row>
    <row r="92" spans="1:9" x14ac:dyDescent="0.3">
      <c r="A92" s="1">
        <v>2</v>
      </c>
      <c r="B92" s="1">
        <v>1</v>
      </c>
      <c r="C92" s="1" t="s">
        <v>2</v>
      </c>
      <c r="D92" s="1" t="s">
        <v>0</v>
      </c>
      <c r="E92" s="1">
        <v>29</v>
      </c>
      <c r="F92" s="1" t="s">
        <v>1</v>
      </c>
      <c r="G92" s="1" t="s">
        <v>0</v>
      </c>
      <c r="H92" s="1">
        <v>42</v>
      </c>
      <c r="I92" s="1">
        <v>1</v>
      </c>
    </row>
    <row r="93" spans="1:9" x14ac:dyDescent="0.3">
      <c r="A93" s="1">
        <v>2</v>
      </c>
      <c r="B93" s="1">
        <v>1</v>
      </c>
      <c r="C93" s="1" t="s">
        <v>2</v>
      </c>
      <c r="D93" s="1" t="s">
        <v>0</v>
      </c>
      <c r="E93" s="1">
        <v>31</v>
      </c>
      <c r="F93" s="1" t="s">
        <v>1</v>
      </c>
      <c r="G93" s="1" t="s">
        <v>0</v>
      </c>
      <c r="H93" s="1">
        <v>20</v>
      </c>
      <c r="I93" s="1">
        <v>0</v>
      </c>
    </row>
    <row r="94" spans="1:9" x14ac:dyDescent="0.3">
      <c r="A94" s="1">
        <v>2</v>
      </c>
      <c r="B94" s="1">
        <v>1</v>
      </c>
      <c r="C94" s="1" t="s">
        <v>2</v>
      </c>
      <c r="D94" s="1" t="s">
        <v>0</v>
      </c>
      <c r="E94" s="1">
        <v>9</v>
      </c>
      <c r="F94" s="1" t="s">
        <v>1</v>
      </c>
      <c r="G94" s="1" t="s">
        <v>0</v>
      </c>
      <c r="H94" s="1">
        <v>32</v>
      </c>
      <c r="I94" s="1">
        <v>1</v>
      </c>
    </row>
    <row r="95" spans="1:9" x14ac:dyDescent="0.3">
      <c r="A95" s="1">
        <v>2</v>
      </c>
      <c r="B95" s="1">
        <v>1</v>
      </c>
      <c r="C95" s="1" t="s">
        <v>2</v>
      </c>
      <c r="D95" s="1" t="s">
        <v>0</v>
      </c>
      <c r="E95" s="1">
        <v>12</v>
      </c>
      <c r="F95" s="1" t="s">
        <v>1</v>
      </c>
      <c r="G95" s="1" t="s">
        <v>0</v>
      </c>
      <c r="H95" s="1">
        <v>26</v>
      </c>
      <c r="I95" s="1">
        <v>1</v>
      </c>
    </row>
    <row r="96" spans="1:9" x14ac:dyDescent="0.3">
      <c r="A96" s="1">
        <v>2</v>
      </c>
      <c r="B96" s="1">
        <v>1</v>
      </c>
      <c r="C96" s="1" t="s">
        <v>2</v>
      </c>
      <c r="D96" s="1" t="s">
        <v>0</v>
      </c>
      <c r="E96" s="1">
        <v>20</v>
      </c>
      <c r="F96" s="1" t="s">
        <v>1</v>
      </c>
      <c r="G96" s="1" t="s">
        <v>0</v>
      </c>
      <c r="H96" s="1">
        <v>27</v>
      </c>
      <c r="I96" s="1">
        <v>1</v>
      </c>
    </row>
    <row r="97" spans="1:9" x14ac:dyDescent="0.3">
      <c r="A97" s="1">
        <v>2</v>
      </c>
      <c r="B97" s="1">
        <v>1</v>
      </c>
      <c r="C97" s="1" t="s">
        <v>2</v>
      </c>
      <c r="D97" s="1" t="s">
        <v>0</v>
      </c>
      <c r="E97" s="1">
        <v>19</v>
      </c>
      <c r="F97" s="1" t="s">
        <v>1</v>
      </c>
      <c r="G97" s="1" t="s">
        <v>0</v>
      </c>
      <c r="H97" s="1">
        <v>16</v>
      </c>
      <c r="I97" s="1">
        <v>0</v>
      </c>
    </row>
    <row r="98" spans="1:9" x14ac:dyDescent="0.3">
      <c r="A98" s="1">
        <v>2</v>
      </c>
      <c r="B98" s="1">
        <v>1</v>
      </c>
      <c r="C98" s="1" t="s">
        <v>2</v>
      </c>
      <c r="D98" s="1" t="s">
        <v>0</v>
      </c>
      <c r="E98" s="1">
        <v>19</v>
      </c>
      <c r="F98" s="1" t="s">
        <v>1</v>
      </c>
      <c r="G98" s="1" t="s">
        <v>0</v>
      </c>
      <c r="H98" s="1">
        <v>26</v>
      </c>
      <c r="I98" s="1">
        <v>1</v>
      </c>
    </row>
    <row r="99" spans="1:9" x14ac:dyDescent="0.3">
      <c r="A99" s="1">
        <v>2</v>
      </c>
      <c r="B99" s="1">
        <v>1</v>
      </c>
      <c r="C99" s="1" t="s">
        <v>2</v>
      </c>
      <c r="D99" s="1" t="s">
        <v>0</v>
      </c>
      <c r="E99" s="1">
        <v>2</v>
      </c>
      <c r="F99" s="1" t="s">
        <v>1</v>
      </c>
      <c r="G99" s="1" t="s">
        <v>0</v>
      </c>
      <c r="H99" s="1">
        <v>42</v>
      </c>
      <c r="I99" s="1">
        <v>1</v>
      </c>
    </row>
    <row r="100" spans="1:9" x14ac:dyDescent="0.3">
      <c r="A100" s="1">
        <v>2</v>
      </c>
      <c r="B100" s="1">
        <v>1</v>
      </c>
      <c r="C100" s="1" t="s">
        <v>2</v>
      </c>
      <c r="D100" s="1" t="s">
        <v>0</v>
      </c>
      <c r="E100" s="1">
        <v>15</v>
      </c>
      <c r="F100" s="1" t="s">
        <v>1</v>
      </c>
      <c r="G100" s="1" t="s">
        <v>0</v>
      </c>
      <c r="H100" s="1">
        <v>43</v>
      </c>
      <c r="I100" s="1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766E7-FA42-4E12-ADA8-6C72A2C30DCD}">
  <dimension ref="A1:T100"/>
  <sheetViews>
    <sheetView topLeftCell="K1" workbookViewId="0">
      <selection activeCell="T2" sqref="T2:T3"/>
    </sheetView>
  </sheetViews>
  <sheetFormatPr defaultRowHeight="14.4" x14ac:dyDescent="0.3"/>
  <cols>
    <col min="1" max="16384" width="8.88671875" style="1"/>
  </cols>
  <sheetData>
    <row r="1" spans="1:20" x14ac:dyDescent="0.3">
      <c r="A1" s="1">
        <v>2</v>
      </c>
      <c r="B1" s="1">
        <v>0</v>
      </c>
      <c r="C1" s="1" t="s">
        <v>2</v>
      </c>
      <c r="D1" s="1" t="s">
        <v>0</v>
      </c>
      <c r="E1" s="1">
        <v>0</v>
      </c>
      <c r="F1" s="1" t="s">
        <v>1</v>
      </c>
      <c r="G1" s="1" t="s">
        <v>0</v>
      </c>
      <c r="H1" s="1">
        <v>64</v>
      </c>
      <c r="I1" s="1">
        <v>1</v>
      </c>
      <c r="K1" s="2"/>
      <c r="L1" s="3"/>
      <c r="M1" s="24" t="s">
        <v>3</v>
      </c>
      <c r="N1" s="24"/>
      <c r="O1" s="19" t="s">
        <v>4</v>
      </c>
      <c r="P1" s="19"/>
      <c r="Q1" s="19" t="s">
        <v>5</v>
      </c>
      <c r="R1" s="19"/>
    </row>
    <row r="2" spans="1:20" x14ac:dyDescent="0.3">
      <c r="A2" s="1">
        <v>2</v>
      </c>
      <c r="B2" s="1">
        <v>0</v>
      </c>
      <c r="C2" s="1" t="s">
        <v>2</v>
      </c>
      <c r="D2" s="1" t="s">
        <v>0</v>
      </c>
      <c r="E2" s="1">
        <v>40</v>
      </c>
      <c r="F2" s="1" t="s">
        <v>1</v>
      </c>
      <c r="G2" s="1" t="s">
        <v>0</v>
      </c>
      <c r="H2" s="1">
        <v>2</v>
      </c>
      <c r="I2" s="1">
        <v>0</v>
      </c>
      <c r="K2" s="4"/>
      <c r="L2" s="5"/>
      <c r="M2" s="24"/>
      <c r="N2" s="24"/>
      <c r="O2" s="19"/>
      <c r="P2" s="19"/>
      <c r="Q2" s="19"/>
      <c r="R2" s="19"/>
      <c r="T2" t="s">
        <v>15</v>
      </c>
    </row>
    <row r="3" spans="1:20" x14ac:dyDescent="0.3">
      <c r="A3" s="1">
        <v>2</v>
      </c>
      <c r="B3" s="1">
        <v>0</v>
      </c>
      <c r="C3" s="1" t="s">
        <v>2</v>
      </c>
      <c r="D3" s="1" t="s">
        <v>0</v>
      </c>
      <c r="E3" s="1">
        <v>15</v>
      </c>
      <c r="F3" s="1" t="s">
        <v>1</v>
      </c>
      <c r="G3" s="1" t="s">
        <v>0</v>
      </c>
      <c r="H3" s="1">
        <v>10</v>
      </c>
      <c r="I3" s="1">
        <v>0</v>
      </c>
      <c r="K3" s="19" t="s">
        <v>6</v>
      </c>
      <c r="L3" s="19"/>
      <c r="M3" s="20">
        <f>COUNTIF($I$1:$I$100, 0)</f>
        <v>23</v>
      </c>
      <c r="N3" s="20"/>
      <c r="O3" s="20">
        <f>COUNTIFS($I$1:$I$100, 0, $B$1:$B$100, 0)</f>
        <v>14</v>
      </c>
      <c r="P3" s="20"/>
      <c r="Q3" s="21">
        <f>COUNTIFS($I$1:$I$100, 0, $B$1:$B$100, 1)</f>
        <v>9</v>
      </c>
      <c r="R3" s="10"/>
      <c r="T3" cm="1">
        <f t="array" ref="T3">SUMPRODUCT(--($E$1:$E$100=$H$1:$H$100))</f>
        <v>1</v>
      </c>
    </row>
    <row r="4" spans="1:20" x14ac:dyDescent="0.3">
      <c r="A4" s="1">
        <v>2</v>
      </c>
      <c r="B4" s="1">
        <v>0</v>
      </c>
      <c r="C4" s="1" t="s">
        <v>2</v>
      </c>
      <c r="D4" s="1" t="s">
        <v>0</v>
      </c>
      <c r="E4" s="1">
        <v>0</v>
      </c>
      <c r="F4" s="1" t="s">
        <v>1</v>
      </c>
      <c r="G4" s="1" t="s">
        <v>0</v>
      </c>
      <c r="H4" s="1">
        <v>43</v>
      </c>
      <c r="I4" s="1">
        <v>1</v>
      </c>
      <c r="K4" s="19"/>
      <c r="L4" s="19"/>
      <c r="M4" s="20"/>
      <c r="N4" s="20"/>
      <c r="O4" s="20"/>
      <c r="P4" s="20"/>
      <c r="Q4" s="20"/>
      <c r="R4" s="12"/>
    </row>
    <row r="5" spans="1:20" x14ac:dyDescent="0.3">
      <c r="A5" s="1">
        <v>2</v>
      </c>
      <c r="B5" s="1">
        <v>0</v>
      </c>
      <c r="C5" s="1" t="s">
        <v>2</v>
      </c>
      <c r="D5" s="1" t="s">
        <v>0</v>
      </c>
      <c r="E5" s="1">
        <v>29</v>
      </c>
      <c r="F5" s="1" t="s">
        <v>1</v>
      </c>
      <c r="G5" s="1" t="s">
        <v>0</v>
      </c>
      <c r="H5" s="1">
        <v>2</v>
      </c>
      <c r="I5" s="1">
        <v>0</v>
      </c>
      <c r="K5" s="19" t="s">
        <v>7</v>
      </c>
      <c r="L5" s="19"/>
      <c r="M5" s="11">
        <f>COUNTIF($I$1:$I$100, 1)</f>
        <v>77</v>
      </c>
      <c r="N5" s="20"/>
      <c r="O5" s="20">
        <f>COUNTIFS($I$1:$I$100, 1, $B$1:$B$100, 0)</f>
        <v>36</v>
      </c>
      <c r="P5" s="20"/>
      <c r="Q5" s="20">
        <f>COUNTIFS($I$1:$I$100, 1, $B$1:$B$100, 1)</f>
        <v>41</v>
      </c>
      <c r="R5" s="12"/>
    </row>
    <row r="6" spans="1:20" x14ac:dyDescent="0.3">
      <c r="A6" s="1">
        <v>2</v>
      </c>
      <c r="B6" s="1">
        <v>0</v>
      </c>
      <c r="C6" s="1" t="s">
        <v>2</v>
      </c>
      <c r="D6" s="1" t="s">
        <v>0</v>
      </c>
      <c r="E6" s="1">
        <v>19</v>
      </c>
      <c r="F6" s="1" t="s">
        <v>1</v>
      </c>
      <c r="G6" s="1" t="s">
        <v>0</v>
      </c>
      <c r="H6" s="1">
        <v>40</v>
      </c>
      <c r="I6" s="1">
        <v>1</v>
      </c>
      <c r="K6" s="19"/>
      <c r="L6" s="19"/>
      <c r="M6" s="13"/>
      <c r="N6" s="22"/>
      <c r="O6" s="22"/>
      <c r="P6" s="22"/>
      <c r="Q6" s="22"/>
      <c r="R6" s="14"/>
    </row>
    <row r="7" spans="1:20" x14ac:dyDescent="0.3">
      <c r="A7" s="1">
        <v>2</v>
      </c>
      <c r="B7" s="1">
        <v>0</v>
      </c>
      <c r="C7" s="1" t="s">
        <v>2</v>
      </c>
      <c r="D7" s="1" t="s">
        <v>0</v>
      </c>
      <c r="E7" s="1">
        <v>0</v>
      </c>
      <c r="F7" s="1" t="s">
        <v>1</v>
      </c>
      <c r="G7" s="1" t="s">
        <v>0</v>
      </c>
      <c r="H7" s="1">
        <v>45</v>
      </c>
      <c r="I7" s="1">
        <v>1</v>
      </c>
      <c r="K7" s="6"/>
      <c r="L7" s="6"/>
      <c r="M7" s="6"/>
      <c r="N7" s="6"/>
      <c r="O7" s="6"/>
      <c r="P7" s="6"/>
      <c r="Q7" s="6"/>
      <c r="R7" s="6"/>
    </row>
    <row r="8" spans="1:20" x14ac:dyDescent="0.3">
      <c r="A8" s="1">
        <v>2</v>
      </c>
      <c r="B8" s="1">
        <v>0</v>
      </c>
      <c r="C8" s="1" t="s">
        <v>2</v>
      </c>
      <c r="D8" s="1" t="s">
        <v>0</v>
      </c>
      <c r="E8" s="1">
        <v>14</v>
      </c>
      <c r="F8" s="1" t="s">
        <v>1</v>
      </c>
      <c r="G8" s="1" t="s">
        <v>0</v>
      </c>
      <c r="H8" s="1">
        <v>35</v>
      </c>
      <c r="I8" s="1">
        <v>1</v>
      </c>
      <c r="K8" s="7"/>
      <c r="L8" s="8"/>
      <c r="M8" s="23" t="s">
        <v>3</v>
      </c>
      <c r="N8" s="23"/>
      <c r="O8" s="23" t="s">
        <v>8</v>
      </c>
      <c r="P8" s="23"/>
      <c r="Q8" s="23" t="s">
        <v>9</v>
      </c>
      <c r="R8" s="23"/>
    </row>
    <row r="9" spans="1:20" x14ac:dyDescent="0.3">
      <c r="A9" s="1">
        <v>2</v>
      </c>
      <c r="B9" s="1">
        <v>0</v>
      </c>
      <c r="C9" s="1" t="s">
        <v>2</v>
      </c>
      <c r="D9" s="1" t="s">
        <v>0</v>
      </c>
      <c r="E9" s="1">
        <v>24</v>
      </c>
      <c r="F9" s="1" t="s">
        <v>1</v>
      </c>
      <c r="G9" s="1" t="s">
        <v>0</v>
      </c>
      <c r="H9" s="1">
        <v>39</v>
      </c>
      <c r="I9" s="1">
        <v>1</v>
      </c>
      <c r="K9" s="4"/>
      <c r="L9" s="5"/>
      <c r="M9" s="23"/>
      <c r="N9" s="23"/>
      <c r="O9" s="23"/>
      <c r="P9" s="23"/>
      <c r="Q9" s="23"/>
      <c r="R9" s="23"/>
    </row>
    <row r="10" spans="1:20" x14ac:dyDescent="0.3">
      <c r="A10" s="1">
        <v>2</v>
      </c>
      <c r="B10" s="1">
        <v>0</v>
      </c>
      <c r="C10" s="1" t="s">
        <v>2</v>
      </c>
      <c r="D10" s="1" t="s">
        <v>0</v>
      </c>
      <c r="E10" s="1">
        <v>10</v>
      </c>
      <c r="F10" s="1" t="s">
        <v>1</v>
      </c>
      <c r="G10" s="1" t="s">
        <v>0</v>
      </c>
      <c r="H10" s="1">
        <v>43</v>
      </c>
      <c r="I10" s="1">
        <v>1</v>
      </c>
      <c r="K10" s="19" t="s">
        <v>10</v>
      </c>
      <c r="L10" s="19"/>
      <c r="M10" s="20">
        <f>AVERAGE($E$1:$E$100,)</f>
        <v>15.386138613861386</v>
      </c>
      <c r="N10" s="20"/>
      <c r="O10" s="20" cm="1">
        <f t="array" ref="O10">AVERAGE(_xlfn._xlws.FILTER($E$1:$E$100,$I$1:$I$100 = 0))</f>
        <v>30.956521739130434</v>
      </c>
      <c r="P10" s="20"/>
      <c r="Q10" s="21" cm="1">
        <f t="array" ref="Q10">AVERAGE(_xlfn._xlws.FILTER($E$1:$E$100,$I$1:$I$100 = 1))</f>
        <v>10.935064935064934</v>
      </c>
      <c r="R10" s="10"/>
    </row>
    <row r="11" spans="1:20" x14ac:dyDescent="0.3">
      <c r="A11" s="1">
        <v>2</v>
      </c>
      <c r="B11" s="1">
        <v>0</v>
      </c>
      <c r="C11" s="1" t="s">
        <v>2</v>
      </c>
      <c r="D11" s="1" t="s">
        <v>0</v>
      </c>
      <c r="E11" s="1">
        <v>0</v>
      </c>
      <c r="F11" s="1" t="s">
        <v>1</v>
      </c>
      <c r="G11" s="1" t="s">
        <v>0</v>
      </c>
      <c r="H11" s="1">
        <v>5</v>
      </c>
      <c r="I11" s="1">
        <v>1</v>
      </c>
      <c r="K11" s="19"/>
      <c r="L11" s="19"/>
      <c r="M11" s="20"/>
      <c r="N11" s="20"/>
      <c r="O11" s="20"/>
      <c r="P11" s="20"/>
      <c r="Q11" s="20"/>
      <c r="R11" s="12"/>
    </row>
    <row r="12" spans="1:20" x14ac:dyDescent="0.3">
      <c r="A12" s="1">
        <v>2</v>
      </c>
      <c r="B12" s="1">
        <v>0</v>
      </c>
      <c r="C12" s="1" t="s">
        <v>2</v>
      </c>
      <c r="D12" s="1" t="s">
        <v>0</v>
      </c>
      <c r="E12" s="1">
        <v>27</v>
      </c>
      <c r="F12" s="1" t="s">
        <v>1</v>
      </c>
      <c r="G12" s="1" t="s">
        <v>0</v>
      </c>
      <c r="H12" s="1">
        <v>23</v>
      </c>
      <c r="I12" s="1">
        <v>0</v>
      </c>
      <c r="K12" s="19" t="s">
        <v>11</v>
      </c>
      <c r="L12" s="19"/>
      <c r="M12" s="20">
        <f>AVERAGE($H$1:$H$100,)</f>
        <v>29.85148514851485</v>
      </c>
      <c r="N12" s="20"/>
      <c r="O12" s="20" cm="1">
        <f t="array" ref="O12">AVERAGE(_xlfn._xlws.FILTER($H$1:$H$100,$I$1:$I$100 = 0))</f>
        <v>13.391304347826088</v>
      </c>
      <c r="P12" s="20"/>
      <c r="Q12" s="20" cm="1">
        <f t="array" ref="Q12">AVERAGE(_xlfn._xlws.FILTER($H$1:$H$100,$I$1:$I$100 = 1))</f>
        <v>35.155844155844157</v>
      </c>
      <c r="R12" s="12"/>
    </row>
    <row r="13" spans="1:20" x14ac:dyDescent="0.3">
      <c r="A13" s="1">
        <v>2</v>
      </c>
      <c r="B13" s="1">
        <v>0</v>
      </c>
      <c r="C13" s="1" t="s">
        <v>2</v>
      </c>
      <c r="D13" s="1" t="s">
        <v>0</v>
      </c>
      <c r="E13" s="1">
        <v>7</v>
      </c>
      <c r="F13" s="1" t="s">
        <v>1</v>
      </c>
      <c r="G13" s="1" t="s">
        <v>0</v>
      </c>
      <c r="H13" s="1">
        <v>29</v>
      </c>
      <c r="I13" s="1">
        <v>1</v>
      </c>
      <c r="K13" s="19"/>
      <c r="L13" s="19"/>
      <c r="M13" s="20"/>
      <c r="N13" s="20"/>
      <c r="O13" s="20"/>
      <c r="P13" s="20"/>
      <c r="Q13" s="20"/>
      <c r="R13" s="12"/>
    </row>
    <row r="14" spans="1:20" x14ac:dyDescent="0.3">
      <c r="A14" s="1">
        <v>2</v>
      </c>
      <c r="B14" s="1">
        <v>0</v>
      </c>
      <c r="C14" s="1" t="s">
        <v>2</v>
      </c>
      <c r="D14" s="1" t="s">
        <v>0</v>
      </c>
      <c r="E14" s="1">
        <v>14</v>
      </c>
      <c r="F14" s="1" t="s">
        <v>1</v>
      </c>
      <c r="G14" s="1" t="s">
        <v>0</v>
      </c>
      <c r="H14" s="1">
        <v>30</v>
      </c>
      <c r="I14" s="1">
        <v>1</v>
      </c>
      <c r="K14" s="9" t="s">
        <v>12</v>
      </c>
      <c r="L14" s="10"/>
      <c r="M14" s="15" cm="1">
        <f t="array" ref="M14">AVERAGE($E$1:$E$100 - $H$1:$H$100)</f>
        <v>-14.61</v>
      </c>
      <c r="N14" s="15"/>
      <c r="O14" s="15" cm="1">
        <f t="array" ref="O14">AVERAGE(_xlfn._xlws.FILTER($E$1:$E$100 - $H$1:$H$100, I$1:I$100 = 0))</f>
        <v>17.565217391304348</v>
      </c>
      <c r="P14" s="15"/>
      <c r="Q14" s="15" cm="1">
        <f t="array" ref="Q14">AVERAGE(_xlfn._xlws.FILTER($E$1:$E$100 - $H$1:$H$100, I$1:I$100 = 1))</f>
        <v>-24.220779220779221</v>
      </c>
      <c r="R14" s="17"/>
    </row>
    <row r="15" spans="1:20" x14ac:dyDescent="0.3">
      <c r="A15" s="1">
        <v>2</v>
      </c>
      <c r="B15" s="1">
        <v>0</v>
      </c>
      <c r="C15" s="1" t="s">
        <v>2</v>
      </c>
      <c r="D15" s="1" t="s">
        <v>0</v>
      </c>
      <c r="E15" s="1">
        <v>46</v>
      </c>
      <c r="F15" s="1" t="s">
        <v>1</v>
      </c>
      <c r="G15" s="1" t="s">
        <v>0</v>
      </c>
      <c r="H15" s="1">
        <v>11</v>
      </c>
      <c r="I15" s="1">
        <v>0</v>
      </c>
      <c r="K15" s="11"/>
      <c r="L15" s="12"/>
      <c r="M15" s="15"/>
      <c r="N15" s="15"/>
      <c r="O15" s="15"/>
      <c r="P15" s="15"/>
      <c r="Q15" s="15"/>
      <c r="R15" s="17"/>
    </row>
    <row r="16" spans="1:20" x14ac:dyDescent="0.3">
      <c r="A16" s="1">
        <v>2</v>
      </c>
      <c r="B16" s="1">
        <v>0</v>
      </c>
      <c r="C16" s="1" t="s">
        <v>2</v>
      </c>
      <c r="D16" s="1" t="s">
        <v>0</v>
      </c>
      <c r="E16" s="1">
        <v>2</v>
      </c>
      <c r="F16" s="1" t="s">
        <v>1</v>
      </c>
      <c r="G16" s="1" t="s">
        <v>0</v>
      </c>
      <c r="H16" s="1">
        <v>41</v>
      </c>
      <c r="I16" s="1">
        <v>1</v>
      </c>
      <c r="K16" s="13"/>
      <c r="L16" s="14"/>
      <c r="M16" s="16"/>
      <c r="N16" s="16"/>
      <c r="O16" s="16"/>
      <c r="P16" s="16"/>
      <c r="Q16" s="16"/>
      <c r="R16" s="18"/>
    </row>
    <row r="17" spans="1:9" x14ac:dyDescent="0.3">
      <c r="A17" s="1">
        <v>2</v>
      </c>
      <c r="B17" s="1">
        <v>0</v>
      </c>
      <c r="C17" s="1" t="s">
        <v>2</v>
      </c>
      <c r="D17" s="1" t="s">
        <v>0</v>
      </c>
      <c r="E17" s="1">
        <v>2</v>
      </c>
      <c r="F17" s="1" t="s">
        <v>1</v>
      </c>
      <c r="G17" s="1" t="s">
        <v>0</v>
      </c>
      <c r="H17" s="1">
        <v>68</v>
      </c>
      <c r="I17" s="1">
        <v>1</v>
      </c>
    </row>
    <row r="18" spans="1:9" x14ac:dyDescent="0.3">
      <c r="A18" s="1">
        <v>2</v>
      </c>
      <c r="B18" s="1">
        <v>0</v>
      </c>
      <c r="C18" s="1" t="s">
        <v>2</v>
      </c>
      <c r="D18" s="1" t="s">
        <v>0</v>
      </c>
      <c r="E18" s="1">
        <v>17</v>
      </c>
      <c r="F18" s="1" t="s">
        <v>1</v>
      </c>
      <c r="G18" s="1" t="s">
        <v>0</v>
      </c>
      <c r="H18" s="1">
        <v>9</v>
      </c>
      <c r="I18" s="1">
        <v>0</v>
      </c>
    </row>
    <row r="19" spans="1:9" x14ac:dyDescent="0.3">
      <c r="A19" s="1">
        <v>2</v>
      </c>
      <c r="B19" s="1">
        <v>0</v>
      </c>
      <c r="C19" s="1" t="s">
        <v>2</v>
      </c>
      <c r="D19" s="1" t="s">
        <v>0</v>
      </c>
      <c r="E19" s="1">
        <v>13</v>
      </c>
      <c r="F19" s="1" t="s">
        <v>1</v>
      </c>
      <c r="G19" s="1" t="s">
        <v>0</v>
      </c>
      <c r="H19" s="1">
        <v>66</v>
      </c>
      <c r="I19" s="1">
        <v>1</v>
      </c>
    </row>
    <row r="20" spans="1:9" x14ac:dyDescent="0.3">
      <c r="A20" s="1">
        <v>2</v>
      </c>
      <c r="B20" s="1">
        <v>0</v>
      </c>
      <c r="C20" s="1" t="s">
        <v>2</v>
      </c>
      <c r="D20" s="1" t="s">
        <v>0</v>
      </c>
      <c r="E20" s="1">
        <v>0</v>
      </c>
      <c r="F20" s="1" t="s">
        <v>1</v>
      </c>
      <c r="G20" s="1" t="s">
        <v>0</v>
      </c>
      <c r="H20" s="1">
        <v>42</v>
      </c>
      <c r="I20" s="1">
        <v>1</v>
      </c>
    </row>
    <row r="21" spans="1:9" x14ac:dyDescent="0.3">
      <c r="A21" s="1">
        <v>2</v>
      </c>
      <c r="B21" s="1">
        <v>0</v>
      </c>
      <c r="C21" s="1" t="s">
        <v>2</v>
      </c>
      <c r="D21" s="1" t="s">
        <v>0</v>
      </c>
      <c r="E21" s="1">
        <v>19</v>
      </c>
      <c r="F21" s="1" t="s">
        <v>1</v>
      </c>
      <c r="G21" s="1" t="s">
        <v>0</v>
      </c>
      <c r="H21" s="1">
        <v>20</v>
      </c>
      <c r="I21" s="1">
        <v>1</v>
      </c>
    </row>
    <row r="22" spans="1:9" x14ac:dyDescent="0.3">
      <c r="A22" s="1">
        <v>2</v>
      </c>
      <c r="B22" s="1">
        <v>0</v>
      </c>
      <c r="C22" s="1" t="s">
        <v>2</v>
      </c>
      <c r="D22" s="1" t="s">
        <v>0</v>
      </c>
      <c r="E22" s="1">
        <v>0</v>
      </c>
      <c r="F22" s="1" t="s">
        <v>1</v>
      </c>
      <c r="G22" s="1" t="s">
        <v>0</v>
      </c>
      <c r="H22" s="1">
        <v>16</v>
      </c>
      <c r="I22" s="1">
        <v>1</v>
      </c>
    </row>
    <row r="23" spans="1:9" x14ac:dyDescent="0.3">
      <c r="A23" s="1">
        <v>2</v>
      </c>
      <c r="B23" s="1">
        <v>0</v>
      </c>
      <c r="C23" s="1" t="s">
        <v>2</v>
      </c>
      <c r="D23" s="1" t="s">
        <v>0</v>
      </c>
      <c r="E23" s="1">
        <v>25</v>
      </c>
      <c r="F23" s="1" t="s">
        <v>1</v>
      </c>
      <c r="G23" s="1" t="s">
        <v>0</v>
      </c>
      <c r="H23" s="1">
        <v>39</v>
      </c>
      <c r="I23" s="1">
        <v>1</v>
      </c>
    </row>
    <row r="24" spans="1:9" x14ac:dyDescent="0.3">
      <c r="A24" s="1">
        <v>2</v>
      </c>
      <c r="B24" s="1">
        <v>0</v>
      </c>
      <c r="C24" s="1" t="s">
        <v>2</v>
      </c>
      <c r="D24" s="1" t="s">
        <v>0</v>
      </c>
      <c r="E24" s="1">
        <v>50</v>
      </c>
      <c r="F24" s="1" t="s">
        <v>1</v>
      </c>
      <c r="G24" s="1" t="s">
        <v>0</v>
      </c>
      <c r="H24" s="1">
        <v>53</v>
      </c>
      <c r="I24" s="1">
        <v>1</v>
      </c>
    </row>
    <row r="25" spans="1:9" x14ac:dyDescent="0.3">
      <c r="A25" s="1">
        <v>2</v>
      </c>
      <c r="B25" s="1">
        <v>0</v>
      </c>
      <c r="C25" s="1" t="s">
        <v>2</v>
      </c>
      <c r="D25" s="1" t="s">
        <v>0</v>
      </c>
      <c r="E25" s="1">
        <v>22</v>
      </c>
      <c r="F25" s="1" t="s">
        <v>1</v>
      </c>
      <c r="G25" s="1" t="s">
        <v>0</v>
      </c>
      <c r="H25" s="1">
        <v>36</v>
      </c>
      <c r="I25" s="1">
        <v>1</v>
      </c>
    </row>
    <row r="26" spans="1:9" x14ac:dyDescent="0.3">
      <c r="A26" s="1">
        <v>2</v>
      </c>
      <c r="B26" s="1">
        <v>0</v>
      </c>
      <c r="C26" s="1" t="s">
        <v>2</v>
      </c>
      <c r="D26" s="1" t="s">
        <v>0</v>
      </c>
      <c r="E26" s="1">
        <v>13</v>
      </c>
      <c r="F26" s="1" t="s">
        <v>1</v>
      </c>
      <c r="G26" s="1" t="s">
        <v>0</v>
      </c>
      <c r="H26" s="1">
        <v>23</v>
      </c>
      <c r="I26" s="1">
        <v>1</v>
      </c>
    </row>
    <row r="27" spans="1:9" x14ac:dyDescent="0.3">
      <c r="A27" s="1">
        <v>2</v>
      </c>
      <c r="B27" s="1">
        <v>0</v>
      </c>
      <c r="C27" s="1" t="s">
        <v>2</v>
      </c>
      <c r="D27" s="1" t="s">
        <v>0</v>
      </c>
      <c r="E27" s="1">
        <v>30</v>
      </c>
      <c r="F27" s="1" t="s">
        <v>1</v>
      </c>
      <c r="G27" s="1" t="s">
        <v>0</v>
      </c>
      <c r="H27" s="1">
        <v>18</v>
      </c>
      <c r="I27" s="1">
        <v>0</v>
      </c>
    </row>
    <row r="28" spans="1:9" x14ac:dyDescent="0.3">
      <c r="A28" s="1">
        <v>2</v>
      </c>
      <c r="B28" s="1">
        <v>0</v>
      </c>
      <c r="C28" s="1" t="s">
        <v>2</v>
      </c>
      <c r="D28" s="1" t="s">
        <v>0</v>
      </c>
      <c r="E28" s="1">
        <v>39</v>
      </c>
      <c r="F28" s="1" t="s">
        <v>1</v>
      </c>
      <c r="G28" s="1" t="s">
        <v>0</v>
      </c>
      <c r="H28" s="1">
        <v>46</v>
      </c>
      <c r="I28" s="1">
        <v>1</v>
      </c>
    </row>
    <row r="29" spans="1:9" x14ac:dyDescent="0.3">
      <c r="A29" s="1">
        <v>2</v>
      </c>
      <c r="B29" s="1">
        <v>0</v>
      </c>
      <c r="C29" s="1" t="s">
        <v>2</v>
      </c>
      <c r="D29" s="1" t="s">
        <v>0</v>
      </c>
      <c r="E29" s="1">
        <v>2</v>
      </c>
      <c r="F29" s="1" t="s">
        <v>1</v>
      </c>
      <c r="G29" s="1" t="s">
        <v>0</v>
      </c>
      <c r="H29" s="1">
        <v>45</v>
      </c>
      <c r="I29" s="1">
        <v>1</v>
      </c>
    </row>
    <row r="30" spans="1:9" x14ac:dyDescent="0.3">
      <c r="A30" s="1">
        <v>2</v>
      </c>
      <c r="B30" s="1">
        <v>0</v>
      </c>
      <c r="C30" s="1" t="s">
        <v>2</v>
      </c>
      <c r="D30" s="1" t="s">
        <v>0</v>
      </c>
      <c r="E30" s="1">
        <v>23</v>
      </c>
      <c r="F30" s="1" t="s">
        <v>1</v>
      </c>
      <c r="G30" s="1" t="s">
        <v>0</v>
      </c>
      <c r="H30" s="1">
        <v>41</v>
      </c>
      <c r="I30" s="1">
        <v>1</v>
      </c>
    </row>
    <row r="31" spans="1:9" x14ac:dyDescent="0.3">
      <c r="A31" s="1">
        <v>2</v>
      </c>
      <c r="B31" s="1">
        <v>0</v>
      </c>
      <c r="C31" s="1" t="s">
        <v>2</v>
      </c>
      <c r="D31" s="1" t="s">
        <v>0</v>
      </c>
      <c r="E31" s="1">
        <v>16</v>
      </c>
      <c r="F31" s="1" t="s">
        <v>1</v>
      </c>
      <c r="G31" s="1" t="s">
        <v>0</v>
      </c>
      <c r="H31" s="1">
        <v>34</v>
      </c>
      <c r="I31" s="1">
        <v>1</v>
      </c>
    </row>
    <row r="32" spans="1:9" x14ac:dyDescent="0.3">
      <c r="A32" s="1">
        <v>2</v>
      </c>
      <c r="B32" s="1">
        <v>0</v>
      </c>
      <c r="C32" s="1" t="s">
        <v>2</v>
      </c>
      <c r="D32" s="1" t="s">
        <v>0</v>
      </c>
      <c r="E32" s="1">
        <v>17</v>
      </c>
      <c r="F32" s="1" t="s">
        <v>1</v>
      </c>
      <c r="G32" s="1" t="s">
        <v>0</v>
      </c>
      <c r="H32" s="1">
        <v>29</v>
      </c>
      <c r="I32" s="1">
        <v>1</v>
      </c>
    </row>
    <row r="33" spans="1:9" x14ac:dyDescent="0.3">
      <c r="A33" s="1">
        <v>2</v>
      </c>
      <c r="B33" s="1">
        <v>0</v>
      </c>
      <c r="C33" s="1" t="s">
        <v>2</v>
      </c>
      <c r="D33" s="1" t="s">
        <v>0</v>
      </c>
      <c r="E33" s="1">
        <v>3</v>
      </c>
      <c r="F33" s="1" t="s">
        <v>1</v>
      </c>
      <c r="G33" s="1" t="s">
        <v>0</v>
      </c>
      <c r="H33" s="1">
        <v>37</v>
      </c>
      <c r="I33" s="1">
        <v>1</v>
      </c>
    </row>
    <row r="34" spans="1:9" x14ac:dyDescent="0.3">
      <c r="A34" s="1">
        <v>2</v>
      </c>
      <c r="B34" s="1">
        <v>0</v>
      </c>
      <c r="C34" s="1" t="s">
        <v>2</v>
      </c>
      <c r="D34" s="1" t="s">
        <v>0</v>
      </c>
      <c r="E34" s="1">
        <v>2</v>
      </c>
      <c r="F34" s="1" t="s">
        <v>1</v>
      </c>
      <c r="G34" s="1" t="s">
        <v>0</v>
      </c>
      <c r="H34" s="1">
        <v>47</v>
      </c>
      <c r="I34" s="1">
        <v>1</v>
      </c>
    </row>
    <row r="35" spans="1:9" x14ac:dyDescent="0.3">
      <c r="A35" s="1">
        <v>2</v>
      </c>
      <c r="B35" s="1">
        <v>0</v>
      </c>
      <c r="C35" s="1" t="s">
        <v>2</v>
      </c>
      <c r="D35" s="1" t="s">
        <v>0</v>
      </c>
      <c r="E35" s="1">
        <v>9</v>
      </c>
      <c r="F35" s="1" t="s">
        <v>1</v>
      </c>
      <c r="G35" s="1" t="s">
        <v>0</v>
      </c>
      <c r="H35" s="1">
        <v>17</v>
      </c>
      <c r="I35" s="1">
        <v>1</v>
      </c>
    </row>
    <row r="36" spans="1:9" x14ac:dyDescent="0.3">
      <c r="A36" s="1">
        <v>2</v>
      </c>
      <c r="B36" s="1">
        <v>0</v>
      </c>
      <c r="C36" s="1" t="s">
        <v>2</v>
      </c>
      <c r="D36" s="1" t="s">
        <v>0</v>
      </c>
      <c r="E36" s="1">
        <v>21</v>
      </c>
      <c r="F36" s="1" t="s">
        <v>1</v>
      </c>
      <c r="G36" s="1" t="s">
        <v>0</v>
      </c>
      <c r="H36" s="1">
        <v>36</v>
      </c>
      <c r="I36" s="1">
        <v>1</v>
      </c>
    </row>
    <row r="37" spans="1:9" x14ac:dyDescent="0.3">
      <c r="A37" s="1">
        <v>2</v>
      </c>
      <c r="B37" s="1">
        <v>0</v>
      </c>
      <c r="C37" s="1" t="s">
        <v>2</v>
      </c>
      <c r="D37" s="1" t="s">
        <v>0</v>
      </c>
      <c r="E37" s="1">
        <v>24</v>
      </c>
      <c r="F37" s="1" t="s">
        <v>1</v>
      </c>
      <c r="G37" s="1" t="s">
        <v>0</v>
      </c>
      <c r="H37" s="1">
        <v>30</v>
      </c>
      <c r="I37" s="1">
        <v>1</v>
      </c>
    </row>
    <row r="38" spans="1:9" x14ac:dyDescent="0.3">
      <c r="A38" s="1">
        <v>2</v>
      </c>
      <c r="B38" s="1">
        <v>0</v>
      </c>
      <c r="C38" s="1" t="s">
        <v>2</v>
      </c>
      <c r="D38" s="1" t="s">
        <v>0</v>
      </c>
      <c r="E38" s="1">
        <v>0</v>
      </c>
      <c r="F38" s="1" t="s">
        <v>1</v>
      </c>
      <c r="G38" s="1" t="s">
        <v>0</v>
      </c>
      <c r="H38" s="1">
        <v>12</v>
      </c>
      <c r="I38" s="1">
        <v>1</v>
      </c>
    </row>
    <row r="39" spans="1:9" x14ac:dyDescent="0.3">
      <c r="A39" s="1">
        <v>2</v>
      </c>
      <c r="B39" s="1">
        <v>0</v>
      </c>
      <c r="C39" s="1" t="s">
        <v>2</v>
      </c>
      <c r="D39" s="1" t="s">
        <v>0</v>
      </c>
      <c r="E39" s="1">
        <v>33</v>
      </c>
      <c r="F39" s="1" t="s">
        <v>1</v>
      </c>
      <c r="G39" s="1" t="s">
        <v>0</v>
      </c>
      <c r="H39" s="1">
        <v>22</v>
      </c>
      <c r="I39" s="1">
        <v>0</v>
      </c>
    </row>
    <row r="40" spans="1:9" x14ac:dyDescent="0.3">
      <c r="A40" s="1">
        <v>2</v>
      </c>
      <c r="B40" s="1">
        <v>0</v>
      </c>
      <c r="C40" s="1" t="s">
        <v>2</v>
      </c>
      <c r="D40" s="1" t="s">
        <v>0</v>
      </c>
      <c r="E40" s="1">
        <v>33</v>
      </c>
      <c r="F40" s="1" t="s">
        <v>1</v>
      </c>
      <c r="G40" s="1" t="s">
        <v>0</v>
      </c>
      <c r="H40" s="1">
        <v>16</v>
      </c>
      <c r="I40" s="1">
        <v>0</v>
      </c>
    </row>
    <row r="41" spans="1:9" x14ac:dyDescent="0.3">
      <c r="A41" s="1">
        <v>2</v>
      </c>
      <c r="B41" s="1">
        <v>0</v>
      </c>
      <c r="C41" s="1" t="s">
        <v>2</v>
      </c>
      <c r="D41" s="1" t="s">
        <v>0</v>
      </c>
      <c r="E41" s="1">
        <v>23</v>
      </c>
      <c r="F41" s="1" t="s">
        <v>1</v>
      </c>
      <c r="G41" s="1" t="s">
        <v>0</v>
      </c>
      <c r="H41" s="1">
        <v>33</v>
      </c>
      <c r="I41" s="1">
        <v>1</v>
      </c>
    </row>
    <row r="42" spans="1:9" x14ac:dyDescent="0.3">
      <c r="A42" s="1">
        <v>2</v>
      </c>
      <c r="B42" s="1">
        <v>0</v>
      </c>
      <c r="C42" s="1" t="s">
        <v>2</v>
      </c>
      <c r="D42" s="1" t="s">
        <v>0</v>
      </c>
      <c r="E42" s="1">
        <v>30</v>
      </c>
      <c r="F42" s="1" t="s">
        <v>1</v>
      </c>
      <c r="G42" s="1" t="s">
        <v>0</v>
      </c>
      <c r="H42" s="1">
        <v>15</v>
      </c>
      <c r="I42" s="1">
        <v>0</v>
      </c>
    </row>
    <row r="43" spans="1:9" x14ac:dyDescent="0.3">
      <c r="A43" s="1">
        <v>2</v>
      </c>
      <c r="B43" s="1">
        <v>0</v>
      </c>
      <c r="C43" s="1" t="s">
        <v>2</v>
      </c>
      <c r="D43" s="1" t="s">
        <v>0</v>
      </c>
      <c r="E43" s="1">
        <v>0</v>
      </c>
      <c r="F43" s="1" t="s">
        <v>1</v>
      </c>
      <c r="G43" s="1" t="s">
        <v>0</v>
      </c>
      <c r="H43" s="1">
        <v>23</v>
      </c>
      <c r="I43" s="1">
        <v>1</v>
      </c>
    </row>
    <row r="44" spans="1:9" x14ac:dyDescent="0.3">
      <c r="A44" s="1">
        <v>2</v>
      </c>
      <c r="B44" s="1">
        <v>0</v>
      </c>
      <c r="C44" s="1" t="s">
        <v>2</v>
      </c>
      <c r="D44" s="1" t="s">
        <v>0</v>
      </c>
      <c r="E44" s="1">
        <v>12</v>
      </c>
      <c r="F44" s="1" t="s">
        <v>1</v>
      </c>
      <c r="G44" s="1" t="s">
        <v>0</v>
      </c>
      <c r="H44" s="1">
        <v>49</v>
      </c>
      <c r="I44" s="1">
        <v>1</v>
      </c>
    </row>
    <row r="45" spans="1:9" x14ac:dyDescent="0.3">
      <c r="A45" s="1">
        <v>2</v>
      </c>
      <c r="B45" s="1">
        <v>0</v>
      </c>
      <c r="C45" s="1" t="s">
        <v>2</v>
      </c>
      <c r="D45" s="1" t="s">
        <v>0</v>
      </c>
      <c r="E45" s="1">
        <v>40</v>
      </c>
      <c r="F45" s="1" t="s">
        <v>1</v>
      </c>
      <c r="G45" s="1" t="s">
        <v>0</v>
      </c>
      <c r="H45" s="1">
        <v>16</v>
      </c>
      <c r="I45" s="1">
        <v>0</v>
      </c>
    </row>
    <row r="46" spans="1:9" x14ac:dyDescent="0.3">
      <c r="A46" s="1">
        <v>2</v>
      </c>
      <c r="B46" s="1">
        <v>0</v>
      </c>
      <c r="C46" s="1" t="s">
        <v>2</v>
      </c>
      <c r="D46" s="1" t="s">
        <v>0</v>
      </c>
      <c r="E46" s="1">
        <v>40</v>
      </c>
      <c r="F46" s="1" t="s">
        <v>1</v>
      </c>
      <c r="G46" s="1" t="s">
        <v>0</v>
      </c>
      <c r="H46" s="1">
        <v>30</v>
      </c>
      <c r="I46" s="1">
        <v>0</v>
      </c>
    </row>
    <row r="47" spans="1:9" x14ac:dyDescent="0.3">
      <c r="A47" s="1">
        <v>2</v>
      </c>
      <c r="B47" s="1">
        <v>0</v>
      </c>
      <c r="C47" s="1" t="s">
        <v>2</v>
      </c>
      <c r="D47" s="1" t="s">
        <v>0</v>
      </c>
      <c r="E47" s="1">
        <v>40</v>
      </c>
      <c r="F47" s="1" t="s">
        <v>1</v>
      </c>
      <c r="G47" s="1" t="s">
        <v>0</v>
      </c>
      <c r="H47" s="1">
        <v>13</v>
      </c>
      <c r="I47" s="1">
        <v>0</v>
      </c>
    </row>
    <row r="48" spans="1:9" x14ac:dyDescent="0.3">
      <c r="A48" s="1">
        <v>2</v>
      </c>
      <c r="B48" s="1">
        <v>0</v>
      </c>
      <c r="C48" s="1" t="s">
        <v>2</v>
      </c>
      <c r="D48" s="1" t="s">
        <v>0</v>
      </c>
      <c r="E48" s="1">
        <v>15</v>
      </c>
      <c r="F48" s="1" t="s">
        <v>1</v>
      </c>
      <c r="G48" s="1" t="s">
        <v>0</v>
      </c>
      <c r="H48" s="1">
        <v>12</v>
      </c>
      <c r="I48" s="1">
        <v>0</v>
      </c>
    </row>
    <row r="49" spans="1:9" x14ac:dyDescent="0.3">
      <c r="A49" s="1">
        <v>2</v>
      </c>
      <c r="B49" s="1">
        <v>0</v>
      </c>
      <c r="C49" s="1" t="s">
        <v>2</v>
      </c>
      <c r="D49" s="1" t="s">
        <v>0</v>
      </c>
      <c r="E49" s="1">
        <v>1</v>
      </c>
      <c r="F49" s="1" t="s">
        <v>1</v>
      </c>
      <c r="G49" s="1" t="s">
        <v>0</v>
      </c>
      <c r="H49" s="1">
        <v>40</v>
      </c>
      <c r="I49" s="1">
        <v>1</v>
      </c>
    </row>
    <row r="50" spans="1:9" x14ac:dyDescent="0.3">
      <c r="A50" s="1">
        <v>2</v>
      </c>
      <c r="B50" s="1">
        <v>0</v>
      </c>
      <c r="C50" s="1" t="s">
        <v>2</v>
      </c>
      <c r="D50" s="1" t="s">
        <v>0</v>
      </c>
      <c r="E50" s="1">
        <v>16</v>
      </c>
      <c r="F50" s="1" t="s">
        <v>1</v>
      </c>
      <c r="G50" s="1" t="s">
        <v>0</v>
      </c>
      <c r="H50" s="1">
        <v>26</v>
      </c>
      <c r="I50" s="1">
        <v>1</v>
      </c>
    </row>
    <row r="51" spans="1:9" x14ac:dyDescent="0.3">
      <c r="A51" s="1">
        <v>2</v>
      </c>
      <c r="B51" s="1">
        <v>1</v>
      </c>
      <c r="C51" s="1" t="s">
        <v>2</v>
      </c>
      <c r="D51" s="1" t="s">
        <v>0</v>
      </c>
      <c r="E51" s="1">
        <v>7</v>
      </c>
      <c r="F51" s="1" t="s">
        <v>1</v>
      </c>
      <c r="G51" s="1" t="s">
        <v>0</v>
      </c>
      <c r="H51" s="1">
        <v>25</v>
      </c>
      <c r="I51" s="1">
        <v>1</v>
      </c>
    </row>
    <row r="52" spans="1:9" x14ac:dyDescent="0.3">
      <c r="A52" s="1">
        <v>2</v>
      </c>
      <c r="B52" s="1">
        <v>1</v>
      </c>
      <c r="C52" s="1" t="s">
        <v>2</v>
      </c>
      <c r="D52" s="1" t="s">
        <v>0</v>
      </c>
      <c r="E52" s="1">
        <v>9</v>
      </c>
      <c r="F52" s="1" t="s">
        <v>1</v>
      </c>
      <c r="G52" s="1" t="s">
        <v>0</v>
      </c>
      <c r="H52" s="1">
        <v>16</v>
      </c>
      <c r="I52" s="1">
        <v>1</v>
      </c>
    </row>
    <row r="53" spans="1:9" x14ac:dyDescent="0.3">
      <c r="A53" s="1">
        <v>2</v>
      </c>
      <c r="B53" s="1">
        <v>1</v>
      </c>
      <c r="C53" s="1" t="s">
        <v>2</v>
      </c>
      <c r="D53" s="1" t="s">
        <v>0</v>
      </c>
      <c r="E53" s="1">
        <v>0</v>
      </c>
      <c r="F53" s="1" t="s">
        <v>1</v>
      </c>
      <c r="G53" s="1" t="s">
        <v>0</v>
      </c>
      <c r="H53" s="1">
        <v>18</v>
      </c>
      <c r="I53" s="1">
        <v>1</v>
      </c>
    </row>
    <row r="54" spans="1:9" x14ac:dyDescent="0.3">
      <c r="A54" s="1">
        <v>2</v>
      </c>
      <c r="B54" s="1">
        <v>1</v>
      </c>
      <c r="C54" s="1" t="s">
        <v>2</v>
      </c>
      <c r="D54" s="1" t="s">
        <v>0</v>
      </c>
      <c r="E54" s="1">
        <v>18</v>
      </c>
      <c r="F54" s="1" t="s">
        <v>1</v>
      </c>
      <c r="G54" s="1" t="s">
        <v>0</v>
      </c>
      <c r="H54" s="1">
        <v>24</v>
      </c>
      <c r="I54" s="1">
        <v>1</v>
      </c>
    </row>
    <row r="55" spans="1:9" x14ac:dyDescent="0.3">
      <c r="A55" s="1">
        <v>2</v>
      </c>
      <c r="B55" s="1">
        <v>1</v>
      </c>
      <c r="C55" s="1" t="s">
        <v>2</v>
      </c>
      <c r="D55" s="1" t="s">
        <v>0</v>
      </c>
      <c r="E55" s="1">
        <v>14</v>
      </c>
      <c r="F55" s="1" t="s">
        <v>1</v>
      </c>
      <c r="G55" s="1" t="s">
        <v>0</v>
      </c>
      <c r="H55" s="1">
        <v>31</v>
      </c>
      <c r="I55" s="1">
        <v>1</v>
      </c>
    </row>
    <row r="56" spans="1:9" x14ac:dyDescent="0.3">
      <c r="A56" s="1">
        <v>2</v>
      </c>
      <c r="B56" s="1">
        <v>1</v>
      </c>
      <c r="C56" s="1" t="s">
        <v>2</v>
      </c>
      <c r="D56" s="1" t="s">
        <v>0</v>
      </c>
      <c r="E56" s="1">
        <v>55</v>
      </c>
      <c r="F56" s="1" t="s">
        <v>1</v>
      </c>
      <c r="G56" s="1" t="s">
        <v>0</v>
      </c>
      <c r="H56" s="1">
        <v>28</v>
      </c>
      <c r="I56" s="1">
        <v>0</v>
      </c>
    </row>
    <row r="57" spans="1:9" x14ac:dyDescent="0.3">
      <c r="A57" s="1">
        <v>2</v>
      </c>
      <c r="B57" s="1">
        <v>1</v>
      </c>
      <c r="C57" s="1" t="s">
        <v>2</v>
      </c>
      <c r="D57" s="1" t="s">
        <v>0</v>
      </c>
      <c r="E57" s="1">
        <v>9</v>
      </c>
      <c r="F57" s="1" t="s">
        <v>1</v>
      </c>
      <c r="G57" s="1" t="s">
        <v>0</v>
      </c>
      <c r="H57" s="1">
        <v>25</v>
      </c>
      <c r="I57" s="1">
        <v>1</v>
      </c>
    </row>
    <row r="58" spans="1:9" x14ac:dyDescent="0.3">
      <c r="A58" s="1">
        <v>2</v>
      </c>
      <c r="B58" s="1">
        <v>1</v>
      </c>
      <c r="C58" s="1" t="s">
        <v>2</v>
      </c>
      <c r="D58" s="1" t="s">
        <v>0</v>
      </c>
      <c r="E58" s="1">
        <v>12</v>
      </c>
      <c r="F58" s="1" t="s">
        <v>1</v>
      </c>
      <c r="G58" s="1" t="s">
        <v>0</v>
      </c>
      <c r="H58" s="1">
        <v>30</v>
      </c>
      <c r="I58" s="1">
        <v>1</v>
      </c>
    </row>
    <row r="59" spans="1:9" x14ac:dyDescent="0.3">
      <c r="A59" s="1">
        <v>2</v>
      </c>
      <c r="B59" s="1">
        <v>1</v>
      </c>
      <c r="C59" s="1" t="s">
        <v>2</v>
      </c>
      <c r="D59" s="1" t="s">
        <v>0</v>
      </c>
      <c r="E59" s="1">
        <v>0</v>
      </c>
      <c r="F59" s="1" t="s">
        <v>1</v>
      </c>
      <c r="G59" s="1" t="s">
        <v>0</v>
      </c>
      <c r="H59" s="1">
        <v>44</v>
      </c>
      <c r="I59" s="1">
        <v>1</v>
      </c>
    </row>
    <row r="60" spans="1:9" x14ac:dyDescent="0.3">
      <c r="A60" s="1">
        <v>2</v>
      </c>
      <c r="B60" s="1">
        <v>1</v>
      </c>
      <c r="C60" s="1" t="s">
        <v>2</v>
      </c>
      <c r="D60" s="1" t="s">
        <v>0</v>
      </c>
      <c r="E60" s="1">
        <v>12</v>
      </c>
      <c r="F60" s="1" t="s">
        <v>1</v>
      </c>
      <c r="G60" s="1" t="s">
        <v>0</v>
      </c>
      <c r="H60" s="1">
        <v>12</v>
      </c>
      <c r="I60" s="1">
        <v>0</v>
      </c>
    </row>
    <row r="61" spans="1:9" x14ac:dyDescent="0.3">
      <c r="A61" s="1">
        <v>2</v>
      </c>
      <c r="B61" s="1">
        <v>1</v>
      </c>
      <c r="C61" s="1" t="s">
        <v>2</v>
      </c>
      <c r="D61" s="1" t="s">
        <v>0</v>
      </c>
      <c r="E61" s="1">
        <v>8</v>
      </c>
      <c r="F61" s="1" t="s">
        <v>1</v>
      </c>
      <c r="G61" s="1" t="s">
        <v>0</v>
      </c>
      <c r="H61" s="1">
        <v>21</v>
      </c>
      <c r="I61" s="1">
        <v>1</v>
      </c>
    </row>
    <row r="62" spans="1:9" x14ac:dyDescent="0.3">
      <c r="A62" s="1">
        <v>2</v>
      </c>
      <c r="B62" s="1">
        <v>1</v>
      </c>
      <c r="C62" s="1" t="s">
        <v>2</v>
      </c>
      <c r="D62" s="1" t="s">
        <v>0</v>
      </c>
      <c r="E62" s="1">
        <v>6</v>
      </c>
      <c r="F62" s="1" t="s">
        <v>1</v>
      </c>
      <c r="G62" s="1" t="s">
        <v>0</v>
      </c>
      <c r="H62" s="1">
        <v>34</v>
      </c>
      <c r="I62" s="1">
        <v>1</v>
      </c>
    </row>
    <row r="63" spans="1:9" x14ac:dyDescent="0.3">
      <c r="A63" s="1">
        <v>2</v>
      </c>
      <c r="B63" s="1">
        <v>1</v>
      </c>
      <c r="C63" s="1" t="s">
        <v>2</v>
      </c>
      <c r="D63" s="1" t="s">
        <v>0</v>
      </c>
      <c r="E63" s="1">
        <v>26</v>
      </c>
      <c r="F63" s="1" t="s">
        <v>1</v>
      </c>
      <c r="G63" s="1" t="s">
        <v>0</v>
      </c>
      <c r="H63" s="1">
        <v>42</v>
      </c>
      <c r="I63" s="1">
        <v>1</v>
      </c>
    </row>
    <row r="64" spans="1:9" x14ac:dyDescent="0.3">
      <c r="A64" s="1">
        <v>2</v>
      </c>
      <c r="B64" s="1">
        <v>1</v>
      </c>
      <c r="C64" s="1" t="s">
        <v>2</v>
      </c>
      <c r="D64" s="1" t="s">
        <v>0</v>
      </c>
      <c r="E64" s="1">
        <v>0</v>
      </c>
      <c r="F64" s="1" t="s">
        <v>1</v>
      </c>
      <c r="G64" s="1" t="s">
        <v>0</v>
      </c>
      <c r="H64" s="1">
        <v>48</v>
      </c>
      <c r="I64" s="1">
        <v>1</v>
      </c>
    </row>
    <row r="65" spans="1:9" x14ac:dyDescent="0.3">
      <c r="A65" s="1">
        <v>2</v>
      </c>
      <c r="B65" s="1">
        <v>1</v>
      </c>
      <c r="C65" s="1" t="s">
        <v>2</v>
      </c>
      <c r="D65" s="1" t="s">
        <v>0</v>
      </c>
      <c r="E65" s="1">
        <v>0</v>
      </c>
      <c r="F65" s="1" t="s">
        <v>1</v>
      </c>
      <c r="G65" s="1" t="s">
        <v>0</v>
      </c>
      <c r="H65" s="1">
        <v>34</v>
      </c>
      <c r="I65" s="1">
        <v>1</v>
      </c>
    </row>
    <row r="66" spans="1:9" x14ac:dyDescent="0.3">
      <c r="A66" s="1">
        <v>2</v>
      </c>
      <c r="B66" s="1">
        <v>1</v>
      </c>
      <c r="C66" s="1" t="s">
        <v>2</v>
      </c>
      <c r="D66" s="1" t="s">
        <v>0</v>
      </c>
      <c r="E66" s="1">
        <v>15</v>
      </c>
      <c r="F66" s="1" t="s">
        <v>1</v>
      </c>
      <c r="G66" s="1" t="s">
        <v>0</v>
      </c>
      <c r="H66" s="1">
        <v>5</v>
      </c>
      <c r="I66" s="1">
        <v>0</v>
      </c>
    </row>
    <row r="67" spans="1:9" x14ac:dyDescent="0.3">
      <c r="A67" s="1">
        <v>2</v>
      </c>
      <c r="B67" s="1">
        <v>1</v>
      </c>
      <c r="C67" s="1" t="s">
        <v>2</v>
      </c>
      <c r="D67" s="1" t="s">
        <v>0</v>
      </c>
      <c r="E67" s="1">
        <v>2</v>
      </c>
      <c r="F67" s="1" t="s">
        <v>1</v>
      </c>
      <c r="G67" s="1" t="s">
        <v>0</v>
      </c>
      <c r="H67" s="1">
        <v>31</v>
      </c>
      <c r="I67" s="1">
        <v>1</v>
      </c>
    </row>
    <row r="68" spans="1:9" x14ac:dyDescent="0.3">
      <c r="A68" s="1">
        <v>2</v>
      </c>
      <c r="B68" s="1">
        <v>1</v>
      </c>
      <c r="C68" s="1" t="s">
        <v>2</v>
      </c>
      <c r="D68" s="1" t="s">
        <v>0</v>
      </c>
      <c r="E68" s="1">
        <v>36</v>
      </c>
      <c r="F68" s="1" t="s">
        <v>1</v>
      </c>
      <c r="G68" s="1" t="s">
        <v>0</v>
      </c>
      <c r="H68" s="1">
        <v>1</v>
      </c>
      <c r="I68" s="1">
        <v>0</v>
      </c>
    </row>
    <row r="69" spans="1:9" x14ac:dyDescent="0.3">
      <c r="A69" s="1">
        <v>2</v>
      </c>
      <c r="B69" s="1">
        <v>1</v>
      </c>
      <c r="C69" s="1" t="s">
        <v>2</v>
      </c>
      <c r="D69" s="1" t="s">
        <v>0</v>
      </c>
      <c r="E69" s="1">
        <v>17</v>
      </c>
      <c r="F69" s="1" t="s">
        <v>1</v>
      </c>
      <c r="G69" s="1" t="s">
        <v>0</v>
      </c>
      <c r="H69" s="1">
        <v>30</v>
      </c>
      <c r="I69" s="1">
        <v>1</v>
      </c>
    </row>
    <row r="70" spans="1:9" x14ac:dyDescent="0.3">
      <c r="A70" s="1">
        <v>2</v>
      </c>
      <c r="B70" s="1">
        <v>1</v>
      </c>
      <c r="C70" s="1" t="s">
        <v>2</v>
      </c>
      <c r="D70" s="1" t="s">
        <v>0</v>
      </c>
      <c r="E70" s="1">
        <v>2</v>
      </c>
      <c r="F70" s="1" t="s">
        <v>1</v>
      </c>
      <c r="G70" s="1" t="s">
        <v>0</v>
      </c>
      <c r="H70" s="1">
        <v>39</v>
      </c>
      <c r="I70" s="1">
        <v>1</v>
      </c>
    </row>
    <row r="71" spans="1:9" x14ac:dyDescent="0.3">
      <c r="A71" s="1">
        <v>2</v>
      </c>
      <c r="B71" s="1">
        <v>1</v>
      </c>
      <c r="C71" s="1" t="s">
        <v>2</v>
      </c>
      <c r="D71" s="1" t="s">
        <v>0</v>
      </c>
      <c r="E71" s="1">
        <v>5</v>
      </c>
      <c r="F71" s="1" t="s">
        <v>1</v>
      </c>
      <c r="G71" s="1" t="s">
        <v>0</v>
      </c>
      <c r="H71" s="1">
        <v>31</v>
      </c>
      <c r="I71" s="1">
        <v>1</v>
      </c>
    </row>
    <row r="72" spans="1:9" x14ac:dyDescent="0.3">
      <c r="A72" s="1">
        <v>2</v>
      </c>
      <c r="B72" s="1">
        <v>1</v>
      </c>
      <c r="C72" s="1" t="s">
        <v>2</v>
      </c>
      <c r="D72" s="1" t="s">
        <v>0</v>
      </c>
      <c r="E72" s="1">
        <v>6</v>
      </c>
      <c r="F72" s="1" t="s">
        <v>1</v>
      </c>
      <c r="G72" s="1" t="s">
        <v>0</v>
      </c>
      <c r="H72" s="1">
        <v>25</v>
      </c>
      <c r="I72" s="1">
        <v>1</v>
      </c>
    </row>
    <row r="73" spans="1:9" x14ac:dyDescent="0.3">
      <c r="A73" s="1">
        <v>2</v>
      </c>
      <c r="B73" s="1">
        <v>1</v>
      </c>
      <c r="C73" s="1" t="s">
        <v>2</v>
      </c>
      <c r="D73" s="1" t="s">
        <v>0</v>
      </c>
      <c r="E73" s="1">
        <v>40</v>
      </c>
      <c r="F73" s="1" t="s">
        <v>1</v>
      </c>
      <c r="G73" s="1" t="s">
        <v>0</v>
      </c>
      <c r="H73" s="1">
        <v>41</v>
      </c>
      <c r="I73" s="1">
        <v>1</v>
      </c>
    </row>
    <row r="74" spans="1:9" x14ac:dyDescent="0.3">
      <c r="A74" s="1">
        <v>2</v>
      </c>
      <c r="B74" s="1">
        <v>1</v>
      </c>
      <c r="C74" s="1" t="s">
        <v>2</v>
      </c>
      <c r="D74" s="1" t="s">
        <v>0</v>
      </c>
      <c r="E74" s="1">
        <v>48</v>
      </c>
      <c r="F74" s="1" t="s">
        <v>1</v>
      </c>
      <c r="G74" s="1" t="s">
        <v>0</v>
      </c>
      <c r="H74" s="1">
        <v>13</v>
      </c>
      <c r="I74" s="1">
        <v>0</v>
      </c>
    </row>
    <row r="75" spans="1:9" x14ac:dyDescent="0.3">
      <c r="A75" s="1">
        <v>2</v>
      </c>
      <c r="B75" s="1">
        <v>1</v>
      </c>
      <c r="C75" s="1" t="s">
        <v>2</v>
      </c>
      <c r="D75" s="1" t="s">
        <v>0</v>
      </c>
      <c r="E75" s="1">
        <v>0</v>
      </c>
      <c r="F75" s="1" t="s">
        <v>1</v>
      </c>
      <c r="G75" s="1" t="s">
        <v>0</v>
      </c>
      <c r="H75" s="1">
        <v>36</v>
      </c>
      <c r="I75" s="1">
        <v>1</v>
      </c>
    </row>
    <row r="76" spans="1:9" x14ac:dyDescent="0.3">
      <c r="A76" s="1">
        <v>2</v>
      </c>
      <c r="B76" s="1">
        <v>1</v>
      </c>
      <c r="C76" s="1" t="s">
        <v>2</v>
      </c>
      <c r="D76" s="1" t="s">
        <v>0</v>
      </c>
      <c r="E76" s="1">
        <v>16</v>
      </c>
      <c r="F76" s="1" t="s">
        <v>1</v>
      </c>
      <c r="G76" s="1" t="s">
        <v>0</v>
      </c>
      <c r="H76" s="1">
        <v>49</v>
      </c>
      <c r="I76" s="1">
        <v>1</v>
      </c>
    </row>
    <row r="77" spans="1:9" x14ac:dyDescent="0.3">
      <c r="A77" s="1">
        <v>2</v>
      </c>
      <c r="B77" s="1">
        <v>1</v>
      </c>
      <c r="C77" s="1" t="s">
        <v>2</v>
      </c>
      <c r="D77" s="1" t="s">
        <v>0</v>
      </c>
      <c r="E77" s="1">
        <v>0</v>
      </c>
      <c r="F77" s="1" t="s">
        <v>1</v>
      </c>
      <c r="G77" s="1" t="s">
        <v>0</v>
      </c>
      <c r="H77" s="1">
        <v>50</v>
      </c>
      <c r="I77" s="1">
        <v>1</v>
      </c>
    </row>
    <row r="78" spans="1:9" x14ac:dyDescent="0.3">
      <c r="A78" s="1">
        <v>2</v>
      </c>
      <c r="B78" s="1">
        <v>1</v>
      </c>
      <c r="C78" s="1" t="s">
        <v>2</v>
      </c>
      <c r="D78" s="1" t="s">
        <v>0</v>
      </c>
      <c r="E78" s="1">
        <v>13</v>
      </c>
      <c r="F78" s="1" t="s">
        <v>1</v>
      </c>
      <c r="G78" s="1" t="s">
        <v>0</v>
      </c>
      <c r="H78" s="1">
        <v>35</v>
      </c>
      <c r="I78" s="1">
        <v>1</v>
      </c>
    </row>
    <row r="79" spans="1:9" x14ac:dyDescent="0.3">
      <c r="A79" s="1">
        <v>2</v>
      </c>
      <c r="B79" s="1">
        <v>1</v>
      </c>
      <c r="C79" s="1" t="s">
        <v>2</v>
      </c>
      <c r="D79" s="1" t="s">
        <v>0</v>
      </c>
      <c r="E79" s="1">
        <v>34</v>
      </c>
      <c r="F79" s="1" t="s">
        <v>1</v>
      </c>
      <c r="G79" s="1" t="s">
        <v>0</v>
      </c>
      <c r="H79" s="1">
        <v>43</v>
      </c>
      <c r="I79" s="1">
        <v>1</v>
      </c>
    </row>
    <row r="80" spans="1:9" x14ac:dyDescent="0.3">
      <c r="A80" s="1">
        <v>2</v>
      </c>
      <c r="B80" s="1">
        <v>1</v>
      </c>
      <c r="C80" s="1" t="s">
        <v>2</v>
      </c>
      <c r="D80" s="1" t="s">
        <v>0</v>
      </c>
      <c r="E80" s="1">
        <v>16</v>
      </c>
      <c r="F80" s="1" t="s">
        <v>1</v>
      </c>
      <c r="G80" s="1" t="s">
        <v>0</v>
      </c>
      <c r="H80" s="1">
        <v>5</v>
      </c>
      <c r="I80" s="1">
        <v>0</v>
      </c>
    </row>
    <row r="81" spans="1:9" x14ac:dyDescent="0.3">
      <c r="A81" s="1">
        <v>2</v>
      </c>
      <c r="B81" s="1">
        <v>1</v>
      </c>
      <c r="C81" s="1" t="s">
        <v>2</v>
      </c>
      <c r="D81" s="1" t="s">
        <v>0</v>
      </c>
      <c r="E81" s="1">
        <v>16</v>
      </c>
      <c r="F81" s="1" t="s">
        <v>1</v>
      </c>
      <c r="G81" s="1" t="s">
        <v>0</v>
      </c>
      <c r="H81" s="1">
        <v>22</v>
      </c>
      <c r="I81" s="1">
        <v>1</v>
      </c>
    </row>
    <row r="82" spans="1:9" x14ac:dyDescent="0.3">
      <c r="A82" s="1">
        <v>2</v>
      </c>
      <c r="B82" s="1">
        <v>1</v>
      </c>
      <c r="C82" s="1" t="s">
        <v>2</v>
      </c>
      <c r="D82" s="1" t="s">
        <v>0</v>
      </c>
      <c r="E82" s="1">
        <v>25</v>
      </c>
      <c r="F82" s="1" t="s">
        <v>1</v>
      </c>
      <c r="G82" s="1" t="s">
        <v>0</v>
      </c>
      <c r="H82" s="1">
        <v>34</v>
      </c>
      <c r="I82" s="1">
        <v>1</v>
      </c>
    </row>
    <row r="83" spans="1:9" x14ac:dyDescent="0.3">
      <c r="A83" s="1">
        <v>2</v>
      </c>
      <c r="B83" s="1">
        <v>1</v>
      </c>
      <c r="C83" s="1" t="s">
        <v>2</v>
      </c>
      <c r="D83" s="1" t="s">
        <v>0</v>
      </c>
      <c r="E83" s="1">
        <v>22</v>
      </c>
      <c r="F83" s="1" t="s">
        <v>1</v>
      </c>
      <c r="G83" s="1" t="s">
        <v>0</v>
      </c>
      <c r="H83" s="1">
        <v>32</v>
      </c>
      <c r="I83" s="1">
        <v>1</v>
      </c>
    </row>
    <row r="84" spans="1:9" x14ac:dyDescent="0.3">
      <c r="A84" s="1">
        <v>2</v>
      </c>
      <c r="B84" s="1">
        <v>1</v>
      </c>
      <c r="C84" s="1" t="s">
        <v>2</v>
      </c>
      <c r="D84" s="1" t="s">
        <v>0</v>
      </c>
      <c r="E84" s="1">
        <v>9</v>
      </c>
      <c r="F84" s="1" t="s">
        <v>1</v>
      </c>
      <c r="G84" s="1" t="s">
        <v>0</v>
      </c>
      <c r="H84" s="1">
        <v>31</v>
      </c>
      <c r="I84" s="1">
        <v>1</v>
      </c>
    </row>
    <row r="85" spans="1:9" x14ac:dyDescent="0.3">
      <c r="A85" s="1">
        <v>2</v>
      </c>
      <c r="B85" s="1">
        <v>1</v>
      </c>
      <c r="C85" s="1" t="s">
        <v>2</v>
      </c>
      <c r="D85" s="1" t="s">
        <v>0</v>
      </c>
      <c r="E85" s="1">
        <v>18</v>
      </c>
      <c r="F85" s="1" t="s">
        <v>1</v>
      </c>
      <c r="G85" s="1" t="s">
        <v>0</v>
      </c>
      <c r="H85" s="1">
        <v>16</v>
      </c>
      <c r="I85" s="1">
        <v>0</v>
      </c>
    </row>
    <row r="86" spans="1:9" x14ac:dyDescent="0.3">
      <c r="A86" s="1">
        <v>2</v>
      </c>
      <c r="B86" s="1">
        <v>1</v>
      </c>
      <c r="C86" s="1" t="s">
        <v>2</v>
      </c>
      <c r="D86" s="1" t="s">
        <v>0</v>
      </c>
      <c r="E86" s="1">
        <v>2</v>
      </c>
      <c r="F86" s="1" t="s">
        <v>1</v>
      </c>
      <c r="G86" s="1" t="s">
        <v>0</v>
      </c>
      <c r="H86" s="1">
        <v>24</v>
      </c>
      <c r="I86" s="1">
        <v>1</v>
      </c>
    </row>
    <row r="87" spans="1:9" x14ac:dyDescent="0.3">
      <c r="A87" s="1">
        <v>2</v>
      </c>
      <c r="B87" s="1">
        <v>1</v>
      </c>
      <c r="C87" s="1" t="s">
        <v>2</v>
      </c>
      <c r="D87" s="1" t="s">
        <v>0</v>
      </c>
      <c r="E87" s="1">
        <v>22</v>
      </c>
      <c r="F87" s="1" t="s">
        <v>1</v>
      </c>
      <c r="G87" s="1" t="s">
        <v>0</v>
      </c>
      <c r="H87" s="1">
        <v>36</v>
      </c>
      <c r="I87" s="1">
        <v>1</v>
      </c>
    </row>
    <row r="88" spans="1:9" x14ac:dyDescent="0.3">
      <c r="A88" s="1">
        <v>2</v>
      </c>
      <c r="B88" s="1">
        <v>1</v>
      </c>
      <c r="C88" s="1" t="s">
        <v>2</v>
      </c>
      <c r="D88" s="1" t="s">
        <v>0</v>
      </c>
      <c r="E88" s="1">
        <v>2</v>
      </c>
      <c r="F88" s="1" t="s">
        <v>1</v>
      </c>
      <c r="G88" s="1" t="s">
        <v>0</v>
      </c>
      <c r="H88" s="1">
        <v>30</v>
      </c>
      <c r="I88" s="1">
        <v>1</v>
      </c>
    </row>
    <row r="89" spans="1:9" x14ac:dyDescent="0.3">
      <c r="A89" s="1">
        <v>2</v>
      </c>
      <c r="B89" s="1">
        <v>1</v>
      </c>
      <c r="C89" s="1" t="s">
        <v>2</v>
      </c>
      <c r="D89" s="1" t="s">
        <v>0</v>
      </c>
      <c r="E89" s="1">
        <v>2</v>
      </c>
      <c r="F89" s="1" t="s">
        <v>1</v>
      </c>
      <c r="G89" s="1" t="s">
        <v>0</v>
      </c>
      <c r="H89" s="1">
        <v>44</v>
      </c>
      <c r="I89" s="1">
        <v>1</v>
      </c>
    </row>
    <row r="90" spans="1:9" x14ac:dyDescent="0.3">
      <c r="A90" s="1">
        <v>2</v>
      </c>
      <c r="B90" s="1">
        <v>1</v>
      </c>
      <c r="C90" s="1" t="s">
        <v>2</v>
      </c>
      <c r="D90" s="1" t="s">
        <v>0</v>
      </c>
      <c r="E90" s="1">
        <v>26</v>
      </c>
      <c r="F90" s="1" t="s">
        <v>1</v>
      </c>
      <c r="G90" s="1" t="s">
        <v>0</v>
      </c>
      <c r="H90" s="1">
        <v>48</v>
      </c>
      <c r="I90" s="1">
        <v>1</v>
      </c>
    </row>
    <row r="91" spans="1:9" x14ac:dyDescent="0.3">
      <c r="A91" s="1">
        <v>2</v>
      </c>
      <c r="B91" s="1">
        <v>1</v>
      </c>
      <c r="C91" s="1" t="s">
        <v>2</v>
      </c>
      <c r="D91" s="1" t="s">
        <v>0</v>
      </c>
      <c r="E91" s="1">
        <v>0</v>
      </c>
      <c r="F91" s="1" t="s">
        <v>1</v>
      </c>
      <c r="G91" s="1" t="s">
        <v>0</v>
      </c>
      <c r="H91" s="1">
        <v>9</v>
      </c>
      <c r="I91" s="1">
        <v>1</v>
      </c>
    </row>
    <row r="92" spans="1:9" x14ac:dyDescent="0.3">
      <c r="A92" s="1">
        <v>2</v>
      </c>
      <c r="B92" s="1">
        <v>1</v>
      </c>
      <c r="C92" s="1" t="s">
        <v>2</v>
      </c>
      <c r="D92" s="1" t="s">
        <v>0</v>
      </c>
      <c r="E92" s="1">
        <v>0</v>
      </c>
      <c r="F92" s="1" t="s">
        <v>1</v>
      </c>
      <c r="G92" s="1" t="s">
        <v>0</v>
      </c>
      <c r="H92" s="1">
        <v>55</v>
      </c>
      <c r="I92" s="1">
        <v>1</v>
      </c>
    </row>
    <row r="93" spans="1:9" x14ac:dyDescent="0.3">
      <c r="A93" s="1">
        <v>2</v>
      </c>
      <c r="B93" s="1">
        <v>1</v>
      </c>
      <c r="C93" s="1" t="s">
        <v>2</v>
      </c>
      <c r="D93" s="1" t="s">
        <v>0</v>
      </c>
      <c r="E93" s="1">
        <v>0</v>
      </c>
      <c r="F93" s="1" t="s">
        <v>1</v>
      </c>
      <c r="G93" s="1" t="s">
        <v>0</v>
      </c>
      <c r="H93" s="1">
        <v>42</v>
      </c>
      <c r="I93" s="1">
        <v>1</v>
      </c>
    </row>
    <row r="94" spans="1:9" x14ac:dyDescent="0.3">
      <c r="A94" s="1">
        <v>2</v>
      </c>
      <c r="B94" s="1">
        <v>1</v>
      </c>
      <c r="C94" s="1" t="s">
        <v>2</v>
      </c>
      <c r="D94" s="1" t="s">
        <v>0</v>
      </c>
      <c r="E94" s="1">
        <v>2</v>
      </c>
      <c r="F94" s="1" t="s">
        <v>1</v>
      </c>
      <c r="G94" s="1" t="s">
        <v>0</v>
      </c>
      <c r="H94" s="1">
        <v>75</v>
      </c>
      <c r="I94" s="1">
        <v>1</v>
      </c>
    </row>
    <row r="95" spans="1:9" x14ac:dyDescent="0.3">
      <c r="A95" s="1">
        <v>2</v>
      </c>
      <c r="B95" s="1">
        <v>1</v>
      </c>
      <c r="C95" s="1" t="s">
        <v>2</v>
      </c>
      <c r="D95" s="1" t="s">
        <v>0</v>
      </c>
      <c r="E95" s="1">
        <v>2</v>
      </c>
      <c r="F95" s="1" t="s">
        <v>1</v>
      </c>
      <c r="G95" s="1" t="s">
        <v>0</v>
      </c>
      <c r="H95" s="1">
        <v>16</v>
      </c>
      <c r="I95" s="1">
        <v>1</v>
      </c>
    </row>
    <row r="96" spans="1:9" x14ac:dyDescent="0.3">
      <c r="A96" s="1">
        <v>2</v>
      </c>
      <c r="B96" s="1">
        <v>1</v>
      </c>
      <c r="C96" s="1" t="s">
        <v>2</v>
      </c>
      <c r="D96" s="1" t="s">
        <v>0</v>
      </c>
      <c r="E96" s="1">
        <v>48</v>
      </c>
      <c r="F96" s="1" t="s">
        <v>1</v>
      </c>
      <c r="G96" s="1" t="s">
        <v>0</v>
      </c>
      <c r="H96" s="1">
        <v>29</v>
      </c>
      <c r="I96" s="1">
        <v>0</v>
      </c>
    </row>
    <row r="97" spans="1:9" x14ac:dyDescent="0.3">
      <c r="A97" s="1">
        <v>2</v>
      </c>
      <c r="B97" s="1">
        <v>1</v>
      </c>
      <c r="C97" s="1" t="s">
        <v>2</v>
      </c>
      <c r="D97" s="1" t="s">
        <v>0</v>
      </c>
      <c r="E97" s="1">
        <v>12</v>
      </c>
      <c r="F97" s="1" t="s">
        <v>1</v>
      </c>
      <c r="G97" s="1" t="s">
        <v>0</v>
      </c>
      <c r="H97" s="1">
        <v>33</v>
      </c>
      <c r="I97" s="1">
        <v>1</v>
      </c>
    </row>
    <row r="98" spans="1:9" x14ac:dyDescent="0.3">
      <c r="A98" s="1">
        <v>2</v>
      </c>
      <c r="B98" s="1">
        <v>1</v>
      </c>
      <c r="C98" s="1" t="s">
        <v>2</v>
      </c>
      <c r="D98" s="1" t="s">
        <v>0</v>
      </c>
      <c r="E98" s="1">
        <v>3</v>
      </c>
      <c r="F98" s="1" t="s">
        <v>1</v>
      </c>
      <c r="G98" s="1" t="s">
        <v>0</v>
      </c>
      <c r="H98" s="1">
        <v>35</v>
      </c>
      <c r="I98" s="1">
        <v>1</v>
      </c>
    </row>
    <row r="99" spans="1:9" x14ac:dyDescent="0.3">
      <c r="A99" s="1">
        <v>2</v>
      </c>
      <c r="B99" s="1">
        <v>1</v>
      </c>
      <c r="C99" s="1" t="s">
        <v>2</v>
      </c>
      <c r="D99" s="1" t="s">
        <v>0</v>
      </c>
      <c r="E99" s="1">
        <v>29</v>
      </c>
      <c r="F99" s="1" t="s">
        <v>1</v>
      </c>
      <c r="G99" s="1" t="s">
        <v>0</v>
      </c>
      <c r="H99" s="1">
        <v>0</v>
      </c>
      <c r="I99" s="1">
        <v>0</v>
      </c>
    </row>
    <row r="100" spans="1:9" x14ac:dyDescent="0.3">
      <c r="A100" s="1">
        <v>2</v>
      </c>
      <c r="B100" s="1">
        <v>1</v>
      </c>
      <c r="C100" s="1" t="s">
        <v>2</v>
      </c>
      <c r="D100" s="1" t="s">
        <v>0</v>
      </c>
      <c r="E100" s="1">
        <v>11</v>
      </c>
      <c r="F100" s="1" t="s">
        <v>1</v>
      </c>
      <c r="G100" s="1" t="s">
        <v>0</v>
      </c>
      <c r="H100" s="1">
        <v>17</v>
      </c>
      <c r="I100" s="1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8D2B1-4BA3-44FC-AD52-BCD4D71A160A}">
  <dimension ref="A1:T100"/>
  <sheetViews>
    <sheetView topLeftCell="K1" workbookViewId="0">
      <selection activeCell="T2" sqref="T2:T3"/>
    </sheetView>
  </sheetViews>
  <sheetFormatPr defaultRowHeight="14.4" x14ac:dyDescent="0.3"/>
  <cols>
    <col min="1" max="16384" width="8.88671875" style="1"/>
  </cols>
  <sheetData>
    <row r="1" spans="1:20" x14ac:dyDescent="0.3">
      <c r="A1" s="1">
        <v>2</v>
      </c>
      <c r="B1" s="1">
        <v>0</v>
      </c>
      <c r="C1" s="1" t="s">
        <v>2</v>
      </c>
      <c r="D1" s="1" t="s">
        <v>0</v>
      </c>
      <c r="E1" s="1">
        <v>24</v>
      </c>
      <c r="F1" s="1" t="s">
        <v>1</v>
      </c>
      <c r="G1" s="1" t="s">
        <v>0</v>
      </c>
      <c r="H1" s="1">
        <v>28</v>
      </c>
      <c r="I1" s="1">
        <v>1</v>
      </c>
      <c r="K1" s="2"/>
      <c r="L1" s="3"/>
      <c r="M1" s="24" t="s">
        <v>3</v>
      </c>
      <c r="N1" s="24"/>
      <c r="O1" s="19" t="s">
        <v>4</v>
      </c>
      <c r="P1" s="19"/>
      <c r="Q1" s="19" t="s">
        <v>5</v>
      </c>
      <c r="R1" s="19"/>
    </row>
    <row r="2" spans="1:20" x14ac:dyDescent="0.3">
      <c r="A2" s="1">
        <v>2</v>
      </c>
      <c r="B2" s="1">
        <v>0</v>
      </c>
      <c r="C2" s="1" t="s">
        <v>2</v>
      </c>
      <c r="D2" s="1" t="s">
        <v>0</v>
      </c>
      <c r="E2" s="1">
        <v>25</v>
      </c>
      <c r="F2" s="1" t="s">
        <v>1</v>
      </c>
      <c r="G2" s="1" t="s">
        <v>0</v>
      </c>
      <c r="H2" s="1">
        <v>37</v>
      </c>
      <c r="I2" s="1">
        <v>1</v>
      </c>
      <c r="K2" s="4"/>
      <c r="L2" s="5"/>
      <c r="M2" s="24"/>
      <c r="N2" s="24"/>
      <c r="O2" s="19"/>
      <c r="P2" s="19"/>
      <c r="Q2" s="19"/>
      <c r="R2" s="19"/>
      <c r="T2" t="s">
        <v>15</v>
      </c>
    </row>
    <row r="3" spans="1:20" x14ac:dyDescent="0.3">
      <c r="A3" s="1">
        <v>2</v>
      </c>
      <c r="B3" s="1">
        <v>0</v>
      </c>
      <c r="C3" s="1" t="s">
        <v>2</v>
      </c>
      <c r="D3" s="1" t="s">
        <v>0</v>
      </c>
      <c r="E3" s="1">
        <v>14</v>
      </c>
      <c r="F3" s="1" t="s">
        <v>1</v>
      </c>
      <c r="G3" s="1" t="s">
        <v>0</v>
      </c>
      <c r="H3" s="1">
        <v>48</v>
      </c>
      <c r="I3" s="1">
        <v>1</v>
      </c>
      <c r="K3" s="19" t="s">
        <v>6</v>
      </c>
      <c r="L3" s="19"/>
      <c r="M3" s="20">
        <f>COUNTIF($I$1:$I$100, 0)</f>
        <v>37</v>
      </c>
      <c r="N3" s="20"/>
      <c r="O3" s="20">
        <f>COUNTIFS($I$1:$I$100, 0, $B$1:$B$100, 0)</f>
        <v>17</v>
      </c>
      <c r="P3" s="20"/>
      <c r="Q3" s="21">
        <f>COUNTIFS($I$1:$I$100, 0, $B$1:$B$100, 1)</f>
        <v>20</v>
      </c>
      <c r="R3" s="10"/>
      <c r="T3" cm="1">
        <f t="array" ref="T3">SUMPRODUCT(--($E$1:$E$100=$H$1:$H$100))</f>
        <v>1</v>
      </c>
    </row>
    <row r="4" spans="1:20" x14ac:dyDescent="0.3">
      <c r="A4" s="1">
        <v>2</v>
      </c>
      <c r="B4" s="1">
        <v>0</v>
      </c>
      <c r="C4" s="1" t="s">
        <v>2</v>
      </c>
      <c r="D4" s="1" t="s">
        <v>0</v>
      </c>
      <c r="E4" s="1">
        <v>11</v>
      </c>
      <c r="F4" s="1" t="s">
        <v>1</v>
      </c>
      <c r="G4" s="1" t="s">
        <v>0</v>
      </c>
      <c r="H4" s="1">
        <v>42</v>
      </c>
      <c r="I4" s="1">
        <v>1</v>
      </c>
      <c r="K4" s="19"/>
      <c r="L4" s="19"/>
      <c r="M4" s="20"/>
      <c r="N4" s="20"/>
      <c r="O4" s="20"/>
      <c r="P4" s="20"/>
      <c r="Q4" s="20"/>
      <c r="R4" s="12"/>
    </row>
    <row r="5" spans="1:20" x14ac:dyDescent="0.3">
      <c r="A5" s="1">
        <v>2</v>
      </c>
      <c r="B5" s="1">
        <v>0</v>
      </c>
      <c r="C5" s="1" t="s">
        <v>2</v>
      </c>
      <c r="D5" s="1" t="s">
        <v>0</v>
      </c>
      <c r="E5" s="1">
        <v>11</v>
      </c>
      <c r="F5" s="1" t="s">
        <v>1</v>
      </c>
      <c r="G5" s="1" t="s">
        <v>0</v>
      </c>
      <c r="H5" s="1">
        <v>2</v>
      </c>
      <c r="I5" s="1">
        <v>0</v>
      </c>
      <c r="K5" s="19" t="s">
        <v>7</v>
      </c>
      <c r="L5" s="19"/>
      <c r="M5" s="11">
        <f>COUNTIF($I$1:$I$100, 1)</f>
        <v>63</v>
      </c>
      <c r="N5" s="20"/>
      <c r="O5" s="20">
        <f>COUNTIFS($I$1:$I$100, 1, $B$1:$B$100, 0)</f>
        <v>33</v>
      </c>
      <c r="P5" s="20"/>
      <c r="Q5" s="20">
        <f>COUNTIFS($I$1:$I$100, 1, $B$1:$B$100, 1)</f>
        <v>30</v>
      </c>
      <c r="R5" s="12"/>
    </row>
    <row r="6" spans="1:20" x14ac:dyDescent="0.3">
      <c r="A6" s="1">
        <v>2</v>
      </c>
      <c r="B6" s="1">
        <v>0</v>
      </c>
      <c r="C6" s="1" t="s">
        <v>2</v>
      </c>
      <c r="D6" s="1" t="s">
        <v>0</v>
      </c>
      <c r="E6" s="1">
        <v>22</v>
      </c>
      <c r="F6" s="1" t="s">
        <v>1</v>
      </c>
      <c r="G6" s="1" t="s">
        <v>0</v>
      </c>
      <c r="H6" s="1">
        <v>17</v>
      </c>
      <c r="I6" s="1">
        <v>0</v>
      </c>
      <c r="K6" s="19"/>
      <c r="L6" s="19"/>
      <c r="M6" s="13"/>
      <c r="N6" s="22"/>
      <c r="O6" s="22"/>
      <c r="P6" s="22"/>
      <c r="Q6" s="22"/>
      <c r="R6" s="14"/>
    </row>
    <row r="7" spans="1:20" x14ac:dyDescent="0.3">
      <c r="A7" s="1">
        <v>2</v>
      </c>
      <c r="B7" s="1">
        <v>0</v>
      </c>
      <c r="C7" s="1" t="s">
        <v>2</v>
      </c>
      <c r="D7" s="1" t="s">
        <v>0</v>
      </c>
      <c r="E7" s="1">
        <v>15</v>
      </c>
      <c r="F7" s="1" t="s">
        <v>1</v>
      </c>
      <c r="G7" s="1" t="s">
        <v>0</v>
      </c>
      <c r="H7" s="1">
        <v>40</v>
      </c>
      <c r="I7" s="1">
        <v>1</v>
      </c>
      <c r="K7" s="6"/>
      <c r="L7" s="6"/>
      <c r="M7" s="6"/>
      <c r="N7" s="6"/>
      <c r="O7" s="6"/>
      <c r="P7" s="6"/>
      <c r="Q7" s="6"/>
      <c r="R7" s="6"/>
    </row>
    <row r="8" spans="1:20" x14ac:dyDescent="0.3">
      <c r="A8" s="1">
        <v>2</v>
      </c>
      <c r="B8" s="1">
        <v>0</v>
      </c>
      <c r="C8" s="1" t="s">
        <v>2</v>
      </c>
      <c r="D8" s="1" t="s">
        <v>0</v>
      </c>
      <c r="E8" s="1">
        <v>16</v>
      </c>
      <c r="F8" s="1" t="s">
        <v>1</v>
      </c>
      <c r="G8" s="1" t="s">
        <v>0</v>
      </c>
      <c r="H8" s="1">
        <v>36</v>
      </c>
      <c r="I8" s="1">
        <v>1</v>
      </c>
      <c r="K8" s="7"/>
      <c r="L8" s="8"/>
      <c r="M8" s="23" t="s">
        <v>3</v>
      </c>
      <c r="N8" s="23"/>
      <c r="O8" s="23" t="s">
        <v>8</v>
      </c>
      <c r="P8" s="23"/>
      <c r="Q8" s="23" t="s">
        <v>9</v>
      </c>
      <c r="R8" s="23"/>
    </row>
    <row r="9" spans="1:20" x14ac:dyDescent="0.3">
      <c r="A9" s="1">
        <v>2</v>
      </c>
      <c r="B9" s="1">
        <v>0</v>
      </c>
      <c r="C9" s="1" t="s">
        <v>2</v>
      </c>
      <c r="D9" s="1" t="s">
        <v>0</v>
      </c>
      <c r="E9" s="1">
        <v>21</v>
      </c>
      <c r="F9" s="1" t="s">
        <v>1</v>
      </c>
      <c r="G9" s="1" t="s">
        <v>0</v>
      </c>
      <c r="H9" s="1">
        <v>26</v>
      </c>
      <c r="I9" s="1">
        <v>1</v>
      </c>
      <c r="K9" s="4"/>
      <c r="L9" s="5"/>
      <c r="M9" s="23"/>
      <c r="N9" s="23"/>
      <c r="O9" s="23"/>
      <c r="P9" s="23"/>
      <c r="Q9" s="23"/>
      <c r="R9" s="23"/>
    </row>
    <row r="10" spans="1:20" x14ac:dyDescent="0.3">
      <c r="A10" s="1">
        <v>2</v>
      </c>
      <c r="B10" s="1">
        <v>0</v>
      </c>
      <c r="C10" s="1" t="s">
        <v>2</v>
      </c>
      <c r="D10" s="1" t="s">
        <v>0</v>
      </c>
      <c r="E10" s="1">
        <v>17</v>
      </c>
      <c r="F10" s="1" t="s">
        <v>1</v>
      </c>
      <c r="G10" s="1" t="s">
        <v>0</v>
      </c>
      <c r="H10" s="1">
        <v>52</v>
      </c>
      <c r="I10" s="1">
        <v>1</v>
      </c>
      <c r="K10" s="19" t="s">
        <v>10</v>
      </c>
      <c r="L10" s="19"/>
      <c r="M10" s="20">
        <f>AVERAGE($E$1:$E$100,)</f>
        <v>18.722772277227723</v>
      </c>
      <c r="N10" s="20"/>
      <c r="O10" s="20" cm="1">
        <f t="array" ref="O10">AVERAGE(_xlfn._xlws.FILTER($E$1:$E$100,$I$1:$I$100 = 0))</f>
        <v>29.243243243243242</v>
      </c>
      <c r="P10" s="20"/>
      <c r="Q10" s="21" cm="1">
        <f t="array" ref="Q10">AVERAGE(_xlfn._xlws.FILTER($E$1:$E$100,$I$1:$I$100 = 1))</f>
        <v>12.841269841269842</v>
      </c>
      <c r="R10" s="10"/>
    </row>
    <row r="11" spans="1:20" x14ac:dyDescent="0.3">
      <c r="A11" s="1">
        <v>2</v>
      </c>
      <c r="B11" s="1">
        <v>0</v>
      </c>
      <c r="C11" s="1" t="s">
        <v>2</v>
      </c>
      <c r="D11" s="1" t="s">
        <v>0</v>
      </c>
      <c r="E11" s="1">
        <v>19</v>
      </c>
      <c r="F11" s="1" t="s">
        <v>1</v>
      </c>
      <c r="G11" s="1" t="s">
        <v>0</v>
      </c>
      <c r="H11" s="1">
        <v>40</v>
      </c>
      <c r="I11" s="1">
        <v>1</v>
      </c>
      <c r="K11" s="19"/>
      <c r="L11" s="19"/>
      <c r="M11" s="20"/>
      <c r="N11" s="20"/>
      <c r="O11" s="20"/>
      <c r="P11" s="20"/>
      <c r="Q11" s="20"/>
      <c r="R11" s="12"/>
    </row>
    <row r="12" spans="1:20" x14ac:dyDescent="0.3">
      <c r="A12" s="1">
        <v>2</v>
      </c>
      <c r="B12" s="1">
        <v>0</v>
      </c>
      <c r="C12" s="1" t="s">
        <v>2</v>
      </c>
      <c r="D12" s="1" t="s">
        <v>0</v>
      </c>
      <c r="E12" s="1">
        <v>10</v>
      </c>
      <c r="F12" s="1" t="s">
        <v>1</v>
      </c>
      <c r="G12" s="1" t="s">
        <v>0</v>
      </c>
      <c r="H12" s="1">
        <v>24</v>
      </c>
      <c r="I12" s="1">
        <v>1</v>
      </c>
      <c r="K12" s="19" t="s">
        <v>11</v>
      </c>
      <c r="L12" s="19"/>
      <c r="M12" s="20">
        <f>AVERAGE($H$1:$H$100,)</f>
        <v>28.198019801980198</v>
      </c>
      <c r="N12" s="20"/>
      <c r="O12" s="20" cm="1">
        <f t="array" ref="O12">AVERAGE(_xlfn._xlws.FILTER($H$1:$H$100,$I$1:$I$100 = 0))</f>
        <v>12.675675675675675</v>
      </c>
      <c r="P12" s="20"/>
      <c r="Q12" s="20" cm="1">
        <f t="array" ref="Q12">AVERAGE(_xlfn._xlws.FILTER($H$1:$H$100,$I$1:$I$100 = 1))</f>
        <v>37.761904761904759</v>
      </c>
      <c r="R12" s="12"/>
    </row>
    <row r="13" spans="1:20" x14ac:dyDescent="0.3">
      <c r="A13" s="1">
        <v>2</v>
      </c>
      <c r="B13" s="1">
        <v>0</v>
      </c>
      <c r="C13" s="1" t="s">
        <v>2</v>
      </c>
      <c r="D13" s="1" t="s">
        <v>0</v>
      </c>
      <c r="E13" s="1">
        <v>5</v>
      </c>
      <c r="F13" s="1" t="s">
        <v>1</v>
      </c>
      <c r="G13" s="1" t="s">
        <v>0</v>
      </c>
      <c r="H13" s="1">
        <v>12</v>
      </c>
      <c r="I13" s="1">
        <v>1</v>
      </c>
      <c r="K13" s="19"/>
      <c r="L13" s="19"/>
      <c r="M13" s="20"/>
      <c r="N13" s="20"/>
      <c r="O13" s="20"/>
      <c r="P13" s="20"/>
      <c r="Q13" s="20"/>
      <c r="R13" s="12"/>
    </row>
    <row r="14" spans="1:20" x14ac:dyDescent="0.3">
      <c r="A14" s="1">
        <v>2</v>
      </c>
      <c r="B14" s="1">
        <v>0</v>
      </c>
      <c r="C14" s="1" t="s">
        <v>2</v>
      </c>
      <c r="D14" s="1" t="s">
        <v>0</v>
      </c>
      <c r="E14" s="1">
        <v>2</v>
      </c>
      <c r="F14" s="1" t="s">
        <v>1</v>
      </c>
      <c r="G14" s="1" t="s">
        <v>0</v>
      </c>
      <c r="H14" s="1">
        <v>31</v>
      </c>
      <c r="I14" s="1">
        <v>1</v>
      </c>
      <c r="K14" s="9" t="s">
        <v>12</v>
      </c>
      <c r="L14" s="10"/>
      <c r="M14" s="15" cm="1">
        <f t="array" ref="M14">AVERAGE($E$1:$E$100 - $H$1:$H$100)</f>
        <v>-9.57</v>
      </c>
      <c r="N14" s="15"/>
      <c r="O14" s="15" cm="1">
        <f t="array" ref="O14">AVERAGE(_xlfn._xlws.FILTER($E$1:$E$100 - $H$1:$H$100, I$1:I$100 = 0))</f>
        <v>16.567567567567568</v>
      </c>
      <c r="P14" s="15"/>
      <c r="Q14" s="15" cm="1">
        <f t="array" ref="Q14">AVERAGE(_xlfn._xlws.FILTER($E$1:$E$100 - $H$1:$H$100, I$1:I$100 = 1))</f>
        <v>-24.920634920634921</v>
      </c>
      <c r="R14" s="17"/>
    </row>
    <row r="15" spans="1:20" x14ac:dyDescent="0.3">
      <c r="A15" s="1">
        <v>2</v>
      </c>
      <c r="B15" s="1">
        <v>0</v>
      </c>
      <c r="C15" s="1" t="s">
        <v>2</v>
      </c>
      <c r="D15" s="1" t="s">
        <v>0</v>
      </c>
      <c r="E15" s="1">
        <v>2</v>
      </c>
      <c r="F15" s="1" t="s">
        <v>1</v>
      </c>
      <c r="G15" s="1" t="s">
        <v>0</v>
      </c>
      <c r="H15" s="1">
        <v>28</v>
      </c>
      <c r="I15" s="1">
        <v>1</v>
      </c>
      <c r="K15" s="11"/>
      <c r="L15" s="12"/>
      <c r="M15" s="15"/>
      <c r="N15" s="15"/>
      <c r="O15" s="15"/>
      <c r="P15" s="15"/>
      <c r="Q15" s="15"/>
      <c r="R15" s="17"/>
    </row>
    <row r="16" spans="1:20" x14ac:dyDescent="0.3">
      <c r="A16" s="1">
        <v>2</v>
      </c>
      <c r="B16" s="1">
        <v>0</v>
      </c>
      <c r="C16" s="1" t="s">
        <v>2</v>
      </c>
      <c r="D16" s="1" t="s">
        <v>0</v>
      </c>
      <c r="E16" s="1">
        <v>13</v>
      </c>
      <c r="F16" s="1" t="s">
        <v>1</v>
      </c>
      <c r="G16" s="1" t="s">
        <v>0</v>
      </c>
      <c r="H16" s="1">
        <v>26</v>
      </c>
      <c r="I16" s="1">
        <v>1</v>
      </c>
      <c r="K16" s="13"/>
      <c r="L16" s="14"/>
      <c r="M16" s="16"/>
      <c r="N16" s="16"/>
      <c r="O16" s="16"/>
      <c r="P16" s="16"/>
      <c r="Q16" s="16"/>
      <c r="R16" s="18"/>
    </row>
    <row r="17" spans="1:9" x14ac:dyDescent="0.3">
      <c r="A17" s="1">
        <v>2</v>
      </c>
      <c r="B17" s="1">
        <v>0</v>
      </c>
      <c r="C17" s="1" t="s">
        <v>2</v>
      </c>
      <c r="D17" s="1" t="s">
        <v>0</v>
      </c>
      <c r="E17" s="1">
        <v>34</v>
      </c>
      <c r="F17" s="1" t="s">
        <v>1</v>
      </c>
      <c r="G17" s="1" t="s">
        <v>0</v>
      </c>
      <c r="H17" s="1">
        <v>2</v>
      </c>
      <c r="I17" s="1">
        <v>0</v>
      </c>
    </row>
    <row r="18" spans="1:9" x14ac:dyDescent="0.3">
      <c r="A18" s="1">
        <v>2</v>
      </c>
      <c r="B18" s="1">
        <v>0</v>
      </c>
      <c r="C18" s="1" t="s">
        <v>2</v>
      </c>
      <c r="D18" s="1" t="s">
        <v>0</v>
      </c>
      <c r="E18" s="1">
        <v>45</v>
      </c>
      <c r="F18" s="1" t="s">
        <v>1</v>
      </c>
      <c r="G18" s="1" t="s">
        <v>0</v>
      </c>
      <c r="H18" s="1">
        <v>4</v>
      </c>
      <c r="I18" s="1">
        <v>0</v>
      </c>
    </row>
    <row r="19" spans="1:9" x14ac:dyDescent="0.3">
      <c r="A19" s="1">
        <v>2</v>
      </c>
      <c r="B19" s="1">
        <v>0</v>
      </c>
      <c r="C19" s="1" t="s">
        <v>2</v>
      </c>
      <c r="D19" s="1" t="s">
        <v>0</v>
      </c>
      <c r="E19" s="1">
        <v>3</v>
      </c>
      <c r="F19" s="1" t="s">
        <v>1</v>
      </c>
      <c r="G19" s="1" t="s">
        <v>0</v>
      </c>
      <c r="H19" s="1">
        <v>43</v>
      </c>
      <c r="I19" s="1">
        <v>1</v>
      </c>
    </row>
    <row r="20" spans="1:9" x14ac:dyDescent="0.3">
      <c r="A20" s="1">
        <v>2</v>
      </c>
      <c r="B20" s="1">
        <v>0</v>
      </c>
      <c r="C20" s="1" t="s">
        <v>2</v>
      </c>
      <c r="D20" s="1" t="s">
        <v>0</v>
      </c>
      <c r="E20" s="1">
        <v>19</v>
      </c>
      <c r="F20" s="1" t="s">
        <v>1</v>
      </c>
      <c r="G20" s="1" t="s">
        <v>0</v>
      </c>
      <c r="H20" s="1">
        <v>15</v>
      </c>
      <c r="I20" s="1">
        <v>0</v>
      </c>
    </row>
    <row r="21" spans="1:9" x14ac:dyDescent="0.3">
      <c r="A21" s="1">
        <v>2</v>
      </c>
      <c r="B21" s="1">
        <v>0</v>
      </c>
      <c r="C21" s="1" t="s">
        <v>2</v>
      </c>
      <c r="D21" s="1" t="s">
        <v>0</v>
      </c>
      <c r="E21" s="1">
        <v>5</v>
      </c>
      <c r="F21" s="1" t="s">
        <v>1</v>
      </c>
      <c r="G21" s="1" t="s">
        <v>0</v>
      </c>
      <c r="H21" s="1">
        <v>19</v>
      </c>
      <c r="I21" s="1">
        <v>1</v>
      </c>
    </row>
    <row r="22" spans="1:9" x14ac:dyDescent="0.3">
      <c r="A22" s="1">
        <v>2</v>
      </c>
      <c r="B22" s="1">
        <v>0</v>
      </c>
      <c r="C22" s="1" t="s">
        <v>2</v>
      </c>
      <c r="D22" s="1" t="s">
        <v>0</v>
      </c>
      <c r="E22" s="1">
        <v>25</v>
      </c>
      <c r="F22" s="1" t="s">
        <v>1</v>
      </c>
      <c r="G22" s="1" t="s">
        <v>0</v>
      </c>
      <c r="H22" s="1">
        <v>56</v>
      </c>
      <c r="I22" s="1">
        <v>1</v>
      </c>
    </row>
    <row r="23" spans="1:9" x14ac:dyDescent="0.3">
      <c r="A23" s="1">
        <v>2</v>
      </c>
      <c r="B23" s="1">
        <v>0</v>
      </c>
      <c r="C23" s="1" t="s">
        <v>2</v>
      </c>
      <c r="D23" s="1" t="s">
        <v>0</v>
      </c>
      <c r="E23" s="1">
        <v>0</v>
      </c>
      <c r="F23" s="1" t="s">
        <v>1</v>
      </c>
      <c r="G23" s="1" t="s">
        <v>0</v>
      </c>
      <c r="H23" s="1">
        <v>58</v>
      </c>
      <c r="I23" s="1">
        <v>1</v>
      </c>
    </row>
    <row r="24" spans="1:9" x14ac:dyDescent="0.3">
      <c r="A24" s="1">
        <v>2</v>
      </c>
      <c r="B24" s="1">
        <v>0</v>
      </c>
      <c r="C24" s="1" t="s">
        <v>2</v>
      </c>
      <c r="D24" s="1" t="s">
        <v>0</v>
      </c>
      <c r="E24" s="1">
        <v>0</v>
      </c>
      <c r="F24" s="1" t="s">
        <v>1</v>
      </c>
      <c r="G24" s="1" t="s">
        <v>0</v>
      </c>
      <c r="H24" s="1">
        <v>33</v>
      </c>
      <c r="I24" s="1">
        <v>1</v>
      </c>
    </row>
    <row r="25" spans="1:9" x14ac:dyDescent="0.3">
      <c r="A25" s="1">
        <v>2</v>
      </c>
      <c r="B25" s="1">
        <v>0</v>
      </c>
      <c r="C25" s="1" t="s">
        <v>2</v>
      </c>
      <c r="D25" s="1" t="s">
        <v>0</v>
      </c>
      <c r="E25" s="1">
        <v>25</v>
      </c>
      <c r="F25" s="1" t="s">
        <v>1</v>
      </c>
      <c r="G25" s="1" t="s">
        <v>0</v>
      </c>
      <c r="H25" s="1">
        <v>23</v>
      </c>
      <c r="I25" s="1">
        <v>0</v>
      </c>
    </row>
    <row r="26" spans="1:9" x14ac:dyDescent="0.3">
      <c r="A26" s="1">
        <v>2</v>
      </c>
      <c r="B26" s="1">
        <v>0</v>
      </c>
      <c r="C26" s="1" t="s">
        <v>2</v>
      </c>
      <c r="D26" s="1" t="s">
        <v>0</v>
      </c>
      <c r="E26" s="1">
        <v>20</v>
      </c>
      <c r="F26" s="1" t="s">
        <v>1</v>
      </c>
      <c r="G26" s="1" t="s">
        <v>0</v>
      </c>
      <c r="H26" s="1">
        <v>39</v>
      </c>
      <c r="I26" s="1">
        <v>1</v>
      </c>
    </row>
    <row r="27" spans="1:9" x14ac:dyDescent="0.3">
      <c r="A27" s="1">
        <v>2</v>
      </c>
      <c r="B27" s="1">
        <v>0</v>
      </c>
      <c r="C27" s="1" t="s">
        <v>2</v>
      </c>
      <c r="D27" s="1" t="s">
        <v>0</v>
      </c>
      <c r="E27" s="1">
        <v>26</v>
      </c>
      <c r="F27" s="1" t="s">
        <v>1</v>
      </c>
      <c r="G27" s="1" t="s">
        <v>0</v>
      </c>
      <c r="H27" s="1">
        <v>22</v>
      </c>
      <c r="I27" s="1">
        <v>0</v>
      </c>
    </row>
    <row r="28" spans="1:9" x14ac:dyDescent="0.3">
      <c r="A28" s="1">
        <v>2</v>
      </c>
      <c r="B28" s="1">
        <v>0</v>
      </c>
      <c r="C28" s="1" t="s">
        <v>2</v>
      </c>
      <c r="D28" s="1" t="s">
        <v>0</v>
      </c>
      <c r="E28" s="1">
        <v>5</v>
      </c>
      <c r="F28" s="1" t="s">
        <v>1</v>
      </c>
      <c r="G28" s="1" t="s">
        <v>0</v>
      </c>
      <c r="H28" s="1">
        <v>39</v>
      </c>
      <c r="I28" s="1">
        <v>1</v>
      </c>
    </row>
    <row r="29" spans="1:9" x14ac:dyDescent="0.3">
      <c r="A29" s="1">
        <v>2</v>
      </c>
      <c r="B29" s="1">
        <v>0</v>
      </c>
      <c r="C29" s="1" t="s">
        <v>2</v>
      </c>
      <c r="D29" s="1" t="s">
        <v>0</v>
      </c>
      <c r="E29" s="1">
        <v>2</v>
      </c>
      <c r="F29" s="1" t="s">
        <v>1</v>
      </c>
      <c r="G29" s="1" t="s">
        <v>0</v>
      </c>
      <c r="H29" s="1">
        <v>19</v>
      </c>
      <c r="I29" s="1">
        <v>1</v>
      </c>
    </row>
    <row r="30" spans="1:9" x14ac:dyDescent="0.3">
      <c r="A30" s="1">
        <v>2</v>
      </c>
      <c r="B30" s="1">
        <v>0</v>
      </c>
      <c r="C30" s="1" t="s">
        <v>2</v>
      </c>
      <c r="D30" s="1" t="s">
        <v>0</v>
      </c>
      <c r="E30" s="1">
        <v>14</v>
      </c>
      <c r="F30" s="1" t="s">
        <v>1</v>
      </c>
      <c r="G30" s="1" t="s">
        <v>0</v>
      </c>
      <c r="H30" s="1">
        <v>42</v>
      </c>
      <c r="I30" s="1">
        <v>1</v>
      </c>
    </row>
    <row r="31" spans="1:9" x14ac:dyDescent="0.3">
      <c r="A31" s="1">
        <v>2</v>
      </c>
      <c r="B31" s="1">
        <v>0</v>
      </c>
      <c r="C31" s="1" t="s">
        <v>2</v>
      </c>
      <c r="D31" s="1" t="s">
        <v>0</v>
      </c>
      <c r="E31" s="1">
        <v>50</v>
      </c>
      <c r="F31" s="1" t="s">
        <v>1</v>
      </c>
      <c r="G31" s="1" t="s">
        <v>0</v>
      </c>
      <c r="H31" s="1">
        <v>26</v>
      </c>
      <c r="I31" s="1">
        <v>0</v>
      </c>
    </row>
    <row r="32" spans="1:9" x14ac:dyDescent="0.3">
      <c r="A32" s="1">
        <v>2</v>
      </c>
      <c r="B32" s="1">
        <v>0</v>
      </c>
      <c r="C32" s="1" t="s">
        <v>2</v>
      </c>
      <c r="D32" s="1" t="s">
        <v>0</v>
      </c>
      <c r="E32" s="1">
        <v>34</v>
      </c>
      <c r="F32" s="1" t="s">
        <v>1</v>
      </c>
      <c r="G32" s="1" t="s">
        <v>0</v>
      </c>
      <c r="H32" s="1">
        <v>2</v>
      </c>
      <c r="I32" s="1">
        <v>0</v>
      </c>
    </row>
    <row r="33" spans="1:9" x14ac:dyDescent="0.3">
      <c r="A33" s="1">
        <v>2</v>
      </c>
      <c r="B33" s="1">
        <v>0</v>
      </c>
      <c r="C33" s="1" t="s">
        <v>2</v>
      </c>
      <c r="D33" s="1" t="s">
        <v>0</v>
      </c>
      <c r="E33" s="1">
        <v>45</v>
      </c>
      <c r="F33" s="1" t="s">
        <v>1</v>
      </c>
      <c r="G33" s="1" t="s">
        <v>0</v>
      </c>
      <c r="H33" s="1">
        <v>14</v>
      </c>
      <c r="I33" s="1">
        <v>0</v>
      </c>
    </row>
    <row r="34" spans="1:9" x14ac:dyDescent="0.3">
      <c r="A34" s="1">
        <v>2</v>
      </c>
      <c r="B34" s="1">
        <v>0</v>
      </c>
      <c r="C34" s="1" t="s">
        <v>2</v>
      </c>
      <c r="D34" s="1" t="s">
        <v>0</v>
      </c>
      <c r="E34" s="1">
        <v>0</v>
      </c>
      <c r="F34" s="1" t="s">
        <v>1</v>
      </c>
      <c r="G34" s="1" t="s">
        <v>0</v>
      </c>
      <c r="H34" s="1">
        <v>41</v>
      </c>
      <c r="I34" s="1">
        <v>1</v>
      </c>
    </row>
    <row r="35" spans="1:9" x14ac:dyDescent="0.3">
      <c r="A35" s="1">
        <v>2</v>
      </c>
      <c r="B35" s="1">
        <v>0</v>
      </c>
      <c r="C35" s="1" t="s">
        <v>2</v>
      </c>
      <c r="D35" s="1" t="s">
        <v>0</v>
      </c>
      <c r="E35" s="1">
        <v>23</v>
      </c>
      <c r="F35" s="1" t="s">
        <v>1</v>
      </c>
      <c r="G35" s="1" t="s">
        <v>0</v>
      </c>
      <c r="H35" s="1">
        <v>31</v>
      </c>
      <c r="I35" s="1">
        <v>1</v>
      </c>
    </row>
    <row r="36" spans="1:9" x14ac:dyDescent="0.3">
      <c r="A36" s="1">
        <v>2</v>
      </c>
      <c r="B36" s="1">
        <v>0</v>
      </c>
      <c r="C36" s="1" t="s">
        <v>2</v>
      </c>
      <c r="D36" s="1" t="s">
        <v>0</v>
      </c>
      <c r="E36" s="1">
        <v>12</v>
      </c>
      <c r="F36" s="1" t="s">
        <v>1</v>
      </c>
      <c r="G36" s="1" t="s">
        <v>0</v>
      </c>
      <c r="H36" s="1">
        <v>1</v>
      </c>
      <c r="I36" s="1">
        <v>0</v>
      </c>
    </row>
    <row r="37" spans="1:9" x14ac:dyDescent="0.3">
      <c r="A37" s="1">
        <v>2</v>
      </c>
      <c r="B37" s="1">
        <v>0</v>
      </c>
      <c r="C37" s="1" t="s">
        <v>2</v>
      </c>
      <c r="D37" s="1" t="s">
        <v>0</v>
      </c>
      <c r="E37" s="1">
        <v>13</v>
      </c>
      <c r="F37" s="1" t="s">
        <v>1</v>
      </c>
      <c r="G37" s="1" t="s">
        <v>0</v>
      </c>
      <c r="H37" s="1">
        <v>19</v>
      </c>
      <c r="I37" s="1">
        <v>1</v>
      </c>
    </row>
    <row r="38" spans="1:9" x14ac:dyDescent="0.3">
      <c r="A38" s="1">
        <v>2</v>
      </c>
      <c r="B38" s="1">
        <v>0</v>
      </c>
      <c r="C38" s="1" t="s">
        <v>2</v>
      </c>
      <c r="D38" s="1" t="s">
        <v>0</v>
      </c>
      <c r="E38" s="1">
        <v>25</v>
      </c>
      <c r="F38" s="1" t="s">
        <v>1</v>
      </c>
      <c r="G38" s="1" t="s">
        <v>0</v>
      </c>
      <c r="H38" s="1">
        <v>14</v>
      </c>
      <c r="I38" s="1">
        <v>0</v>
      </c>
    </row>
    <row r="39" spans="1:9" x14ac:dyDescent="0.3">
      <c r="A39" s="1">
        <v>2</v>
      </c>
      <c r="B39" s="1">
        <v>0</v>
      </c>
      <c r="C39" s="1" t="s">
        <v>2</v>
      </c>
      <c r="D39" s="1" t="s">
        <v>0</v>
      </c>
      <c r="E39" s="1">
        <v>36</v>
      </c>
      <c r="F39" s="1" t="s">
        <v>1</v>
      </c>
      <c r="G39" s="1" t="s">
        <v>0</v>
      </c>
      <c r="H39" s="1">
        <v>45</v>
      </c>
      <c r="I39" s="1">
        <v>1</v>
      </c>
    </row>
    <row r="40" spans="1:9" x14ac:dyDescent="0.3">
      <c r="A40" s="1">
        <v>2</v>
      </c>
      <c r="B40" s="1">
        <v>0</v>
      </c>
      <c r="C40" s="1" t="s">
        <v>2</v>
      </c>
      <c r="D40" s="1" t="s">
        <v>0</v>
      </c>
      <c r="E40" s="1">
        <v>31</v>
      </c>
      <c r="F40" s="1" t="s">
        <v>1</v>
      </c>
      <c r="G40" s="1" t="s">
        <v>0</v>
      </c>
      <c r="H40" s="1">
        <v>20</v>
      </c>
      <c r="I40" s="1">
        <v>0</v>
      </c>
    </row>
    <row r="41" spans="1:9" x14ac:dyDescent="0.3">
      <c r="A41" s="1">
        <v>2</v>
      </c>
      <c r="B41" s="1">
        <v>0</v>
      </c>
      <c r="C41" s="1" t="s">
        <v>2</v>
      </c>
      <c r="D41" s="1" t="s">
        <v>0</v>
      </c>
      <c r="E41" s="1">
        <v>17</v>
      </c>
      <c r="F41" s="1" t="s">
        <v>1</v>
      </c>
      <c r="G41" s="1" t="s">
        <v>0</v>
      </c>
      <c r="H41" s="1">
        <v>25</v>
      </c>
      <c r="I41" s="1">
        <v>1</v>
      </c>
    </row>
    <row r="42" spans="1:9" x14ac:dyDescent="0.3">
      <c r="A42" s="1">
        <v>2</v>
      </c>
      <c r="B42" s="1">
        <v>0</v>
      </c>
      <c r="C42" s="1" t="s">
        <v>2</v>
      </c>
      <c r="D42" s="1" t="s">
        <v>0</v>
      </c>
      <c r="E42" s="1">
        <v>3</v>
      </c>
      <c r="F42" s="1" t="s">
        <v>1</v>
      </c>
      <c r="G42" s="1" t="s">
        <v>0</v>
      </c>
      <c r="H42" s="1">
        <v>45</v>
      </c>
      <c r="I42" s="1">
        <v>1</v>
      </c>
    </row>
    <row r="43" spans="1:9" x14ac:dyDescent="0.3">
      <c r="A43" s="1">
        <v>2</v>
      </c>
      <c r="B43" s="1">
        <v>0</v>
      </c>
      <c r="C43" s="1" t="s">
        <v>2</v>
      </c>
      <c r="D43" s="1" t="s">
        <v>0</v>
      </c>
      <c r="E43" s="1">
        <v>28</v>
      </c>
      <c r="F43" s="1" t="s">
        <v>1</v>
      </c>
      <c r="G43" s="1" t="s">
        <v>0</v>
      </c>
      <c r="H43" s="1">
        <v>2</v>
      </c>
      <c r="I43" s="1">
        <v>0</v>
      </c>
    </row>
    <row r="44" spans="1:9" x14ac:dyDescent="0.3">
      <c r="A44" s="1">
        <v>2</v>
      </c>
      <c r="B44" s="1">
        <v>0</v>
      </c>
      <c r="C44" s="1" t="s">
        <v>2</v>
      </c>
      <c r="D44" s="1" t="s">
        <v>0</v>
      </c>
      <c r="E44" s="1">
        <v>0</v>
      </c>
      <c r="F44" s="1" t="s">
        <v>1</v>
      </c>
      <c r="G44" s="1" t="s">
        <v>0</v>
      </c>
      <c r="H44" s="1">
        <v>42</v>
      </c>
      <c r="I44" s="1">
        <v>1</v>
      </c>
    </row>
    <row r="45" spans="1:9" x14ac:dyDescent="0.3">
      <c r="A45" s="1">
        <v>2</v>
      </c>
      <c r="B45" s="1">
        <v>0</v>
      </c>
      <c r="C45" s="1" t="s">
        <v>2</v>
      </c>
      <c r="D45" s="1" t="s">
        <v>0</v>
      </c>
      <c r="E45" s="1">
        <v>7</v>
      </c>
      <c r="F45" s="1" t="s">
        <v>1</v>
      </c>
      <c r="G45" s="1" t="s">
        <v>0</v>
      </c>
      <c r="H45" s="1">
        <v>34</v>
      </c>
      <c r="I45" s="1">
        <v>1</v>
      </c>
    </row>
    <row r="46" spans="1:9" x14ac:dyDescent="0.3">
      <c r="A46" s="1">
        <v>2</v>
      </c>
      <c r="B46" s="1">
        <v>0</v>
      </c>
      <c r="C46" s="1" t="s">
        <v>2</v>
      </c>
      <c r="D46" s="1" t="s">
        <v>0</v>
      </c>
      <c r="E46" s="1">
        <v>16</v>
      </c>
      <c r="F46" s="1" t="s">
        <v>1</v>
      </c>
      <c r="G46" s="1" t="s">
        <v>0</v>
      </c>
      <c r="H46" s="1">
        <v>11</v>
      </c>
      <c r="I46" s="1">
        <v>0</v>
      </c>
    </row>
    <row r="47" spans="1:9" x14ac:dyDescent="0.3">
      <c r="A47" s="1">
        <v>2</v>
      </c>
      <c r="B47" s="1">
        <v>0</v>
      </c>
      <c r="C47" s="1" t="s">
        <v>2</v>
      </c>
      <c r="D47" s="1" t="s">
        <v>0</v>
      </c>
      <c r="E47" s="1">
        <v>29</v>
      </c>
      <c r="F47" s="1" t="s">
        <v>1</v>
      </c>
      <c r="G47" s="1" t="s">
        <v>0</v>
      </c>
      <c r="H47" s="1">
        <v>37</v>
      </c>
      <c r="I47" s="1">
        <v>1</v>
      </c>
    </row>
    <row r="48" spans="1:9" x14ac:dyDescent="0.3">
      <c r="A48" s="1">
        <v>2</v>
      </c>
      <c r="B48" s="1">
        <v>0</v>
      </c>
      <c r="C48" s="1" t="s">
        <v>2</v>
      </c>
      <c r="D48" s="1" t="s">
        <v>0</v>
      </c>
      <c r="E48" s="1">
        <v>8</v>
      </c>
      <c r="F48" s="1" t="s">
        <v>1</v>
      </c>
      <c r="G48" s="1" t="s">
        <v>0</v>
      </c>
      <c r="H48" s="1">
        <v>42</v>
      </c>
      <c r="I48" s="1">
        <v>1</v>
      </c>
    </row>
    <row r="49" spans="1:9" x14ac:dyDescent="0.3">
      <c r="A49" s="1">
        <v>2</v>
      </c>
      <c r="B49" s="1">
        <v>0</v>
      </c>
      <c r="C49" s="1" t="s">
        <v>2</v>
      </c>
      <c r="D49" s="1" t="s">
        <v>0</v>
      </c>
      <c r="E49" s="1">
        <v>21</v>
      </c>
      <c r="F49" s="1" t="s">
        <v>1</v>
      </c>
      <c r="G49" s="1" t="s">
        <v>0</v>
      </c>
      <c r="H49" s="1">
        <v>16</v>
      </c>
      <c r="I49" s="1">
        <v>0</v>
      </c>
    </row>
    <row r="50" spans="1:9" x14ac:dyDescent="0.3">
      <c r="A50" s="1">
        <v>2</v>
      </c>
      <c r="B50" s="1">
        <v>0</v>
      </c>
      <c r="C50" s="1" t="s">
        <v>2</v>
      </c>
      <c r="D50" s="1" t="s">
        <v>0</v>
      </c>
      <c r="E50" s="1">
        <v>17</v>
      </c>
      <c r="F50" s="1" t="s">
        <v>1</v>
      </c>
      <c r="G50" s="1" t="s">
        <v>0</v>
      </c>
      <c r="H50" s="1">
        <v>4</v>
      </c>
      <c r="I50" s="1">
        <v>0</v>
      </c>
    </row>
    <row r="51" spans="1:9" x14ac:dyDescent="0.3">
      <c r="A51" s="1">
        <v>2</v>
      </c>
      <c r="B51" s="1">
        <v>1</v>
      </c>
      <c r="C51" s="1" t="s">
        <v>2</v>
      </c>
      <c r="D51" s="1" t="s">
        <v>0</v>
      </c>
      <c r="E51" s="1">
        <v>19</v>
      </c>
      <c r="F51" s="1" t="s">
        <v>1</v>
      </c>
      <c r="G51" s="1" t="s">
        <v>0</v>
      </c>
      <c r="H51" s="1">
        <v>19</v>
      </c>
      <c r="I51" s="1">
        <v>0</v>
      </c>
    </row>
    <row r="52" spans="1:9" x14ac:dyDescent="0.3">
      <c r="A52" s="1">
        <v>2</v>
      </c>
      <c r="B52" s="1">
        <v>1</v>
      </c>
      <c r="C52" s="1" t="s">
        <v>2</v>
      </c>
      <c r="D52" s="1" t="s">
        <v>0</v>
      </c>
      <c r="E52" s="1">
        <v>11</v>
      </c>
      <c r="F52" s="1" t="s">
        <v>1</v>
      </c>
      <c r="G52" s="1" t="s">
        <v>0</v>
      </c>
      <c r="H52" s="1">
        <v>39</v>
      </c>
      <c r="I52" s="1">
        <v>1</v>
      </c>
    </row>
    <row r="53" spans="1:9" x14ac:dyDescent="0.3">
      <c r="A53" s="1">
        <v>2</v>
      </c>
      <c r="B53" s="1">
        <v>1</v>
      </c>
      <c r="C53" s="1" t="s">
        <v>2</v>
      </c>
      <c r="D53" s="1" t="s">
        <v>0</v>
      </c>
      <c r="E53" s="1">
        <v>21</v>
      </c>
      <c r="F53" s="1" t="s">
        <v>1</v>
      </c>
      <c r="G53" s="1" t="s">
        <v>0</v>
      </c>
      <c r="H53" s="1">
        <v>46</v>
      </c>
      <c r="I53" s="1">
        <v>1</v>
      </c>
    </row>
    <row r="54" spans="1:9" x14ac:dyDescent="0.3">
      <c r="A54" s="1">
        <v>2</v>
      </c>
      <c r="B54" s="1">
        <v>1</v>
      </c>
      <c r="C54" s="1" t="s">
        <v>2</v>
      </c>
      <c r="D54" s="1" t="s">
        <v>0</v>
      </c>
      <c r="E54" s="1">
        <v>25</v>
      </c>
      <c r="F54" s="1" t="s">
        <v>1</v>
      </c>
      <c r="G54" s="1" t="s">
        <v>0</v>
      </c>
      <c r="H54" s="1">
        <v>34</v>
      </c>
      <c r="I54" s="1">
        <v>1</v>
      </c>
    </row>
    <row r="55" spans="1:9" x14ac:dyDescent="0.3">
      <c r="A55" s="1">
        <v>2</v>
      </c>
      <c r="B55" s="1">
        <v>1</v>
      </c>
      <c r="C55" s="1" t="s">
        <v>2</v>
      </c>
      <c r="D55" s="1" t="s">
        <v>0</v>
      </c>
      <c r="E55" s="1">
        <v>38</v>
      </c>
      <c r="F55" s="1" t="s">
        <v>1</v>
      </c>
      <c r="G55" s="1" t="s">
        <v>0</v>
      </c>
      <c r="H55" s="1">
        <v>0</v>
      </c>
      <c r="I55" s="1">
        <v>0</v>
      </c>
    </row>
    <row r="56" spans="1:9" x14ac:dyDescent="0.3">
      <c r="A56" s="1">
        <v>2</v>
      </c>
      <c r="B56" s="1">
        <v>1</v>
      </c>
      <c r="C56" s="1" t="s">
        <v>2</v>
      </c>
      <c r="D56" s="1" t="s">
        <v>0</v>
      </c>
      <c r="E56" s="1">
        <v>26</v>
      </c>
      <c r="F56" s="1" t="s">
        <v>1</v>
      </c>
      <c r="G56" s="1" t="s">
        <v>0</v>
      </c>
      <c r="H56" s="1">
        <v>21</v>
      </c>
      <c r="I56" s="1">
        <v>0</v>
      </c>
    </row>
    <row r="57" spans="1:9" x14ac:dyDescent="0.3">
      <c r="A57" s="1">
        <v>2</v>
      </c>
      <c r="B57" s="1">
        <v>1</v>
      </c>
      <c r="C57" s="1" t="s">
        <v>2</v>
      </c>
      <c r="D57" s="1" t="s">
        <v>0</v>
      </c>
      <c r="E57" s="1">
        <v>6</v>
      </c>
      <c r="F57" s="1" t="s">
        <v>1</v>
      </c>
      <c r="G57" s="1" t="s">
        <v>0</v>
      </c>
      <c r="H57" s="1">
        <v>33</v>
      </c>
      <c r="I57" s="1">
        <v>1</v>
      </c>
    </row>
    <row r="58" spans="1:9" x14ac:dyDescent="0.3">
      <c r="A58" s="1">
        <v>2</v>
      </c>
      <c r="B58" s="1">
        <v>1</v>
      </c>
      <c r="C58" s="1" t="s">
        <v>2</v>
      </c>
      <c r="D58" s="1" t="s">
        <v>0</v>
      </c>
      <c r="E58" s="1">
        <v>22</v>
      </c>
      <c r="F58" s="1" t="s">
        <v>1</v>
      </c>
      <c r="G58" s="1" t="s">
        <v>0</v>
      </c>
      <c r="H58" s="1">
        <v>2</v>
      </c>
      <c r="I58" s="1">
        <v>0</v>
      </c>
    </row>
    <row r="59" spans="1:9" x14ac:dyDescent="0.3">
      <c r="A59" s="1">
        <v>2</v>
      </c>
      <c r="B59" s="1">
        <v>1</v>
      </c>
      <c r="C59" s="1" t="s">
        <v>2</v>
      </c>
      <c r="D59" s="1" t="s">
        <v>0</v>
      </c>
      <c r="E59" s="1">
        <v>27</v>
      </c>
      <c r="F59" s="1" t="s">
        <v>1</v>
      </c>
      <c r="G59" s="1" t="s">
        <v>0</v>
      </c>
      <c r="H59" s="1">
        <v>31</v>
      </c>
      <c r="I59" s="1">
        <v>1</v>
      </c>
    </row>
    <row r="60" spans="1:9" x14ac:dyDescent="0.3">
      <c r="A60" s="1">
        <v>2</v>
      </c>
      <c r="B60" s="1">
        <v>1</v>
      </c>
      <c r="C60" s="1" t="s">
        <v>2</v>
      </c>
      <c r="D60" s="1" t="s">
        <v>0</v>
      </c>
      <c r="E60" s="1">
        <v>7</v>
      </c>
      <c r="F60" s="1" t="s">
        <v>1</v>
      </c>
      <c r="G60" s="1" t="s">
        <v>0</v>
      </c>
      <c r="H60" s="1">
        <v>102</v>
      </c>
      <c r="I60" s="1">
        <v>1</v>
      </c>
    </row>
    <row r="61" spans="1:9" x14ac:dyDescent="0.3">
      <c r="A61" s="1">
        <v>2</v>
      </c>
      <c r="B61" s="1">
        <v>1</v>
      </c>
      <c r="C61" s="1" t="s">
        <v>2</v>
      </c>
      <c r="D61" s="1" t="s">
        <v>0</v>
      </c>
      <c r="E61" s="1">
        <v>0</v>
      </c>
      <c r="F61" s="1" t="s">
        <v>1</v>
      </c>
      <c r="G61" s="1" t="s">
        <v>0</v>
      </c>
      <c r="H61" s="1">
        <v>85</v>
      </c>
      <c r="I61" s="1">
        <v>1</v>
      </c>
    </row>
    <row r="62" spans="1:9" x14ac:dyDescent="0.3">
      <c r="A62" s="1">
        <v>2</v>
      </c>
      <c r="B62" s="1">
        <v>1</v>
      </c>
      <c r="C62" s="1" t="s">
        <v>2</v>
      </c>
      <c r="D62" s="1" t="s">
        <v>0</v>
      </c>
      <c r="E62" s="1">
        <v>22</v>
      </c>
      <c r="F62" s="1" t="s">
        <v>1</v>
      </c>
      <c r="G62" s="1" t="s">
        <v>0</v>
      </c>
      <c r="H62" s="1">
        <v>2</v>
      </c>
      <c r="I62" s="1">
        <v>0</v>
      </c>
    </row>
    <row r="63" spans="1:9" x14ac:dyDescent="0.3">
      <c r="A63" s="1">
        <v>2</v>
      </c>
      <c r="B63" s="1">
        <v>1</v>
      </c>
      <c r="C63" s="1" t="s">
        <v>2</v>
      </c>
      <c r="D63" s="1" t="s">
        <v>0</v>
      </c>
      <c r="E63" s="1">
        <v>2</v>
      </c>
      <c r="F63" s="1" t="s">
        <v>1</v>
      </c>
      <c r="G63" s="1" t="s">
        <v>0</v>
      </c>
      <c r="H63" s="1">
        <v>52</v>
      </c>
      <c r="I63" s="1">
        <v>1</v>
      </c>
    </row>
    <row r="64" spans="1:9" x14ac:dyDescent="0.3">
      <c r="A64" s="1">
        <v>2</v>
      </c>
      <c r="B64" s="1">
        <v>1</v>
      </c>
      <c r="C64" s="1" t="s">
        <v>2</v>
      </c>
      <c r="D64" s="1" t="s">
        <v>0</v>
      </c>
      <c r="E64" s="1">
        <v>28</v>
      </c>
      <c r="F64" s="1" t="s">
        <v>1</v>
      </c>
      <c r="G64" s="1" t="s">
        <v>0</v>
      </c>
      <c r="H64" s="1">
        <v>14</v>
      </c>
      <c r="I64" s="1">
        <v>0</v>
      </c>
    </row>
    <row r="65" spans="1:9" x14ac:dyDescent="0.3">
      <c r="A65" s="1">
        <v>2</v>
      </c>
      <c r="B65" s="1">
        <v>1</v>
      </c>
      <c r="C65" s="1" t="s">
        <v>2</v>
      </c>
      <c r="D65" s="1" t="s">
        <v>0</v>
      </c>
      <c r="E65" s="1">
        <v>12</v>
      </c>
      <c r="F65" s="1" t="s">
        <v>1</v>
      </c>
      <c r="G65" s="1" t="s">
        <v>0</v>
      </c>
      <c r="H65" s="1">
        <v>37</v>
      </c>
      <c r="I65" s="1">
        <v>1</v>
      </c>
    </row>
    <row r="66" spans="1:9" x14ac:dyDescent="0.3">
      <c r="A66" s="1">
        <v>2</v>
      </c>
      <c r="B66" s="1">
        <v>1</v>
      </c>
      <c r="C66" s="1" t="s">
        <v>2</v>
      </c>
      <c r="D66" s="1" t="s">
        <v>0</v>
      </c>
      <c r="E66" s="1">
        <v>40</v>
      </c>
      <c r="F66" s="1" t="s">
        <v>1</v>
      </c>
      <c r="G66" s="1" t="s">
        <v>0</v>
      </c>
      <c r="H66" s="1">
        <v>36</v>
      </c>
      <c r="I66" s="1">
        <v>0</v>
      </c>
    </row>
    <row r="67" spans="1:9" x14ac:dyDescent="0.3">
      <c r="A67" s="1">
        <v>2</v>
      </c>
      <c r="B67" s="1">
        <v>1</v>
      </c>
      <c r="C67" s="1" t="s">
        <v>2</v>
      </c>
      <c r="D67" s="1" t="s">
        <v>0</v>
      </c>
      <c r="E67" s="1">
        <v>6</v>
      </c>
      <c r="F67" s="1" t="s">
        <v>1</v>
      </c>
      <c r="G67" s="1" t="s">
        <v>0</v>
      </c>
      <c r="H67" s="1">
        <v>14</v>
      </c>
      <c r="I67" s="1">
        <v>1</v>
      </c>
    </row>
    <row r="68" spans="1:9" x14ac:dyDescent="0.3">
      <c r="A68" s="1">
        <v>2</v>
      </c>
      <c r="B68" s="1">
        <v>1</v>
      </c>
      <c r="C68" s="1" t="s">
        <v>2</v>
      </c>
      <c r="D68" s="1" t="s">
        <v>0</v>
      </c>
      <c r="E68" s="1">
        <v>24</v>
      </c>
      <c r="F68" s="1" t="s">
        <v>1</v>
      </c>
      <c r="G68" s="1" t="s">
        <v>0</v>
      </c>
      <c r="H68" s="1">
        <v>0</v>
      </c>
      <c r="I68" s="1">
        <v>0</v>
      </c>
    </row>
    <row r="69" spans="1:9" x14ac:dyDescent="0.3">
      <c r="A69" s="1">
        <v>2</v>
      </c>
      <c r="B69" s="1">
        <v>1</v>
      </c>
      <c r="C69" s="1" t="s">
        <v>2</v>
      </c>
      <c r="D69" s="1" t="s">
        <v>0</v>
      </c>
      <c r="E69" s="1">
        <v>39</v>
      </c>
      <c r="F69" s="1" t="s">
        <v>1</v>
      </c>
      <c r="G69" s="1" t="s">
        <v>0</v>
      </c>
      <c r="H69" s="1">
        <v>47</v>
      </c>
      <c r="I69" s="1">
        <v>1</v>
      </c>
    </row>
    <row r="70" spans="1:9" x14ac:dyDescent="0.3">
      <c r="A70" s="1">
        <v>2</v>
      </c>
      <c r="B70" s="1">
        <v>1</v>
      </c>
      <c r="C70" s="1" t="s">
        <v>2</v>
      </c>
      <c r="D70" s="1" t="s">
        <v>0</v>
      </c>
      <c r="E70" s="1">
        <v>8</v>
      </c>
      <c r="F70" s="1" t="s">
        <v>1</v>
      </c>
      <c r="G70" s="1" t="s">
        <v>0</v>
      </c>
      <c r="H70" s="1">
        <v>23</v>
      </c>
      <c r="I70" s="1">
        <v>1</v>
      </c>
    </row>
    <row r="71" spans="1:9" x14ac:dyDescent="0.3">
      <c r="A71" s="1">
        <v>2</v>
      </c>
      <c r="B71" s="1">
        <v>1</v>
      </c>
      <c r="C71" s="1" t="s">
        <v>2</v>
      </c>
      <c r="D71" s="1" t="s">
        <v>0</v>
      </c>
      <c r="E71" s="1">
        <v>51</v>
      </c>
      <c r="F71" s="1" t="s">
        <v>1</v>
      </c>
      <c r="G71" s="1" t="s">
        <v>0</v>
      </c>
      <c r="H71" s="1">
        <v>15</v>
      </c>
      <c r="I71" s="1">
        <v>0</v>
      </c>
    </row>
    <row r="72" spans="1:9" x14ac:dyDescent="0.3">
      <c r="A72" s="1">
        <v>2</v>
      </c>
      <c r="B72" s="1">
        <v>1</v>
      </c>
      <c r="C72" s="1" t="s">
        <v>2</v>
      </c>
      <c r="D72" s="1" t="s">
        <v>0</v>
      </c>
      <c r="E72" s="1">
        <v>28</v>
      </c>
      <c r="F72" s="1" t="s">
        <v>1</v>
      </c>
      <c r="G72" s="1" t="s">
        <v>0</v>
      </c>
      <c r="H72" s="1">
        <v>12</v>
      </c>
      <c r="I72" s="1">
        <v>0</v>
      </c>
    </row>
    <row r="73" spans="1:9" x14ac:dyDescent="0.3">
      <c r="A73" s="1">
        <v>2</v>
      </c>
      <c r="B73" s="1">
        <v>1</v>
      </c>
      <c r="C73" s="1" t="s">
        <v>2</v>
      </c>
      <c r="D73" s="1" t="s">
        <v>0</v>
      </c>
      <c r="E73" s="1">
        <v>14</v>
      </c>
      <c r="F73" s="1" t="s">
        <v>1</v>
      </c>
      <c r="G73" s="1" t="s">
        <v>0</v>
      </c>
      <c r="H73" s="1">
        <v>40</v>
      </c>
      <c r="I73" s="1">
        <v>1</v>
      </c>
    </row>
    <row r="74" spans="1:9" x14ac:dyDescent="0.3">
      <c r="A74" s="1">
        <v>2</v>
      </c>
      <c r="B74" s="1">
        <v>1</v>
      </c>
      <c r="C74" s="1" t="s">
        <v>2</v>
      </c>
      <c r="D74" s="1" t="s">
        <v>0</v>
      </c>
      <c r="E74" s="1">
        <v>25</v>
      </c>
      <c r="F74" s="1" t="s">
        <v>1</v>
      </c>
      <c r="G74" s="1" t="s">
        <v>0</v>
      </c>
      <c r="H74" s="1">
        <v>30</v>
      </c>
      <c r="I74" s="1">
        <v>1</v>
      </c>
    </row>
    <row r="75" spans="1:9" x14ac:dyDescent="0.3">
      <c r="A75" s="1">
        <v>2</v>
      </c>
      <c r="B75" s="1">
        <v>1</v>
      </c>
      <c r="C75" s="1" t="s">
        <v>2</v>
      </c>
      <c r="D75" s="1" t="s">
        <v>0</v>
      </c>
      <c r="E75" s="1">
        <v>31</v>
      </c>
      <c r="F75" s="1" t="s">
        <v>1</v>
      </c>
      <c r="G75" s="1" t="s">
        <v>0</v>
      </c>
      <c r="H75" s="1">
        <v>26</v>
      </c>
      <c r="I75" s="1">
        <v>0</v>
      </c>
    </row>
    <row r="76" spans="1:9" x14ac:dyDescent="0.3">
      <c r="A76" s="1">
        <v>2</v>
      </c>
      <c r="B76" s="1">
        <v>1</v>
      </c>
      <c r="C76" s="1" t="s">
        <v>2</v>
      </c>
      <c r="D76" s="1" t="s">
        <v>0</v>
      </c>
      <c r="E76" s="1">
        <v>41</v>
      </c>
      <c r="F76" s="1" t="s">
        <v>1</v>
      </c>
      <c r="G76" s="1" t="s">
        <v>0</v>
      </c>
      <c r="H76" s="1">
        <v>24</v>
      </c>
      <c r="I76" s="1">
        <v>0</v>
      </c>
    </row>
    <row r="77" spans="1:9" x14ac:dyDescent="0.3">
      <c r="A77" s="1">
        <v>2</v>
      </c>
      <c r="B77" s="1">
        <v>1</v>
      </c>
      <c r="C77" s="1" t="s">
        <v>2</v>
      </c>
      <c r="D77" s="1" t="s">
        <v>0</v>
      </c>
      <c r="E77" s="1">
        <v>23</v>
      </c>
      <c r="F77" s="1" t="s">
        <v>1</v>
      </c>
      <c r="G77" s="1" t="s">
        <v>0</v>
      </c>
      <c r="H77" s="1">
        <v>25</v>
      </c>
      <c r="I77" s="1">
        <v>1</v>
      </c>
    </row>
    <row r="78" spans="1:9" x14ac:dyDescent="0.3">
      <c r="A78" s="1">
        <v>2</v>
      </c>
      <c r="B78" s="1">
        <v>1</v>
      </c>
      <c r="C78" s="1" t="s">
        <v>2</v>
      </c>
      <c r="D78" s="1" t="s">
        <v>0</v>
      </c>
      <c r="E78" s="1">
        <v>0</v>
      </c>
      <c r="F78" s="1" t="s">
        <v>1</v>
      </c>
      <c r="G78" s="1" t="s">
        <v>0</v>
      </c>
      <c r="H78" s="1">
        <v>49</v>
      </c>
      <c r="I78" s="1">
        <v>1</v>
      </c>
    </row>
    <row r="79" spans="1:9" x14ac:dyDescent="0.3">
      <c r="A79" s="1">
        <v>2</v>
      </c>
      <c r="B79" s="1">
        <v>1</v>
      </c>
      <c r="C79" s="1" t="s">
        <v>2</v>
      </c>
      <c r="D79" s="1" t="s">
        <v>0</v>
      </c>
      <c r="E79" s="1">
        <v>0</v>
      </c>
      <c r="F79" s="1" t="s">
        <v>1</v>
      </c>
      <c r="G79" s="1" t="s">
        <v>0</v>
      </c>
      <c r="H79" s="1">
        <v>57</v>
      </c>
      <c r="I79" s="1">
        <v>1</v>
      </c>
    </row>
    <row r="80" spans="1:9" x14ac:dyDescent="0.3">
      <c r="A80" s="1">
        <v>2</v>
      </c>
      <c r="B80" s="1">
        <v>1</v>
      </c>
      <c r="C80" s="1" t="s">
        <v>2</v>
      </c>
      <c r="D80" s="1" t="s">
        <v>0</v>
      </c>
      <c r="E80" s="1">
        <v>23</v>
      </c>
      <c r="F80" s="1" t="s">
        <v>1</v>
      </c>
      <c r="G80" s="1" t="s">
        <v>0</v>
      </c>
      <c r="H80" s="1">
        <v>26</v>
      </c>
      <c r="I80" s="1">
        <v>1</v>
      </c>
    </row>
    <row r="81" spans="1:9" x14ac:dyDescent="0.3">
      <c r="A81" s="1">
        <v>2</v>
      </c>
      <c r="B81" s="1">
        <v>1</v>
      </c>
      <c r="C81" s="1" t="s">
        <v>2</v>
      </c>
      <c r="D81" s="1" t="s">
        <v>0</v>
      </c>
      <c r="E81" s="1">
        <v>9</v>
      </c>
      <c r="F81" s="1" t="s">
        <v>1</v>
      </c>
      <c r="G81" s="1" t="s">
        <v>0</v>
      </c>
      <c r="H81" s="1">
        <v>33</v>
      </c>
      <c r="I81" s="1">
        <v>1</v>
      </c>
    </row>
    <row r="82" spans="1:9" x14ac:dyDescent="0.3">
      <c r="A82" s="1">
        <v>2</v>
      </c>
      <c r="B82" s="1">
        <v>1</v>
      </c>
      <c r="C82" s="1" t="s">
        <v>2</v>
      </c>
      <c r="D82" s="1" t="s">
        <v>0</v>
      </c>
      <c r="E82" s="1">
        <v>45</v>
      </c>
      <c r="F82" s="1" t="s">
        <v>1</v>
      </c>
      <c r="G82" s="1" t="s">
        <v>0</v>
      </c>
      <c r="H82" s="1">
        <v>44</v>
      </c>
      <c r="I82" s="1">
        <v>0</v>
      </c>
    </row>
    <row r="83" spans="1:9" x14ac:dyDescent="0.3">
      <c r="A83" s="1">
        <v>2</v>
      </c>
      <c r="B83" s="1">
        <v>1</v>
      </c>
      <c r="C83" s="1" t="s">
        <v>2</v>
      </c>
      <c r="D83" s="1" t="s">
        <v>0</v>
      </c>
      <c r="E83" s="1">
        <v>47</v>
      </c>
      <c r="F83" s="1" t="s">
        <v>1</v>
      </c>
      <c r="G83" s="1" t="s">
        <v>0</v>
      </c>
      <c r="H83" s="1">
        <v>0</v>
      </c>
      <c r="I83" s="1">
        <v>0</v>
      </c>
    </row>
    <row r="84" spans="1:9" x14ac:dyDescent="0.3">
      <c r="A84" s="1">
        <v>2</v>
      </c>
      <c r="B84" s="1">
        <v>1</v>
      </c>
      <c r="C84" s="1" t="s">
        <v>2</v>
      </c>
      <c r="D84" s="1" t="s">
        <v>0</v>
      </c>
      <c r="E84" s="1">
        <v>47</v>
      </c>
      <c r="F84" s="1" t="s">
        <v>1</v>
      </c>
      <c r="G84" s="1" t="s">
        <v>0</v>
      </c>
      <c r="H84" s="1">
        <v>4</v>
      </c>
      <c r="I84" s="1">
        <v>0</v>
      </c>
    </row>
    <row r="85" spans="1:9" x14ac:dyDescent="0.3">
      <c r="A85" s="1">
        <v>2</v>
      </c>
      <c r="B85" s="1">
        <v>1</v>
      </c>
      <c r="C85" s="1" t="s">
        <v>2</v>
      </c>
      <c r="D85" s="1" t="s">
        <v>0</v>
      </c>
      <c r="E85" s="1">
        <v>34</v>
      </c>
      <c r="F85" s="1" t="s">
        <v>1</v>
      </c>
      <c r="G85" s="1" t="s">
        <v>0</v>
      </c>
      <c r="H85" s="1">
        <v>8</v>
      </c>
      <c r="I85" s="1">
        <v>0</v>
      </c>
    </row>
    <row r="86" spans="1:9" x14ac:dyDescent="0.3">
      <c r="A86" s="1">
        <v>2</v>
      </c>
      <c r="B86" s="1">
        <v>1</v>
      </c>
      <c r="C86" s="1" t="s">
        <v>2</v>
      </c>
      <c r="D86" s="1" t="s">
        <v>0</v>
      </c>
      <c r="E86" s="1">
        <v>31</v>
      </c>
      <c r="F86" s="1" t="s">
        <v>1</v>
      </c>
      <c r="G86" s="1" t="s">
        <v>0</v>
      </c>
      <c r="H86" s="1">
        <v>32</v>
      </c>
      <c r="I86" s="1">
        <v>1</v>
      </c>
    </row>
    <row r="87" spans="1:9" x14ac:dyDescent="0.3">
      <c r="A87" s="1">
        <v>2</v>
      </c>
      <c r="B87" s="1">
        <v>1</v>
      </c>
      <c r="C87" s="1" t="s">
        <v>2</v>
      </c>
      <c r="D87" s="1" t="s">
        <v>0</v>
      </c>
      <c r="E87" s="1">
        <v>7</v>
      </c>
      <c r="F87" s="1" t="s">
        <v>1</v>
      </c>
      <c r="G87" s="1" t="s">
        <v>0</v>
      </c>
      <c r="H87" s="1">
        <v>53</v>
      </c>
      <c r="I87" s="1">
        <v>1</v>
      </c>
    </row>
    <row r="88" spans="1:9" x14ac:dyDescent="0.3">
      <c r="A88" s="1">
        <v>2</v>
      </c>
      <c r="B88" s="1">
        <v>1</v>
      </c>
      <c r="C88" s="1" t="s">
        <v>2</v>
      </c>
      <c r="D88" s="1" t="s">
        <v>0</v>
      </c>
      <c r="E88" s="1">
        <v>11</v>
      </c>
      <c r="F88" s="1" t="s">
        <v>1</v>
      </c>
      <c r="G88" s="1" t="s">
        <v>0</v>
      </c>
      <c r="H88" s="1">
        <v>40</v>
      </c>
      <c r="I88" s="1">
        <v>1</v>
      </c>
    </row>
    <row r="89" spans="1:9" x14ac:dyDescent="0.3">
      <c r="A89" s="1">
        <v>2</v>
      </c>
      <c r="B89" s="1">
        <v>1</v>
      </c>
      <c r="C89" s="1" t="s">
        <v>2</v>
      </c>
      <c r="D89" s="1" t="s">
        <v>0</v>
      </c>
      <c r="E89" s="1">
        <v>2</v>
      </c>
      <c r="F89" s="1" t="s">
        <v>1</v>
      </c>
      <c r="G89" s="1" t="s">
        <v>0</v>
      </c>
      <c r="H89" s="1">
        <v>35</v>
      </c>
      <c r="I89" s="1">
        <v>1</v>
      </c>
    </row>
    <row r="90" spans="1:9" x14ac:dyDescent="0.3">
      <c r="A90" s="1">
        <v>2</v>
      </c>
      <c r="B90" s="1">
        <v>1</v>
      </c>
      <c r="C90" s="1" t="s">
        <v>2</v>
      </c>
      <c r="D90" s="1" t="s">
        <v>0</v>
      </c>
      <c r="E90" s="1">
        <v>23</v>
      </c>
      <c r="F90" s="1" t="s">
        <v>1</v>
      </c>
      <c r="G90" s="1" t="s">
        <v>0</v>
      </c>
      <c r="H90" s="1">
        <v>41</v>
      </c>
      <c r="I90" s="1">
        <v>1</v>
      </c>
    </row>
    <row r="91" spans="1:9" x14ac:dyDescent="0.3">
      <c r="A91" s="1">
        <v>2</v>
      </c>
      <c r="B91" s="1">
        <v>1</v>
      </c>
      <c r="C91" s="1" t="s">
        <v>2</v>
      </c>
      <c r="D91" s="1" t="s">
        <v>0</v>
      </c>
      <c r="E91" s="1">
        <v>22</v>
      </c>
      <c r="F91" s="1" t="s">
        <v>1</v>
      </c>
      <c r="G91" s="1" t="s">
        <v>0</v>
      </c>
      <c r="H91" s="1">
        <v>17</v>
      </c>
      <c r="I91" s="1">
        <v>0</v>
      </c>
    </row>
    <row r="92" spans="1:9" x14ac:dyDescent="0.3">
      <c r="A92" s="1">
        <v>2</v>
      </c>
      <c r="B92" s="1">
        <v>1</v>
      </c>
      <c r="C92" s="1" t="s">
        <v>2</v>
      </c>
      <c r="D92" s="1" t="s">
        <v>0</v>
      </c>
      <c r="E92" s="1">
        <v>28</v>
      </c>
      <c r="F92" s="1" t="s">
        <v>1</v>
      </c>
      <c r="G92" s="1" t="s">
        <v>0</v>
      </c>
      <c r="H92" s="1">
        <v>5</v>
      </c>
      <c r="I92" s="1">
        <v>0</v>
      </c>
    </row>
    <row r="93" spans="1:9" x14ac:dyDescent="0.3">
      <c r="A93" s="1">
        <v>2</v>
      </c>
      <c r="B93" s="1">
        <v>1</v>
      </c>
      <c r="C93" s="1" t="s">
        <v>2</v>
      </c>
      <c r="D93" s="1" t="s">
        <v>0</v>
      </c>
      <c r="E93" s="1">
        <v>2</v>
      </c>
      <c r="F93" s="1" t="s">
        <v>1</v>
      </c>
      <c r="G93" s="1" t="s">
        <v>0</v>
      </c>
      <c r="H93" s="1">
        <v>44</v>
      </c>
      <c r="I93" s="1">
        <v>1</v>
      </c>
    </row>
    <row r="94" spans="1:9" x14ac:dyDescent="0.3">
      <c r="A94" s="1">
        <v>2</v>
      </c>
      <c r="B94" s="1">
        <v>1</v>
      </c>
      <c r="C94" s="1" t="s">
        <v>2</v>
      </c>
      <c r="D94" s="1" t="s">
        <v>0</v>
      </c>
      <c r="E94" s="1">
        <v>26</v>
      </c>
      <c r="F94" s="1" t="s">
        <v>1</v>
      </c>
      <c r="G94" s="1" t="s">
        <v>0</v>
      </c>
      <c r="H94" s="1">
        <v>40</v>
      </c>
      <c r="I94" s="1">
        <v>1</v>
      </c>
    </row>
    <row r="95" spans="1:9" x14ac:dyDescent="0.3">
      <c r="A95" s="1">
        <v>2</v>
      </c>
      <c r="B95" s="1">
        <v>1</v>
      </c>
      <c r="C95" s="1" t="s">
        <v>2</v>
      </c>
      <c r="D95" s="1" t="s">
        <v>0</v>
      </c>
      <c r="E95" s="1">
        <v>16</v>
      </c>
      <c r="F95" s="1" t="s">
        <v>1</v>
      </c>
      <c r="G95" s="1" t="s">
        <v>0</v>
      </c>
      <c r="H95" s="1">
        <v>20</v>
      </c>
      <c r="I95" s="1">
        <v>1</v>
      </c>
    </row>
    <row r="96" spans="1:9" x14ac:dyDescent="0.3">
      <c r="A96" s="1">
        <v>2</v>
      </c>
      <c r="B96" s="1">
        <v>1</v>
      </c>
      <c r="C96" s="1" t="s">
        <v>2</v>
      </c>
      <c r="D96" s="1" t="s">
        <v>0</v>
      </c>
      <c r="E96" s="1">
        <v>14</v>
      </c>
      <c r="F96" s="1" t="s">
        <v>1</v>
      </c>
      <c r="G96" s="1" t="s">
        <v>0</v>
      </c>
      <c r="H96" s="1">
        <v>12</v>
      </c>
      <c r="I96" s="1">
        <v>0</v>
      </c>
    </row>
    <row r="97" spans="1:9" x14ac:dyDescent="0.3">
      <c r="A97" s="1">
        <v>2</v>
      </c>
      <c r="B97" s="1">
        <v>1</v>
      </c>
      <c r="C97" s="1" t="s">
        <v>2</v>
      </c>
      <c r="D97" s="1" t="s">
        <v>0</v>
      </c>
      <c r="E97" s="1">
        <v>10</v>
      </c>
      <c r="F97" s="1" t="s">
        <v>1</v>
      </c>
      <c r="G97" s="1" t="s">
        <v>0</v>
      </c>
      <c r="H97" s="1">
        <v>21</v>
      </c>
      <c r="I97" s="1">
        <v>1</v>
      </c>
    </row>
    <row r="98" spans="1:9" x14ac:dyDescent="0.3">
      <c r="A98" s="1">
        <v>2</v>
      </c>
      <c r="B98" s="1">
        <v>1</v>
      </c>
      <c r="C98" s="1" t="s">
        <v>2</v>
      </c>
      <c r="D98" s="1" t="s">
        <v>0</v>
      </c>
      <c r="E98" s="1">
        <v>6</v>
      </c>
      <c r="F98" s="1" t="s">
        <v>1</v>
      </c>
      <c r="G98" s="1" t="s">
        <v>0</v>
      </c>
      <c r="H98" s="1">
        <v>38</v>
      </c>
      <c r="I98" s="1">
        <v>1</v>
      </c>
    </row>
    <row r="99" spans="1:9" x14ac:dyDescent="0.3">
      <c r="A99" s="1">
        <v>2</v>
      </c>
      <c r="B99" s="1">
        <v>1</v>
      </c>
      <c r="C99" s="1" t="s">
        <v>2</v>
      </c>
      <c r="D99" s="1" t="s">
        <v>0</v>
      </c>
      <c r="E99" s="1">
        <v>14</v>
      </c>
      <c r="F99" s="1" t="s">
        <v>1</v>
      </c>
      <c r="G99" s="1" t="s">
        <v>0</v>
      </c>
      <c r="H99" s="1">
        <v>13</v>
      </c>
      <c r="I99" s="1">
        <v>0</v>
      </c>
    </row>
    <row r="100" spans="1:9" x14ac:dyDescent="0.3">
      <c r="A100" s="1">
        <v>2</v>
      </c>
      <c r="B100" s="1">
        <v>1</v>
      </c>
      <c r="C100" s="1" t="s">
        <v>2</v>
      </c>
      <c r="D100" s="1" t="s">
        <v>0</v>
      </c>
      <c r="E100" s="1">
        <v>13</v>
      </c>
      <c r="F100" s="1" t="s">
        <v>1</v>
      </c>
      <c r="G100" s="1" t="s">
        <v>0</v>
      </c>
      <c r="H100" s="1">
        <v>33</v>
      </c>
      <c r="I100" s="1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E8D85-4C31-4371-8EE4-2FBADDA0A382}">
  <dimension ref="A1:T100"/>
  <sheetViews>
    <sheetView topLeftCell="K1" workbookViewId="0">
      <selection activeCell="T3" sqref="T3"/>
    </sheetView>
  </sheetViews>
  <sheetFormatPr defaultRowHeight="14.4" x14ac:dyDescent="0.3"/>
  <cols>
    <col min="1" max="16384" width="8.88671875" style="1"/>
  </cols>
  <sheetData>
    <row r="1" spans="1:20" x14ac:dyDescent="0.3">
      <c r="A1" s="1">
        <v>2</v>
      </c>
      <c r="B1" s="1">
        <v>0</v>
      </c>
      <c r="C1" s="1" t="s">
        <v>2</v>
      </c>
      <c r="D1" s="1" t="s">
        <v>0</v>
      </c>
      <c r="E1" s="1">
        <v>4</v>
      </c>
      <c r="F1" s="1" t="s">
        <v>1</v>
      </c>
      <c r="G1" s="1" t="s">
        <v>0</v>
      </c>
      <c r="H1" s="1">
        <v>23</v>
      </c>
      <c r="I1" s="1">
        <v>1</v>
      </c>
      <c r="K1" s="2"/>
      <c r="L1" s="3"/>
      <c r="M1" s="24" t="s">
        <v>3</v>
      </c>
      <c r="N1" s="24"/>
      <c r="O1" s="19" t="s">
        <v>4</v>
      </c>
      <c r="P1" s="19"/>
      <c r="Q1" s="19" t="s">
        <v>5</v>
      </c>
      <c r="R1" s="19"/>
    </row>
    <row r="2" spans="1:20" x14ac:dyDescent="0.3">
      <c r="A2" s="1">
        <v>2</v>
      </c>
      <c r="B2" s="1">
        <v>0</v>
      </c>
      <c r="C2" s="1" t="s">
        <v>2</v>
      </c>
      <c r="D2" s="1" t="s">
        <v>0</v>
      </c>
      <c r="E2" s="1">
        <v>5</v>
      </c>
      <c r="F2" s="1" t="s">
        <v>1</v>
      </c>
      <c r="G2" s="1" t="s">
        <v>0</v>
      </c>
      <c r="H2" s="1">
        <v>41</v>
      </c>
      <c r="I2" s="1">
        <v>1</v>
      </c>
      <c r="K2" s="4"/>
      <c r="L2" s="5"/>
      <c r="M2" s="24"/>
      <c r="N2" s="24"/>
      <c r="O2" s="19"/>
      <c r="P2" s="19"/>
      <c r="Q2" s="19"/>
      <c r="R2" s="19"/>
      <c r="T2" t="s">
        <v>15</v>
      </c>
    </row>
    <row r="3" spans="1:20" x14ac:dyDescent="0.3">
      <c r="A3" s="1">
        <v>2</v>
      </c>
      <c r="B3" s="1">
        <v>0</v>
      </c>
      <c r="C3" s="1" t="s">
        <v>2</v>
      </c>
      <c r="D3" s="1" t="s">
        <v>0</v>
      </c>
      <c r="E3" s="1">
        <v>5</v>
      </c>
      <c r="F3" s="1" t="s">
        <v>1</v>
      </c>
      <c r="G3" s="1" t="s">
        <v>0</v>
      </c>
      <c r="H3" s="1">
        <v>25</v>
      </c>
      <c r="I3" s="1">
        <v>1</v>
      </c>
      <c r="K3" s="19" t="s">
        <v>6</v>
      </c>
      <c r="L3" s="19"/>
      <c r="M3" s="20">
        <f>COUNTIF($I$1:$I$100, 0)</f>
        <v>40</v>
      </c>
      <c r="N3" s="20"/>
      <c r="O3" s="20">
        <f>COUNTIFS($I$1:$I$100, 0, $B$1:$B$100, 0)</f>
        <v>21</v>
      </c>
      <c r="P3" s="20"/>
      <c r="Q3" s="21">
        <f>COUNTIFS($I$1:$I$100, 0, $B$1:$B$100, 1)</f>
        <v>19</v>
      </c>
      <c r="R3" s="10"/>
      <c r="T3" cm="1">
        <f t="array" ref="T3">SUMPRODUCT(--($E$1:$E$100=$H$1:$H$100))</f>
        <v>2</v>
      </c>
    </row>
    <row r="4" spans="1:20" x14ac:dyDescent="0.3">
      <c r="A4" s="1">
        <v>2</v>
      </c>
      <c r="B4" s="1">
        <v>0</v>
      </c>
      <c r="C4" s="1" t="s">
        <v>2</v>
      </c>
      <c r="D4" s="1" t="s">
        <v>0</v>
      </c>
      <c r="E4" s="1">
        <v>36</v>
      </c>
      <c r="F4" s="1" t="s">
        <v>1</v>
      </c>
      <c r="G4" s="1" t="s">
        <v>0</v>
      </c>
      <c r="H4" s="1">
        <v>29</v>
      </c>
      <c r="I4" s="1">
        <v>0</v>
      </c>
      <c r="K4" s="19"/>
      <c r="L4" s="19"/>
      <c r="M4" s="20"/>
      <c r="N4" s="20"/>
      <c r="O4" s="20"/>
      <c r="P4" s="20"/>
      <c r="Q4" s="20"/>
      <c r="R4" s="12"/>
    </row>
    <row r="5" spans="1:20" x14ac:dyDescent="0.3">
      <c r="A5" s="1">
        <v>2</v>
      </c>
      <c r="B5" s="1">
        <v>0</v>
      </c>
      <c r="C5" s="1" t="s">
        <v>2</v>
      </c>
      <c r="D5" s="1" t="s">
        <v>0</v>
      </c>
      <c r="E5" s="1">
        <v>35</v>
      </c>
      <c r="F5" s="1" t="s">
        <v>1</v>
      </c>
      <c r="G5" s="1" t="s">
        <v>0</v>
      </c>
      <c r="H5" s="1">
        <v>13</v>
      </c>
      <c r="I5" s="1">
        <v>0</v>
      </c>
      <c r="K5" s="19" t="s">
        <v>7</v>
      </c>
      <c r="L5" s="19"/>
      <c r="M5" s="11">
        <f>COUNTIF($I$1:$I$100, 1)</f>
        <v>60</v>
      </c>
      <c r="N5" s="20"/>
      <c r="O5" s="20">
        <f>COUNTIFS($I$1:$I$100, 1, $B$1:$B$100, 0)</f>
        <v>29</v>
      </c>
      <c r="P5" s="20"/>
      <c r="Q5" s="20">
        <f>COUNTIFS($I$1:$I$100, 1, $B$1:$B$100, 1)</f>
        <v>31</v>
      </c>
      <c r="R5" s="12"/>
    </row>
    <row r="6" spans="1:20" x14ac:dyDescent="0.3">
      <c r="A6" s="1">
        <v>2</v>
      </c>
      <c r="B6" s="1">
        <v>0</v>
      </c>
      <c r="C6" s="1" t="s">
        <v>2</v>
      </c>
      <c r="D6" s="1" t="s">
        <v>0</v>
      </c>
      <c r="E6" s="1">
        <v>11</v>
      </c>
      <c r="F6" s="1" t="s">
        <v>1</v>
      </c>
      <c r="G6" s="1" t="s">
        <v>0</v>
      </c>
      <c r="H6" s="1">
        <v>32</v>
      </c>
      <c r="I6" s="1">
        <v>1</v>
      </c>
      <c r="K6" s="19"/>
      <c r="L6" s="19"/>
      <c r="M6" s="13"/>
      <c r="N6" s="22"/>
      <c r="O6" s="22"/>
      <c r="P6" s="22"/>
      <c r="Q6" s="22"/>
      <c r="R6" s="14"/>
    </row>
    <row r="7" spans="1:20" x14ac:dyDescent="0.3">
      <c r="A7" s="1">
        <v>2</v>
      </c>
      <c r="B7" s="1">
        <v>0</v>
      </c>
      <c r="C7" s="1" t="s">
        <v>2</v>
      </c>
      <c r="D7" s="1" t="s">
        <v>0</v>
      </c>
      <c r="E7" s="1">
        <v>14</v>
      </c>
      <c r="F7" s="1" t="s">
        <v>1</v>
      </c>
      <c r="G7" s="1" t="s">
        <v>0</v>
      </c>
      <c r="H7" s="1">
        <v>2</v>
      </c>
      <c r="I7" s="1">
        <v>0</v>
      </c>
      <c r="K7" s="6"/>
      <c r="L7" s="6"/>
      <c r="M7" s="6"/>
      <c r="N7" s="6"/>
      <c r="O7" s="6"/>
      <c r="P7" s="6"/>
      <c r="Q7" s="6"/>
      <c r="R7" s="6"/>
    </row>
    <row r="8" spans="1:20" x14ac:dyDescent="0.3">
      <c r="A8" s="1">
        <v>2</v>
      </c>
      <c r="B8" s="1">
        <v>0</v>
      </c>
      <c r="C8" s="1" t="s">
        <v>2</v>
      </c>
      <c r="D8" s="1" t="s">
        <v>0</v>
      </c>
      <c r="E8" s="1">
        <v>19</v>
      </c>
      <c r="F8" s="1" t="s">
        <v>1</v>
      </c>
      <c r="G8" s="1" t="s">
        <v>0</v>
      </c>
      <c r="H8" s="1">
        <v>17</v>
      </c>
      <c r="I8" s="1">
        <v>0</v>
      </c>
      <c r="K8" s="7"/>
      <c r="L8" s="8"/>
      <c r="M8" s="23" t="s">
        <v>3</v>
      </c>
      <c r="N8" s="23"/>
      <c r="O8" s="23" t="s">
        <v>8</v>
      </c>
      <c r="P8" s="23"/>
      <c r="Q8" s="23" t="s">
        <v>9</v>
      </c>
      <c r="R8" s="23"/>
    </row>
    <row r="9" spans="1:20" x14ac:dyDescent="0.3">
      <c r="A9" s="1">
        <v>2</v>
      </c>
      <c r="B9" s="1">
        <v>0</v>
      </c>
      <c r="C9" s="1" t="s">
        <v>2</v>
      </c>
      <c r="D9" s="1" t="s">
        <v>0</v>
      </c>
      <c r="E9" s="1">
        <v>0</v>
      </c>
      <c r="F9" s="1" t="s">
        <v>1</v>
      </c>
      <c r="G9" s="1" t="s">
        <v>0</v>
      </c>
      <c r="H9" s="1">
        <v>50</v>
      </c>
      <c r="I9" s="1">
        <v>1</v>
      </c>
      <c r="K9" s="4"/>
      <c r="L9" s="5"/>
      <c r="M9" s="23"/>
      <c r="N9" s="23"/>
      <c r="O9" s="23"/>
      <c r="P9" s="23"/>
      <c r="Q9" s="23"/>
      <c r="R9" s="23"/>
    </row>
    <row r="10" spans="1:20" x14ac:dyDescent="0.3">
      <c r="A10" s="1">
        <v>2</v>
      </c>
      <c r="B10" s="1">
        <v>0</v>
      </c>
      <c r="C10" s="1" t="s">
        <v>2</v>
      </c>
      <c r="D10" s="1" t="s">
        <v>0</v>
      </c>
      <c r="E10" s="1">
        <v>11</v>
      </c>
      <c r="F10" s="1" t="s">
        <v>1</v>
      </c>
      <c r="G10" s="1" t="s">
        <v>0</v>
      </c>
      <c r="H10" s="1">
        <v>29</v>
      </c>
      <c r="I10" s="1">
        <v>1</v>
      </c>
      <c r="K10" s="19" t="s">
        <v>10</v>
      </c>
      <c r="L10" s="19"/>
      <c r="M10" s="20">
        <f>AVERAGE($E$1:$E$100,)</f>
        <v>20.415841584158414</v>
      </c>
      <c r="N10" s="20"/>
      <c r="O10" s="20" cm="1">
        <f t="array" ref="O10">AVERAGE(_xlfn._xlws.FILTER($E$1:$E$100,$I$1:$I$100 = 0))</f>
        <v>35.024999999999999</v>
      </c>
      <c r="P10" s="20"/>
      <c r="Q10" s="21" cm="1">
        <f t="array" ref="Q10">AVERAGE(_xlfn._xlws.FILTER($E$1:$E$100,$I$1:$I$100 = 1))</f>
        <v>11.016666666666667</v>
      </c>
      <c r="R10" s="10"/>
    </row>
    <row r="11" spans="1:20" x14ac:dyDescent="0.3">
      <c r="A11" s="1">
        <v>2</v>
      </c>
      <c r="B11" s="1">
        <v>0</v>
      </c>
      <c r="C11" s="1" t="s">
        <v>2</v>
      </c>
      <c r="D11" s="1" t="s">
        <v>0</v>
      </c>
      <c r="E11" s="1">
        <v>62</v>
      </c>
      <c r="F11" s="1" t="s">
        <v>1</v>
      </c>
      <c r="G11" s="1" t="s">
        <v>0</v>
      </c>
      <c r="H11" s="1">
        <v>30</v>
      </c>
      <c r="I11" s="1">
        <v>0</v>
      </c>
      <c r="K11" s="19"/>
      <c r="L11" s="19"/>
      <c r="M11" s="20"/>
      <c r="N11" s="20"/>
      <c r="O11" s="20"/>
      <c r="P11" s="20"/>
      <c r="Q11" s="20"/>
      <c r="R11" s="12"/>
    </row>
    <row r="12" spans="1:20" x14ac:dyDescent="0.3">
      <c r="A12" s="1">
        <v>2</v>
      </c>
      <c r="B12" s="1">
        <v>0</v>
      </c>
      <c r="C12" s="1" t="s">
        <v>2</v>
      </c>
      <c r="D12" s="1" t="s">
        <v>0</v>
      </c>
      <c r="E12" s="1">
        <v>30</v>
      </c>
      <c r="F12" s="1" t="s">
        <v>1</v>
      </c>
      <c r="G12" s="1" t="s">
        <v>0</v>
      </c>
      <c r="H12" s="1">
        <v>19</v>
      </c>
      <c r="I12" s="1">
        <v>0</v>
      </c>
      <c r="K12" s="19" t="s">
        <v>11</v>
      </c>
      <c r="L12" s="19"/>
      <c r="M12" s="20">
        <f>AVERAGE($H$1:$H$100,)</f>
        <v>27.079207920792079</v>
      </c>
      <c r="N12" s="20"/>
      <c r="O12" s="20" cm="1">
        <f t="array" ref="O12">AVERAGE(_xlfn._xlws.FILTER($H$1:$H$100,$I$1:$I$100 = 0))</f>
        <v>16.725000000000001</v>
      </c>
      <c r="P12" s="20"/>
      <c r="Q12" s="20" cm="1">
        <f t="array" ref="Q12">AVERAGE(_xlfn._xlws.FILTER($H$1:$H$100,$I$1:$I$100 = 1))</f>
        <v>34.43333333333333</v>
      </c>
      <c r="R12" s="12"/>
    </row>
    <row r="13" spans="1:20" x14ac:dyDescent="0.3">
      <c r="A13" s="1">
        <v>2</v>
      </c>
      <c r="B13" s="1">
        <v>0</v>
      </c>
      <c r="C13" s="1" t="s">
        <v>2</v>
      </c>
      <c r="D13" s="1" t="s">
        <v>0</v>
      </c>
      <c r="E13" s="1">
        <v>1</v>
      </c>
      <c r="F13" s="1" t="s">
        <v>1</v>
      </c>
      <c r="G13" s="1" t="s">
        <v>0</v>
      </c>
      <c r="H13" s="1">
        <v>60</v>
      </c>
      <c r="I13" s="1">
        <v>1</v>
      </c>
      <c r="K13" s="19"/>
      <c r="L13" s="19"/>
      <c r="M13" s="20"/>
      <c r="N13" s="20"/>
      <c r="O13" s="20"/>
      <c r="P13" s="20"/>
      <c r="Q13" s="20"/>
      <c r="R13" s="12"/>
    </row>
    <row r="14" spans="1:20" x14ac:dyDescent="0.3">
      <c r="A14" s="1">
        <v>2</v>
      </c>
      <c r="B14" s="1">
        <v>0</v>
      </c>
      <c r="C14" s="1" t="s">
        <v>2</v>
      </c>
      <c r="D14" s="1" t="s">
        <v>0</v>
      </c>
      <c r="E14" s="1">
        <v>36</v>
      </c>
      <c r="F14" s="1" t="s">
        <v>1</v>
      </c>
      <c r="G14" s="1" t="s">
        <v>0</v>
      </c>
      <c r="H14" s="1">
        <v>18</v>
      </c>
      <c r="I14" s="1">
        <v>0</v>
      </c>
      <c r="K14" s="9" t="s">
        <v>12</v>
      </c>
      <c r="L14" s="10"/>
      <c r="M14" s="15" cm="1">
        <f t="array" ref="M14">AVERAGE($E$1:$E$100 - $H$1:$H$100)</f>
        <v>-6.73</v>
      </c>
      <c r="N14" s="15"/>
      <c r="O14" s="15" cm="1">
        <f t="array" ref="O14">AVERAGE(_xlfn._xlws.FILTER($E$1:$E$100 - $H$1:$H$100, I$1:I$100 = 0))</f>
        <v>18.3</v>
      </c>
      <c r="P14" s="15"/>
      <c r="Q14" s="15" cm="1">
        <f t="array" ref="Q14">AVERAGE(_xlfn._xlws.FILTER($E$1:$E$100 - $H$1:$H$100, I$1:I$100 = 1))</f>
        <v>-23.416666666666668</v>
      </c>
      <c r="R14" s="17"/>
    </row>
    <row r="15" spans="1:20" x14ac:dyDescent="0.3">
      <c r="A15" s="1">
        <v>2</v>
      </c>
      <c r="B15" s="1">
        <v>0</v>
      </c>
      <c r="C15" s="1" t="s">
        <v>2</v>
      </c>
      <c r="D15" s="1" t="s">
        <v>0</v>
      </c>
      <c r="E15" s="1">
        <v>10</v>
      </c>
      <c r="F15" s="1" t="s">
        <v>1</v>
      </c>
      <c r="G15" s="1" t="s">
        <v>0</v>
      </c>
      <c r="H15" s="1">
        <v>38</v>
      </c>
      <c r="I15" s="1">
        <v>1</v>
      </c>
      <c r="K15" s="11"/>
      <c r="L15" s="12"/>
      <c r="M15" s="15"/>
      <c r="N15" s="15"/>
      <c r="O15" s="15"/>
      <c r="P15" s="15"/>
      <c r="Q15" s="15"/>
      <c r="R15" s="17"/>
    </row>
    <row r="16" spans="1:20" x14ac:dyDescent="0.3">
      <c r="A16" s="1">
        <v>2</v>
      </c>
      <c r="B16" s="1">
        <v>0</v>
      </c>
      <c r="C16" s="1" t="s">
        <v>2</v>
      </c>
      <c r="D16" s="1" t="s">
        <v>0</v>
      </c>
      <c r="E16" s="1">
        <v>51</v>
      </c>
      <c r="F16" s="1" t="s">
        <v>1</v>
      </c>
      <c r="G16" s="1" t="s">
        <v>0</v>
      </c>
      <c r="H16" s="1">
        <v>44</v>
      </c>
      <c r="I16" s="1">
        <v>0</v>
      </c>
      <c r="K16" s="13"/>
      <c r="L16" s="14"/>
      <c r="M16" s="16"/>
      <c r="N16" s="16"/>
      <c r="O16" s="16"/>
      <c r="P16" s="16"/>
      <c r="Q16" s="16"/>
      <c r="R16" s="18"/>
    </row>
    <row r="17" spans="1:9" x14ac:dyDescent="0.3">
      <c r="A17" s="1">
        <v>2</v>
      </c>
      <c r="B17" s="1">
        <v>0</v>
      </c>
      <c r="C17" s="1" t="s">
        <v>2</v>
      </c>
      <c r="D17" s="1" t="s">
        <v>0</v>
      </c>
      <c r="E17" s="1">
        <v>20</v>
      </c>
      <c r="F17" s="1" t="s">
        <v>1</v>
      </c>
      <c r="G17" s="1" t="s">
        <v>0</v>
      </c>
      <c r="H17" s="1">
        <v>33</v>
      </c>
      <c r="I17" s="1">
        <v>1</v>
      </c>
    </row>
    <row r="18" spans="1:9" x14ac:dyDescent="0.3">
      <c r="A18" s="1">
        <v>2</v>
      </c>
      <c r="B18" s="1">
        <v>0</v>
      </c>
      <c r="C18" s="1" t="s">
        <v>2</v>
      </c>
      <c r="D18" s="1" t="s">
        <v>0</v>
      </c>
      <c r="E18" s="1">
        <v>32</v>
      </c>
      <c r="F18" s="1" t="s">
        <v>1</v>
      </c>
      <c r="G18" s="1" t="s">
        <v>0</v>
      </c>
      <c r="H18" s="1">
        <v>21</v>
      </c>
      <c r="I18" s="1">
        <v>0</v>
      </c>
    </row>
    <row r="19" spans="1:9" x14ac:dyDescent="0.3">
      <c r="A19" s="1">
        <v>2</v>
      </c>
      <c r="B19" s="1">
        <v>0</v>
      </c>
      <c r="C19" s="1" t="s">
        <v>2</v>
      </c>
      <c r="D19" s="1" t="s">
        <v>0</v>
      </c>
      <c r="E19" s="1">
        <v>20</v>
      </c>
      <c r="F19" s="1" t="s">
        <v>1</v>
      </c>
      <c r="G19" s="1" t="s">
        <v>0</v>
      </c>
      <c r="H19" s="1">
        <v>28</v>
      </c>
      <c r="I19" s="1">
        <v>1</v>
      </c>
    </row>
    <row r="20" spans="1:9" x14ac:dyDescent="0.3">
      <c r="A20" s="1">
        <v>2</v>
      </c>
      <c r="B20" s="1">
        <v>0</v>
      </c>
      <c r="C20" s="1" t="s">
        <v>2</v>
      </c>
      <c r="D20" s="1" t="s">
        <v>0</v>
      </c>
      <c r="E20" s="1">
        <v>41</v>
      </c>
      <c r="F20" s="1" t="s">
        <v>1</v>
      </c>
      <c r="G20" s="1" t="s">
        <v>0</v>
      </c>
      <c r="H20" s="1">
        <v>32</v>
      </c>
      <c r="I20" s="1">
        <v>0</v>
      </c>
    </row>
    <row r="21" spans="1:9" x14ac:dyDescent="0.3">
      <c r="A21" s="1">
        <v>2</v>
      </c>
      <c r="B21" s="1">
        <v>0</v>
      </c>
      <c r="C21" s="1" t="s">
        <v>2</v>
      </c>
      <c r="D21" s="1" t="s">
        <v>0</v>
      </c>
      <c r="E21" s="1">
        <v>14</v>
      </c>
      <c r="F21" s="1" t="s">
        <v>1</v>
      </c>
      <c r="G21" s="1" t="s">
        <v>0</v>
      </c>
      <c r="H21" s="1">
        <v>60</v>
      </c>
      <c r="I21" s="1">
        <v>1</v>
      </c>
    </row>
    <row r="22" spans="1:9" x14ac:dyDescent="0.3">
      <c r="A22" s="1">
        <v>2</v>
      </c>
      <c r="B22" s="1">
        <v>0</v>
      </c>
      <c r="C22" s="1" t="s">
        <v>2</v>
      </c>
      <c r="D22" s="1" t="s">
        <v>0</v>
      </c>
      <c r="E22" s="1">
        <v>9</v>
      </c>
      <c r="F22" s="1" t="s">
        <v>1</v>
      </c>
      <c r="G22" s="1" t="s">
        <v>0</v>
      </c>
      <c r="H22" s="1">
        <v>38</v>
      </c>
      <c r="I22" s="1">
        <v>1</v>
      </c>
    </row>
    <row r="23" spans="1:9" x14ac:dyDescent="0.3">
      <c r="A23" s="1">
        <v>2</v>
      </c>
      <c r="B23" s="1">
        <v>0</v>
      </c>
      <c r="C23" s="1" t="s">
        <v>2</v>
      </c>
      <c r="D23" s="1" t="s">
        <v>0</v>
      </c>
      <c r="E23" s="1">
        <v>21</v>
      </c>
      <c r="F23" s="1" t="s">
        <v>1</v>
      </c>
      <c r="G23" s="1" t="s">
        <v>0</v>
      </c>
      <c r="H23" s="1">
        <v>49</v>
      </c>
      <c r="I23" s="1">
        <v>1</v>
      </c>
    </row>
    <row r="24" spans="1:9" x14ac:dyDescent="0.3">
      <c r="A24" s="1">
        <v>2</v>
      </c>
      <c r="B24" s="1">
        <v>0</v>
      </c>
      <c r="C24" s="1" t="s">
        <v>2</v>
      </c>
      <c r="D24" s="1" t="s">
        <v>0</v>
      </c>
      <c r="E24" s="1">
        <v>46</v>
      </c>
      <c r="F24" s="1" t="s">
        <v>1</v>
      </c>
      <c r="G24" s="1" t="s">
        <v>0</v>
      </c>
      <c r="H24" s="1">
        <v>7</v>
      </c>
      <c r="I24" s="1">
        <v>0</v>
      </c>
    </row>
    <row r="25" spans="1:9" x14ac:dyDescent="0.3">
      <c r="A25" s="1">
        <v>2</v>
      </c>
      <c r="B25" s="1">
        <v>0</v>
      </c>
      <c r="C25" s="1" t="s">
        <v>2</v>
      </c>
      <c r="D25" s="1" t="s">
        <v>0</v>
      </c>
      <c r="E25" s="1">
        <v>27</v>
      </c>
      <c r="F25" s="1" t="s">
        <v>1</v>
      </c>
      <c r="G25" s="1" t="s">
        <v>0</v>
      </c>
      <c r="H25" s="1">
        <v>18</v>
      </c>
      <c r="I25" s="1">
        <v>0</v>
      </c>
    </row>
    <row r="26" spans="1:9" x14ac:dyDescent="0.3">
      <c r="A26" s="1">
        <v>2</v>
      </c>
      <c r="B26" s="1">
        <v>0</v>
      </c>
      <c r="C26" s="1" t="s">
        <v>2</v>
      </c>
      <c r="D26" s="1" t="s">
        <v>0</v>
      </c>
      <c r="E26" s="1">
        <v>26</v>
      </c>
      <c r="F26" s="1" t="s">
        <v>1</v>
      </c>
      <c r="G26" s="1" t="s">
        <v>0</v>
      </c>
      <c r="H26" s="1">
        <v>95</v>
      </c>
      <c r="I26" s="1">
        <v>1</v>
      </c>
    </row>
    <row r="27" spans="1:9" x14ac:dyDescent="0.3">
      <c r="A27" s="1">
        <v>2</v>
      </c>
      <c r="B27" s="1">
        <v>0</v>
      </c>
      <c r="C27" s="1" t="s">
        <v>2</v>
      </c>
      <c r="D27" s="1" t="s">
        <v>0</v>
      </c>
      <c r="E27" s="1">
        <v>8</v>
      </c>
      <c r="F27" s="1" t="s">
        <v>1</v>
      </c>
      <c r="G27" s="1" t="s">
        <v>0</v>
      </c>
      <c r="H27" s="1">
        <v>38</v>
      </c>
      <c r="I27" s="1">
        <v>1</v>
      </c>
    </row>
    <row r="28" spans="1:9" x14ac:dyDescent="0.3">
      <c r="A28" s="1">
        <v>2</v>
      </c>
      <c r="B28" s="1">
        <v>0</v>
      </c>
      <c r="C28" s="1" t="s">
        <v>2</v>
      </c>
      <c r="D28" s="1" t="s">
        <v>0</v>
      </c>
      <c r="E28" s="1">
        <v>0</v>
      </c>
      <c r="F28" s="1" t="s">
        <v>1</v>
      </c>
      <c r="G28" s="1" t="s">
        <v>0</v>
      </c>
      <c r="H28" s="1">
        <v>2</v>
      </c>
      <c r="I28" s="1">
        <v>1</v>
      </c>
    </row>
    <row r="29" spans="1:9" x14ac:dyDescent="0.3">
      <c r="A29" s="1">
        <v>2</v>
      </c>
      <c r="B29" s="1">
        <v>0</v>
      </c>
      <c r="C29" s="1" t="s">
        <v>2</v>
      </c>
      <c r="D29" s="1" t="s">
        <v>0</v>
      </c>
      <c r="E29" s="1">
        <v>34</v>
      </c>
      <c r="F29" s="1" t="s">
        <v>1</v>
      </c>
      <c r="G29" s="1" t="s">
        <v>0</v>
      </c>
      <c r="H29" s="1">
        <v>23</v>
      </c>
      <c r="I29" s="1">
        <v>0</v>
      </c>
    </row>
    <row r="30" spans="1:9" x14ac:dyDescent="0.3">
      <c r="A30" s="1">
        <v>2</v>
      </c>
      <c r="B30" s="1">
        <v>0</v>
      </c>
      <c r="C30" s="1" t="s">
        <v>2</v>
      </c>
      <c r="D30" s="1" t="s">
        <v>0</v>
      </c>
      <c r="E30" s="1">
        <v>22</v>
      </c>
      <c r="F30" s="1" t="s">
        <v>1</v>
      </c>
      <c r="G30" s="1" t="s">
        <v>0</v>
      </c>
      <c r="H30" s="1">
        <v>22</v>
      </c>
      <c r="I30" s="1">
        <v>0</v>
      </c>
    </row>
    <row r="31" spans="1:9" x14ac:dyDescent="0.3">
      <c r="A31" s="1">
        <v>2</v>
      </c>
      <c r="B31" s="1">
        <v>0</v>
      </c>
      <c r="C31" s="1" t="s">
        <v>2</v>
      </c>
      <c r="D31" s="1" t="s">
        <v>0</v>
      </c>
      <c r="E31" s="1">
        <v>14</v>
      </c>
      <c r="F31" s="1" t="s">
        <v>1</v>
      </c>
      <c r="G31" s="1" t="s">
        <v>0</v>
      </c>
      <c r="H31" s="1">
        <v>13</v>
      </c>
      <c r="I31" s="1">
        <v>0</v>
      </c>
    </row>
    <row r="32" spans="1:9" x14ac:dyDescent="0.3">
      <c r="A32" s="1">
        <v>2</v>
      </c>
      <c r="B32" s="1">
        <v>0</v>
      </c>
      <c r="C32" s="1" t="s">
        <v>2</v>
      </c>
      <c r="D32" s="1" t="s">
        <v>0</v>
      </c>
      <c r="E32" s="1">
        <v>40</v>
      </c>
      <c r="F32" s="1" t="s">
        <v>1</v>
      </c>
      <c r="G32" s="1" t="s">
        <v>0</v>
      </c>
      <c r="H32" s="1">
        <v>0</v>
      </c>
      <c r="I32" s="1">
        <v>0</v>
      </c>
    </row>
    <row r="33" spans="1:9" x14ac:dyDescent="0.3">
      <c r="A33" s="1">
        <v>2</v>
      </c>
      <c r="B33" s="1">
        <v>0</v>
      </c>
      <c r="C33" s="1" t="s">
        <v>2</v>
      </c>
      <c r="D33" s="1" t="s">
        <v>0</v>
      </c>
      <c r="E33" s="1">
        <v>15</v>
      </c>
      <c r="F33" s="1" t="s">
        <v>1</v>
      </c>
      <c r="G33" s="1" t="s">
        <v>0</v>
      </c>
      <c r="H33" s="1">
        <v>32</v>
      </c>
      <c r="I33" s="1">
        <v>1</v>
      </c>
    </row>
    <row r="34" spans="1:9" x14ac:dyDescent="0.3">
      <c r="A34" s="1">
        <v>2</v>
      </c>
      <c r="B34" s="1">
        <v>0</v>
      </c>
      <c r="C34" s="1" t="s">
        <v>2</v>
      </c>
      <c r="D34" s="1" t="s">
        <v>0</v>
      </c>
      <c r="E34" s="1">
        <v>28</v>
      </c>
      <c r="F34" s="1" t="s">
        <v>1</v>
      </c>
      <c r="G34" s="1" t="s">
        <v>0</v>
      </c>
      <c r="H34" s="1">
        <v>37</v>
      </c>
      <c r="I34" s="1">
        <v>1</v>
      </c>
    </row>
    <row r="35" spans="1:9" x14ac:dyDescent="0.3">
      <c r="A35" s="1">
        <v>2</v>
      </c>
      <c r="B35" s="1">
        <v>0</v>
      </c>
      <c r="C35" s="1" t="s">
        <v>2</v>
      </c>
      <c r="D35" s="1" t="s">
        <v>0</v>
      </c>
      <c r="E35" s="1">
        <v>14</v>
      </c>
      <c r="F35" s="1" t="s">
        <v>1</v>
      </c>
      <c r="G35" s="1" t="s">
        <v>0</v>
      </c>
      <c r="H35" s="1">
        <v>16</v>
      </c>
      <c r="I35" s="1">
        <v>1</v>
      </c>
    </row>
    <row r="36" spans="1:9" x14ac:dyDescent="0.3">
      <c r="A36" s="1">
        <v>2</v>
      </c>
      <c r="B36" s="1">
        <v>0</v>
      </c>
      <c r="C36" s="1" t="s">
        <v>2</v>
      </c>
      <c r="D36" s="1" t="s">
        <v>0</v>
      </c>
      <c r="E36" s="1">
        <v>25</v>
      </c>
      <c r="F36" s="1" t="s">
        <v>1</v>
      </c>
      <c r="G36" s="1" t="s">
        <v>0</v>
      </c>
      <c r="H36" s="1">
        <v>29</v>
      </c>
      <c r="I36" s="1">
        <v>1</v>
      </c>
    </row>
    <row r="37" spans="1:9" x14ac:dyDescent="0.3">
      <c r="A37" s="1">
        <v>2</v>
      </c>
      <c r="B37" s="1">
        <v>0</v>
      </c>
      <c r="C37" s="1" t="s">
        <v>2</v>
      </c>
      <c r="D37" s="1" t="s">
        <v>0</v>
      </c>
      <c r="E37" s="1">
        <v>3</v>
      </c>
      <c r="F37" s="1" t="s">
        <v>1</v>
      </c>
      <c r="G37" s="1" t="s">
        <v>0</v>
      </c>
      <c r="H37" s="1">
        <v>28</v>
      </c>
      <c r="I37" s="1">
        <v>1</v>
      </c>
    </row>
    <row r="38" spans="1:9" x14ac:dyDescent="0.3">
      <c r="A38" s="1">
        <v>2</v>
      </c>
      <c r="B38" s="1">
        <v>0</v>
      </c>
      <c r="C38" s="1" t="s">
        <v>2</v>
      </c>
      <c r="D38" s="1" t="s">
        <v>0</v>
      </c>
      <c r="E38" s="1">
        <v>16</v>
      </c>
      <c r="F38" s="1" t="s">
        <v>1</v>
      </c>
      <c r="G38" s="1" t="s">
        <v>0</v>
      </c>
      <c r="H38" s="1">
        <v>33</v>
      </c>
      <c r="I38" s="1">
        <v>1</v>
      </c>
    </row>
    <row r="39" spans="1:9" x14ac:dyDescent="0.3">
      <c r="A39" s="1">
        <v>2</v>
      </c>
      <c r="B39" s="1">
        <v>0</v>
      </c>
      <c r="C39" s="1" t="s">
        <v>2</v>
      </c>
      <c r="D39" s="1" t="s">
        <v>0</v>
      </c>
      <c r="E39" s="1">
        <v>49</v>
      </c>
      <c r="F39" s="1" t="s">
        <v>1</v>
      </c>
      <c r="G39" s="1" t="s">
        <v>0</v>
      </c>
      <c r="H39" s="1">
        <v>33</v>
      </c>
      <c r="I39" s="1">
        <v>0</v>
      </c>
    </row>
    <row r="40" spans="1:9" x14ac:dyDescent="0.3">
      <c r="A40" s="1">
        <v>2</v>
      </c>
      <c r="B40" s="1">
        <v>0</v>
      </c>
      <c r="C40" s="1" t="s">
        <v>2</v>
      </c>
      <c r="D40" s="1" t="s">
        <v>0</v>
      </c>
      <c r="E40" s="1">
        <v>0</v>
      </c>
      <c r="F40" s="1" t="s">
        <v>1</v>
      </c>
      <c r="G40" s="1" t="s">
        <v>0</v>
      </c>
      <c r="H40" s="1">
        <v>8</v>
      </c>
      <c r="I40" s="1">
        <v>1</v>
      </c>
    </row>
    <row r="41" spans="1:9" x14ac:dyDescent="0.3">
      <c r="A41" s="1">
        <v>2</v>
      </c>
      <c r="B41" s="1">
        <v>0</v>
      </c>
      <c r="C41" s="1" t="s">
        <v>2</v>
      </c>
      <c r="D41" s="1" t="s">
        <v>0</v>
      </c>
      <c r="E41" s="1">
        <v>23</v>
      </c>
      <c r="F41" s="1" t="s">
        <v>1</v>
      </c>
      <c r="G41" s="1" t="s">
        <v>0</v>
      </c>
      <c r="H41" s="1">
        <v>34</v>
      </c>
      <c r="I41" s="1">
        <v>1</v>
      </c>
    </row>
    <row r="42" spans="1:9" x14ac:dyDescent="0.3">
      <c r="A42" s="1">
        <v>2</v>
      </c>
      <c r="B42" s="1">
        <v>0</v>
      </c>
      <c r="C42" s="1" t="s">
        <v>2</v>
      </c>
      <c r="D42" s="1" t="s">
        <v>0</v>
      </c>
      <c r="E42" s="1">
        <v>2</v>
      </c>
      <c r="F42" s="1" t="s">
        <v>1</v>
      </c>
      <c r="G42" s="1" t="s">
        <v>0</v>
      </c>
      <c r="H42" s="1">
        <v>40</v>
      </c>
      <c r="I42" s="1">
        <v>1</v>
      </c>
    </row>
    <row r="43" spans="1:9" x14ac:dyDescent="0.3">
      <c r="A43" s="1">
        <v>2</v>
      </c>
      <c r="B43" s="1">
        <v>0</v>
      </c>
      <c r="C43" s="1" t="s">
        <v>2</v>
      </c>
      <c r="D43" s="1" t="s">
        <v>0</v>
      </c>
      <c r="E43" s="1">
        <v>10</v>
      </c>
      <c r="F43" s="1" t="s">
        <v>1</v>
      </c>
      <c r="G43" s="1" t="s">
        <v>0</v>
      </c>
      <c r="H43" s="1">
        <v>22</v>
      </c>
      <c r="I43" s="1">
        <v>1</v>
      </c>
    </row>
    <row r="44" spans="1:9" x14ac:dyDescent="0.3">
      <c r="A44" s="1">
        <v>2</v>
      </c>
      <c r="B44" s="1">
        <v>0</v>
      </c>
      <c r="C44" s="1" t="s">
        <v>2</v>
      </c>
      <c r="D44" s="1" t="s">
        <v>0</v>
      </c>
      <c r="E44" s="1">
        <v>22</v>
      </c>
      <c r="F44" s="1" t="s">
        <v>1</v>
      </c>
      <c r="G44" s="1" t="s">
        <v>0</v>
      </c>
      <c r="H44" s="1">
        <v>22</v>
      </c>
      <c r="I44" s="1">
        <v>0</v>
      </c>
    </row>
    <row r="45" spans="1:9" x14ac:dyDescent="0.3">
      <c r="A45" s="1">
        <v>2</v>
      </c>
      <c r="B45" s="1">
        <v>0</v>
      </c>
      <c r="C45" s="1" t="s">
        <v>2</v>
      </c>
      <c r="D45" s="1" t="s">
        <v>0</v>
      </c>
      <c r="E45" s="1">
        <v>15</v>
      </c>
      <c r="F45" s="1" t="s">
        <v>1</v>
      </c>
      <c r="G45" s="1" t="s">
        <v>0</v>
      </c>
      <c r="H45" s="1">
        <v>3</v>
      </c>
      <c r="I45" s="1">
        <v>0</v>
      </c>
    </row>
    <row r="46" spans="1:9" x14ac:dyDescent="0.3">
      <c r="A46" s="1">
        <v>2</v>
      </c>
      <c r="B46" s="1">
        <v>0</v>
      </c>
      <c r="C46" s="1" t="s">
        <v>2</v>
      </c>
      <c r="D46" s="1" t="s">
        <v>0</v>
      </c>
      <c r="E46" s="1">
        <v>9</v>
      </c>
      <c r="F46" s="1" t="s">
        <v>1</v>
      </c>
      <c r="G46" s="1" t="s">
        <v>0</v>
      </c>
      <c r="H46" s="1">
        <v>42</v>
      </c>
      <c r="I46" s="1">
        <v>1</v>
      </c>
    </row>
    <row r="47" spans="1:9" x14ac:dyDescent="0.3">
      <c r="A47" s="1">
        <v>2</v>
      </c>
      <c r="B47" s="1">
        <v>0</v>
      </c>
      <c r="C47" s="1" t="s">
        <v>2</v>
      </c>
      <c r="D47" s="1" t="s">
        <v>0</v>
      </c>
      <c r="E47" s="1">
        <v>6</v>
      </c>
      <c r="F47" s="1" t="s">
        <v>1</v>
      </c>
      <c r="G47" s="1" t="s">
        <v>0</v>
      </c>
      <c r="H47" s="1">
        <v>32</v>
      </c>
      <c r="I47" s="1">
        <v>1</v>
      </c>
    </row>
    <row r="48" spans="1:9" x14ac:dyDescent="0.3">
      <c r="A48" s="1">
        <v>2</v>
      </c>
      <c r="B48" s="1">
        <v>0</v>
      </c>
      <c r="C48" s="1" t="s">
        <v>2</v>
      </c>
      <c r="D48" s="1" t="s">
        <v>0</v>
      </c>
      <c r="E48" s="1">
        <v>21</v>
      </c>
      <c r="F48" s="1" t="s">
        <v>1</v>
      </c>
      <c r="G48" s="1" t="s">
        <v>0</v>
      </c>
      <c r="H48" s="1">
        <v>19</v>
      </c>
      <c r="I48" s="1">
        <v>0</v>
      </c>
    </row>
    <row r="49" spans="1:9" x14ac:dyDescent="0.3">
      <c r="A49" s="1">
        <v>2</v>
      </c>
      <c r="B49" s="1">
        <v>0</v>
      </c>
      <c r="C49" s="1" t="s">
        <v>2</v>
      </c>
      <c r="D49" s="1" t="s">
        <v>0</v>
      </c>
      <c r="E49" s="1">
        <v>26</v>
      </c>
      <c r="F49" s="1" t="s">
        <v>1</v>
      </c>
      <c r="G49" s="1" t="s">
        <v>0</v>
      </c>
      <c r="H49" s="1">
        <v>17</v>
      </c>
      <c r="I49" s="1">
        <v>0</v>
      </c>
    </row>
    <row r="50" spans="1:9" x14ac:dyDescent="0.3">
      <c r="A50" s="1">
        <v>2</v>
      </c>
      <c r="B50" s="1">
        <v>0</v>
      </c>
      <c r="C50" s="1" t="s">
        <v>2</v>
      </c>
      <c r="D50" s="1" t="s">
        <v>0</v>
      </c>
      <c r="E50" s="1">
        <v>24</v>
      </c>
      <c r="F50" s="1" t="s">
        <v>1</v>
      </c>
      <c r="G50" s="1" t="s">
        <v>0</v>
      </c>
      <c r="H50" s="1">
        <v>28</v>
      </c>
      <c r="I50" s="1">
        <v>1</v>
      </c>
    </row>
    <row r="51" spans="1:9" x14ac:dyDescent="0.3">
      <c r="A51" s="1">
        <v>2</v>
      </c>
      <c r="B51" s="1">
        <v>1</v>
      </c>
      <c r="C51" s="1" t="s">
        <v>2</v>
      </c>
      <c r="D51" s="1" t="s">
        <v>0</v>
      </c>
      <c r="E51" s="1">
        <v>0</v>
      </c>
      <c r="F51" s="1" t="s">
        <v>1</v>
      </c>
      <c r="G51" s="1" t="s">
        <v>0</v>
      </c>
      <c r="H51" s="1">
        <v>17</v>
      </c>
      <c r="I51" s="1">
        <v>1</v>
      </c>
    </row>
    <row r="52" spans="1:9" x14ac:dyDescent="0.3">
      <c r="A52" s="1">
        <v>2</v>
      </c>
      <c r="B52" s="1">
        <v>1</v>
      </c>
      <c r="C52" s="1" t="s">
        <v>2</v>
      </c>
      <c r="D52" s="1" t="s">
        <v>0</v>
      </c>
      <c r="E52" s="1">
        <v>43</v>
      </c>
      <c r="F52" s="1" t="s">
        <v>1</v>
      </c>
      <c r="G52" s="1" t="s">
        <v>0</v>
      </c>
      <c r="H52" s="1">
        <v>69</v>
      </c>
      <c r="I52" s="1">
        <v>1</v>
      </c>
    </row>
    <row r="53" spans="1:9" x14ac:dyDescent="0.3">
      <c r="A53" s="1">
        <v>2</v>
      </c>
      <c r="B53" s="1">
        <v>1</v>
      </c>
      <c r="C53" s="1" t="s">
        <v>2</v>
      </c>
      <c r="D53" s="1" t="s">
        <v>0</v>
      </c>
      <c r="E53" s="1">
        <v>33</v>
      </c>
      <c r="F53" s="1" t="s">
        <v>1</v>
      </c>
      <c r="G53" s="1" t="s">
        <v>0</v>
      </c>
      <c r="H53" s="1">
        <v>9</v>
      </c>
      <c r="I53" s="1">
        <v>0</v>
      </c>
    </row>
    <row r="54" spans="1:9" x14ac:dyDescent="0.3">
      <c r="A54" s="1">
        <v>2</v>
      </c>
      <c r="B54" s="1">
        <v>1</v>
      </c>
      <c r="C54" s="1" t="s">
        <v>2</v>
      </c>
      <c r="D54" s="1" t="s">
        <v>0</v>
      </c>
      <c r="E54" s="1">
        <v>61</v>
      </c>
      <c r="F54" s="1" t="s">
        <v>1</v>
      </c>
      <c r="G54" s="1" t="s">
        <v>0</v>
      </c>
      <c r="H54" s="1">
        <v>27</v>
      </c>
      <c r="I54" s="1">
        <v>0</v>
      </c>
    </row>
    <row r="55" spans="1:9" x14ac:dyDescent="0.3">
      <c r="A55" s="1">
        <v>2</v>
      </c>
      <c r="B55" s="1">
        <v>1</v>
      </c>
      <c r="C55" s="1" t="s">
        <v>2</v>
      </c>
      <c r="D55" s="1" t="s">
        <v>0</v>
      </c>
      <c r="E55" s="1">
        <v>12</v>
      </c>
      <c r="F55" s="1" t="s">
        <v>1</v>
      </c>
      <c r="G55" s="1" t="s">
        <v>0</v>
      </c>
      <c r="H55" s="1">
        <v>21</v>
      </c>
      <c r="I55" s="1">
        <v>1</v>
      </c>
    </row>
    <row r="56" spans="1:9" x14ac:dyDescent="0.3">
      <c r="A56" s="1">
        <v>2</v>
      </c>
      <c r="B56" s="1">
        <v>1</v>
      </c>
      <c r="C56" s="1" t="s">
        <v>2</v>
      </c>
      <c r="D56" s="1" t="s">
        <v>0</v>
      </c>
      <c r="E56" s="1">
        <v>28</v>
      </c>
      <c r="F56" s="1" t="s">
        <v>1</v>
      </c>
      <c r="G56" s="1" t="s">
        <v>0</v>
      </c>
      <c r="H56" s="1">
        <v>5</v>
      </c>
      <c r="I56" s="1">
        <v>0</v>
      </c>
    </row>
    <row r="57" spans="1:9" x14ac:dyDescent="0.3">
      <c r="A57" s="1">
        <v>2</v>
      </c>
      <c r="B57" s="1">
        <v>1</v>
      </c>
      <c r="C57" s="1" t="s">
        <v>2</v>
      </c>
      <c r="D57" s="1" t="s">
        <v>0</v>
      </c>
      <c r="E57" s="1">
        <v>22</v>
      </c>
      <c r="F57" s="1" t="s">
        <v>1</v>
      </c>
      <c r="G57" s="1" t="s">
        <v>0</v>
      </c>
      <c r="H57" s="1">
        <v>18</v>
      </c>
      <c r="I57" s="1">
        <v>0</v>
      </c>
    </row>
    <row r="58" spans="1:9" x14ac:dyDescent="0.3">
      <c r="A58" s="1">
        <v>2</v>
      </c>
      <c r="B58" s="1">
        <v>1</v>
      </c>
      <c r="C58" s="1" t="s">
        <v>2</v>
      </c>
      <c r="D58" s="1" t="s">
        <v>0</v>
      </c>
      <c r="E58" s="1">
        <v>25</v>
      </c>
      <c r="F58" s="1" t="s">
        <v>1</v>
      </c>
      <c r="G58" s="1" t="s">
        <v>0</v>
      </c>
      <c r="H58" s="1">
        <v>24</v>
      </c>
      <c r="I58" s="1">
        <v>0</v>
      </c>
    </row>
    <row r="59" spans="1:9" x14ac:dyDescent="0.3">
      <c r="A59" s="1">
        <v>2</v>
      </c>
      <c r="B59" s="1">
        <v>1</v>
      </c>
      <c r="C59" s="1" t="s">
        <v>2</v>
      </c>
      <c r="D59" s="1" t="s">
        <v>0</v>
      </c>
      <c r="E59" s="1">
        <v>6</v>
      </c>
      <c r="F59" s="1" t="s">
        <v>1</v>
      </c>
      <c r="G59" s="1" t="s">
        <v>0</v>
      </c>
      <c r="H59" s="1">
        <v>15</v>
      </c>
      <c r="I59" s="1">
        <v>1</v>
      </c>
    </row>
    <row r="60" spans="1:9" x14ac:dyDescent="0.3">
      <c r="A60" s="1">
        <v>2</v>
      </c>
      <c r="B60" s="1">
        <v>1</v>
      </c>
      <c r="C60" s="1" t="s">
        <v>2</v>
      </c>
      <c r="D60" s="1" t="s">
        <v>0</v>
      </c>
      <c r="E60" s="1">
        <v>24</v>
      </c>
      <c r="F60" s="1" t="s">
        <v>1</v>
      </c>
      <c r="G60" s="1" t="s">
        <v>0</v>
      </c>
      <c r="H60" s="1">
        <v>6</v>
      </c>
      <c r="I60" s="1">
        <v>0</v>
      </c>
    </row>
    <row r="61" spans="1:9" x14ac:dyDescent="0.3">
      <c r="A61" s="1">
        <v>2</v>
      </c>
      <c r="B61" s="1">
        <v>1</v>
      </c>
      <c r="C61" s="1" t="s">
        <v>2</v>
      </c>
      <c r="D61" s="1" t="s">
        <v>0</v>
      </c>
      <c r="E61" s="1">
        <v>21</v>
      </c>
      <c r="F61" s="1" t="s">
        <v>1</v>
      </c>
      <c r="G61" s="1" t="s">
        <v>0</v>
      </c>
      <c r="H61" s="1">
        <v>35</v>
      </c>
      <c r="I61" s="1">
        <v>1</v>
      </c>
    </row>
    <row r="62" spans="1:9" x14ac:dyDescent="0.3">
      <c r="A62" s="1">
        <v>2</v>
      </c>
      <c r="B62" s="1">
        <v>1</v>
      </c>
      <c r="C62" s="1" t="s">
        <v>2</v>
      </c>
      <c r="D62" s="1" t="s">
        <v>0</v>
      </c>
      <c r="E62" s="1">
        <v>60</v>
      </c>
      <c r="F62" s="1" t="s">
        <v>1</v>
      </c>
      <c r="G62" s="1" t="s">
        <v>0</v>
      </c>
      <c r="H62" s="1">
        <v>35</v>
      </c>
      <c r="I62" s="1">
        <v>0</v>
      </c>
    </row>
    <row r="63" spans="1:9" x14ac:dyDescent="0.3">
      <c r="A63" s="1">
        <v>2</v>
      </c>
      <c r="B63" s="1">
        <v>1</v>
      </c>
      <c r="C63" s="1" t="s">
        <v>2</v>
      </c>
      <c r="D63" s="1" t="s">
        <v>0</v>
      </c>
      <c r="E63" s="1">
        <v>23</v>
      </c>
      <c r="F63" s="1" t="s">
        <v>1</v>
      </c>
      <c r="G63" s="1" t="s">
        <v>0</v>
      </c>
      <c r="H63" s="1">
        <v>14</v>
      </c>
      <c r="I63" s="1">
        <v>0</v>
      </c>
    </row>
    <row r="64" spans="1:9" x14ac:dyDescent="0.3">
      <c r="A64" s="1">
        <v>2</v>
      </c>
      <c r="B64" s="1">
        <v>1</v>
      </c>
      <c r="C64" s="1" t="s">
        <v>2</v>
      </c>
      <c r="D64" s="1" t="s">
        <v>0</v>
      </c>
      <c r="E64" s="1">
        <v>23</v>
      </c>
      <c r="F64" s="1" t="s">
        <v>1</v>
      </c>
      <c r="G64" s="1" t="s">
        <v>0</v>
      </c>
      <c r="H64" s="1">
        <v>44</v>
      </c>
      <c r="I64" s="1">
        <v>1</v>
      </c>
    </row>
    <row r="65" spans="1:9" x14ac:dyDescent="0.3">
      <c r="A65" s="1">
        <v>2</v>
      </c>
      <c r="B65" s="1">
        <v>1</v>
      </c>
      <c r="C65" s="1" t="s">
        <v>2</v>
      </c>
      <c r="D65" s="1" t="s">
        <v>0</v>
      </c>
      <c r="E65" s="1">
        <v>64</v>
      </c>
      <c r="F65" s="1" t="s">
        <v>1</v>
      </c>
      <c r="G65" s="1" t="s">
        <v>0</v>
      </c>
      <c r="H65" s="1">
        <v>13</v>
      </c>
      <c r="I65" s="1">
        <v>0</v>
      </c>
    </row>
    <row r="66" spans="1:9" x14ac:dyDescent="0.3">
      <c r="A66" s="1">
        <v>2</v>
      </c>
      <c r="B66" s="1">
        <v>1</v>
      </c>
      <c r="C66" s="1" t="s">
        <v>2</v>
      </c>
      <c r="D66" s="1" t="s">
        <v>0</v>
      </c>
      <c r="E66" s="1">
        <v>0</v>
      </c>
      <c r="F66" s="1" t="s">
        <v>1</v>
      </c>
      <c r="G66" s="1" t="s">
        <v>0</v>
      </c>
      <c r="H66" s="1">
        <v>49</v>
      </c>
      <c r="I66" s="1">
        <v>1</v>
      </c>
    </row>
    <row r="67" spans="1:9" x14ac:dyDescent="0.3">
      <c r="A67" s="1">
        <v>2</v>
      </c>
      <c r="B67" s="1">
        <v>1</v>
      </c>
      <c r="C67" s="1" t="s">
        <v>2</v>
      </c>
      <c r="D67" s="1" t="s">
        <v>0</v>
      </c>
      <c r="E67" s="1">
        <v>3</v>
      </c>
      <c r="F67" s="1" t="s">
        <v>1</v>
      </c>
      <c r="G67" s="1" t="s">
        <v>0</v>
      </c>
      <c r="H67" s="1">
        <v>68</v>
      </c>
      <c r="I67" s="1">
        <v>1</v>
      </c>
    </row>
    <row r="68" spans="1:9" x14ac:dyDescent="0.3">
      <c r="A68" s="1">
        <v>2</v>
      </c>
      <c r="B68" s="1">
        <v>1</v>
      </c>
      <c r="C68" s="1" t="s">
        <v>2</v>
      </c>
      <c r="D68" s="1" t="s">
        <v>0</v>
      </c>
      <c r="E68" s="1">
        <v>33</v>
      </c>
      <c r="F68" s="1" t="s">
        <v>1</v>
      </c>
      <c r="G68" s="1" t="s">
        <v>0</v>
      </c>
      <c r="H68" s="1">
        <v>2</v>
      </c>
      <c r="I68" s="1">
        <v>0</v>
      </c>
    </row>
    <row r="69" spans="1:9" x14ac:dyDescent="0.3">
      <c r="A69" s="1">
        <v>2</v>
      </c>
      <c r="B69" s="1">
        <v>1</v>
      </c>
      <c r="C69" s="1" t="s">
        <v>2</v>
      </c>
      <c r="D69" s="1" t="s">
        <v>0</v>
      </c>
      <c r="E69" s="1">
        <v>0</v>
      </c>
      <c r="F69" s="1" t="s">
        <v>1</v>
      </c>
      <c r="G69" s="1" t="s">
        <v>0</v>
      </c>
      <c r="H69" s="1">
        <v>21</v>
      </c>
      <c r="I69" s="1">
        <v>1</v>
      </c>
    </row>
    <row r="70" spans="1:9" x14ac:dyDescent="0.3">
      <c r="A70" s="1">
        <v>2</v>
      </c>
      <c r="B70" s="1">
        <v>1</v>
      </c>
      <c r="C70" s="1" t="s">
        <v>2</v>
      </c>
      <c r="D70" s="1" t="s">
        <v>0</v>
      </c>
      <c r="E70" s="1">
        <v>57</v>
      </c>
      <c r="F70" s="1" t="s">
        <v>1</v>
      </c>
      <c r="G70" s="1" t="s">
        <v>0</v>
      </c>
      <c r="H70" s="1">
        <v>16</v>
      </c>
      <c r="I70" s="1">
        <v>0</v>
      </c>
    </row>
    <row r="71" spans="1:9" x14ac:dyDescent="0.3">
      <c r="A71" s="1">
        <v>2</v>
      </c>
      <c r="B71" s="1">
        <v>1</v>
      </c>
      <c r="C71" s="1" t="s">
        <v>2</v>
      </c>
      <c r="D71" s="1" t="s">
        <v>0</v>
      </c>
      <c r="E71" s="1">
        <v>2</v>
      </c>
      <c r="F71" s="1" t="s">
        <v>1</v>
      </c>
      <c r="G71" s="1" t="s">
        <v>0</v>
      </c>
      <c r="H71" s="1">
        <v>34</v>
      </c>
      <c r="I71" s="1">
        <v>1</v>
      </c>
    </row>
    <row r="72" spans="1:9" x14ac:dyDescent="0.3">
      <c r="A72" s="1">
        <v>2</v>
      </c>
      <c r="B72" s="1">
        <v>1</v>
      </c>
      <c r="C72" s="1" t="s">
        <v>2</v>
      </c>
      <c r="D72" s="1" t="s">
        <v>0</v>
      </c>
      <c r="E72" s="1">
        <v>2</v>
      </c>
      <c r="F72" s="1" t="s">
        <v>1</v>
      </c>
      <c r="G72" s="1" t="s">
        <v>0</v>
      </c>
      <c r="H72" s="1">
        <v>16</v>
      </c>
      <c r="I72" s="1">
        <v>1</v>
      </c>
    </row>
    <row r="73" spans="1:9" x14ac:dyDescent="0.3">
      <c r="A73" s="1">
        <v>2</v>
      </c>
      <c r="B73" s="1">
        <v>1</v>
      </c>
      <c r="C73" s="1" t="s">
        <v>2</v>
      </c>
      <c r="D73" s="1" t="s">
        <v>0</v>
      </c>
      <c r="E73" s="1">
        <v>6</v>
      </c>
      <c r="F73" s="1" t="s">
        <v>1</v>
      </c>
      <c r="G73" s="1" t="s">
        <v>0</v>
      </c>
      <c r="H73" s="1">
        <v>44</v>
      </c>
      <c r="I73" s="1">
        <v>1</v>
      </c>
    </row>
    <row r="74" spans="1:9" x14ac:dyDescent="0.3">
      <c r="A74" s="1">
        <v>2</v>
      </c>
      <c r="B74" s="1">
        <v>1</v>
      </c>
      <c r="C74" s="1" t="s">
        <v>2</v>
      </c>
      <c r="D74" s="1" t="s">
        <v>0</v>
      </c>
      <c r="E74" s="1">
        <v>32</v>
      </c>
      <c r="F74" s="1" t="s">
        <v>1</v>
      </c>
      <c r="G74" s="1" t="s">
        <v>0</v>
      </c>
      <c r="H74" s="1">
        <v>36</v>
      </c>
      <c r="I74" s="1">
        <v>1</v>
      </c>
    </row>
    <row r="75" spans="1:9" x14ac:dyDescent="0.3">
      <c r="A75" s="1">
        <v>2</v>
      </c>
      <c r="B75" s="1">
        <v>1</v>
      </c>
      <c r="C75" s="1" t="s">
        <v>2</v>
      </c>
      <c r="D75" s="1" t="s">
        <v>0</v>
      </c>
      <c r="E75" s="1">
        <v>22</v>
      </c>
      <c r="F75" s="1" t="s">
        <v>1</v>
      </c>
      <c r="G75" s="1" t="s">
        <v>0</v>
      </c>
      <c r="H75" s="1">
        <v>31</v>
      </c>
      <c r="I75" s="1">
        <v>1</v>
      </c>
    </row>
    <row r="76" spans="1:9" x14ac:dyDescent="0.3">
      <c r="A76" s="1">
        <v>2</v>
      </c>
      <c r="B76" s="1">
        <v>1</v>
      </c>
      <c r="C76" s="1" t="s">
        <v>2</v>
      </c>
      <c r="D76" s="1" t="s">
        <v>0</v>
      </c>
      <c r="E76" s="1">
        <v>16</v>
      </c>
      <c r="F76" s="1" t="s">
        <v>1</v>
      </c>
      <c r="G76" s="1" t="s">
        <v>0</v>
      </c>
      <c r="H76" s="1">
        <v>7</v>
      </c>
      <c r="I76" s="1">
        <v>0</v>
      </c>
    </row>
    <row r="77" spans="1:9" x14ac:dyDescent="0.3">
      <c r="A77" s="1">
        <v>2</v>
      </c>
      <c r="B77" s="1">
        <v>1</v>
      </c>
      <c r="C77" s="1" t="s">
        <v>2</v>
      </c>
      <c r="D77" s="1" t="s">
        <v>0</v>
      </c>
      <c r="E77" s="1">
        <v>0</v>
      </c>
      <c r="F77" s="1" t="s">
        <v>1</v>
      </c>
      <c r="G77" s="1" t="s">
        <v>0</v>
      </c>
      <c r="H77" s="1">
        <v>32</v>
      </c>
      <c r="I77" s="1">
        <v>1</v>
      </c>
    </row>
    <row r="78" spans="1:9" x14ac:dyDescent="0.3">
      <c r="A78" s="1">
        <v>2</v>
      </c>
      <c r="B78" s="1">
        <v>1</v>
      </c>
      <c r="C78" s="1" t="s">
        <v>2</v>
      </c>
      <c r="D78" s="1" t="s">
        <v>0</v>
      </c>
      <c r="E78" s="1">
        <v>36</v>
      </c>
      <c r="F78" s="1" t="s">
        <v>1</v>
      </c>
      <c r="G78" s="1" t="s">
        <v>0</v>
      </c>
      <c r="H78" s="1">
        <v>5</v>
      </c>
      <c r="I78" s="1">
        <v>0</v>
      </c>
    </row>
    <row r="79" spans="1:9" x14ac:dyDescent="0.3">
      <c r="A79" s="1">
        <v>2</v>
      </c>
      <c r="B79" s="1">
        <v>1</v>
      </c>
      <c r="C79" s="1" t="s">
        <v>2</v>
      </c>
      <c r="D79" s="1" t="s">
        <v>0</v>
      </c>
      <c r="E79" s="1">
        <v>44</v>
      </c>
      <c r="F79" s="1" t="s">
        <v>1</v>
      </c>
      <c r="G79" s="1" t="s">
        <v>0</v>
      </c>
      <c r="H79" s="1">
        <v>39</v>
      </c>
      <c r="I79" s="1">
        <v>0</v>
      </c>
    </row>
    <row r="80" spans="1:9" x14ac:dyDescent="0.3">
      <c r="A80" s="1">
        <v>2</v>
      </c>
      <c r="B80" s="1">
        <v>1</v>
      </c>
      <c r="C80" s="1" t="s">
        <v>2</v>
      </c>
      <c r="D80" s="1" t="s">
        <v>0</v>
      </c>
      <c r="E80" s="1">
        <v>16</v>
      </c>
      <c r="F80" s="1" t="s">
        <v>1</v>
      </c>
      <c r="G80" s="1" t="s">
        <v>0</v>
      </c>
      <c r="H80" s="1">
        <v>47</v>
      </c>
      <c r="I80" s="1">
        <v>1</v>
      </c>
    </row>
    <row r="81" spans="1:9" x14ac:dyDescent="0.3">
      <c r="A81" s="1">
        <v>2</v>
      </c>
      <c r="B81" s="1">
        <v>1</v>
      </c>
      <c r="C81" s="1" t="s">
        <v>2</v>
      </c>
      <c r="D81" s="1" t="s">
        <v>0</v>
      </c>
      <c r="E81" s="1">
        <v>6</v>
      </c>
      <c r="F81" s="1" t="s">
        <v>1</v>
      </c>
      <c r="G81" s="1" t="s">
        <v>0</v>
      </c>
      <c r="H81" s="1">
        <v>20</v>
      </c>
      <c r="I81" s="1">
        <v>1</v>
      </c>
    </row>
    <row r="82" spans="1:9" x14ac:dyDescent="0.3">
      <c r="A82" s="1">
        <v>2</v>
      </c>
      <c r="B82" s="1">
        <v>1</v>
      </c>
      <c r="C82" s="1" t="s">
        <v>2</v>
      </c>
      <c r="D82" s="1" t="s">
        <v>0</v>
      </c>
      <c r="E82" s="1">
        <v>52</v>
      </c>
      <c r="F82" s="1" t="s">
        <v>1</v>
      </c>
      <c r="G82" s="1" t="s">
        <v>0</v>
      </c>
      <c r="H82" s="1">
        <v>15</v>
      </c>
      <c r="I82" s="1">
        <v>0</v>
      </c>
    </row>
    <row r="83" spans="1:9" x14ac:dyDescent="0.3">
      <c r="A83" s="1">
        <v>2</v>
      </c>
      <c r="B83" s="1">
        <v>1</v>
      </c>
      <c r="C83" s="1" t="s">
        <v>2</v>
      </c>
      <c r="D83" s="1" t="s">
        <v>0</v>
      </c>
      <c r="E83" s="1">
        <v>2</v>
      </c>
      <c r="F83" s="1" t="s">
        <v>1</v>
      </c>
      <c r="G83" s="1" t="s">
        <v>0</v>
      </c>
      <c r="H83" s="1">
        <v>53</v>
      </c>
      <c r="I83" s="1">
        <v>1</v>
      </c>
    </row>
    <row r="84" spans="1:9" x14ac:dyDescent="0.3">
      <c r="A84" s="1">
        <v>2</v>
      </c>
      <c r="B84" s="1">
        <v>1</v>
      </c>
      <c r="C84" s="1" t="s">
        <v>2</v>
      </c>
      <c r="D84" s="1" t="s">
        <v>0</v>
      </c>
      <c r="E84" s="1">
        <v>40</v>
      </c>
      <c r="F84" s="1" t="s">
        <v>1</v>
      </c>
      <c r="G84" s="1" t="s">
        <v>0</v>
      </c>
      <c r="H84" s="1">
        <v>9</v>
      </c>
      <c r="I84" s="1">
        <v>0</v>
      </c>
    </row>
    <row r="85" spans="1:9" x14ac:dyDescent="0.3">
      <c r="A85" s="1">
        <v>2</v>
      </c>
      <c r="B85" s="1">
        <v>1</v>
      </c>
      <c r="C85" s="1" t="s">
        <v>2</v>
      </c>
      <c r="D85" s="1" t="s">
        <v>0</v>
      </c>
      <c r="E85" s="1">
        <v>6</v>
      </c>
      <c r="F85" s="1" t="s">
        <v>1</v>
      </c>
      <c r="G85" s="1" t="s">
        <v>0</v>
      </c>
      <c r="H85" s="1">
        <v>26</v>
      </c>
      <c r="I85" s="1">
        <v>1</v>
      </c>
    </row>
    <row r="86" spans="1:9" x14ac:dyDescent="0.3">
      <c r="A86" s="1">
        <v>2</v>
      </c>
      <c r="B86" s="1">
        <v>1</v>
      </c>
      <c r="C86" s="1" t="s">
        <v>2</v>
      </c>
      <c r="D86" s="1" t="s">
        <v>0</v>
      </c>
      <c r="E86" s="1">
        <v>0</v>
      </c>
      <c r="F86" s="1" t="s">
        <v>1</v>
      </c>
      <c r="G86" s="1" t="s">
        <v>0</v>
      </c>
      <c r="H86" s="1">
        <v>23</v>
      </c>
      <c r="I86" s="1">
        <v>1</v>
      </c>
    </row>
    <row r="87" spans="1:9" x14ac:dyDescent="0.3">
      <c r="A87" s="1">
        <v>2</v>
      </c>
      <c r="B87" s="1">
        <v>1</v>
      </c>
      <c r="C87" s="1" t="s">
        <v>2</v>
      </c>
      <c r="D87" s="1" t="s">
        <v>0</v>
      </c>
      <c r="E87" s="1">
        <v>19</v>
      </c>
      <c r="F87" s="1" t="s">
        <v>1</v>
      </c>
      <c r="G87" s="1" t="s">
        <v>0</v>
      </c>
      <c r="H87" s="1">
        <v>27</v>
      </c>
      <c r="I87" s="1">
        <v>1</v>
      </c>
    </row>
    <row r="88" spans="1:9" x14ac:dyDescent="0.3">
      <c r="A88" s="1">
        <v>2</v>
      </c>
      <c r="B88" s="1">
        <v>1</v>
      </c>
      <c r="C88" s="1" t="s">
        <v>2</v>
      </c>
      <c r="D88" s="1" t="s">
        <v>0</v>
      </c>
      <c r="E88" s="1">
        <v>0</v>
      </c>
      <c r="F88" s="1" t="s">
        <v>1</v>
      </c>
      <c r="G88" s="1" t="s">
        <v>0</v>
      </c>
      <c r="H88" s="1">
        <v>47</v>
      </c>
      <c r="I88" s="1">
        <v>1</v>
      </c>
    </row>
    <row r="89" spans="1:9" x14ac:dyDescent="0.3">
      <c r="A89" s="1">
        <v>2</v>
      </c>
      <c r="B89" s="1">
        <v>1</v>
      </c>
      <c r="C89" s="1" t="s">
        <v>2</v>
      </c>
      <c r="D89" s="1" t="s">
        <v>0</v>
      </c>
      <c r="E89" s="1">
        <v>8</v>
      </c>
      <c r="F89" s="1" t="s">
        <v>1</v>
      </c>
      <c r="G89" s="1" t="s">
        <v>0</v>
      </c>
      <c r="H89" s="1">
        <v>33</v>
      </c>
      <c r="I89" s="1">
        <v>1</v>
      </c>
    </row>
    <row r="90" spans="1:9" x14ac:dyDescent="0.3">
      <c r="A90" s="1">
        <v>2</v>
      </c>
      <c r="B90" s="1">
        <v>1</v>
      </c>
      <c r="C90" s="1" t="s">
        <v>2</v>
      </c>
      <c r="D90" s="1" t="s">
        <v>0</v>
      </c>
      <c r="E90" s="1">
        <v>27</v>
      </c>
      <c r="F90" s="1" t="s">
        <v>1</v>
      </c>
      <c r="G90" s="1" t="s">
        <v>0</v>
      </c>
      <c r="H90" s="1">
        <v>29</v>
      </c>
      <c r="I90" s="1">
        <v>1</v>
      </c>
    </row>
    <row r="91" spans="1:9" x14ac:dyDescent="0.3">
      <c r="A91" s="1">
        <v>2</v>
      </c>
      <c r="B91" s="1">
        <v>1</v>
      </c>
      <c r="C91" s="1" t="s">
        <v>2</v>
      </c>
      <c r="D91" s="1" t="s">
        <v>0</v>
      </c>
      <c r="E91" s="1">
        <v>2</v>
      </c>
      <c r="F91" s="1" t="s">
        <v>1</v>
      </c>
      <c r="G91" s="1" t="s">
        <v>0</v>
      </c>
      <c r="H91" s="1">
        <v>19</v>
      </c>
      <c r="I91" s="1">
        <v>1</v>
      </c>
    </row>
    <row r="92" spans="1:9" x14ac:dyDescent="0.3">
      <c r="A92" s="1">
        <v>2</v>
      </c>
      <c r="B92" s="1">
        <v>1</v>
      </c>
      <c r="C92" s="1" t="s">
        <v>2</v>
      </c>
      <c r="D92" s="1" t="s">
        <v>0</v>
      </c>
      <c r="E92" s="1">
        <v>8</v>
      </c>
      <c r="F92" s="1" t="s">
        <v>1</v>
      </c>
      <c r="G92" s="1" t="s">
        <v>0</v>
      </c>
      <c r="H92" s="1">
        <v>15</v>
      </c>
      <c r="I92" s="1">
        <v>1</v>
      </c>
    </row>
    <row r="93" spans="1:9" x14ac:dyDescent="0.3">
      <c r="A93" s="1">
        <v>2</v>
      </c>
      <c r="B93" s="1">
        <v>1</v>
      </c>
      <c r="C93" s="1" t="s">
        <v>2</v>
      </c>
      <c r="D93" s="1" t="s">
        <v>0</v>
      </c>
      <c r="E93" s="1">
        <v>9</v>
      </c>
      <c r="F93" s="1" t="s">
        <v>1</v>
      </c>
      <c r="G93" s="1" t="s">
        <v>0</v>
      </c>
      <c r="H93" s="1">
        <v>47</v>
      </c>
      <c r="I93" s="1">
        <v>1</v>
      </c>
    </row>
    <row r="94" spans="1:9" x14ac:dyDescent="0.3">
      <c r="A94" s="1">
        <v>2</v>
      </c>
      <c r="B94" s="1">
        <v>1</v>
      </c>
      <c r="C94" s="1" t="s">
        <v>2</v>
      </c>
      <c r="D94" s="1" t="s">
        <v>0</v>
      </c>
      <c r="E94" s="1">
        <v>20</v>
      </c>
      <c r="F94" s="1" t="s">
        <v>1</v>
      </c>
      <c r="G94" s="1" t="s">
        <v>0</v>
      </c>
      <c r="H94" s="1">
        <v>40</v>
      </c>
      <c r="I94" s="1">
        <v>1</v>
      </c>
    </row>
    <row r="95" spans="1:9" x14ac:dyDescent="0.3">
      <c r="A95" s="1">
        <v>2</v>
      </c>
      <c r="B95" s="1">
        <v>1</v>
      </c>
      <c r="C95" s="1" t="s">
        <v>2</v>
      </c>
      <c r="D95" s="1" t="s">
        <v>0</v>
      </c>
      <c r="E95" s="1">
        <v>2</v>
      </c>
      <c r="F95" s="1" t="s">
        <v>1</v>
      </c>
      <c r="G95" s="1" t="s">
        <v>0</v>
      </c>
      <c r="H95" s="1">
        <v>3</v>
      </c>
      <c r="I95" s="1">
        <v>1</v>
      </c>
    </row>
    <row r="96" spans="1:9" x14ac:dyDescent="0.3">
      <c r="A96" s="1">
        <v>2</v>
      </c>
      <c r="B96" s="1">
        <v>1</v>
      </c>
      <c r="C96" s="1" t="s">
        <v>2</v>
      </c>
      <c r="D96" s="1" t="s">
        <v>0</v>
      </c>
      <c r="E96" s="1">
        <v>51</v>
      </c>
      <c r="F96" s="1" t="s">
        <v>1</v>
      </c>
      <c r="G96" s="1" t="s">
        <v>0</v>
      </c>
      <c r="H96" s="1">
        <v>2</v>
      </c>
      <c r="I96" s="1">
        <v>0</v>
      </c>
    </row>
    <row r="97" spans="1:9" x14ac:dyDescent="0.3">
      <c r="A97" s="1">
        <v>2</v>
      </c>
      <c r="B97" s="1">
        <v>1</v>
      </c>
      <c r="C97" s="1" t="s">
        <v>2</v>
      </c>
      <c r="D97" s="1" t="s">
        <v>0</v>
      </c>
      <c r="E97" s="1">
        <v>21</v>
      </c>
      <c r="F97" s="1" t="s">
        <v>1</v>
      </c>
      <c r="G97" s="1" t="s">
        <v>0</v>
      </c>
      <c r="H97" s="1">
        <v>33</v>
      </c>
      <c r="I97" s="1">
        <v>1</v>
      </c>
    </row>
    <row r="98" spans="1:9" x14ac:dyDescent="0.3">
      <c r="A98" s="1">
        <v>2</v>
      </c>
      <c r="B98" s="1">
        <v>1</v>
      </c>
      <c r="C98" s="1" t="s">
        <v>2</v>
      </c>
      <c r="D98" s="1" t="s">
        <v>0</v>
      </c>
      <c r="E98" s="1">
        <v>33</v>
      </c>
      <c r="F98" s="1" t="s">
        <v>1</v>
      </c>
      <c r="G98" s="1" t="s">
        <v>0</v>
      </c>
      <c r="H98" s="1">
        <v>3</v>
      </c>
      <c r="I98" s="1">
        <v>0</v>
      </c>
    </row>
    <row r="99" spans="1:9" x14ac:dyDescent="0.3">
      <c r="A99" s="1">
        <v>2</v>
      </c>
      <c r="B99" s="1">
        <v>1</v>
      </c>
      <c r="C99" s="1" t="s">
        <v>2</v>
      </c>
      <c r="D99" s="1" t="s">
        <v>0</v>
      </c>
      <c r="E99" s="1">
        <v>3</v>
      </c>
      <c r="F99" s="1" t="s">
        <v>1</v>
      </c>
      <c r="G99" s="1" t="s">
        <v>0</v>
      </c>
      <c r="H99" s="1">
        <v>50</v>
      </c>
      <c r="I99" s="1">
        <v>1</v>
      </c>
    </row>
    <row r="100" spans="1:9" x14ac:dyDescent="0.3">
      <c r="A100" s="1">
        <v>2</v>
      </c>
      <c r="B100" s="1">
        <v>1</v>
      </c>
      <c r="C100" s="1" t="s">
        <v>2</v>
      </c>
      <c r="D100" s="1" t="s">
        <v>0</v>
      </c>
      <c r="E100" s="1">
        <v>27</v>
      </c>
      <c r="F100" s="1" t="s">
        <v>1</v>
      </c>
      <c r="G100" s="1" t="s">
        <v>0</v>
      </c>
      <c r="H100" s="1">
        <v>18</v>
      </c>
      <c r="I100" s="1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8F4D-FBA9-40EE-92B6-98C2AEE1BAAE}">
  <dimension ref="A1:T100"/>
  <sheetViews>
    <sheetView topLeftCell="L1" workbookViewId="0">
      <selection activeCell="T2" sqref="T2:T3"/>
    </sheetView>
  </sheetViews>
  <sheetFormatPr defaultRowHeight="14.4" x14ac:dyDescent="0.3"/>
  <cols>
    <col min="1" max="16384" width="8.88671875" style="1"/>
  </cols>
  <sheetData>
    <row r="1" spans="1:20" x14ac:dyDescent="0.3">
      <c r="A1" s="1">
        <v>2</v>
      </c>
      <c r="B1" s="1">
        <v>0</v>
      </c>
      <c r="C1" s="1" t="s">
        <v>2</v>
      </c>
      <c r="D1" s="1" t="s">
        <v>0</v>
      </c>
      <c r="E1" s="1">
        <v>22</v>
      </c>
      <c r="F1" s="1" t="s">
        <v>1</v>
      </c>
      <c r="G1" s="1" t="s">
        <v>0</v>
      </c>
      <c r="H1" s="1">
        <v>3</v>
      </c>
      <c r="I1" s="1">
        <v>0</v>
      </c>
      <c r="K1" s="2"/>
      <c r="L1" s="3"/>
      <c r="M1" s="24" t="s">
        <v>3</v>
      </c>
      <c r="N1" s="24"/>
      <c r="O1" s="19" t="s">
        <v>4</v>
      </c>
      <c r="P1" s="19"/>
      <c r="Q1" s="19" t="s">
        <v>5</v>
      </c>
      <c r="R1" s="19"/>
    </row>
    <row r="2" spans="1:20" x14ac:dyDescent="0.3">
      <c r="A2" s="1">
        <v>2</v>
      </c>
      <c r="B2" s="1">
        <v>0</v>
      </c>
      <c r="C2" s="1" t="s">
        <v>2</v>
      </c>
      <c r="D2" s="1" t="s">
        <v>0</v>
      </c>
      <c r="E2" s="1">
        <v>45</v>
      </c>
      <c r="F2" s="1" t="s">
        <v>1</v>
      </c>
      <c r="G2" s="1" t="s">
        <v>0</v>
      </c>
      <c r="H2" s="1">
        <v>10</v>
      </c>
      <c r="I2" s="1">
        <v>0</v>
      </c>
      <c r="K2" s="4"/>
      <c r="L2" s="5"/>
      <c r="M2" s="24"/>
      <c r="N2" s="24"/>
      <c r="O2" s="19"/>
      <c r="P2" s="19"/>
      <c r="Q2" s="19"/>
      <c r="R2" s="19"/>
      <c r="T2" t="s">
        <v>15</v>
      </c>
    </row>
    <row r="3" spans="1:20" x14ac:dyDescent="0.3">
      <c r="A3" s="1">
        <v>2</v>
      </c>
      <c r="B3" s="1">
        <v>0</v>
      </c>
      <c r="C3" s="1" t="s">
        <v>2</v>
      </c>
      <c r="D3" s="1" t="s">
        <v>0</v>
      </c>
      <c r="E3" s="1">
        <v>58</v>
      </c>
      <c r="F3" s="1" t="s">
        <v>1</v>
      </c>
      <c r="G3" s="1" t="s">
        <v>0</v>
      </c>
      <c r="H3" s="1">
        <v>34</v>
      </c>
      <c r="I3" s="1">
        <v>0</v>
      </c>
      <c r="K3" s="19" t="s">
        <v>6</v>
      </c>
      <c r="L3" s="19"/>
      <c r="M3" s="20">
        <f>COUNTIF($I$1:$I$100, 0)</f>
        <v>48</v>
      </c>
      <c r="N3" s="20"/>
      <c r="O3" s="20">
        <f>COUNTIFS($I$1:$I$100, 0, $B$1:$B$100, 0)</f>
        <v>26</v>
      </c>
      <c r="P3" s="20"/>
      <c r="Q3" s="21">
        <f>COUNTIFS($I$1:$I$100, 0, $B$1:$B$100, 1)</f>
        <v>22</v>
      </c>
      <c r="R3" s="10"/>
      <c r="T3" cm="1">
        <f t="array" ref="T3">SUMPRODUCT(--($E$1:$E$100=$H$1:$H$100))</f>
        <v>1</v>
      </c>
    </row>
    <row r="4" spans="1:20" x14ac:dyDescent="0.3">
      <c r="A4" s="1">
        <v>2</v>
      </c>
      <c r="B4" s="1">
        <v>0</v>
      </c>
      <c r="C4" s="1" t="s">
        <v>2</v>
      </c>
      <c r="D4" s="1" t="s">
        <v>0</v>
      </c>
      <c r="E4" s="1">
        <v>37</v>
      </c>
      <c r="F4" s="1" t="s">
        <v>1</v>
      </c>
      <c r="G4" s="1" t="s">
        <v>0</v>
      </c>
      <c r="H4" s="1">
        <v>11</v>
      </c>
      <c r="I4" s="1">
        <v>0</v>
      </c>
      <c r="K4" s="19"/>
      <c r="L4" s="19"/>
      <c r="M4" s="20"/>
      <c r="N4" s="20"/>
      <c r="O4" s="20"/>
      <c r="P4" s="20"/>
      <c r="Q4" s="20"/>
      <c r="R4" s="12"/>
    </row>
    <row r="5" spans="1:20" x14ac:dyDescent="0.3">
      <c r="A5" s="1">
        <v>2</v>
      </c>
      <c r="B5" s="1">
        <v>0</v>
      </c>
      <c r="C5" s="1" t="s">
        <v>2</v>
      </c>
      <c r="D5" s="1" t="s">
        <v>0</v>
      </c>
      <c r="E5" s="1">
        <v>2</v>
      </c>
      <c r="F5" s="1" t="s">
        <v>1</v>
      </c>
      <c r="G5" s="1" t="s">
        <v>0</v>
      </c>
      <c r="H5" s="1">
        <v>30</v>
      </c>
      <c r="I5" s="1">
        <v>1</v>
      </c>
      <c r="K5" s="19" t="s">
        <v>7</v>
      </c>
      <c r="L5" s="19"/>
      <c r="M5" s="11">
        <f>COUNTIF($I$1:$I$100, 1)</f>
        <v>52</v>
      </c>
      <c r="N5" s="20"/>
      <c r="O5" s="20">
        <f>COUNTIFS($I$1:$I$100, 1, $B$1:$B$100, 0)</f>
        <v>24</v>
      </c>
      <c r="P5" s="20"/>
      <c r="Q5" s="20">
        <f>COUNTIFS($I$1:$I$100, 1, $B$1:$B$100, 1)</f>
        <v>28</v>
      </c>
      <c r="R5" s="12"/>
    </row>
    <row r="6" spans="1:20" x14ac:dyDescent="0.3">
      <c r="A6" s="1">
        <v>2</v>
      </c>
      <c r="B6" s="1">
        <v>0</v>
      </c>
      <c r="C6" s="1" t="s">
        <v>2</v>
      </c>
      <c r="D6" s="1" t="s">
        <v>0</v>
      </c>
      <c r="E6" s="1">
        <v>41</v>
      </c>
      <c r="F6" s="1" t="s">
        <v>1</v>
      </c>
      <c r="G6" s="1" t="s">
        <v>0</v>
      </c>
      <c r="H6" s="1">
        <v>2</v>
      </c>
      <c r="I6" s="1">
        <v>0</v>
      </c>
      <c r="K6" s="19"/>
      <c r="L6" s="19"/>
      <c r="M6" s="13"/>
      <c r="N6" s="22"/>
      <c r="O6" s="22"/>
      <c r="P6" s="22"/>
      <c r="Q6" s="22"/>
      <c r="R6" s="14"/>
    </row>
    <row r="7" spans="1:20" x14ac:dyDescent="0.3">
      <c r="A7" s="1">
        <v>2</v>
      </c>
      <c r="B7" s="1">
        <v>0</v>
      </c>
      <c r="C7" s="1" t="s">
        <v>2</v>
      </c>
      <c r="D7" s="1" t="s">
        <v>0</v>
      </c>
      <c r="E7" s="1">
        <v>23</v>
      </c>
      <c r="F7" s="1" t="s">
        <v>1</v>
      </c>
      <c r="G7" s="1" t="s">
        <v>0</v>
      </c>
      <c r="H7" s="1">
        <v>20</v>
      </c>
      <c r="I7" s="1">
        <v>0</v>
      </c>
      <c r="K7" s="6"/>
      <c r="L7" s="6"/>
      <c r="M7" s="6"/>
      <c r="N7" s="6"/>
      <c r="O7" s="6"/>
      <c r="P7" s="6"/>
      <c r="Q7" s="6"/>
      <c r="R7" s="6"/>
    </row>
    <row r="8" spans="1:20" x14ac:dyDescent="0.3">
      <c r="A8" s="1">
        <v>2</v>
      </c>
      <c r="B8" s="1">
        <v>0</v>
      </c>
      <c r="C8" s="1" t="s">
        <v>2</v>
      </c>
      <c r="D8" s="1" t="s">
        <v>0</v>
      </c>
      <c r="E8" s="1">
        <v>9</v>
      </c>
      <c r="F8" s="1" t="s">
        <v>1</v>
      </c>
      <c r="G8" s="1" t="s">
        <v>0</v>
      </c>
      <c r="H8" s="1">
        <v>7</v>
      </c>
      <c r="I8" s="1">
        <v>0</v>
      </c>
      <c r="K8" s="7"/>
      <c r="L8" s="8"/>
      <c r="M8" s="23" t="s">
        <v>3</v>
      </c>
      <c r="N8" s="23"/>
      <c r="O8" s="23" t="s">
        <v>8</v>
      </c>
      <c r="P8" s="23"/>
      <c r="Q8" s="23" t="s">
        <v>9</v>
      </c>
      <c r="R8" s="23"/>
    </row>
    <row r="9" spans="1:20" x14ac:dyDescent="0.3">
      <c r="A9" s="1">
        <v>2</v>
      </c>
      <c r="B9" s="1">
        <v>0</v>
      </c>
      <c r="C9" s="1" t="s">
        <v>2</v>
      </c>
      <c r="D9" s="1" t="s">
        <v>0</v>
      </c>
      <c r="E9" s="1">
        <v>29</v>
      </c>
      <c r="F9" s="1" t="s">
        <v>1</v>
      </c>
      <c r="G9" s="1" t="s">
        <v>0</v>
      </c>
      <c r="H9" s="1">
        <v>0</v>
      </c>
      <c r="I9" s="1">
        <v>0</v>
      </c>
      <c r="K9" s="4"/>
      <c r="L9" s="5"/>
      <c r="M9" s="23"/>
      <c r="N9" s="23"/>
      <c r="O9" s="23"/>
      <c r="P9" s="23"/>
      <c r="Q9" s="23"/>
      <c r="R9" s="23"/>
    </row>
    <row r="10" spans="1:20" x14ac:dyDescent="0.3">
      <c r="A10" s="1">
        <v>2</v>
      </c>
      <c r="B10" s="1">
        <v>0</v>
      </c>
      <c r="C10" s="1" t="s">
        <v>2</v>
      </c>
      <c r="D10" s="1" t="s">
        <v>0</v>
      </c>
      <c r="E10" s="1">
        <v>5</v>
      </c>
      <c r="F10" s="1" t="s">
        <v>1</v>
      </c>
      <c r="G10" s="1" t="s">
        <v>0</v>
      </c>
      <c r="H10" s="1">
        <v>7</v>
      </c>
      <c r="I10" s="1">
        <v>1</v>
      </c>
      <c r="K10" s="19" t="s">
        <v>10</v>
      </c>
      <c r="L10" s="19"/>
      <c r="M10" s="20">
        <f>AVERAGE($E$1:$E$100,)</f>
        <v>22.693069306930692</v>
      </c>
      <c r="N10" s="20"/>
      <c r="O10" s="20" cm="1">
        <f t="array" ref="O10">AVERAGE(_xlfn._xlws.FILTER($E$1:$E$100,$I$1:$I$100 = 0))</f>
        <v>34.166666666666664</v>
      </c>
      <c r="P10" s="20"/>
      <c r="Q10" s="21" cm="1">
        <f t="array" ref="Q10">AVERAGE(_xlfn._xlws.FILTER($E$1:$E$100,$I$1:$I$100 = 1))</f>
        <v>12.538461538461538</v>
      </c>
      <c r="R10" s="10"/>
    </row>
    <row r="11" spans="1:20" x14ac:dyDescent="0.3">
      <c r="A11" s="1">
        <v>2</v>
      </c>
      <c r="B11" s="1">
        <v>0</v>
      </c>
      <c r="C11" s="1" t="s">
        <v>2</v>
      </c>
      <c r="D11" s="1" t="s">
        <v>0</v>
      </c>
      <c r="E11" s="1">
        <v>20</v>
      </c>
      <c r="F11" s="1" t="s">
        <v>1</v>
      </c>
      <c r="G11" s="1" t="s">
        <v>0</v>
      </c>
      <c r="H11" s="1">
        <v>15</v>
      </c>
      <c r="I11" s="1">
        <v>0</v>
      </c>
      <c r="K11" s="19"/>
      <c r="L11" s="19"/>
      <c r="M11" s="20"/>
      <c r="N11" s="20"/>
      <c r="O11" s="20"/>
      <c r="P11" s="20"/>
      <c r="Q11" s="20"/>
      <c r="R11" s="12"/>
    </row>
    <row r="12" spans="1:20" x14ac:dyDescent="0.3">
      <c r="A12" s="1">
        <v>2</v>
      </c>
      <c r="B12" s="1">
        <v>0</v>
      </c>
      <c r="C12" s="1" t="s">
        <v>2</v>
      </c>
      <c r="D12" s="1" t="s">
        <v>0</v>
      </c>
      <c r="E12" s="1">
        <v>12</v>
      </c>
      <c r="F12" s="1" t="s">
        <v>1</v>
      </c>
      <c r="G12" s="1" t="s">
        <v>0</v>
      </c>
      <c r="H12" s="1">
        <v>32</v>
      </c>
      <c r="I12" s="1">
        <v>1</v>
      </c>
      <c r="K12" s="19" t="s">
        <v>11</v>
      </c>
      <c r="L12" s="19"/>
      <c r="M12" s="20">
        <f>AVERAGE($H$1:$H$100,)</f>
        <v>21.801980198019802</v>
      </c>
      <c r="N12" s="20"/>
      <c r="O12" s="20" cm="1">
        <f t="array" ref="O12">AVERAGE(_xlfn._xlws.FILTER($H$1:$H$100,$I$1:$I$100 = 0))</f>
        <v>10.166666666666666</v>
      </c>
      <c r="P12" s="20"/>
      <c r="Q12" s="20" cm="1">
        <f t="array" ref="Q12">AVERAGE(_xlfn._xlws.FILTER($H$1:$H$100,$I$1:$I$100 = 1))</f>
        <v>32.96153846153846</v>
      </c>
      <c r="R12" s="12"/>
    </row>
    <row r="13" spans="1:20" x14ac:dyDescent="0.3">
      <c r="A13" s="1">
        <v>2</v>
      </c>
      <c r="B13" s="1">
        <v>0</v>
      </c>
      <c r="C13" s="1" t="s">
        <v>2</v>
      </c>
      <c r="D13" s="1" t="s">
        <v>0</v>
      </c>
      <c r="E13" s="1">
        <v>22</v>
      </c>
      <c r="F13" s="1" t="s">
        <v>1</v>
      </c>
      <c r="G13" s="1" t="s">
        <v>0</v>
      </c>
      <c r="H13" s="1">
        <v>55</v>
      </c>
      <c r="I13" s="1">
        <v>1</v>
      </c>
      <c r="K13" s="19"/>
      <c r="L13" s="19"/>
      <c r="M13" s="20"/>
      <c r="N13" s="20"/>
      <c r="O13" s="20"/>
      <c r="P13" s="20"/>
      <c r="Q13" s="20"/>
      <c r="R13" s="12"/>
    </row>
    <row r="14" spans="1:20" x14ac:dyDescent="0.3">
      <c r="A14" s="1">
        <v>2</v>
      </c>
      <c r="B14" s="1">
        <v>0</v>
      </c>
      <c r="C14" s="1" t="s">
        <v>2</v>
      </c>
      <c r="D14" s="1" t="s">
        <v>0</v>
      </c>
      <c r="E14" s="1">
        <v>40</v>
      </c>
      <c r="F14" s="1" t="s">
        <v>1</v>
      </c>
      <c r="G14" s="1" t="s">
        <v>0</v>
      </c>
      <c r="H14" s="1">
        <v>0</v>
      </c>
      <c r="I14" s="1">
        <v>0</v>
      </c>
      <c r="K14" s="9" t="s">
        <v>12</v>
      </c>
      <c r="L14" s="10"/>
      <c r="M14" s="15" cm="1">
        <f t="array" ref="M14">AVERAGE($E$1:$E$100 - $H$1:$H$100)</f>
        <v>0.9</v>
      </c>
      <c r="N14" s="15"/>
      <c r="O14" s="15" cm="1">
        <f t="array" ref="O14">AVERAGE(_xlfn._xlws.FILTER($E$1:$E$100 - $H$1:$H$100, I$1:I$100 = 0))</f>
        <v>24</v>
      </c>
      <c r="P14" s="15"/>
      <c r="Q14" s="15" cm="1">
        <f t="array" ref="Q14">AVERAGE(_xlfn._xlws.FILTER($E$1:$E$100 - $H$1:$H$100, I$1:I$100 = 1))</f>
        <v>-20.423076923076923</v>
      </c>
      <c r="R14" s="17"/>
    </row>
    <row r="15" spans="1:20" x14ac:dyDescent="0.3">
      <c r="A15" s="1">
        <v>2</v>
      </c>
      <c r="B15" s="1">
        <v>0</v>
      </c>
      <c r="C15" s="1" t="s">
        <v>2</v>
      </c>
      <c r="D15" s="1" t="s">
        <v>0</v>
      </c>
      <c r="E15" s="1">
        <v>18</v>
      </c>
      <c r="F15" s="1" t="s">
        <v>1</v>
      </c>
      <c r="G15" s="1" t="s">
        <v>0</v>
      </c>
      <c r="H15" s="1">
        <v>7</v>
      </c>
      <c r="I15" s="1">
        <v>0</v>
      </c>
      <c r="K15" s="11"/>
      <c r="L15" s="12"/>
      <c r="M15" s="15"/>
      <c r="N15" s="15"/>
      <c r="O15" s="15"/>
      <c r="P15" s="15"/>
      <c r="Q15" s="15"/>
      <c r="R15" s="17"/>
    </row>
    <row r="16" spans="1:20" x14ac:dyDescent="0.3">
      <c r="A16" s="1">
        <v>2</v>
      </c>
      <c r="B16" s="1">
        <v>0</v>
      </c>
      <c r="C16" s="1" t="s">
        <v>2</v>
      </c>
      <c r="D16" s="1" t="s">
        <v>0</v>
      </c>
      <c r="E16" s="1">
        <v>21</v>
      </c>
      <c r="F16" s="1" t="s">
        <v>1</v>
      </c>
      <c r="G16" s="1" t="s">
        <v>0</v>
      </c>
      <c r="H16" s="1">
        <v>41</v>
      </c>
      <c r="I16" s="1">
        <v>1</v>
      </c>
      <c r="K16" s="13"/>
      <c r="L16" s="14"/>
      <c r="M16" s="16"/>
      <c r="N16" s="16"/>
      <c r="O16" s="16"/>
      <c r="P16" s="16"/>
      <c r="Q16" s="16"/>
      <c r="R16" s="18"/>
    </row>
    <row r="17" spans="1:9" x14ac:dyDescent="0.3">
      <c r="A17" s="1">
        <v>2</v>
      </c>
      <c r="B17" s="1">
        <v>0</v>
      </c>
      <c r="C17" s="1" t="s">
        <v>2</v>
      </c>
      <c r="D17" s="1" t="s">
        <v>0</v>
      </c>
      <c r="E17" s="1">
        <v>2</v>
      </c>
      <c r="F17" s="1" t="s">
        <v>1</v>
      </c>
      <c r="G17" s="1" t="s">
        <v>0</v>
      </c>
      <c r="H17" s="1">
        <v>40</v>
      </c>
      <c r="I17" s="1">
        <v>1</v>
      </c>
    </row>
    <row r="18" spans="1:9" x14ac:dyDescent="0.3">
      <c r="A18" s="1">
        <v>2</v>
      </c>
      <c r="B18" s="1">
        <v>0</v>
      </c>
      <c r="C18" s="1" t="s">
        <v>2</v>
      </c>
      <c r="D18" s="1" t="s">
        <v>0</v>
      </c>
      <c r="E18" s="1">
        <v>58</v>
      </c>
      <c r="F18" s="1" t="s">
        <v>1</v>
      </c>
      <c r="G18" s="1" t="s">
        <v>0</v>
      </c>
      <c r="H18" s="1">
        <v>17</v>
      </c>
      <c r="I18" s="1">
        <v>0</v>
      </c>
    </row>
    <row r="19" spans="1:9" x14ac:dyDescent="0.3">
      <c r="A19" s="1">
        <v>2</v>
      </c>
      <c r="B19" s="1">
        <v>0</v>
      </c>
      <c r="C19" s="1" t="s">
        <v>2</v>
      </c>
      <c r="D19" s="1" t="s">
        <v>0</v>
      </c>
      <c r="E19" s="1">
        <v>8</v>
      </c>
      <c r="F19" s="1" t="s">
        <v>1</v>
      </c>
      <c r="G19" s="1" t="s">
        <v>0</v>
      </c>
      <c r="H19" s="1">
        <v>15</v>
      </c>
      <c r="I19" s="1">
        <v>1</v>
      </c>
    </row>
    <row r="20" spans="1:9" x14ac:dyDescent="0.3">
      <c r="A20" s="1">
        <v>2</v>
      </c>
      <c r="B20" s="1">
        <v>0</v>
      </c>
      <c r="C20" s="1" t="s">
        <v>2</v>
      </c>
      <c r="D20" s="1" t="s">
        <v>0</v>
      </c>
      <c r="E20" s="1">
        <v>10</v>
      </c>
      <c r="F20" s="1" t="s">
        <v>1</v>
      </c>
      <c r="G20" s="1" t="s">
        <v>0</v>
      </c>
      <c r="H20" s="1">
        <v>30</v>
      </c>
      <c r="I20" s="1">
        <v>1</v>
      </c>
    </row>
    <row r="21" spans="1:9" x14ac:dyDescent="0.3">
      <c r="A21" s="1">
        <v>2</v>
      </c>
      <c r="B21" s="1">
        <v>0</v>
      </c>
      <c r="C21" s="1" t="s">
        <v>2</v>
      </c>
      <c r="D21" s="1" t="s">
        <v>0</v>
      </c>
      <c r="E21" s="1">
        <v>6</v>
      </c>
      <c r="F21" s="1" t="s">
        <v>1</v>
      </c>
      <c r="G21" s="1" t="s">
        <v>0</v>
      </c>
      <c r="H21" s="1">
        <v>9</v>
      </c>
      <c r="I21" s="1">
        <v>1</v>
      </c>
    </row>
    <row r="22" spans="1:9" x14ac:dyDescent="0.3">
      <c r="A22" s="1">
        <v>2</v>
      </c>
      <c r="B22" s="1">
        <v>0</v>
      </c>
      <c r="C22" s="1" t="s">
        <v>2</v>
      </c>
      <c r="D22" s="1" t="s">
        <v>0</v>
      </c>
      <c r="E22" s="1">
        <v>8</v>
      </c>
      <c r="F22" s="1" t="s">
        <v>1</v>
      </c>
      <c r="G22" s="1" t="s">
        <v>0</v>
      </c>
      <c r="H22" s="1">
        <v>13</v>
      </c>
      <c r="I22" s="1">
        <v>1</v>
      </c>
    </row>
    <row r="23" spans="1:9" x14ac:dyDescent="0.3">
      <c r="A23" s="1">
        <v>2</v>
      </c>
      <c r="B23" s="1">
        <v>0</v>
      </c>
      <c r="C23" s="1" t="s">
        <v>2</v>
      </c>
      <c r="D23" s="1" t="s">
        <v>0</v>
      </c>
      <c r="E23" s="1">
        <v>31</v>
      </c>
      <c r="F23" s="1" t="s">
        <v>1</v>
      </c>
      <c r="G23" s="1" t="s">
        <v>0</v>
      </c>
      <c r="H23" s="1">
        <v>33</v>
      </c>
      <c r="I23" s="1">
        <v>1</v>
      </c>
    </row>
    <row r="24" spans="1:9" x14ac:dyDescent="0.3">
      <c r="A24" s="1">
        <v>2</v>
      </c>
      <c r="B24" s="1">
        <v>0</v>
      </c>
      <c r="C24" s="1" t="s">
        <v>2</v>
      </c>
      <c r="D24" s="1" t="s">
        <v>0</v>
      </c>
      <c r="E24" s="1">
        <v>20</v>
      </c>
      <c r="F24" s="1" t="s">
        <v>1</v>
      </c>
      <c r="G24" s="1" t="s">
        <v>0</v>
      </c>
      <c r="H24" s="1">
        <v>7</v>
      </c>
      <c r="I24" s="1">
        <v>0</v>
      </c>
    </row>
    <row r="25" spans="1:9" x14ac:dyDescent="0.3">
      <c r="A25" s="1">
        <v>2</v>
      </c>
      <c r="B25" s="1">
        <v>0</v>
      </c>
      <c r="C25" s="1" t="s">
        <v>2</v>
      </c>
      <c r="D25" s="1" t="s">
        <v>0</v>
      </c>
      <c r="E25" s="1">
        <v>14</v>
      </c>
      <c r="F25" s="1" t="s">
        <v>1</v>
      </c>
      <c r="G25" s="1" t="s">
        <v>0</v>
      </c>
      <c r="H25" s="1">
        <v>9</v>
      </c>
      <c r="I25" s="1">
        <v>0</v>
      </c>
    </row>
    <row r="26" spans="1:9" x14ac:dyDescent="0.3">
      <c r="A26" s="1">
        <v>2</v>
      </c>
      <c r="B26" s="1">
        <v>0</v>
      </c>
      <c r="C26" s="1" t="s">
        <v>2</v>
      </c>
      <c r="D26" s="1" t="s">
        <v>0</v>
      </c>
      <c r="E26" s="1">
        <v>25</v>
      </c>
      <c r="F26" s="1" t="s">
        <v>1</v>
      </c>
      <c r="G26" s="1" t="s">
        <v>0</v>
      </c>
      <c r="H26" s="1">
        <v>16</v>
      </c>
      <c r="I26" s="1">
        <v>0</v>
      </c>
    </row>
    <row r="27" spans="1:9" x14ac:dyDescent="0.3">
      <c r="A27" s="1">
        <v>2</v>
      </c>
      <c r="B27" s="1">
        <v>0</v>
      </c>
      <c r="C27" s="1" t="s">
        <v>2</v>
      </c>
      <c r="D27" s="1" t="s">
        <v>0</v>
      </c>
      <c r="E27" s="1">
        <v>48</v>
      </c>
      <c r="F27" s="1" t="s">
        <v>1</v>
      </c>
      <c r="G27" s="1" t="s">
        <v>0</v>
      </c>
      <c r="H27" s="1">
        <v>2</v>
      </c>
      <c r="I27" s="1">
        <v>0</v>
      </c>
    </row>
    <row r="28" spans="1:9" x14ac:dyDescent="0.3">
      <c r="A28" s="1">
        <v>2</v>
      </c>
      <c r="B28" s="1">
        <v>0</v>
      </c>
      <c r="C28" s="1" t="s">
        <v>2</v>
      </c>
      <c r="D28" s="1" t="s">
        <v>0</v>
      </c>
      <c r="E28" s="1">
        <v>28</v>
      </c>
      <c r="F28" s="1" t="s">
        <v>1</v>
      </c>
      <c r="G28" s="1" t="s">
        <v>0</v>
      </c>
      <c r="H28" s="1">
        <v>28</v>
      </c>
      <c r="I28" s="1">
        <v>0</v>
      </c>
    </row>
    <row r="29" spans="1:9" x14ac:dyDescent="0.3">
      <c r="A29" s="1">
        <v>2</v>
      </c>
      <c r="B29" s="1">
        <v>0</v>
      </c>
      <c r="C29" s="1" t="s">
        <v>2</v>
      </c>
      <c r="D29" s="1" t="s">
        <v>0</v>
      </c>
      <c r="E29" s="1">
        <v>40</v>
      </c>
      <c r="F29" s="1" t="s">
        <v>1</v>
      </c>
      <c r="G29" s="1" t="s">
        <v>0</v>
      </c>
      <c r="H29" s="1">
        <v>30</v>
      </c>
      <c r="I29" s="1">
        <v>0</v>
      </c>
    </row>
    <row r="30" spans="1:9" x14ac:dyDescent="0.3">
      <c r="A30" s="1">
        <v>2</v>
      </c>
      <c r="B30" s="1">
        <v>0</v>
      </c>
      <c r="C30" s="1" t="s">
        <v>2</v>
      </c>
      <c r="D30" s="1" t="s">
        <v>0</v>
      </c>
      <c r="E30" s="1">
        <v>7</v>
      </c>
      <c r="F30" s="1" t="s">
        <v>1</v>
      </c>
      <c r="G30" s="1" t="s">
        <v>0</v>
      </c>
      <c r="H30" s="1">
        <v>21</v>
      </c>
      <c r="I30" s="1">
        <v>1</v>
      </c>
    </row>
    <row r="31" spans="1:9" x14ac:dyDescent="0.3">
      <c r="A31" s="1">
        <v>2</v>
      </c>
      <c r="B31" s="1">
        <v>0</v>
      </c>
      <c r="C31" s="1" t="s">
        <v>2</v>
      </c>
      <c r="D31" s="1" t="s">
        <v>0</v>
      </c>
      <c r="E31" s="1">
        <v>11</v>
      </c>
      <c r="F31" s="1" t="s">
        <v>1</v>
      </c>
      <c r="G31" s="1" t="s">
        <v>0</v>
      </c>
      <c r="H31" s="1">
        <v>52</v>
      </c>
      <c r="I31" s="1">
        <v>1</v>
      </c>
    </row>
    <row r="32" spans="1:9" x14ac:dyDescent="0.3">
      <c r="A32" s="1">
        <v>2</v>
      </c>
      <c r="B32" s="1">
        <v>0</v>
      </c>
      <c r="C32" s="1" t="s">
        <v>2</v>
      </c>
      <c r="D32" s="1" t="s">
        <v>0</v>
      </c>
      <c r="E32" s="1">
        <v>9</v>
      </c>
      <c r="F32" s="1" t="s">
        <v>1</v>
      </c>
      <c r="G32" s="1" t="s">
        <v>0</v>
      </c>
      <c r="H32" s="1">
        <v>59</v>
      </c>
      <c r="I32" s="1">
        <v>1</v>
      </c>
    </row>
    <row r="33" spans="1:9" x14ac:dyDescent="0.3">
      <c r="A33" s="1">
        <v>2</v>
      </c>
      <c r="B33" s="1">
        <v>0</v>
      </c>
      <c r="C33" s="1" t="s">
        <v>2</v>
      </c>
      <c r="D33" s="1" t="s">
        <v>0</v>
      </c>
      <c r="E33" s="1">
        <v>0</v>
      </c>
      <c r="F33" s="1" t="s">
        <v>1</v>
      </c>
      <c r="G33" s="1" t="s">
        <v>0</v>
      </c>
      <c r="H33" s="1">
        <v>33</v>
      </c>
      <c r="I33" s="1">
        <v>1</v>
      </c>
    </row>
    <row r="34" spans="1:9" x14ac:dyDescent="0.3">
      <c r="A34" s="1">
        <v>2</v>
      </c>
      <c r="B34" s="1">
        <v>0</v>
      </c>
      <c r="C34" s="1" t="s">
        <v>2</v>
      </c>
      <c r="D34" s="1" t="s">
        <v>0</v>
      </c>
      <c r="E34" s="1">
        <v>42</v>
      </c>
      <c r="F34" s="1" t="s">
        <v>1</v>
      </c>
      <c r="G34" s="1" t="s">
        <v>0</v>
      </c>
      <c r="H34" s="1">
        <v>5</v>
      </c>
      <c r="I34" s="1">
        <v>0</v>
      </c>
    </row>
    <row r="35" spans="1:9" x14ac:dyDescent="0.3">
      <c r="A35" s="1">
        <v>2</v>
      </c>
      <c r="B35" s="1">
        <v>0</v>
      </c>
      <c r="C35" s="1" t="s">
        <v>2</v>
      </c>
      <c r="D35" s="1" t="s">
        <v>0</v>
      </c>
      <c r="E35" s="1">
        <v>34</v>
      </c>
      <c r="F35" s="1" t="s">
        <v>1</v>
      </c>
      <c r="G35" s="1" t="s">
        <v>0</v>
      </c>
      <c r="H35" s="1">
        <v>23</v>
      </c>
      <c r="I35" s="1">
        <v>0</v>
      </c>
    </row>
    <row r="36" spans="1:9" x14ac:dyDescent="0.3">
      <c r="A36" s="1">
        <v>2</v>
      </c>
      <c r="B36" s="1">
        <v>0</v>
      </c>
      <c r="C36" s="1" t="s">
        <v>2</v>
      </c>
      <c r="D36" s="1" t="s">
        <v>0</v>
      </c>
      <c r="E36" s="1">
        <v>42</v>
      </c>
      <c r="F36" s="1" t="s">
        <v>1</v>
      </c>
      <c r="G36" s="1" t="s">
        <v>0</v>
      </c>
      <c r="H36" s="1">
        <v>9</v>
      </c>
      <c r="I36" s="1">
        <v>0</v>
      </c>
    </row>
    <row r="37" spans="1:9" x14ac:dyDescent="0.3">
      <c r="A37" s="1">
        <v>2</v>
      </c>
      <c r="B37" s="1">
        <v>0</v>
      </c>
      <c r="C37" s="1" t="s">
        <v>2</v>
      </c>
      <c r="D37" s="1" t="s">
        <v>0</v>
      </c>
      <c r="E37" s="1">
        <v>0</v>
      </c>
      <c r="F37" s="1" t="s">
        <v>1</v>
      </c>
      <c r="G37" s="1" t="s">
        <v>0</v>
      </c>
      <c r="H37" s="1">
        <v>23</v>
      </c>
      <c r="I37" s="1">
        <v>1</v>
      </c>
    </row>
    <row r="38" spans="1:9" x14ac:dyDescent="0.3">
      <c r="A38" s="1">
        <v>2</v>
      </c>
      <c r="B38" s="1">
        <v>0</v>
      </c>
      <c r="C38" s="1" t="s">
        <v>2</v>
      </c>
      <c r="D38" s="1" t="s">
        <v>0</v>
      </c>
      <c r="E38" s="1">
        <v>59</v>
      </c>
      <c r="F38" s="1" t="s">
        <v>1</v>
      </c>
      <c r="G38" s="1" t="s">
        <v>0</v>
      </c>
      <c r="H38" s="1">
        <v>35</v>
      </c>
      <c r="I38" s="1">
        <v>0</v>
      </c>
    </row>
    <row r="39" spans="1:9" x14ac:dyDescent="0.3">
      <c r="A39" s="1">
        <v>2</v>
      </c>
      <c r="B39" s="1">
        <v>0</v>
      </c>
      <c r="C39" s="1" t="s">
        <v>2</v>
      </c>
      <c r="D39" s="1" t="s">
        <v>0</v>
      </c>
      <c r="E39" s="1">
        <v>34</v>
      </c>
      <c r="F39" s="1" t="s">
        <v>1</v>
      </c>
      <c r="G39" s="1" t="s">
        <v>0</v>
      </c>
      <c r="H39" s="1">
        <v>0</v>
      </c>
      <c r="I39" s="1">
        <v>0</v>
      </c>
    </row>
    <row r="40" spans="1:9" x14ac:dyDescent="0.3">
      <c r="A40" s="1">
        <v>2</v>
      </c>
      <c r="B40" s="1">
        <v>0</v>
      </c>
      <c r="C40" s="1" t="s">
        <v>2</v>
      </c>
      <c r="D40" s="1" t="s">
        <v>0</v>
      </c>
      <c r="E40" s="1">
        <v>10</v>
      </c>
      <c r="F40" s="1" t="s">
        <v>1</v>
      </c>
      <c r="G40" s="1" t="s">
        <v>0</v>
      </c>
      <c r="H40" s="1">
        <v>36</v>
      </c>
      <c r="I40" s="1">
        <v>1</v>
      </c>
    </row>
    <row r="41" spans="1:9" x14ac:dyDescent="0.3">
      <c r="A41" s="1">
        <v>2</v>
      </c>
      <c r="B41" s="1">
        <v>0</v>
      </c>
      <c r="C41" s="1" t="s">
        <v>2</v>
      </c>
      <c r="D41" s="1" t="s">
        <v>0</v>
      </c>
      <c r="E41" s="1">
        <v>22</v>
      </c>
      <c r="F41" s="1" t="s">
        <v>1</v>
      </c>
      <c r="G41" s="1" t="s">
        <v>0</v>
      </c>
      <c r="H41" s="1">
        <v>27</v>
      </c>
      <c r="I41" s="1">
        <v>1</v>
      </c>
    </row>
    <row r="42" spans="1:9" x14ac:dyDescent="0.3">
      <c r="A42" s="1">
        <v>2</v>
      </c>
      <c r="B42" s="1">
        <v>0</v>
      </c>
      <c r="C42" s="1" t="s">
        <v>2</v>
      </c>
      <c r="D42" s="1" t="s">
        <v>0</v>
      </c>
      <c r="E42" s="1">
        <v>33</v>
      </c>
      <c r="F42" s="1" t="s">
        <v>1</v>
      </c>
      <c r="G42" s="1" t="s">
        <v>0</v>
      </c>
      <c r="H42" s="1">
        <v>14</v>
      </c>
      <c r="I42" s="1">
        <v>0</v>
      </c>
    </row>
    <row r="43" spans="1:9" x14ac:dyDescent="0.3">
      <c r="A43" s="1">
        <v>2</v>
      </c>
      <c r="B43" s="1">
        <v>0</v>
      </c>
      <c r="C43" s="1" t="s">
        <v>2</v>
      </c>
      <c r="D43" s="1" t="s">
        <v>0</v>
      </c>
      <c r="E43" s="1">
        <v>2</v>
      </c>
      <c r="F43" s="1" t="s">
        <v>1</v>
      </c>
      <c r="G43" s="1" t="s">
        <v>0</v>
      </c>
      <c r="H43" s="1">
        <v>52</v>
      </c>
      <c r="I43" s="1">
        <v>1</v>
      </c>
    </row>
    <row r="44" spans="1:9" x14ac:dyDescent="0.3">
      <c r="A44" s="1">
        <v>2</v>
      </c>
      <c r="B44" s="1">
        <v>0</v>
      </c>
      <c r="C44" s="1" t="s">
        <v>2</v>
      </c>
      <c r="D44" s="1" t="s">
        <v>0</v>
      </c>
      <c r="E44" s="1">
        <v>2</v>
      </c>
      <c r="F44" s="1" t="s">
        <v>1</v>
      </c>
      <c r="G44" s="1" t="s">
        <v>0</v>
      </c>
      <c r="H44" s="1">
        <v>43</v>
      </c>
      <c r="I44" s="1">
        <v>1</v>
      </c>
    </row>
    <row r="45" spans="1:9" x14ac:dyDescent="0.3">
      <c r="A45" s="1">
        <v>2</v>
      </c>
      <c r="B45" s="1">
        <v>0</v>
      </c>
      <c r="C45" s="1" t="s">
        <v>2</v>
      </c>
      <c r="D45" s="1" t="s">
        <v>0</v>
      </c>
      <c r="E45" s="1">
        <v>31</v>
      </c>
      <c r="F45" s="1" t="s">
        <v>1</v>
      </c>
      <c r="G45" s="1" t="s">
        <v>0</v>
      </c>
      <c r="H45" s="1">
        <v>70</v>
      </c>
      <c r="I45" s="1">
        <v>1</v>
      </c>
    </row>
    <row r="46" spans="1:9" x14ac:dyDescent="0.3">
      <c r="A46" s="1">
        <v>2</v>
      </c>
      <c r="B46" s="1">
        <v>0</v>
      </c>
      <c r="C46" s="1" t="s">
        <v>2</v>
      </c>
      <c r="D46" s="1" t="s">
        <v>0</v>
      </c>
      <c r="E46" s="1">
        <v>34</v>
      </c>
      <c r="F46" s="1" t="s">
        <v>1</v>
      </c>
      <c r="G46" s="1" t="s">
        <v>0</v>
      </c>
      <c r="H46" s="1">
        <v>42</v>
      </c>
      <c r="I46" s="1">
        <v>1</v>
      </c>
    </row>
    <row r="47" spans="1:9" x14ac:dyDescent="0.3">
      <c r="A47" s="1">
        <v>2</v>
      </c>
      <c r="B47" s="1">
        <v>0</v>
      </c>
      <c r="C47" s="1" t="s">
        <v>2</v>
      </c>
      <c r="D47" s="1" t="s">
        <v>0</v>
      </c>
      <c r="E47" s="1">
        <v>7</v>
      </c>
      <c r="F47" s="1" t="s">
        <v>1</v>
      </c>
      <c r="G47" s="1" t="s">
        <v>0</v>
      </c>
      <c r="H47" s="1">
        <v>37</v>
      </c>
      <c r="I47" s="1">
        <v>1</v>
      </c>
    </row>
    <row r="48" spans="1:9" x14ac:dyDescent="0.3">
      <c r="A48" s="1">
        <v>2</v>
      </c>
      <c r="B48" s="1">
        <v>0</v>
      </c>
      <c r="C48" s="1" t="s">
        <v>2</v>
      </c>
      <c r="D48" s="1" t="s">
        <v>0</v>
      </c>
      <c r="E48" s="1">
        <v>9</v>
      </c>
      <c r="F48" s="1" t="s">
        <v>1</v>
      </c>
      <c r="G48" s="1" t="s">
        <v>0</v>
      </c>
      <c r="H48" s="1">
        <v>2</v>
      </c>
      <c r="I48" s="1">
        <v>0</v>
      </c>
    </row>
    <row r="49" spans="1:9" x14ac:dyDescent="0.3">
      <c r="A49" s="1">
        <v>2</v>
      </c>
      <c r="B49" s="1">
        <v>0</v>
      </c>
      <c r="C49" s="1" t="s">
        <v>2</v>
      </c>
      <c r="D49" s="1" t="s">
        <v>0</v>
      </c>
      <c r="E49" s="1">
        <v>30</v>
      </c>
      <c r="F49" s="1" t="s">
        <v>1</v>
      </c>
      <c r="G49" s="1" t="s">
        <v>0</v>
      </c>
      <c r="H49" s="1">
        <v>9</v>
      </c>
      <c r="I49" s="1">
        <v>0</v>
      </c>
    </row>
    <row r="50" spans="1:9" x14ac:dyDescent="0.3">
      <c r="A50" s="1">
        <v>2</v>
      </c>
      <c r="B50" s="1">
        <v>0</v>
      </c>
      <c r="C50" s="1" t="s">
        <v>2</v>
      </c>
      <c r="D50" s="1" t="s">
        <v>0</v>
      </c>
      <c r="E50" s="1">
        <v>4</v>
      </c>
      <c r="F50" s="1" t="s">
        <v>1</v>
      </c>
      <c r="G50" s="1" t="s">
        <v>0</v>
      </c>
      <c r="H50" s="1">
        <v>19</v>
      </c>
      <c r="I50" s="1">
        <v>1</v>
      </c>
    </row>
    <row r="51" spans="1:9" x14ac:dyDescent="0.3">
      <c r="A51" s="1">
        <v>2</v>
      </c>
      <c r="B51" s="1">
        <v>1</v>
      </c>
      <c r="C51" s="1" t="s">
        <v>2</v>
      </c>
      <c r="D51" s="1" t="s">
        <v>0</v>
      </c>
      <c r="E51" s="1">
        <v>33</v>
      </c>
      <c r="F51" s="1" t="s">
        <v>1</v>
      </c>
      <c r="G51" s="1" t="s">
        <v>0</v>
      </c>
      <c r="H51" s="1">
        <v>2</v>
      </c>
      <c r="I51" s="1">
        <v>0</v>
      </c>
    </row>
    <row r="52" spans="1:9" x14ac:dyDescent="0.3">
      <c r="A52" s="1">
        <v>2</v>
      </c>
      <c r="B52" s="1">
        <v>1</v>
      </c>
      <c r="C52" s="1" t="s">
        <v>2</v>
      </c>
      <c r="D52" s="1" t="s">
        <v>0</v>
      </c>
      <c r="E52" s="1">
        <v>3</v>
      </c>
      <c r="F52" s="1" t="s">
        <v>1</v>
      </c>
      <c r="G52" s="1" t="s">
        <v>0</v>
      </c>
      <c r="H52" s="1">
        <v>26</v>
      </c>
      <c r="I52" s="1">
        <v>1</v>
      </c>
    </row>
    <row r="53" spans="1:9" x14ac:dyDescent="0.3">
      <c r="A53" s="1">
        <v>2</v>
      </c>
      <c r="B53" s="1">
        <v>1</v>
      </c>
      <c r="C53" s="1" t="s">
        <v>2</v>
      </c>
      <c r="D53" s="1" t="s">
        <v>0</v>
      </c>
      <c r="E53" s="1">
        <v>7</v>
      </c>
      <c r="F53" s="1" t="s">
        <v>1</v>
      </c>
      <c r="G53" s="1" t="s">
        <v>0</v>
      </c>
      <c r="H53" s="1">
        <v>46</v>
      </c>
      <c r="I53" s="1">
        <v>1</v>
      </c>
    </row>
    <row r="54" spans="1:9" x14ac:dyDescent="0.3">
      <c r="A54" s="1">
        <v>2</v>
      </c>
      <c r="B54" s="1">
        <v>1</v>
      </c>
      <c r="C54" s="1" t="s">
        <v>2</v>
      </c>
      <c r="D54" s="1" t="s">
        <v>0</v>
      </c>
      <c r="E54" s="1">
        <v>2</v>
      </c>
      <c r="F54" s="1" t="s">
        <v>1</v>
      </c>
      <c r="G54" s="1" t="s">
        <v>0</v>
      </c>
      <c r="H54" s="1">
        <v>32</v>
      </c>
      <c r="I54" s="1">
        <v>1</v>
      </c>
    </row>
    <row r="55" spans="1:9" x14ac:dyDescent="0.3">
      <c r="A55" s="1">
        <v>2</v>
      </c>
      <c r="B55" s="1">
        <v>1</v>
      </c>
      <c r="C55" s="1" t="s">
        <v>2</v>
      </c>
      <c r="D55" s="1" t="s">
        <v>0</v>
      </c>
      <c r="E55" s="1">
        <v>58</v>
      </c>
      <c r="F55" s="1" t="s">
        <v>1</v>
      </c>
      <c r="G55" s="1" t="s">
        <v>0</v>
      </c>
      <c r="H55" s="1">
        <v>10</v>
      </c>
      <c r="I55" s="1">
        <v>0</v>
      </c>
    </row>
    <row r="56" spans="1:9" x14ac:dyDescent="0.3">
      <c r="A56" s="1">
        <v>2</v>
      </c>
      <c r="B56" s="1">
        <v>1</v>
      </c>
      <c r="C56" s="1" t="s">
        <v>2</v>
      </c>
      <c r="D56" s="1" t="s">
        <v>0</v>
      </c>
      <c r="E56" s="1">
        <v>2</v>
      </c>
      <c r="F56" s="1" t="s">
        <v>1</v>
      </c>
      <c r="G56" s="1" t="s">
        <v>0</v>
      </c>
      <c r="H56" s="1">
        <v>34</v>
      </c>
      <c r="I56" s="1">
        <v>1</v>
      </c>
    </row>
    <row r="57" spans="1:9" x14ac:dyDescent="0.3">
      <c r="A57" s="1">
        <v>2</v>
      </c>
      <c r="B57" s="1">
        <v>1</v>
      </c>
      <c r="C57" s="1" t="s">
        <v>2</v>
      </c>
      <c r="D57" s="1" t="s">
        <v>0</v>
      </c>
      <c r="E57" s="1">
        <v>22</v>
      </c>
      <c r="F57" s="1" t="s">
        <v>1</v>
      </c>
      <c r="G57" s="1" t="s">
        <v>0</v>
      </c>
      <c r="H57" s="1">
        <v>47</v>
      </c>
      <c r="I57" s="1">
        <v>1</v>
      </c>
    </row>
    <row r="58" spans="1:9" x14ac:dyDescent="0.3">
      <c r="A58" s="1">
        <v>2</v>
      </c>
      <c r="B58" s="1">
        <v>1</v>
      </c>
      <c r="C58" s="1" t="s">
        <v>2</v>
      </c>
      <c r="D58" s="1" t="s">
        <v>0</v>
      </c>
      <c r="E58" s="1">
        <v>12</v>
      </c>
      <c r="F58" s="1" t="s">
        <v>1</v>
      </c>
      <c r="G58" s="1" t="s">
        <v>0</v>
      </c>
      <c r="H58" s="1">
        <v>24</v>
      </c>
      <c r="I58" s="1">
        <v>1</v>
      </c>
    </row>
    <row r="59" spans="1:9" x14ac:dyDescent="0.3">
      <c r="A59" s="1">
        <v>2</v>
      </c>
      <c r="B59" s="1">
        <v>1</v>
      </c>
      <c r="C59" s="1" t="s">
        <v>2</v>
      </c>
      <c r="D59" s="1" t="s">
        <v>0</v>
      </c>
      <c r="E59" s="1">
        <v>0</v>
      </c>
      <c r="F59" s="1" t="s">
        <v>1</v>
      </c>
      <c r="G59" s="1" t="s">
        <v>0</v>
      </c>
      <c r="H59" s="1">
        <v>9</v>
      </c>
      <c r="I59" s="1">
        <v>1</v>
      </c>
    </row>
    <row r="60" spans="1:9" x14ac:dyDescent="0.3">
      <c r="A60" s="1">
        <v>2</v>
      </c>
      <c r="B60" s="1">
        <v>1</v>
      </c>
      <c r="C60" s="1" t="s">
        <v>2</v>
      </c>
      <c r="D60" s="1" t="s">
        <v>0</v>
      </c>
      <c r="E60" s="1">
        <v>18</v>
      </c>
      <c r="F60" s="1" t="s">
        <v>1</v>
      </c>
      <c r="G60" s="1" t="s">
        <v>0</v>
      </c>
      <c r="H60" s="1">
        <v>33</v>
      </c>
      <c r="I60" s="1">
        <v>1</v>
      </c>
    </row>
    <row r="61" spans="1:9" x14ac:dyDescent="0.3">
      <c r="A61" s="1">
        <v>2</v>
      </c>
      <c r="B61" s="1">
        <v>1</v>
      </c>
      <c r="C61" s="1" t="s">
        <v>2</v>
      </c>
      <c r="D61" s="1" t="s">
        <v>0</v>
      </c>
      <c r="E61" s="1">
        <v>32</v>
      </c>
      <c r="F61" s="1" t="s">
        <v>1</v>
      </c>
      <c r="G61" s="1" t="s">
        <v>0</v>
      </c>
      <c r="H61" s="1">
        <v>41</v>
      </c>
      <c r="I61" s="1">
        <v>1</v>
      </c>
    </row>
    <row r="62" spans="1:9" x14ac:dyDescent="0.3">
      <c r="A62" s="1">
        <v>2</v>
      </c>
      <c r="B62" s="1">
        <v>1</v>
      </c>
      <c r="C62" s="1" t="s">
        <v>2</v>
      </c>
      <c r="D62" s="1" t="s">
        <v>0</v>
      </c>
      <c r="E62" s="1">
        <v>27</v>
      </c>
      <c r="F62" s="1" t="s">
        <v>1</v>
      </c>
      <c r="G62" s="1" t="s">
        <v>0</v>
      </c>
      <c r="H62" s="1">
        <v>18</v>
      </c>
      <c r="I62" s="1">
        <v>0</v>
      </c>
    </row>
    <row r="63" spans="1:9" x14ac:dyDescent="0.3">
      <c r="A63" s="1">
        <v>2</v>
      </c>
      <c r="B63" s="1">
        <v>1</v>
      </c>
      <c r="C63" s="1" t="s">
        <v>2</v>
      </c>
      <c r="D63" s="1" t="s">
        <v>0</v>
      </c>
      <c r="E63" s="1">
        <v>55</v>
      </c>
      <c r="F63" s="1" t="s">
        <v>1</v>
      </c>
      <c r="G63" s="1" t="s">
        <v>0</v>
      </c>
      <c r="H63" s="1">
        <v>43</v>
      </c>
      <c r="I63" s="1">
        <v>0</v>
      </c>
    </row>
    <row r="64" spans="1:9" x14ac:dyDescent="0.3">
      <c r="A64" s="1">
        <v>2</v>
      </c>
      <c r="B64" s="1">
        <v>1</v>
      </c>
      <c r="C64" s="1" t="s">
        <v>2</v>
      </c>
      <c r="D64" s="1" t="s">
        <v>0</v>
      </c>
      <c r="E64" s="1">
        <v>46</v>
      </c>
      <c r="F64" s="1" t="s">
        <v>1</v>
      </c>
      <c r="G64" s="1" t="s">
        <v>0</v>
      </c>
      <c r="H64" s="1">
        <v>11</v>
      </c>
      <c r="I64" s="1">
        <v>0</v>
      </c>
    </row>
    <row r="65" spans="1:9" x14ac:dyDescent="0.3">
      <c r="A65" s="1">
        <v>2</v>
      </c>
      <c r="B65" s="1">
        <v>1</v>
      </c>
      <c r="C65" s="1" t="s">
        <v>2</v>
      </c>
      <c r="D65" s="1" t="s">
        <v>0</v>
      </c>
      <c r="E65" s="1">
        <v>17</v>
      </c>
      <c r="F65" s="1" t="s">
        <v>1</v>
      </c>
      <c r="G65" s="1" t="s">
        <v>0</v>
      </c>
      <c r="H65" s="1">
        <v>36</v>
      </c>
      <c r="I65" s="1">
        <v>1</v>
      </c>
    </row>
    <row r="66" spans="1:9" x14ac:dyDescent="0.3">
      <c r="A66" s="1">
        <v>2</v>
      </c>
      <c r="B66" s="1">
        <v>1</v>
      </c>
      <c r="C66" s="1" t="s">
        <v>2</v>
      </c>
      <c r="D66" s="1" t="s">
        <v>0</v>
      </c>
      <c r="E66" s="1">
        <v>24</v>
      </c>
      <c r="F66" s="1" t="s">
        <v>1</v>
      </c>
      <c r="G66" s="1" t="s">
        <v>0</v>
      </c>
      <c r="H66" s="1">
        <v>26</v>
      </c>
      <c r="I66" s="1">
        <v>1</v>
      </c>
    </row>
    <row r="67" spans="1:9" x14ac:dyDescent="0.3">
      <c r="A67" s="1">
        <v>2</v>
      </c>
      <c r="B67" s="1">
        <v>1</v>
      </c>
      <c r="C67" s="1" t="s">
        <v>2</v>
      </c>
      <c r="D67" s="1" t="s">
        <v>0</v>
      </c>
      <c r="E67" s="1">
        <v>6</v>
      </c>
      <c r="F67" s="1" t="s">
        <v>1</v>
      </c>
      <c r="G67" s="1" t="s">
        <v>0</v>
      </c>
      <c r="H67" s="1">
        <v>32</v>
      </c>
      <c r="I67" s="1">
        <v>1</v>
      </c>
    </row>
    <row r="68" spans="1:9" x14ac:dyDescent="0.3">
      <c r="A68" s="1">
        <v>2</v>
      </c>
      <c r="B68" s="1">
        <v>1</v>
      </c>
      <c r="C68" s="1" t="s">
        <v>2</v>
      </c>
      <c r="D68" s="1" t="s">
        <v>0</v>
      </c>
      <c r="E68" s="1">
        <v>27</v>
      </c>
      <c r="F68" s="1" t="s">
        <v>1</v>
      </c>
      <c r="G68" s="1" t="s">
        <v>0</v>
      </c>
      <c r="H68" s="1">
        <v>3</v>
      </c>
      <c r="I68" s="1">
        <v>0</v>
      </c>
    </row>
    <row r="69" spans="1:9" x14ac:dyDescent="0.3">
      <c r="A69" s="1">
        <v>2</v>
      </c>
      <c r="B69" s="1">
        <v>1</v>
      </c>
      <c r="C69" s="1" t="s">
        <v>2</v>
      </c>
      <c r="D69" s="1" t="s">
        <v>0</v>
      </c>
      <c r="E69" s="1">
        <v>14</v>
      </c>
      <c r="F69" s="1" t="s">
        <v>1</v>
      </c>
      <c r="G69" s="1" t="s">
        <v>0</v>
      </c>
      <c r="H69" s="1">
        <v>40</v>
      </c>
      <c r="I69" s="1">
        <v>1</v>
      </c>
    </row>
    <row r="70" spans="1:9" x14ac:dyDescent="0.3">
      <c r="A70" s="1">
        <v>2</v>
      </c>
      <c r="B70" s="1">
        <v>1</v>
      </c>
      <c r="C70" s="1" t="s">
        <v>2</v>
      </c>
      <c r="D70" s="1" t="s">
        <v>0</v>
      </c>
      <c r="E70" s="1">
        <v>34</v>
      </c>
      <c r="F70" s="1" t="s">
        <v>1</v>
      </c>
      <c r="G70" s="1" t="s">
        <v>0</v>
      </c>
      <c r="H70" s="1">
        <v>2</v>
      </c>
      <c r="I70" s="1">
        <v>0</v>
      </c>
    </row>
    <row r="71" spans="1:9" x14ac:dyDescent="0.3">
      <c r="A71" s="1">
        <v>2</v>
      </c>
      <c r="B71" s="1">
        <v>1</v>
      </c>
      <c r="C71" s="1" t="s">
        <v>2</v>
      </c>
      <c r="D71" s="1" t="s">
        <v>0</v>
      </c>
      <c r="E71" s="1">
        <v>2</v>
      </c>
      <c r="F71" s="1" t="s">
        <v>1</v>
      </c>
      <c r="G71" s="1" t="s">
        <v>0</v>
      </c>
      <c r="H71" s="1">
        <v>19</v>
      </c>
      <c r="I71" s="1">
        <v>1</v>
      </c>
    </row>
    <row r="72" spans="1:9" x14ac:dyDescent="0.3">
      <c r="A72" s="1">
        <v>2</v>
      </c>
      <c r="B72" s="1">
        <v>1</v>
      </c>
      <c r="C72" s="1" t="s">
        <v>2</v>
      </c>
      <c r="D72" s="1" t="s">
        <v>0</v>
      </c>
      <c r="E72" s="1">
        <v>25</v>
      </c>
      <c r="F72" s="1" t="s">
        <v>1</v>
      </c>
      <c r="G72" s="1" t="s">
        <v>0</v>
      </c>
      <c r="H72" s="1">
        <v>9</v>
      </c>
      <c r="I72" s="1">
        <v>0</v>
      </c>
    </row>
    <row r="73" spans="1:9" x14ac:dyDescent="0.3">
      <c r="A73" s="1">
        <v>2</v>
      </c>
      <c r="B73" s="1">
        <v>1</v>
      </c>
      <c r="C73" s="1" t="s">
        <v>2</v>
      </c>
      <c r="D73" s="1" t="s">
        <v>0</v>
      </c>
      <c r="E73" s="1">
        <v>6</v>
      </c>
      <c r="F73" s="1" t="s">
        <v>1</v>
      </c>
      <c r="G73" s="1" t="s">
        <v>0</v>
      </c>
      <c r="H73" s="1">
        <v>2</v>
      </c>
      <c r="I73" s="1">
        <v>0</v>
      </c>
    </row>
    <row r="74" spans="1:9" x14ac:dyDescent="0.3">
      <c r="A74" s="1">
        <v>2</v>
      </c>
      <c r="B74" s="1">
        <v>1</v>
      </c>
      <c r="C74" s="1" t="s">
        <v>2</v>
      </c>
      <c r="D74" s="1" t="s">
        <v>0</v>
      </c>
      <c r="E74" s="1">
        <v>15</v>
      </c>
      <c r="F74" s="1" t="s">
        <v>1</v>
      </c>
      <c r="G74" s="1" t="s">
        <v>0</v>
      </c>
      <c r="H74" s="1">
        <v>22</v>
      </c>
      <c r="I74" s="1">
        <v>1</v>
      </c>
    </row>
    <row r="75" spans="1:9" x14ac:dyDescent="0.3">
      <c r="A75" s="1">
        <v>2</v>
      </c>
      <c r="B75" s="1">
        <v>1</v>
      </c>
      <c r="C75" s="1" t="s">
        <v>2</v>
      </c>
      <c r="D75" s="1" t="s">
        <v>0</v>
      </c>
      <c r="E75" s="1">
        <v>20</v>
      </c>
      <c r="F75" s="1" t="s">
        <v>1</v>
      </c>
      <c r="G75" s="1" t="s">
        <v>0</v>
      </c>
      <c r="H75" s="1">
        <v>24</v>
      </c>
      <c r="I75" s="1">
        <v>1</v>
      </c>
    </row>
    <row r="76" spans="1:9" x14ac:dyDescent="0.3">
      <c r="A76" s="1">
        <v>2</v>
      </c>
      <c r="B76" s="1">
        <v>1</v>
      </c>
      <c r="C76" s="1" t="s">
        <v>2</v>
      </c>
      <c r="D76" s="1" t="s">
        <v>0</v>
      </c>
      <c r="E76" s="1">
        <v>10</v>
      </c>
      <c r="F76" s="1" t="s">
        <v>1</v>
      </c>
      <c r="G76" s="1" t="s">
        <v>0</v>
      </c>
      <c r="H76" s="1">
        <v>7</v>
      </c>
      <c r="I76" s="1">
        <v>0</v>
      </c>
    </row>
    <row r="77" spans="1:9" x14ac:dyDescent="0.3">
      <c r="A77" s="1">
        <v>2</v>
      </c>
      <c r="B77" s="1">
        <v>1</v>
      </c>
      <c r="C77" s="1" t="s">
        <v>2</v>
      </c>
      <c r="D77" s="1" t="s">
        <v>0</v>
      </c>
      <c r="E77" s="1">
        <v>28</v>
      </c>
      <c r="F77" s="1" t="s">
        <v>1</v>
      </c>
      <c r="G77" s="1" t="s">
        <v>0</v>
      </c>
      <c r="H77" s="1">
        <v>25</v>
      </c>
      <c r="I77" s="1">
        <v>0</v>
      </c>
    </row>
    <row r="78" spans="1:9" x14ac:dyDescent="0.3">
      <c r="A78" s="1">
        <v>2</v>
      </c>
      <c r="B78" s="1">
        <v>1</v>
      </c>
      <c r="C78" s="1" t="s">
        <v>2</v>
      </c>
      <c r="D78" s="1" t="s">
        <v>0</v>
      </c>
      <c r="E78" s="1">
        <v>17</v>
      </c>
      <c r="F78" s="1" t="s">
        <v>1</v>
      </c>
      <c r="G78" s="1" t="s">
        <v>0</v>
      </c>
      <c r="H78" s="1">
        <v>29</v>
      </c>
      <c r="I78" s="1">
        <v>1</v>
      </c>
    </row>
    <row r="79" spans="1:9" x14ac:dyDescent="0.3">
      <c r="A79" s="1">
        <v>2</v>
      </c>
      <c r="B79" s="1">
        <v>1</v>
      </c>
      <c r="C79" s="1" t="s">
        <v>2</v>
      </c>
      <c r="D79" s="1" t="s">
        <v>0</v>
      </c>
      <c r="E79" s="1">
        <v>5</v>
      </c>
      <c r="F79" s="1" t="s">
        <v>1</v>
      </c>
      <c r="G79" s="1" t="s">
        <v>0</v>
      </c>
      <c r="H79" s="1">
        <v>7</v>
      </c>
      <c r="I79" s="1">
        <v>1</v>
      </c>
    </row>
    <row r="80" spans="1:9" x14ac:dyDescent="0.3">
      <c r="A80" s="1">
        <v>2</v>
      </c>
      <c r="B80" s="1">
        <v>1</v>
      </c>
      <c r="C80" s="1" t="s">
        <v>2</v>
      </c>
      <c r="D80" s="1" t="s">
        <v>0</v>
      </c>
      <c r="E80" s="1">
        <v>43</v>
      </c>
      <c r="F80" s="1" t="s">
        <v>1</v>
      </c>
      <c r="G80" s="1" t="s">
        <v>0</v>
      </c>
      <c r="H80" s="1">
        <v>61</v>
      </c>
      <c r="I80" s="1">
        <v>1</v>
      </c>
    </row>
    <row r="81" spans="1:9" x14ac:dyDescent="0.3">
      <c r="A81" s="1">
        <v>2</v>
      </c>
      <c r="B81" s="1">
        <v>1</v>
      </c>
      <c r="C81" s="1" t="s">
        <v>2</v>
      </c>
      <c r="D81" s="1" t="s">
        <v>0</v>
      </c>
      <c r="E81" s="1">
        <v>34</v>
      </c>
      <c r="F81" s="1" t="s">
        <v>1</v>
      </c>
      <c r="G81" s="1" t="s">
        <v>0</v>
      </c>
      <c r="H81" s="1">
        <v>0</v>
      </c>
      <c r="I81" s="1">
        <v>0</v>
      </c>
    </row>
    <row r="82" spans="1:9" x14ac:dyDescent="0.3">
      <c r="A82" s="1">
        <v>2</v>
      </c>
      <c r="B82" s="1">
        <v>1</v>
      </c>
      <c r="C82" s="1" t="s">
        <v>2</v>
      </c>
      <c r="D82" s="1" t="s">
        <v>0</v>
      </c>
      <c r="E82" s="1">
        <v>50</v>
      </c>
      <c r="F82" s="1" t="s">
        <v>1</v>
      </c>
      <c r="G82" s="1" t="s">
        <v>0</v>
      </c>
      <c r="H82" s="1">
        <v>0</v>
      </c>
      <c r="I82" s="1">
        <v>0</v>
      </c>
    </row>
    <row r="83" spans="1:9" x14ac:dyDescent="0.3">
      <c r="A83" s="1">
        <v>2</v>
      </c>
      <c r="B83" s="1">
        <v>1</v>
      </c>
      <c r="C83" s="1" t="s">
        <v>2</v>
      </c>
      <c r="D83" s="1" t="s">
        <v>0</v>
      </c>
      <c r="E83" s="1">
        <v>36</v>
      </c>
      <c r="F83" s="1" t="s">
        <v>1</v>
      </c>
      <c r="G83" s="1" t="s">
        <v>0</v>
      </c>
      <c r="H83" s="1">
        <v>55</v>
      </c>
      <c r="I83" s="1">
        <v>1</v>
      </c>
    </row>
    <row r="84" spans="1:9" x14ac:dyDescent="0.3">
      <c r="A84" s="1">
        <v>2</v>
      </c>
      <c r="B84" s="1">
        <v>1</v>
      </c>
      <c r="C84" s="1" t="s">
        <v>2</v>
      </c>
      <c r="D84" s="1" t="s">
        <v>0</v>
      </c>
      <c r="E84" s="1">
        <v>62</v>
      </c>
      <c r="F84" s="1" t="s">
        <v>1</v>
      </c>
      <c r="G84" s="1" t="s">
        <v>0</v>
      </c>
      <c r="H84" s="1">
        <v>2</v>
      </c>
      <c r="I84" s="1">
        <v>0</v>
      </c>
    </row>
    <row r="85" spans="1:9" x14ac:dyDescent="0.3">
      <c r="A85" s="1">
        <v>2</v>
      </c>
      <c r="B85" s="1">
        <v>1</v>
      </c>
      <c r="C85" s="1" t="s">
        <v>2</v>
      </c>
      <c r="D85" s="1" t="s">
        <v>0</v>
      </c>
      <c r="E85" s="1">
        <v>0</v>
      </c>
      <c r="F85" s="1" t="s">
        <v>1</v>
      </c>
      <c r="G85" s="1" t="s">
        <v>0</v>
      </c>
      <c r="H85" s="1">
        <v>15</v>
      </c>
      <c r="I85" s="1">
        <v>1</v>
      </c>
    </row>
    <row r="86" spans="1:9" x14ac:dyDescent="0.3">
      <c r="A86" s="1">
        <v>2</v>
      </c>
      <c r="B86" s="1">
        <v>1</v>
      </c>
      <c r="C86" s="1" t="s">
        <v>2</v>
      </c>
      <c r="D86" s="1" t="s">
        <v>0</v>
      </c>
      <c r="E86" s="1">
        <v>14</v>
      </c>
      <c r="F86" s="1" t="s">
        <v>1</v>
      </c>
      <c r="G86" s="1" t="s">
        <v>0</v>
      </c>
      <c r="H86" s="1">
        <v>33</v>
      </c>
      <c r="I86" s="1">
        <v>1</v>
      </c>
    </row>
    <row r="87" spans="1:9" x14ac:dyDescent="0.3">
      <c r="A87" s="1">
        <v>2</v>
      </c>
      <c r="B87" s="1">
        <v>1</v>
      </c>
      <c r="C87" s="1" t="s">
        <v>2</v>
      </c>
      <c r="D87" s="1" t="s">
        <v>0</v>
      </c>
      <c r="E87" s="1">
        <v>0</v>
      </c>
      <c r="F87" s="1" t="s">
        <v>1</v>
      </c>
      <c r="G87" s="1" t="s">
        <v>0</v>
      </c>
      <c r="H87" s="1">
        <v>29</v>
      </c>
      <c r="I87" s="1">
        <v>1</v>
      </c>
    </row>
    <row r="88" spans="1:9" x14ac:dyDescent="0.3">
      <c r="A88" s="1">
        <v>2</v>
      </c>
      <c r="B88" s="1">
        <v>1</v>
      </c>
      <c r="C88" s="1" t="s">
        <v>2</v>
      </c>
      <c r="D88" s="1" t="s">
        <v>0</v>
      </c>
      <c r="E88" s="1">
        <v>52</v>
      </c>
      <c r="F88" s="1" t="s">
        <v>1</v>
      </c>
      <c r="G88" s="1" t="s">
        <v>0</v>
      </c>
      <c r="H88" s="1">
        <v>0</v>
      </c>
      <c r="I88" s="1">
        <v>0</v>
      </c>
    </row>
    <row r="89" spans="1:9" x14ac:dyDescent="0.3">
      <c r="A89" s="1">
        <v>2</v>
      </c>
      <c r="B89" s="1">
        <v>1</v>
      </c>
      <c r="C89" s="1" t="s">
        <v>2</v>
      </c>
      <c r="D89" s="1" t="s">
        <v>0</v>
      </c>
      <c r="E89" s="1">
        <v>15</v>
      </c>
      <c r="F89" s="1" t="s">
        <v>1</v>
      </c>
      <c r="G89" s="1" t="s">
        <v>0</v>
      </c>
      <c r="H89" s="1">
        <v>5</v>
      </c>
      <c r="I89" s="1">
        <v>0</v>
      </c>
    </row>
    <row r="90" spans="1:9" x14ac:dyDescent="0.3">
      <c r="A90" s="1">
        <v>2</v>
      </c>
      <c r="B90" s="1">
        <v>1</v>
      </c>
      <c r="C90" s="1" t="s">
        <v>2</v>
      </c>
      <c r="D90" s="1" t="s">
        <v>0</v>
      </c>
      <c r="E90" s="1">
        <v>31</v>
      </c>
      <c r="F90" s="1" t="s">
        <v>1</v>
      </c>
      <c r="G90" s="1" t="s">
        <v>0</v>
      </c>
      <c r="H90" s="1">
        <v>3</v>
      </c>
      <c r="I90" s="1">
        <v>0</v>
      </c>
    </row>
    <row r="91" spans="1:9" x14ac:dyDescent="0.3">
      <c r="A91" s="1">
        <v>2</v>
      </c>
      <c r="B91" s="1">
        <v>1</v>
      </c>
      <c r="C91" s="1" t="s">
        <v>2</v>
      </c>
      <c r="D91" s="1" t="s">
        <v>0</v>
      </c>
      <c r="E91" s="1">
        <v>0</v>
      </c>
      <c r="F91" s="1" t="s">
        <v>1</v>
      </c>
      <c r="G91" s="1" t="s">
        <v>0</v>
      </c>
      <c r="H91" s="1">
        <v>42</v>
      </c>
      <c r="I91" s="1">
        <v>1</v>
      </c>
    </row>
    <row r="92" spans="1:9" x14ac:dyDescent="0.3">
      <c r="A92" s="1">
        <v>2</v>
      </c>
      <c r="B92" s="1">
        <v>1</v>
      </c>
      <c r="C92" s="1" t="s">
        <v>2</v>
      </c>
      <c r="D92" s="1" t="s">
        <v>0</v>
      </c>
      <c r="E92" s="1">
        <v>37</v>
      </c>
      <c r="F92" s="1" t="s">
        <v>1</v>
      </c>
      <c r="G92" s="1" t="s">
        <v>0</v>
      </c>
      <c r="H92" s="1">
        <v>12</v>
      </c>
      <c r="I92" s="1">
        <v>0</v>
      </c>
    </row>
    <row r="93" spans="1:9" x14ac:dyDescent="0.3">
      <c r="A93" s="1">
        <v>2</v>
      </c>
      <c r="B93" s="1">
        <v>1</v>
      </c>
      <c r="C93" s="1" t="s">
        <v>2</v>
      </c>
      <c r="D93" s="1" t="s">
        <v>0</v>
      </c>
      <c r="E93" s="1">
        <v>17</v>
      </c>
      <c r="F93" s="1" t="s">
        <v>1</v>
      </c>
      <c r="G93" s="1" t="s">
        <v>0</v>
      </c>
      <c r="H93" s="1">
        <v>27</v>
      </c>
      <c r="I93" s="1">
        <v>1</v>
      </c>
    </row>
    <row r="94" spans="1:9" x14ac:dyDescent="0.3">
      <c r="A94" s="1">
        <v>2</v>
      </c>
      <c r="B94" s="1">
        <v>1</v>
      </c>
      <c r="C94" s="1" t="s">
        <v>2</v>
      </c>
      <c r="D94" s="1" t="s">
        <v>0</v>
      </c>
      <c r="E94" s="1">
        <v>45</v>
      </c>
      <c r="F94" s="1" t="s">
        <v>1</v>
      </c>
      <c r="G94" s="1" t="s">
        <v>0</v>
      </c>
      <c r="H94" s="1">
        <v>3</v>
      </c>
      <c r="I94" s="1">
        <v>0</v>
      </c>
    </row>
    <row r="95" spans="1:9" x14ac:dyDescent="0.3">
      <c r="A95" s="1">
        <v>2</v>
      </c>
      <c r="B95" s="1">
        <v>1</v>
      </c>
      <c r="C95" s="1" t="s">
        <v>2</v>
      </c>
      <c r="D95" s="1" t="s">
        <v>0</v>
      </c>
      <c r="E95" s="1">
        <v>43</v>
      </c>
      <c r="F95" s="1" t="s">
        <v>1</v>
      </c>
      <c r="G95" s="1" t="s">
        <v>0</v>
      </c>
      <c r="H95" s="1">
        <v>6</v>
      </c>
      <c r="I95" s="1">
        <v>0</v>
      </c>
    </row>
    <row r="96" spans="1:9" x14ac:dyDescent="0.3">
      <c r="A96" s="1">
        <v>2</v>
      </c>
      <c r="B96" s="1">
        <v>1</v>
      </c>
      <c r="C96" s="1" t="s">
        <v>2</v>
      </c>
      <c r="D96" s="1" t="s">
        <v>0</v>
      </c>
      <c r="E96" s="1">
        <v>5</v>
      </c>
      <c r="F96" s="1" t="s">
        <v>1</v>
      </c>
      <c r="G96" s="1" t="s">
        <v>0</v>
      </c>
      <c r="H96" s="1">
        <v>16</v>
      </c>
      <c r="I96" s="1">
        <v>1</v>
      </c>
    </row>
    <row r="97" spans="1:9" x14ac:dyDescent="0.3">
      <c r="A97" s="1">
        <v>2</v>
      </c>
      <c r="B97" s="1">
        <v>1</v>
      </c>
      <c r="C97" s="1" t="s">
        <v>2</v>
      </c>
      <c r="D97" s="1" t="s">
        <v>0</v>
      </c>
      <c r="E97" s="1">
        <v>24</v>
      </c>
      <c r="F97" s="1" t="s">
        <v>1</v>
      </c>
      <c r="G97" s="1" t="s">
        <v>0</v>
      </c>
      <c r="H97" s="1">
        <v>50</v>
      </c>
      <c r="I97" s="1">
        <v>1</v>
      </c>
    </row>
    <row r="98" spans="1:9" x14ac:dyDescent="0.3">
      <c r="A98" s="1">
        <v>2</v>
      </c>
      <c r="B98" s="1">
        <v>1</v>
      </c>
      <c r="C98" s="1" t="s">
        <v>2</v>
      </c>
      <c r="D98" s="1" t="s">
        <v>0</v>
      </c>
      <c r="E98" s="1">
        <v>33</v>
      </c>
      <c r="F98" s="1" t="s">
        <v>1</v>
      </c>
      <c r="G98" s="1" t="s">
        <v>0</v>
      </c>
      <c r="H98" s="1">
        <v>10</v>
      </c>
      <c r="I98" s="1">
        <v>0</v>
      </c>
    </row>
    <row r="99" spans="1:9" x14ac:dyDescent="0.3">
      <c r="A99" s="1">
        <v>2</v>
      </c>
      <c r="B99" s="1">
        <v>1</v>
      </c>
      <c r="C99" s="1" t="s">
        <v>2</v>
      </c>
      <c r="D99" s="1" t="s">
        <v>0</v>
      </c>
      <c r="E99" s="1">
        <v>31</v>
      </c>
      <c r="F99" s="1" t="s">
        <v>1</v>
      </c>
      <c r="G99" s="1" t="s">
        <v>0</v>
      </c>
      <c r="H99" s="1">
        <v>0</v>
      </c>
      <c r="I99" s="1">
        <v>0</v>
      </c>
    </row>
    <row r="100" spans="1:9" x14ac:dyDescent="0.3">
      <c r="A100" s="1">
        <v>2</v>
      </c>
      <c r="B100" s="1">
        <v>1</v>
      </c>
      <c r="C100" s="1" t="s">
        <v>2</v>
      </c>
      <c r="D100" s="1" t="s">
        <v>0</v>
      </c>
      <c r="E100" s="1">
        <v>29</v>
      </c>
      <c r="F100" s="1" t="s">
        <v>1</v>
      </c>
      <c r="G100" s="1" t="s">
        <v>0</v>
      </c>
      <c r="H100" s="1">
        <v>40</v>
      </c>
      <c r="I100" s="1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6334-244D-441D-83A3-13F9F0DCA7B1}">
  <dimension ref="A1:T100"/>
  <sheetViews>
    <sheetView topLeftCell="K1" workbookViewId="0">
      <selection activeCell="T2" sqref="T2:T3"/>
    </sheetView>
  </sheetViews>
  <sheetFormatPr defaultRowHeight="14.4" x14ac:dyDescent="0.3"/>
  <cols>
    <col min="1" max="16384" width="8.88671875" style="1"/>
  </cols>
  <sheetData>
    <row r="1" spans="1:20" x14ac:dyDescent="0.3">
      <c r="A1" s="1">
        <v>2</v>
      </c>
      <c r="B1" s="1">
        <v>0</v>
      </c>
      <c r="C1" s="1" t="s">
        <v>2</v>
      </c>
      <c r="D1" s="1" t="s">
        <v>0</v>
      </c>
      <c r="E1" s="1">
        <v>35</v>
      </c>
      <c r="F1" s="1" t="s">
        <v>1</v>
      </c>
      <c r="G1" s="1" t="s">
        <v>0</v>
      </c>
      <c r="H1" s="1">
        <v>37</v>
      </c>
      <c r="I1" s="1">
        <v>1</v>
      </c>
      <c r="K1" s="2"/>
      <c r="L1" s="3"/>
      <c r="M1" s="24" t="s">
        <v>3</v>
      </c>
      <c r="N1" s="24"/>
      <c r="O1" s="19" t="s">
        <v>4</v>
      </c>
      <c r="P1" s="19"/>
      <c r="Q1" s="19" t="s">
        <v>5</v>
      </c>
      <c r="R1" s="19"/>
    </row>
    <row r="2" spans="1:20" x14ac:dyDescent="0.3">
      <c r="A2" s="1">
        <v>2</v>
      </c>
      <c r="B2" s="1">
        <v>0</v>
      </c>
      <c r="C2" s="1" t="s">
        <v>2</v>
      </c>
      <c r="D2" s="1" t="s">
        <v>0</v>
      </c>
      <c r="E2" s="1">
        <v>14</v>
      </c>
      <c r="F2" s="1" t="s">
        <v>1</v>
      </c>
      <c r="G2" s="1" t="s">
        <v>0</v>
      </c>
      <c r="H2" s="1">
        <v>11</v>
      </c>
      <c r="I2" s="1">
        <v>0</v>
      </c>
      <c r="K2" s="4"/>
      <c r="L2" s="5"/>
      <c r="M2" s="24"/>
      <c r="N2" s="24"/>
      <c r="O2" s="19"/>
      <c r="P2" s="19"/>
      <c r="Q2" s="19"/>
      <c r="R2" s="19"/>
      <c r="T2" t="s">
        <v>15</v>
      </c>
    </row>
    <row r="3" spans="1:20" x14ac:dyDescent="0.3">
      <c r="A3" s="1">
        <v>2</v>
      </c>
      <c r="B3" s="1">
        <v>0</v>
      </c>
      <c r="C3" s="1" t="s">
        <v>2</v>
      </c>
      <c r="D3" s="1" t="s">
        <v>0</v>
      </c>
      <c r="E3" s="1">
        <v>44</v>
      </c>
      <c r="F3" s="1" t="s">
        <v>1</v>
      </c>
      <c r="G3" s="1" t="s">
        <v>0</v>
      </c>
      <c r="H3" s="1">
        <v>0</v>
      </c>
      <c r="I3" s="1">
        <v>0</v>
      </c>
      <c r="K3" s="19" t="s">
        <v>6</v>
      </c>
      <c r="L3" s="19"/>
      <c r="M3" s="20">
        <f>COUNTIF($I$1:$I$100, 0)</f>
        <v>57</v>
      </c>
      <c r="N3" s="20"/>
      <c r="O3" s="20">
        <f>COUNTIFS($I$1:$I$100, 0, $B$1:$B$100, 0)</f>
        <v>25</v>
      </c>
      <c r="P3" s="20"/>
      <c r="Q3" s="21">
        <f>COUNTIFS($I$1:$I$100, 0, $B$1:$B$100, 1)</f>
        <v>32</v>
      </c>
      <c r="R3" s="10"/>
      <c r="T3" cm="1">
        <f t="array" ref="T3">SUMPRODUCT(--($E$1:$E$100=$H$1:$H$100))</f>
        <v>1</v>
      </c>
    </row>
    <row r="4" spans="1:20" x14ac:dyDescent="0.3">
      <c r="A4" s="1">
        <v>2</v>
      </c>
      <c r="B4" s="1">
        <v>0</v>
      </c>
      <c r="C4" s="1" t="s">
        <v>2</v>
      </c>
      <c r="D4" s="1" t="s">
        <v>0</v>
      </c>
      <c r="E4" s="1">
        <v>51</v>
      </c>
      <c r="F4" s="1" t="s">
        <v>1</v>
      </c>
      <c r="G4" s="1" t="s">
        <v>0</v>
      </c>
      <c r="H4" s="1">
        <v>33</v>
      </c>
      <c r="I4" s="1">
        <v>0</v>
      </c>
      <c r="K4" s="19"/>
      <c r="L4" s="19"/>
      <c r="M4" s="20"/>
      <c r="N4" s="20"/>
      <c r="O4" s="20"/>
      <c r="P4" s="20"/>
      <c r="Q4" s="20"/>
      <c r="R4" s="12"/>
    </row>
    <row r="5" spans="1:20" x14ac:dyDescent="0.3">
      <c r="A5" s="1">
        <v>2</v>
      </c>
      <c r="B5" s="1">
        <v>0</v>
      </c>
      <c r="C5" s="1" t="s">
        <v>2</v>
      </c>
      <c r="D5" s="1" t="s">
        <v>0</v>
      </c>
      <c r="E5" s="1">
        <v>2</v>
      </c>
      <c r="F5" s="1" t="s">
        <v>1</v>
      </c>
      <c r="G5" s="1" t="s">
        <v>0</v>
      </c>
      <c r="H5" s="1">
        <v>51</v>
      </c>
      <c r="I5" s="1">
        <v>1</v>
      </c>
      <c r="K5" s="19" t="s">
        <v>7</v>
      </c>
      <c r="L5" s="19"/>
      <c r="M5" s="11">
        <f>COUNTIF($I$1:$I$100, 1)</f>
        <v>43</v>
      </c>
      <c r="N5" s="20"/>
      <c r="O5" s="20">
        <f>COUNTIFS($I$1:$I$100, 1, $B$1:$B$100, 0)</f>
        <v>25</v>
      </c>
      <c r="P5" s="20"/>
      <c r="Q5" s="20">
        <f>COUNTIFS($I$1:$I$100, 1, $B$1:$B$100, 1)</f>
        <v>18</v>
      </c>
      <c r="R5" s="12"/>
    </row>
    <row r="6" spans="1:20" x14ac:dyDescent="0.3">
      <c r="A6" s="1">
        <v>2</v>
      </c>
      <c r="B6" s="1">
        <v>0</v>
      </c>
      <c r="C6" s="1" t="s">
        <v>2</v>
      </c>
      <c r="D6" s="1" t="s">
        <v>0</v>
      </c>
      <c r="E6" s="1">
        <v>35</v>
      </c>
      <c r="F6" s="1" t="s">
        <v>1</v>
      </c>
      <c r="G6" s="1" t="s">
        <v>0</v>
      </c>
      <c r="H6" s="1">
        <v>8</v>
      </c>
      <c r="I6" s="1">
        <v>0</v>
      </c>
      <c r="K6" s="19"/>
      <c r="L6" s="19"/>
      <c r="M6" s="13"/>
      <c r="N6" s="22"/>
      <c r="O6" s="22"/>
      <c r="P6" s="22"/>
      <c r="Q6" s="22"/>
      <c r="R6" s="14"/>
    </row>
    <row r="7" spans="1:20" x14ac:dyDescent="0.3">
      <c r="A7" s="1">
        <v>2</v>
      </c>
      <c r="B7" s="1">
        <v>0</v>
      </c>
      <c r="C7" s="1" t="s">
        <v>2</v>
      </c>
      <c r="D7" s="1" t="s">
        <v>0</v>
      </c>
      <c r="E7" s="1">
        <v>36</v>
      </c>
      <c r="F7" s="1" t="s">
        <v>1</v>
      </c>
      <c r="G7" s="1" t="s">
        <v>0</v>
      </c>
      <c r="H7" s="1">
        <v>19</v>
      </c>
      <c r="I7" s="1">
        <v>0</v>
      </c>
      <c r="K7" s="6"/>
      <c r="L7" s="6"/>
      <c r="M7" s="6"/>
      <c r="N7" s="6"/>
      <c r="O7" s="6"/>
      <c r="P7" s="6"/>
      <c r="Q7" s="6"/>
      <c r="R7" s="6"/>
    </row>
    <row r="8" spans="1:20" x14ac:dyDescent="0.3">
      <c r="A8" s="1">
        <v>2</v>
      </c>
      <c r="B8" s="1">
        <v>0</v>
      </c>
      <c r="C8" s="1" t="s">
        <v>2</v>
      </c>
      <c r="D8" s="1" t="s">
        <v>0</v>
      </c>
      <c r="E8" s="1">
        <v>47</v>
      </c>
      <c r="F8" s="1" t="s">
        <v>1</v>
      </c>
      <c r="G8" s="1" t="s">
        <v>0</v>
      </c>
      <c r="H8" s="1">
        <v>52</v>
      </c>
      <c r="I8" s="1">
        <v>1</v>
      </c>
      <c r="K8" s="7"/>
      <c r="L8" s="8"/>
      <c r="M8" s="23" t="s">
        <v>3</v>
      </c>
      <c r="N8" s="23"/>
      <c r="O8" s="23" t="s">
        <v>8</v>
      </c>
      <c r="P8" s="23"/>
      <c r="Q8" s="23" t="s">
        <v>9</v>
      </c>
      <c r="R8" s="23"/>
    </row>
    <row r="9" spans="1:20" x14ac:dyDescent="0.3">
      <c r="A9" s="1">
        <v>2</v>
      </c>
      <c r="B9" s="1">
        <v>0</v>
      </c>
      <c r="C9" s="1" t="s">
        <v>2</v>
      </c>
      <c r="D9" s="1" t="s">
        <v>0</v>
      </c>
      <c r="E9" s="1">
        <v>7</v>
      </c>
      <c r="F9" s="1" t="s">
        <v>1</v>
      </c>
      <c r="G9" s="1" t="s">
        <v>0</v>
      </c>
      <c r="H9" s="1">
        <v>5</v>
      </c>
      <c r="I9" s="1">
        <v>0</v>
      </c>
      <c r="K9" s="4"/>
      <c r="L9" s="5"/>
      <c r="M9" s="23"/>
      <c r="N9" s="23"/>
      <c r="O9" s="23"/>
      <c r="P9" s="23"/>
      <c r="Q9" s="23"/>
      <c r="R9" s="23"/>
    </row>
    <row r="10" spans="1:20" x14ac:dyDescent="0.3">
      <c r="A10" s="1">
        <v>2</v>
      </c>
      <c r="B10" s="1">
        <v>0</v>
      </c>
      <c r="C10" s="1" t="s">
        <v>2</v>
      </c>
      <c r="D10" s="1" t="s">
        <v>0</v>
      </c>
      <c r="E10" s="1">
        <v>21</v>
      </c>
      <c r="F10" s="1" t="s">
        <v>1</v>
      </c>
      <c r="G10" s="1" t="s">
        <v>0</v>
      </c>
      <c r="H10" s="1">
        <v>11</v>
      </c>
      <c r="I10" s="1">
        <v>0</v>
      </c>
      <c r="K10" s="19" t="s">
        <v>10</v>
      </c>
      <c r="L10" s="19"/>
      <c r="M10" s="20">
        <f>AVERAGE($E$1:$E$100,)</f>
        <v>24.89108910891089</v>
      </c>
      <c r="N10" s="20"/>
      <c r="O10" s="20" cm="1">
        <f t="array" ref="O10">AVERAGE(_xlfn._xlws.FILTER($E$1:$E$100,$I$1:$I$100 = 0))</f>
        <v>33.701754385964911</v>
      </c>
      <c r="P10" s="20"/>
      <c r="Q10" s="21" cm="1">
        <f t="array" ref="Q10">AVERAGE(_xlfn._xlws.FILTER($E$1:$E$100,$I$1:$I$100 = 1))</f>
        <v>13.790697674418604</v>
      </c>
      <c r="R10" s="10"/>
    </row>
    <row r="11" spans="1:20" x14ac:dyDescent="0.3">
      <c r="A11" s="1">
        <v>2</v>
      </c>
      <c r="B11" s="1">
        <v>0</v>
      </c>
      <c r="C11" s="1" t="s">
        <v>2</v>
      </c>
      <c r="D11" s="1" t="s">
        <v>0</v>
      </c>
      <c r="E11" s="1">
        <v>38</v>
      </c>
      <c r="F11" s="1" t="s">
        <v>1</v>
      </c>
      <c r="G11" s="1" t="s">
        <v>0</v>
      </c>
      <c r="H11" s="1">
        <v>40</v>
      </c>
      <c r="I11" s="1">
        <v>1</v>
      </c>
      <c r="K11" s="19"/>
      <c r="L11" s="19"/>
      <c r="M11" s="20"/>
      <c r="N11" s="20"/>
      <c r="O11" s="20"/>
      <c r="P11" s="20"/>
      <c r="Q11" s="20"/>
      <c r="R11" s="12"/>
    </row>
    <row r="12" spans="1:20" x14ac:dyDescent="0.3">
      <c r="A12" s="1">
        <v>2</v>
      </c>
      <c r="B12" s="1">
        <v>0</v>
      </c>
      <c r="C12" s="1" t="s">
        <v>2</v>
      </c>
      <c r="D12" s="1" t="s">
        <v>0</v>
      </c>
      <c r="E12" s="1">
        <v>17</v>
      </c>
      <c r="F12" s="1" t="s">
        <v>1</v>
      </c>
      <c r="G12" s="1" t="s">
        <v>0</v>
      </c>
      <c r="H12" s="1">
        <v>45</v>
      </c>
      <c r="I12" s="1">
        <v>1</v>
      </c>
      <c r="K12" s="19" t="s">
        <v>11</v>
      </c>
      <c r="L12" s="19"/>
      <c r="M12" s="20">
        <f>AVERAGE($H$1:$H$100,)</f>
        <v>23.980198019801982</v>
      </c>
      <c r="N12" s="20"/>
      <c r="O12" s="20" cm="1">
        <f t="array" ref="O12">AVERAGE(_xlfn._xlws.FILTER($H$1:$H$100,$I$1:$I$100 = 0))</f>
        <v>16.842105263157894</v>
      </c>
      <c r="P12" s="20"/>
      <c r="Q12" s="20" cm="1">
        <f t="array" ref="Q12">AVERAGE(_xlfn._xlws.FILTER($H$1:$H$100,$I$1:$I$100 = 1))</f>
        <v>34</v>
      </c>
      <c r="R12" s="12"/>
    </row>
    <row r="13" spans="1:20" x14ac:dyDescent="0.3">
      <c r="A13" s="1">
        <v>2</v>
      </c>
      <c r="B13" s="1">
        <v>0</v>
      </c>
      <c r="C13" s="1" t="s">
        <v>2</v>
      </c>
      <c r="D13" s="1" t="s">
        <v>0</v>
      </c>
      <c r="E13" s="1">
        <v>9</v>
      </c>
      <c r="F13" s="1" t="s">
        <v>1</v>
      </c>
      <c r="G13" s="1" t="s">
        <v>0</v>
      </c>
      <c r="H13" s="1">
        <v>40</v>
      </c>
      <c r="I13" s="1">
        <v>1</v>
      </c>
      <c r="K13" s="19"/>
      <c r="L13" s="19"/>
      <c r="M13" s="20"/>
      <c r="N13" s="20"/>
      <c r="O13" s="20"/>
      <c r="P13" s="20"/>
      <c r="Q13" s="20"/>
      <c r="R13" s="12"/>
    </row>
    <row r="14" spans="1:20" x14ac:dyDescent="0.3">
      <c r="A14" s="1">
        <v>2</v>
      </c>
      <c r="B14" s="1">
        <v>0</v>
      </c>
      <c r="C14" s="1" t="s">
        <v>2</v>
      </c>
      <c r="D14" s="1" t="s">
        <v>0</v>
      </c>
      <c r="E14" s="1">
        <v>27</v>
      </c>
      <c r="F14" s="1" t="s">
        <v>1</v>
      </c>
      <c r="G14" s="1" t="s">
        <v>0</v>
      </c>
      <c r="H14" s="1">
        <v>25</v>
      </c>
      <c r="I14" s="1">
        <v>0</v>
      </c>
      <c r="K14" s="9" t="s">
        <v>12</v>
      </c>
      <c r="L14" s="10"/>
      <c r="M14" s="15" cm="1">
        <f t="array" ref="M14">AVERAGE($E$1:$E$100 - $H$1:$H$100)</f>
        <v>0.92</v>
      </c>
      <c r="N14" s="15"/>
      <c r="O14" s="15" cm="1">
        <f t="array" ref="O14">AVERAGE(_xlfn._xlws.FILTER($E$1:$E$100 - $H$1:$H$100, I$1:I$100 = 0))</f>
        <v>16.859649122807017</v>
      </c>
      <c r="P14" s="15"/>
      <c r="Q14" s="15" cm="1">
        <f t="array" ref="Q14">AVERAGE(_xlfn._xlws.FILTER($E$1:$E$100 - $H$1:$H$100, I$1:I$100 = 1))</f>
        <v>-20.209302325581394</v>
      </c>
      <c r="R14" s="17"/>
    </row>
    <row r="15" spans="1:20" x14ac:dyDescent="0.3">
      <c r="A15" s="1">
        <v>2</v>
      </c>
      <c r="B15" s="1">
        <v>0</v>
      </c>
      <c r="C15" s="1" t="s">
        <v>2</v>
      </c>
      <c r="D15" s="1" t="s">
        <v>0</v>
      </c>
      <c r="E15" s="1">
        <v>24</v>
      </c>
      <c r="F15" s="1" t="s">
        <v>1</v>
      </c>
      <c r="G15" s="1" t="s">
        <v>0</v>
      </c>
      <c r="H15" s="1">
        <v>50</v>
      </c>
      <c r="I15" s="1">
        <v>1</v>
      </c>
      <c r="K15" s="11"/>
      <c r="L15" s="12"/>
      <c r="M15" s="15"/>
      <c r="N15" s="15"/>
      <c r="O15" s="15"/>
      <c r="P15" s="15"/>
      <c r="Q15" s="15"/>
      <c r="R15" s="17"/>
    </row>
    <row r="16" spans="1:20" x14ac:dyDescent="0.3">
      <c r="A16" s="1">
        <v>2</v>
      </c>
      <c r="B16" s="1">
        <v>0</v>
      </c>
      <c r="C16" s="1" t="s">
        <v>2</v>
      </c>
      <c r="D16" s="1" t="s">
        <v>0</v>
      </c>
      <c r="E16" s="1">
        <v>30</v>
      </c>
      <c r="F16" s="1" t="s">
        <v>1</v>
      </c>
      <c r="G16" s="1" t="s">
        <v>0</v>
      </c>
      <c r="H16" s="1">
        <v>4</v>
      </c>
      <c r="I16" s="1">
        <v>0</v>
      </c>
      <c r="K16" s="13"/>
      <c r="L16" s="14"/>
      <c r="M16" s="16"/>
      <c r="N16" s="16"/>
      <c r="O16" s="16"/>
      <c r="P16" s="16"/>
      <c r="Q16" s="16"/>
      <c r="R16" s="18"/>
    </row>
    <row r="17" spans="1:9" x14ac:dyDescent="0.3">
      <c r="A17" s="1">
        <v>2</v>
      </c>
      <c r="B17" s="1">
        <v>0</v>
      </c>
      <c r="C17" s="1" t="s">
        <v>2</v>
      </c>
      <c r="D17" s="1" t="s">
        <v>0</v>
      </c>
      <c r="E17" s="1">
        <v>25</v>
      </c>
      <c r="F17" s="1" t="s">
        <v>1</v>
      </c>
      <c r="G17" s="1" t="s">
        <v>0</v>
      </c>
      <c r="H17" s="1">
        <v>24</v>
      </c>
      <c r="I17" s="1">
        <v>0</v>
      </c>
    </row>
    <row r="18" spans="1:9" x14ac:dyDescent="0.3">
      <c r="A18" s="1">
        <v>2</v>
      </c>
      <c r="B18" s="1">
        <v>0</v>
      </c>
      <c r="C18" s="1" t="s">
        <v>2</v>
      </c>
      <c r="D18" s="1" t="s">
        <v>0</v>
      </c>
      <c r="E18" s="1">
        <v>26</v>
      </c>
      <c r="F18" s="1" t="s">
        <v>1</v>
      </c>
      <c r="G18" s="1" t="s">
        <v>0</v>
      </c>
      <c r="H18" s="1">
        <v>28</v>
      </c>
      <c r="I18" s="1">
        <v>1</v>
      </c>
    </row>
    <row r="19" spans="1:9" x14ac:dyDescent="0.3">
      <c r="A19" s="1">
        <v>2</v>
      </c>
      <c r="B19" s="1">
        <v>0</v>
      </c>
      <c r="C19" s="1" t="s">
        <v>2</v>
      </c>
      <c r="D19" s="1" t="s">
        <v>0</v>
      </c>
      <c r="E19" s="1">
        <v>27</v>
      </c>
      <c r="F19" s="1" t="s">
        <v>1</v>
      </c>
      <c r="G19" s="1" t="s">
        <v>0</v>
      </c>
      <c r="H19" s="1">
        <v>41</v>
      </c>
      <c r="I19" s="1">
        <v>1</v>
      </c>
    </row>
    <row r="20" spans="1:9" x14ac:dyDescent="0.3">
      <c r="A20" s="1">
        <v>2</v>
      </c>
      <c r="B20" s="1">
        <v>0</v>
      </c>
      <c r="C20" s="1" t="s">
        <v>2</v>
      </c>
      <c r="D20" s="1" t="s">
        <v>0</v>
      </c>
      <c r="E20" s="1">
        <v>0</v>
      </c>
      <c r="F20" s="1" t="s">
        <v>1</v>
      </c>
      <c r="G20" s="1" t="s">
        <v>0</v>
      </c>
      <c r="H20" s="1">
        <v>23</v>
      </c>
      <c r="I20" s="1">
        <v>1</v>
      </c>
    </row>
    <row r="21" spans="1:9" x14ac:dyDescent="0.3">
      <c r="A21" s="1">
        <v>2</v>
      </c>
      <c r="B21" s="1">
        <v>0</v>
      </c>
      <c r="C21" s="1" t="s">
        <v>2</v>
      </c>
      <c r="D21" s="1" t="s">
        <v>0</v>
      </c>
      <c r="E21" s="1">
        <v>15</v>
      </c>
      <c r="F21" s="1" t="s">
        <v>1</v>
      </c>
      <c r="G21" s="1" t="s">
        <v>0</v>
      </c>
      <c r="H21" s="1">
        <v>24</v>
      </c>
      <c r="I21" s="1">
        <v>1</v>
      </c>
    </row>
    <row r="22" spans="1:9" x14ac:dyDescent="0.3">
      <c r="A22" s="1">
        <v>2</v>
      </c>
      <c r="B22" s="1">
        <v>0</v>
      </c>
      <c r="C22" s="1" t="s">
        <v>2</v>
      </c>
      <c r="D22" s="1" t="s">
        <v>0</v>
      </c>
      <c r="E22" s="1">
        <v>24</v>
      </c>
      <c r="F22" s="1" t="s">
        <v>1</v>
      </c>
      <c r="G22" s="1" t="s">
        <v>0</v>
      </c>
      <c r="H22" s="1">
        <v>19</v>
      </c>
      <c r="I22" s="1">
        <v>0</v>
      </c>
    </row>
    <row r="23" spans="1:9" x14ac:dyDescent="0.3">
      <c r="A23" s="1">
        <v>2</v>
      </c>
      <c r="B23" s="1">
        <v>0</v>
      </c>
      <c r="C23" s="1" t="s">
        <v>2</v>
      </c>
      <c r="D23" s="1" t="s">
        <v>0</v>
      </c>
      <c r="E23" s="1">
        <v>58</v>
      </c>
      <c r="F23" s="1" t="s">
        <v>1</v>
      </c>
      <c r="G23" s="1" t="s">
        <v>0</v>
      </c>
      <c r="H23" s="1">
        <v>49</v>
      </c>
      <c r="I23" s="1">
        <v>0</v>
      </c>
    </row>
    <row r="24" spans="1:9" x14ac:dyDescent="0.3">
      <c r="A24" s="1">
        <v>2</v>
      </c>
      <c r="B24" s="1">
        <v>0</v>
      </c>
      <c r="C24" s="1" t="s">
        <v>2</v>
      </c>
      <c r="D24" s="1" t="s">
        <v>0</v>
      </c>
      <c r="E24" s="1">
        <v>18</v>
      </c>
      <c r="F24" s="1" t="s">
        <v>1</v>
      </c>
      <c r="G24" s="1" t="s">
        <v>0</v>
      </c>
      <c r="H24" s="1">
        <v>21</v>
      </c>
      <c r="I24" s="1">
        <v>1</v>
      </c>
    </row>
    <row r="25" spans="1:9" x14ac:dyDescent="0.3">
      <c r="A25" s="1">
        <v>2</v>
      </c>
      <c r="B25" s="1">
        <v>0</v>
      </c>
      <c r="C25" s="1" t="s">
        <v>2</v>
      </c>
      <c r="D25" s="1" t="s">
        <v>0</v>
      </c>
      <c r="E25" s="1">
        <v>41</v>
      </c>
      <c r="F25" s="1" t="s">
        <v>1</v>
      </c>
      <c r="G25" s="1" t="s">
        <v>0</v>
      </c>
      <c r="H25" s="1">
        <v>26</v>
      </c>
      <c r="I25" s="1">
        <v>0</v>
      </c>
    </row>
    <row r="26" spans="1:9" x14ac:dyDescent="0.3">
      <c r="A26" s="1">
        <v>2</v>
      </c>
      <c r="B26" s="1">
        <v>0</v>
      </c>
      <c r="C26" s="1" t="s">
        <v>2</v>
      </c>
      <c r="D26" s="1" t="s">
        <v>0</v>
      </c>
      <c r="E26" s="1">
        <v>1</v>
      </c>
      <c r="F26" s="1" t="s">
        <v>1</v>
      </c>
      <c r="G26" s="1" t="s">
        <v>0</v>
      </c>
      <c r="H26" s="1">
        <v>30</v>
      </c>
      <c r="I26" s="1">
        <v>1</v>
      </c>
    </row>
    <row r="27" spans="1:9" x14ac:dyDescent="0.3">
      <c r="A27" s="1">
        <v>2</v>
      </c>
      <c r="B27" s="1">
        <v>0</v>
      </c>
      <c r="C27" s="1" t="s">
        <v>2</v>
      </c>
      <c r="D27" s="1" t="s">
        <v>0</v>
      </c>
      <c r="E27" s="1">
        <v>18</v>
      </c>
      <c r="F27" s="1" t="s">
        <v>1</v>
      </c>
      <c r="G27" s="1" t="s">
        <v>0</v>
      </c>
      <c r="H27" s="1">
        <v>36</v>
      </c>
      <c r="I27" s="1">
        <v>1</v>
      </c>
    </row>
    <row r="28" spans="1:9" x14ac:dyDescent="0.3">
      <c r="A28" s="1">
        <v>2</v>
      </c>
      <c r="B28" s="1">
        <v>0</v>
      </c>
      <c r="C28" s="1" t="s">
        <v>2</v>
      </c>
      <c r="D28" s="1" t="s">
        <v>0</v>
      </c>
      <c r="E28" s="1">
        <v>5</v>
      </c>
      <c r="F28" s="1" t="s">
        <v>1</v>
      </c>
      <c r="G28" s="1" t="s">
        <v>0</v>
      </c>
      <c r="H28" s="1">
        <v>3</v>
      </c>
      <c r="I28" s="1">
        <v>0</v>
      </c>
    </row>
    <row r="29" spans="1:9" x14ac:dyDescent="0.3">
      <c r="A29" s="1">
        <v>2</v>
      </c>
      <c r="B29" s="1">
        <v>0</v>
      </c>
      <c r="C29" s="1" t="s">
        <v>2</v>
      </c>
      <c r="D29" s="1" t="s">
        <v>0</v>
      </c>
      <c r="E29" s="1">
        <v>27</v>
      </c>
      <c r="F29" s="1" t="s">
        <v>1</v>
      </c>
      <c r="G29" s="1" t="s">
        <v>0</v>
      </c>
      <c r="H29" s="1">
        <v>24</v>
      </c>
      <c r="I29" s="1">
        <v>0</v>
      </c>
    </row>
    <row r="30" spans="1:9" x14ac:dyDescent="0.3">
      <c r="A30" s="1">
        <v>2</v>
      </c>
      <c r="B30" s="1">
        <v>0</v>
      </c>
      <c r="C30" s="1" t="s">
        <v>2</v>
      </c>
      <c r="D30" s="1" t="s">
        <v>0</v>
      </c>
      <c r="E30" s="1">
        <v>0</v>
      </c>
      <c r="F30" s="1" t="s">
        <v>1</v>
      </c>
      <c r="G30" s="1" t="s">
        <v>0</v>
      </c>
      <c r="H30" s="1">
        <v>35</v>
      </c>
      <c r="I30" s="1">
        <v>1</v>
      </c>
    </row>
    <row r="31" spans="1:9" x14ac:dyDescent="0.3">
      <c r="A31" s="1">
        <v>2</v>
      </c>
      <c r="B31" s="1">
        <v>0</v>
      </c>
      <c r="C31" s="1" t="s">
        <v>2</v>
      </c>
      <c r="D31" s="1" t="s">
        <v>0</v>
      </c>
      <c r="E31" s="1">
        <v>27</v>
      </c>
      <c r="F31" s="1" t="s">
        <v>1</v>
      </c>
      <c r="G31" s="1" t="s">
        <v>0</v>
      </c>
      <c r="H31" s="1">
        <v>27</v>
      </c>
      <c r="I31" s="1">
        <v>0</v>
      </c>
    </row>
    <row r="32" spans="1:9" x14ac:dyDescent="0.3">
      <c r="A32" s="1">
        <v>2</v>
      </c>
      <c r="B32" s="1">
        <v>0</v>
      </c>
      <c r="C32" s="1" t="s">
        <v>2</v>
      </c>
      <c r="D32" s="1" t="s">
        <v>0</v>
      </c>
      <c r="E32" s="1">
        <v>4</v>
      </c>
      <c r="F32" s="1" t="s">
        <v>1</v>
      </c>
      <c r="G32" s="1" t="s">
        <v>0</v>
      </c>
      <c r="H32" s="1">
        <v>33</v>
      </c>
      <c r="I32" s="1">
        <v>1</v>
      </c>
    </row>
    <row r="33" spans="1:9" x14ac:dyDescent="0.3">
      <c r="A33" s="1">
        <v>2</v>
      </c>
      <c r="B33" s="1">
        <v>0</v>
      </c>
      <c r="C33" s="1" t="s">
        <v>2</v>
      </c>
      <c r="D33" s="1" t="s">
        <v>0</v>
      </c>
      <c r="E33" s="1">
        <v>17</v>
      </c>
      <c r="F33" s="1" t="s">
        <v>1</v>
      </c>
      <c r="G33" s="1" t="s">
        <v>0</v>
      </c>
      <c r="H33" s="1">
        <v>8</v>
      </c>
      <c r="I33" s="1">
        <v>0</v>
      </c>
    </row>
    <row r="34" spans="1:9" x14ac:dyDescent="0.3">
      <c r="A34" s="1">
        <v>2</v>
      </c>
      <c r="B34" s="1">
        <v>0</v>
      </c>
      <c r="C34" s="1" t="s">
        <v>2</v>
      </c>
      <c r="D34" s="1" t="s">
        <v>0</v>
      </c>
      <c r="E34" s="1">
        <v>0</v>
      </c>
      <c r="F34" s="1" t="s">
        <v>1</v>
      </c>
      <c r="G34" s="1" t="s">
        <v>0</v>
      </c>
      <c r="H34" s="1">
        <v>36</v>
      </c>
      <c r="I34" s="1">
        <v>1</v>
      </c>
    </row>
    <row r="35" spans="1:9" x14ac:dyDescent="0.3">
      <c r="A35" s="1">
        <v>2</v>
      </c>
      <c r="B35" s="1">
        <v>0</v>
      </c>
      <c r="C35" s="1" t="s">
        <v>2</v>
      </c>
      <c r="D35" s="1" t="s">
        <v>0</v>
      </c>
      <c r="E35" s="1">
        <v>32</v>
      </c>
      <c r="F35" s="1" t="s">
        <v>1</v>
      </c>
      <c r="G35" s="1" t="s">
        <v>0</v>
      </c>
      <c r="H35" s="1">
        <v>19</v>
      </c>
      <c r="I35" s="1">
        <v>0</v>
      </c>
    </row>
    <row r="36" spans="1:9" x14ac:dyDescent="0.3">
      <c r="A36" s="1">
        <v>2</v>
      </c>
      <c r="B36" s="1">
        <v>0</v>
      </c>
      <c r="C36" s="1" t="s">
        <v>2</v>
      </c>
      <c r="D36" s="1" t="s">
        <v>0</v>
      </c>
      <c r="E36" s="1">
        <v>12</v>
      </c>
      <c r="F36" s="1" t="s">
        <v>1</v>
      </c>
      <c r="G36" s="1" t="s">
        <v>0</v>
      </c>
      <c r="H36" s="1">
        <v>9</v>
      </c>
      <c r="I36" s="1">
        <v>0</v>
      </c>
    </row>
    <row r="37" spans="1:9" x14ac:dyDescent="0.3">
      <c r="A37" s="1">
        <v>2</v>
      </c>
      <c r="B37" s="1">
        <v>0</v>
      </c>
      <c r="C37" s="1" t="s">
        <v>2</v>
      </c>
      <c r="D37" s="1" t="s">
        <v>0</v>
      </c>
      <c r="E37" s="1">
        <v>40</v>
      </c>
      <c r="F37" s="1" t="s">
        <v>1</v>
      </c>
      <c r="G37" s="1" t="s">
        <v>0</v>
      </c>
      <c r="H37" s="1">
        <v>24</v>
      </c>
      <c r="I37" s="1">
        <v>0</v>
      </c>
    </row>
    <row r="38" spans="1:9" x14ac:dyDescent="0.3">
      <c r="A38" s="1">
        <v>2</v>
      </c>
      <c r="B38" s="1">
        <v>0</v>
      </c>
      <c r="C38" s="1" t="s">
        <v>2</v>
      </c>
      <c r="D38" s="1" t="s">
        <v>0</v>
      </c>
      <c r="E38" s="1">
        <v>2</v>
      </c>
      <c r="F38" s="1" t="s">
        <v>1</v>
      </c>
      <c r="G38" s="1" t="s">
        <v>0</v>
      </c>
      <c r="H38" s="1">
        <v>15</v>
      </c>
      <c r="I38" s="1">
        <v>1</v>
      </c>
    </row>
    <row r="39" spans="1:9" x14ac:dyDescent="0.3">
      <c r="A39" s="1">
        <v>2</v>
      </c>
      <c r="B39" s="1">
        <v>0</v>
      </c>
      <c r="C39" s="1" t="s">
        <v>2</v>
      </c>
      <c r="D39" s="1" t="s">
        <v>0</v>
      </c>
      <c r="E39" s="1">
        <v>17</v>
      </c>
      <c r="F39" s="1" t="s">
        <v>1</v>
      </c>
      <c r="G39" s="1" t="s">
        <v>0</v>
      </c>
      <c r="H39" s="1">
        <v>44</v>
      </c>
      <c r="I39" s="1">
        <v>1</v>
      </c>
    </row>
    <row r="40" spans="1:9" x14ac:dyDescent="0.3">
      <c r="A40" s="1">
        <v>2</v>
      </c>
      <c r="B40" s="1">
        <v>0</v>
      </c>
      <c r="C40" s="1" t="s">
        <v>2</v>
      </c>
      <c r="D40" s="1" t="s">
        <v>0</v>
      </c>
      <c r="E40" s="1">
        <v>2</v>
      </c>
      <c r="F40" s="1" t="s">
        <v>1</v>
      </c>
      <c r="G40" s="1" t="s">
        <v>0</v>
      </c>
      <c r="H40" s="1">
        <v>19</v>
      </c>
      <c r="I40" s="1">
        <v>1</v>
      </c>
    </row>
    <row r="41" spans="1:9" x14ac:dyDescent="0.3">
      <c r="A41" s="1">
        <v>2</v>
      </c>
      <c r="B41" s="1">
        <v>0</v>
      </c>
      <c r="C41" s="1" t="s">
        <v>2</v>
      </c>
      <c r="D41" s="1" t="s">
        <v>0</v>
      </c>
      <c r="E41" s="1">
        <v>2</v>
      </c>
      <c r="F41" s="1" t="s">
        <v>1</v>
      </c>
      <c r="G41" s="1" t="s">
        <v>0</v>
      </c>
      <c r="H41" s="1">
        <v>32</v>
      </c>
      <c r="I41" s="1">
        <v>1</v>
      </c>
    </row>
    <row r="42" spans="1:9" x14ac:dyDescent="0.3">
      <c r="A42" s="1">
        <v>2</v>
      </c>
      <c r="B42" s="1">
        <v>0</v>
      </c>
      <c r="C42" s="1" t="s">
        <v>2</v>
      </c>
      <c r="D42" s="1" t="s">
        <v>0</v>
      </c>
      <c r="E42" s="1">
        <v>50</v>
      </c>
      <c r="F42" s="1" t="s">
        <v>1</v>
      </c>
      <c r="G42" s="1" t="s">
        <v>0</v>
      </c>
      <c r="H42" s="1">
        <v>19</v>
      </c>
      <c r="I42" s="1">
        <v>0</v>
      </c>
    </row>
    <row r="43" spans="1:9" x14ac:dyDescent="0.3">
      <c r="A43" s="1">
        <v>2</v>
      </c>
      <c r="B43" s="1">
        <v>0</v>
      </c>
      <c r="C43" s="1" t="s">
        <v>2</v>
      </c>
      <c r="D43" s="1" t="s">
        <v>0</v>
      </c>
      <c r="E43" s="1">
        <v>45</v>
      </c>
      <c r="F43" s="1" t="s">
        <v>1</v>
      </c>
      <c r="G43" s="1" t="s">
        <v>0</v>
      </c>
      <c r="H43" s="1">
        <v>36</v>
      </c>
      <c r="I43" s="1">
        <v>0</v>
      </c>
    </row>
    <row r="44" spans="1:9" x14ac:dyDescent="0.3">
      <c r="A44" s="1">
        <v>2</v>
      </c>
      <c r="B44" s="1">
        <v>0</v>
      </c>
      <c r="C44" s="1" t="s">
        <v>2</v>
      </c>
      <c r="D44" s="1" t="s">
        <v>0</v>
      </c>
      <c r="E44" s="1">
        <v>16</v>
      </c>
      <c r="F44" s="1" t="s">
        <v>1</v>
      </c>
      <c r="G44" s="1" t="s">
        <v>0</v>
      </c>
      <c r="H44" s="1">
        <v>47</v>
      </c>
      <c r="I44" s="1">
        <v>1</v>
      </c>
    </row>
    <row r="45" spans="1:9" x14ac:dyDescent="0.3">
      <c r="A45" s="1">
        <v>2</v>
      </c>
      <c r="B45" s="1">
        <v>0</v>
      </c>
      <c r="C45" s="1" t="s">
        <v>2</v>
      </c>
      <c r="D45" s="1" t="s">
        <v>0</v>
      </c>
      <c r="E45" s="1">
        <v>2</v>
      </c>
      <c r="F45" s="1" t="s">
        <v>1</v>
      </c>
      <c r="G45" s="1" t="s">
        <v>0</v>
      </c>
      <c r="H45" s="1">
        <v>15</v>
      </c>
      <c r="I45" s="1">
        <v>1</v>
      </c>
    </row>
    <row r="46" spans="1:9" x14ac:dyDescent="0.3">
      <c r="A46" s="1">
        <v>2</v>
      </c>
      <c r="B46" s="1">
        <v>0</v>
      </c>
      <c r="C46" s="1" t="s">
        <v>2</v>
      </c>
      <c r="D46" s="1" t="s">
        <v>0</v>
      </c>
      <c r="E46" s="1">
        <v>2</v>
      </c>
      <c r="F46" s="1" t="s">
        <v>1</v>
      </c>
      <c r="G46" s="1" t="s">
        <v>0</v>
      </c>
      <c r="H46" s="1">
        <v>40</v>
      </c>
      <c r="I46" s="1">
        <v>1</v>
      </c>
    </row>
    <row r="47" spans="1:9" x14ac:dyDescent="0.3">
      <c r="A47" s="1">
        <v>2</v>
      </c>
      <c r="B47" s="1">
        <v>0</v>
      </c>
      <c r="C47" s="1" t="s">
        <v>2</v>
      </c>
      <c r="D47" s="1" t="s">
        <v>0</v>
      </c>
      <c r="E47" s="1">
        <v>21</v>
      </c>
      <c r="F47" s="1" t="s">
        <v>1</v>
      </c>
      <c r="G47" s="1" t="s">
        <v>0</v>
      </c>
      <c r="H47" s="1">
        <v>5</v>
      </c>
      <c r="I47" s="1">
        <v>0</v>
      </c>
    </row>
    <row r="48" spans="1:9" x14ac:dyDescent="0.3">
      <c r="A48" s="1">
        <v>2</v>
      </c>
      <c r="B48" s="1">
        <v>0</v>
      </c>
      <c r="C48" s="1" t="s">
        <v>2</v>
      </c>
      <c r="D48" s="1" t="s">
        <v>0</v>
      </c>
      <c r="E48" s="1">
        <v>25</v>
      </c>
      <c r="F48" s="1" t="s">
        <v>1</v>
      </c>
      <c r="G48" s="1" t="s">
        <v>0</v>
      </c>
      <c r="H48" s="1">
        <v>16</v>
      </c>
      <c r="I48" s="1">
        <v>0</v>
      </c>
    </row>
    <row r="49" spans="1:9" x14ac:dyDescent="0.3">
      <c r="A49" s="1">
        <v>2</v>
      </c>
      <c r="B49" s="1">
        <v>0</v>
      </c>
      <c r="C49" s="1" t="s">
        <v>2</v>
      </c>
      <c r="D49" s="1" t="s">
        <v>0</v>
      </c>
      <c r="E49" s="1">
        <v>10</v>
      </c>
      <c r="F49" s="1" t="s">
        <v>1</v>
      </c>
      <c r="G49" s="1" t="s">
        <v>0</v>
      </c>
      <c r="H49" s="1">
        <v>39</v>
      </c>
      <c r="I49" s="1">
        <v>1</v>
      </c>
    </row>
    <row r="50" spans="1:9" x14ac:dyDescent="0.3">
      <c r="A50" s="1">
        <v>2</v>
      </c>
      <c r="B50" s="1">
        <v>0</v>
      </c>
      <c r="C50" s="1" t="s">
        <v>2</v>
      </c>
      <c r="D50" s="1" t="s">
        <v>0</v>
      </c>
      <c r="E50" s="1">
        <v>35</v>
      </c>
      <c r="F50" s="1" t="s">
        <v>1</v>
      </c>
      <c r="G50" s="1" t="s">
        <v>0</v>
      </c>
      <c r="H50" s="1">
        <v>9</v>
      </c>
      <c r="I50" s="1">
        <v>0</v>
      </c>
    </row>
    <row r="51" spans="1:9" x14ac:dyDescent="0.3">
      <c r="A51" s="1">
        <v>2</v>
      </c>
      <c r="B51" s="1">
        <v>1</v>
      </c>
      <c r="C51" s="1" t="s">
        <v>2</v>
      </c>
      <c r="D51" s="1" t="s">
        <v>0</v>
      </c>
      <c r="E51" s="1">
        <v>6</v>
      </c>
      <c r="F51" s="1" t="s">
        <v>1</v>
      </c>
      <c r="G51" s="1" t="s">
        <v>0</v>
      </c>
      <c r="H51" s="1">
        <v>11</v>
      </c>
      <c r="I51" s="1">
        <v>1</v>
      </c>
    </row>
    <row r="52" spans="1:9" x14ac:dyDescent="0.3">
      <c r="A52" s="1">
        <v>2</v>
      </c>
      <c r="B52" s="1">
        <v>1</v>
      </c>
      <c r="C52" s="1" t="s">
        <v>2</v>
      </c>
      <c r="D52" s="1" t="s">
        <v>0</v>
      </c>
      <c r="E52" s="1">
        <v>43</v>
      </c>
      <c r="F52" s="1" t="s">
        <v>1</v>
      </c>
      <c r="G52" s="1" t="s">
        <v>0</v>
      </c>
      <c r="H52" s="1">
        <v>23</v>
      </c>
      <c r="I52" s="1">
        <v>0</v>
      </c>
    </row>
    <row r="53" spans="1:9" x14ac:dyDescent="0.3">
      <c r="A53" s="1">
        <v>2</v>
      </c>
      <c r="B53" s="1">
        <v>1</v>
      </c>
      <c r="C53" s="1" t="s">
        <v>2</v>
      </c>
      <c r="D53" s="1" t="s">
        <v>0</v>
      </c>
      <c r="E53" s="1">
        <v>39</v>
      </c>
      <c r="F53" s="1" t="s">
        <v>1</v>
      </c>
      <c r="G53" s="1" t="s">
        <v>0</v>
      </c>
      <c r="H53" s="1">
        <v>9</v>
      </c>
      <c r="I53" s="1">
        <v>0</v>
      </c>
    </row>
    <row r="54" spans="1:9" x14ac:dyDescent="0.3">
      <c r="A54" s="1">
        <v>2</v>
      </c>
      <c r="B54" s="1">
        <v>1</v>
      </c>
      <c r="C54" s="1" t="s">
        <v>2</v>
      </c>
      <c r="D54" s="1" t="s">
        <v>0</v>
      </c>
      <c r="E54" s="1">
        <v>30</v>
      </c>
      <c r="F54" s="1" t="s">
        <v>1</v>
      </c>
      <c r="G54" s="1" t="s">
        <v>0</v>
      </c>
      <c r="H54" s="1">
        <v>38</v>
      </c>
      <c r="I54" s="1">
        <v>1</v>
      </c>
    </row>
    <row r="55" spans="1:9" x14ac:dyDescent="0.3">
      <c r="A55" s="1">
        <v>2</v>
      </c>
      <c r="B55" s="1">
        <v>1</v>
      </c>
      <c r="C55" s="1" t="s">
        <v>2</v>
      </c>
      <c r="D55" s="1" t="s">
        <v>0</v>
      </c>
      <c r="E55" s="1">
        <v>21</v>
      </c>
      <c r="F55" s="1" t="s">
        <v>1</v>
      </c>
      <c r="G55" s="1" t="s">
        <v>0</v>
      </c>
      <c r="H55" s="1">
        <v>38</v>
      </c>
      <c r="I55" s="1">
        <v>1</v>
      </c>
    </row>
    <row r="56" spans="1:9" x14ac:dyDescent="0.3">
      <c r="A56" s="1">
        <v>2</v>
      </c>
      <c r="B56" s="1">
        <v>1</v>
      </c>
      <c r="C56" s="1" t="s">
        <v>2</v>
      </c>
      <c r="D56" s="1" t="s">
        <v>0</v>
      </c>
      <c r="E56" s="1">
        <v>34</v>
      </c>
      <c r="F56" s="1" t="s">
        <v>1</v>
      </c>
      <c r="G56" s="1" t="s">
        <v>0</v>
      </c>
      <c r="H56" s="1">
        <v>61</v>
      </c>
      <c r="I56" s="1">
        <v>1</v>
      </c>
    </row>
    <row r="57" spans="1:9" x14ac:dyDescent="0.3">
      <c r="A57" s="1">
        <v>2</v>
      </c>
      <c r="B57" s="1">
        <v>1</v>
      </c>
      <c r="C57" s="1" t="s">
        <v>2</v>
      </c>
      <c r="D57" s="1" t="s">
        <v>0</v>
      </c>
      <c r="E57" s="1">
        <v>49</v>
      </c>
      <c r="F57" s="1" t="s">
        <v>1</v>
      </c>
      <c r="G57" s="1" t="s">
        <v>0</v>
      </c>
      <c r="H57" s="1">
        <v>7</v>
      </c>
      <c r="I57" s="1">
        <v>0</v>
      </c>
    </row>
    <row r="58" spans="1:9" x14ac:dyDescent="0.3">
      <c r="A58" s="1">
        <v>2</v>
      </c>
      <c r="B58" s="1">
        <v>1</v>
      </c>
      <c r="C58" s="1" t="s">
        <v>2</v>
      </c>
      <c r="D58" s="1" t="s">
        <v>0</v>
      </c>
      <c r="E58" s="1">
        <v>7</v>
      </c>
      <c r="F58" s="1" t="s">
        <v>1</v>
      </c>
      <c r="G58" s="1" t="s">
        <v>0</v>
      </c>
      <c r="H58" s="1">
        <v>34</v>
      </c>
      <c r="I58" s="1">
        <v>1</v>
      </c>
    </row>
    <row r="59" spans="1:9" x14ac:dyDescent="0.3">
      <c r="A59" s="1">
        <v>2</v>
      </c>
      <c r="B59" s="1">
        <v>1</v>
      </c>
      <c r="C59" s="1" t="s">
        <v>2</v>
      </c>
      <c r="D59" s="1" t="s">
        <v>0</v>
      </c>
      <c r="E59" s="1">
        <v>25</v>
      </c>
      <c r="F59" s="1" t="s">
        <v>1</v>
      </c>
      <c r="G59" s="1" t="s">
        <v>0</v>
      </c>
      <c r="H59" s="1">
        <v>30</v>
      </c>
      <c r="I59" s="1">
        <v>1</v>
      </c>
    </row>
    <row r="60" spans="1:9" x14ac:dyDescent="0.3">
      <c r="A60" s="1">
        <v>2</v>
      </c>
      <c r="B60" s="1">
        <v>1</v>
      </c>
      <c r="C60" s="1" t="s">
        <v>2</v>
      </c>
      <c r="D60" s="1" t="s">
        <v>0</v>
      </c>
      <c r="E60" s="1">
        <v>16</v>
      </c>
      <c r="F60" s="1" t="s">
        <v>1</v>
      </c>
      <c r="G60" s="1" t="s">
        <v>0</v>
      </c>
      <c r="H60" s="1">
        <v>5</v>
      </c>
      <c r="I60" s="1">
        <v>0</v>
      </c>
    </row>
    <row r="61" spans="1:9" x14ac:dyDescent="0.3">
      <c r="A61" s="1">
        <v>2</v>
      </c>
      <c r="B61" s="1">
        <v>1</v>
      </c>
      <c r="C61" s="1" t="s">
        <v>2</v>
      </c>
      <c r="D61" s="1" t="s">
        <v>0</v>
      </c>
      <c r="E61" s="1">
        <v>37</v>
      </c>
      <c r="F61" s="1" t="s">
        <v>1</v>
      </c>
      <c r="G61" s="1" t="s">
        <v>0</v>
      </c>
      <c r="H61" s="1">
        <v>26</v>
      </c>
      <c r="I61" s="1">
        <v>0</v>
      </c>
    </row>
    <row r="62" spans="1:9" x14ac:dyDescent="0.3">
      <c r="A62" s="1">
        <v>2</v>
      </c>
      <c r="B62" s="1">
        <v>1</v>
      </c>
      <c r="C62" s="1" t="s">
        <v>2</v>
      </c>
      <c r="D62" s="1" t="s">
        <v>0</v>
      </c>
      <c r="E62" s="1">
        <v>39</v>
      </c>
      <c r="F62" s="1" t="s">
        <v>1</v>
      </c>
      <c r="G62" s="1" t="s">
        <v>0</v>
      </c>
      <c r="H62" s="1">
        <v>19</v>
      </c>
      <c r="I62" s="1">
        <v>0</v>
      </c>
    </row>
    <row r="63" spans="1:9" x14ac:dyDescent="0.3">
      <c r="A63" s="1">
        <v>2</v>
      </c>
      <c r="B63" s="1">
        <v>1</v>
      </c>
      <c r="C63" s="1" t="s">
        <v>2</v>
      </c>
      <c r="D63" s="1" t="s">
        <v>0</v>
      </c>
      <c r="E63" s="1">
        <v>21</v>
      </c>
      <c r="F63" s="1" t="s">
        <v>1</v>
      </c>
      <c r="G63" s="1" t="s">
        <v>0</v>
      </c>
      <c r="H63" s="1">
        <v>35</v>
      </c>
      <c r="I63" s="1">
        <v>1</v>
      </c>
    </row>
    <row r="64" spans="1:9" x14ac:dyDescent="0.3">
      <c r="A64" s="1">
        <v>2</v>
      </c>
      <c r="B64" s="1">
        <v>1</v>
      </c>
      <c r="C64" s="1" t="s">
        <v>2</v>
      </c>
      <c r="D64" s="1" t="s">
        <v>0</v>
      </c>
      <c r="E64" s="1">
        <v>43</v>
      </c>
      <c r="F64" s="1" t="s">
        <v>1</v>
      </c>
      <c r="G64" s="1" t="s">
        <v>0</v>
      </c>
      <c r="H64" s="1">
        <v>37</v>
      </c>
      <c r="I64" s="1">
        <v>0</v>
      </c>
    </row>
    <row r="65" spans="1:9" x14ac:dyDescent="0.3">
      <c r="A65" s="1">
        <v>2</v>
      </c>
      <c r="B65" s="1">
        <v>1</v>
      </c>
      <c r="C65" s="1" t="s">
        <v>2</v>
      </c>
      <c r="D65" s="1" t="s">
        <v>0</v>
      </c>
      <c r="E65" s="1">
        <v>12</v>
      </c>
      <c r="F65" s="1" t="s">
        <v>1</v>
      </c>
      <c r="G65" s="1" t="s">
        <v>0</v>
      </c>
      <c r="H65" s="1">
        <v>24</v>
      </c>
      <c r="I65" s="1">
        <v>1</v>
      </c>
    </row>
    <row r="66" spans="1:9" x14ac:dyDescent="0.3">
      <c r="A66" s="1">
        <v>2</v>
      </c>
      <c r="B66" s="1">
        <v>1</v>
      </c>
      <c r="C66" s="1" t="s">
        <v>2</v>
      </c>
      <c r="D66" s="1" t="s">
        <v>0</v>
      </c>
      <c r="E66" s="1">
        <v>26</v>
      </c>
      <c r="F66" s="1" t="s">
        <v>1</v>
      </c>
      <c r="G66" s="1" t="s">
        <v>0</v>
      </c>
      <c r="H66" s="1">
        <v>24</v>
      </c>
      <c r="I66" s="1">
        <v>0</v>
      </c>
    </row>
    <row r="67" spans="1:9" x14ac:dyDescent="0.3">
      <c r="A67" s="1">
        <v>2</v>
      </c>
      <c r="B67" s="1">
        <v>1</v>
      </c>
      <c r="C67" s="1" t="s">
        <v>2</v>
      </c>
      <c r="D67" s="1" t="s">
        <v>0</v>
      </c>
      <c r="E67" s="1">
        <v>28</v>
      </c>
      <c r="F67" s="1" t="s">
        <v>1</v>
      </c>
      <c r="G67" s="1" t="s">
        <v>0</v>
      </c>
      <c r="H67" s="1">
        <v>9</v>
      </c>
      <c r="I67" s="1">
        <v>0</v>
      </c>
    </row>
    <row r="68" spans="1:9" x14ac:dyDescent="0.3">
      <c r="A68" s="1">
        <v>2</v>
      </c>
      <c r="B68" s="1">
        <v>1</v>
      </c>
      <c r="C68" s="1" t="s">
        <v>2</v>
      </c>
      <c r="D68" s="1" t="s">
        <v>0</v>
      </c>
      <c r="E68" s="1">
        <v>18</v>
      </c>
      <c r="F68" s="1" t="s">
        <v>1</v>
      </c>
      <c r="G68" s="1" t="s">
        <v>0</v>
      </c>
      <c r="H68" s="1">
        <v>2</v>
      </c>
      <c r="I68" s="1">
        <v>0</v>
      </c>
    </row>
    <row r="69" spans="1:9" x14ac:dyDescent="0.3">
      <c r="A69" s="1">
        <v>2</v>
      </c>
      <c r="B69" s="1">
        <v>1</v>
      </c>
      <c r="C69" s="1" t="s">
        <v>2</v>
      </c>
      <c r="D69" s="1" t="s">
        <v>0</v>
      </c>
      <c r="E69" s="1">
        <v>16</v>
      </c>
      <c r="F69" s="1" t="s">
        <v>1</v>
      </c>
      <c r="G69" s="1" t="s">
        <v>0</v>
      </c>
      <c r="H69" s="1">
        <v>13</v>
      </c>
      <c r="I69" s="1">
        <v>0</v>
      </c>
    </row>
    <row r="70" spans="1:9" x14ac:dyDescent="0.3">
      <c r="A70" s="1">
        <v>2</v>
      </c>
      <c r="B70" s="1">
        <v>1</v>
      </c>
      <c r="C70" s="1" t="s">
        <v>2</v>
      </c>
      <c r="D70" s="1" t="s">
        <v>0</v>
      </c>
      <c r="E70" s="1">
        <v>28</v>
      </c>
      <c r="F70" s="1" t="s">
        <v>1</v>
      </c>
      <c r="G70" s="1" t="s">
        <v>0</v>
      </c>
      <c r="H70" s="1">
        <v>0</v>
      </c>
      <c r="I70" s="1">
        <v>0</v>
      </c>
    </row>
    <row r="71" spans="1:9" x14ac:dyDescent="0.3">
      <c r="A71" s="1">
        <v>2</v>
      </c>
      <c r="B71" s="1">
        <v>1</v>
      </c>
      <c r="C71" s="1" t="s">
        <v>2</v>
      </c>
      <c r="D71" s="1" t="s">
        <v>0</v>
      </c>
      <c r="E71" s="1">
        <v>38</v>
      </c>
      <c r="F71" s="1" t="s">
        <v>1</v>
      </c>
      <c r="G71" s="1" t="s">
        <v>0</v>
      </c>
      <c r="H71" s="1">
        <v>14</v>
      </c>
      <c r="I71" s="1">
        <v>0</v>
      </c>
    </row>
    <row r="72" spans="1:9" x14ac:dyDescent="0.3">
      <c r="A72" s="1">
        <v>2</v>
      </c>
      <c r="B72" s="1">
        <v>1</v>
      </c>
      <c r="C72" s="1" t="s">
        <v>2</v>
      </c>
      <c r="D72" s="1" t="s">
        <v>0</v>
      </c>
      <c r="E72" s="1">
        <v>5</v>
      </c>
      <c r="F72" s="1" t="s">
        <v>1</v>
      </c>
      <c r="G72" s="1" t="s">
        <v>0</v>
      </c>
      <c r="H72" s="1">
        <v>21</v>
      </c>
      <c r="I72" s="1">
        <v>1</v>
      </c>
    </row>
    <row r="73" spans="1:9" x14ac:dyDescent="0.3">
      <c r="A73" s="1">
        <v>2</v>
      </c>
      <c r="B73" s="1">
        <v>1</v>
      </c>
      <c r="C73" s="1" t="s">
        <v>2</v>
      </c>
      <c r="D73" s="1" t="s">
        <v>0</v>
      </c>
      <c r="E73" s="1">
        <v>20</v>
      </c>
      <c r="F73" s="1" t="s">
        <v>1</v>
      </c>
      <c r="G73" s="1" t="s">
        <v>0</v>
      </c>
      <c r="H73" s="1">
        <v>2</v>
      </c>
      <c r="I73" s="1">
        <v>0</v>
      </c>
    </row>
    <row r="74" spans="1:9" x14ac:dyDescent="0.3">
      <c r="A74" s="1">
        <v>2</v>
      </c>
      <c r="B74" s="1">
        <v>1</v>
      </c>
      <c r="C74" s="1" t="s">
        <v>2</v>
      </c>
      <c r="D74" s="1" t="s">
        <v>0</v>
      </c>
      <c r="E74" s="1">
        <v>57</v>
      </c>
      <c r="F74" s="1" t="s">
        <v>1</v>
      </c>
      <c r="G74" s="1" t="s">
        <v>0</v>
      </c>
      <c r="H74" s="1">
        <v>6</v>
      </c>
      <c r="I74" s="1">
        <v>0</v>
      </c>
    </row>
    <row r="75" spans="1:9" x14ac:dyDescent="0.3">
      <c r="A75" s="1">
        <v>2</v>
      </c>
      <c r="B75" s="1">
        <v>1</v>
      </c>
      <c r="C75" s="1" t="s">
        <v>2</v>
      </c>
      <c r="D75" s="1" t="s">
        <v>0</v>
      </c>
      <c r="E75" s="1">
        <v>50</v>
      </c>
      <c r="F75" s="1" t="s">
        <v>1</v>
      </c>
      <c r="G75" s="1" t="s">
        <v>0</v>
      </c>
      <c r="H75" s="1">
        <v>1</v>
      </c>
      <c r="I75" s="1">
        <v>0</v>
      </c>
    </row>
    <row r="76" spans="1:9" x14ac:dyDescent="0.3">
      <c r="A76" s="1">
        <v>2</v>
      </c>
      <c r="B76" s="1">
        <v>1</v>
      </c>
      <c r="C76" s="1" t="s">
        <v>2</v>
      </c>
      <c r="D76" s="1" t="s">
        <v>0</v>
      </c>
      <c r="E76" s="1">
        <v>58</v>
      </c>
      <c r="F76" s="1" t="s">
        <v>1</v>
      </c>
      <c r="G76" s="1" t="s">
        <v>0</v>
      </c>
      <c r="H76" s="1">
        <v>12</v>
      </c>
      <c r="I76" s="1">
        <v>0</v>
      </c>
    </row>
    <row r="77" spans="1:9" x14ac:dyDescent="0.3">
      <c r="A77" s="1">
        <v>2</v>
      </c>
      <c r="B77" s="1">
        <v>1</v>
      </c>
      <c r="C77" s="1" t="s">
        <v>2</v>
      </c>
      <c r="D77" s="1" t="s">
        <v>0</v>
      </c>
      <c r="E77" s="1">
        <v>20</v>
      </c>
      <c r="F77" s="1" t="s">
        <v>1</v>
      </c>
      <c r="G77" s="1" t="s">
        <v>0</v>
      </c>
      <c r="H77" s="1">
        <v>67</v>
      </c>
      <c r="I77" s="1">
        <v>1</v>
      </c>
    </row>
    <row r="78" spans="1:9" x14ac:dyDescent="0.3">
      <c r="A78" s="1">
        <v>2</v>
      </c>
      <c r="B78" s="1">
        <v>1</v>
      </c>
      <c r="C78" s="1" t="s">
        <v>2</v>
      </c>
      <c r="D78" s="1" t="s">
        <v>0</v>
      </c>
      <c r="E78" s="1">
        <v>15</v>
      </c>
      <c r="F78" s="1" t="s">
        <v>1</v>
      </c>
      <c r="G78" s="1" t="s">
        <v>0</v>
      </c>
      <c r="H78" s="1">
        <v>23</v>
      </c>
      <c r="I78" s="1">
        <v>1</v>
      </c>
    </row>
    <row r="79" spans="1:9" x14ac:dyDescent="0.3">
      <c r="A79" s="1">
        <v>2</v>
      </c>
      <c r="B79" s="1">
        <v>1</v>
      </c>
      <c r="C79" s="1" t="s">
        <v>2</v>
      </c>
      <c r="D79" s="1" t="s">
        <v>0</v>
      </c>
      <c r="E79" s="1">
        <v>40</v>
      </c>
      <c r="F79" s="1" t="s">
        <v>1</v>
      </c>
      <c r="G79" s="1" t="s">
        <v>0</v>
      </c>
      <c r="H79" s="1">
        <v>17</v>
      </c>
      <c r="I79" s="1">
        <v>0</v>
      </c>
    </row>
    <row r="80" spans="1:9" x14ac:dyDescent="0.3">
      <c r="A80" s="1">
        <v>2</v>
      </c>
      <c r="B80" s="1">
        <v>1</v>
      </c>
      <c r="C80" s="1" t="s">
        <v>2</v>
      </c>
      <c r="D80" s="1" t="s">
        <v>0</v>
      </c>
      <c r="E80" s="1">
        <v>25</v>
      </c>
      <c r="F80" s="1" t="s">
        <v>1</v>
      </c>
      <c r="G80" s="1" t="s">
        <v>0</v>
      </c>
      <c r="H80" s="1">
        <v>24</v>
      </c>
      <c r="I80" s="1">
        <v>0</v>
      </c>
    </row>
    <row r="81" spans="1:9" x14ac:dyDescent="0.3">
      <c r="A81" s="1">
        <v>2</v>
      </c>
      <c r="B81" s="1">
        <v>1</v>
      </c>
      <c r="C81" s="1" t="s">
        <v>2</v>
      </c>
      <c r="D81" s="1" t="s">
        <v>0</v>
      </c>
      <c r="E81" s="1">
        <v>12</v>
      </c>
      <c r="F81" s="1" t="s">
        <v>1</v>
      </c>
      <c r="G81" s="1" t="s">
        <v>0</v>
      </c>
      <c r="H81" s="1">
        <v>28</v>
      </c>
      <c r="I81" s="1">
        <v>1</v>
      </c>
    </row>
    <row r="82" spans="1:9" x14ac:dyDescent="0.3">
      <c r="A82" s="1">
        <v>2</v>
      </c>
      <c r="B82" s="1">
        <v>1</v>
      </c>
      <c r="C82" s="1" t="s">
        <v>2</v>
      </c>
      <c r="D82" s="1" t="s">
        <v>0</v>
      </c>
      <c r="E82" s="1">
        <v>36</v>
      </c>
      <c r="F82" s="1" t="s">
        <v>1</v>
      </c>
      <c r="G82" s="1" t="s">
        <v>0</v>
      </c>
      <c r="H82" s="1">
        <v>19</v>
      </c>
      <c r="I82" s="1">
        <v>0</v>
      </c>
    </row>
    <row r="83" spans="1:9" x14ac:dyDescent="0.3">
      <c r="A83" s="1">
        <v>2</v>
      </c>
      <c r="B83" s="1">
        <v>1</v>
      </c>
      <c r="C83" s="1" t="s">
        <v>2</v>
      </c>
      <c r="D83" s="1" t="s">
        <v>0</v>
      </c>
      <c r="E83" s="1">
        <v>51</v>
      </c>
      <c r="F83" s="1" t="s">
        <v>1</v>
      </c>
      <c r="G83" s="1" t="s">
        <v>0</v>
      </c>
      <c r="H83" s="1">
        <v>26</v>
      </c>
      <c r="I83" s="1">
        <v>0</v>
      </c>
    </row>
    <row r="84" spans="1:9" x14ac:dyDescent="0.3">
      <c r="A84" s="1">
        <v>2</v>
      </c>
      <c r="B84" s="1">
        <v>1</v>
      </c>
      <c r="C84" s="1" t="s">
        <v>2</v>
      </c>
      <c r="D84" s="1" t="s">
        <v>0</v>
      </c>
      <c r="E84" s="1">
        <v>20</v>
      </c>
      <c r="F84" s="1" t="s">
        <v>1</v>
      </c>
      <c r="G84" s="1" t="s">
        <v>0</v>
      </c>
      <c r="H84" s="1">
        <v>19</v>
      </c>
      <c r="I84" s="1">
        <v>0</v>
      </c>
    </row>
    <row r="85" spans="1:9" x14ac:dyDescent="0.3">
      <c r="A85" s="1">
        <v>2</v>
      </c>
      <c r="B85" s="1">
        <v>1</v>
      </c>
      <c r="C85" s="1" t="s">
        <v>2</v>
      </c>
      <c r="D85" s="1" t="s">
        <v>0</v>
      </c>
      <c r="E85" s="1">
        <v>46</v>
      </c>
      <c r="F85" s="1" t="s">
        <v>1</v>
      </c>
      <c r="G85" s="1" t="s">
        <v>0</v>
      </c>
      <c r="H85" s="1">
        <v>32</v>
      </c>
      <c r="I85" s="1">
        <v>0</v>
      </c>
    </row>
    <row r="86" spans="1:9" x14ac:dyDescent="0.3">
      <c r="A86" s="1">
        <v>2</v>
      </c>
      <c r="B86" s="1">
        <v>1</v>
      </c>
      <c r="C86" s="1" t="s">
        <v>2</v>
      </c>
      <c r="D86" s="1" t="s">
        <v>0</v>
      </c>
      <c r="E86" s="1">
        <v>35</v>
      </c>
      <c r="F86" s="1" t="s">
        <v>1</v>
      </c>
      <c r="G86" s="1" t="s">
        <v>0</v>
      </c>
      <c r="H86" s="1">
        <v>17</v>
      </c>
      <c r="I86" s="1">
        <v>0</v>
      </c>
    </row>
    <row r="87" spans="1:9" x14ac:dyDescent="0.3">
      <c r="A87" s="1">
        <v>2</v>
      </c>
      <c r="B87" s="1">
        <v>1</v>
      </c>
      <c r="C87" s="1" t="s">
        <v>2</v>
      </c>
      <c r="D87" s="1" t="s">
        <v>0</v>
      </c>
      <c r="E87" s="1">
        <v>18</v>
      </c>
      <c r="F87" s="1" t="s">
        <v>1</v>
      </c>
      <c r="G87" s="1" t="s">
        <v>0</v>
      </c>
      <c r="H87" s="1">
        <v>23</v>
      </c>
      <c r="I87" s="1">
        <v>1</v>
      </c>
    </row>
    <row r="88" spans="1:9" x14ac:dyDescent="0.3">
      <c r="A88" s="1">
        <v>2</v>
      </c>
      <c r="B88" s="1">
        <v>1</v>
      </c>
      <c r="C88" s="1" t="s">
        <v>2</v>
      </c>
      <c r="D88" s="1" t="s">
        <v>0</v>
      </c>
      <c r="E88" s="1">
        <v>33</v>
      </c>
      <c r="F88" s="1" t="s">
        <v>1</v>
      </c>
      <c r="G88" s="1" t="s">
        <v>0</v>
      </c>
      <c r="H88" s="1">
        <v>21</v>
      </c>
      <c r="I88" s="1">
        <v>0</v>
      </c>
    </row>
    <row r="89" spans="1:9" x14ac:dyDescent="0.3">
      <c r="A89" s="1">
        <v>2</v>
      </c>
      <c r="B89" s="1">
        <v>1</v>
      </c>
      <c r="C89" s="1" t="s">
        <v>2</v>
      </c>
      <c r="D89" s="1" t="s">
        <v>0</v>
      </c>
      <c r="E89" s="1">
        <v>43</v>
      </c>
      <c r="F89" s="1" t="s">
        <v>1</v>
      </c>
      <c r="G89" s="1" t="s">
        <v>0</v>
      </c>
      <c r="H89" s="1">
        <v>15</v>
      </c>
      <c r="I89" s="1">
        <v>0</v>
      </c>
    </row>
    <row r="90" spans="1:9" x14ac:dyDescent="0.3">
      <c r="A90" s="1">
        <v>2</v>
      </c>
      <c r="B90" s="1">
        <v>1</v>
      </c>
      <c r="C90" s="1" t="s">
        <v>2</v>
      </c>
      <c r="D90" s="1" t="s">
        <v>0</v>
      </c>
      <c r="E90" s="1">
        <v>13</v>
      </c>
      <c r="F90" s="1" t="s">
        <v>1</v>
      </c>
      <c r="G90" s="1" t="s">
        <v>0</v>
      </c>
      <c r="H90" s="1">
        <v>50</v>
      </c>
      <c r="I90" s="1">
        <v>1</v>
      </c>
    </row>
    <row r="91" spans="1:9" x14ac:dyDescent="0.3">
      <c r="A91" s="1">
        <v>2</v>
      </c>
      <c r="B91" s="1">
        <v>1</v>
      </c>
      <c r="C91" s="1" t="s">
        <v>2</v>
      </c>
      <c r="D91" s="1" t="s">
        <v>0</v>
      </c>
      <c r="E91" s="1">
        <v>54</v>
      </c>
      <c r="F91" s="1" t="s">
        <v>1</v>
      </c>
      <c r="G91" s="1" t="s">
        <v>0</v>
      </c>
      <c r="H91" s="1">
        <v>2</v>
      </c>
      <c r="I91" s="1">
        <v>0</v>
      </c>
    </row>
    <row r="92" spans="1:9" x14ac:dyDescent="0.3">
      <c r="A92" s="1">
        <v>2</v>
      </c>
      <c r="B92" s="1">
        <v>1</v>
      </c>
      <c r="C92" s="1" t="s">
        <v>2</v>
      </c>
      <c r="D92" s="1" t="s">
        <v>0</v>
      </c>
      <c r="E92" s="1">
        <v>5</v>
      </c>
      <c r="F92" s="1" t="s">
        <v>1</v>
      </c>
      <c r="G92" s="1" t="s">
        <v>0</v>
      </c>
      <c r="H92" s="1">
        <v>39</v>
      </c>
      <c r="I92" s="1">
        <v>1</v>
      </c>
    </row>
    <row r="93" spans="1:9" x14ac:dyDescent="0.3">
      <c r="A93" s="1">
        <v>2</v>
      </c>
      <c r="B93" s="1">
        <v>1</v>
      </c>
      <c r="C93" s="1" t="s">
        <v>2</v>
      </c>
      <c r="D93" s="1" t="s">
        <v>0</v>
      </c>
      <c r="E93" s="1">
        <v>4</v>
      </c>
      <c r="F93" s="1" t="s">
        <v>1</v>
      </c>
      <c r="G93" s="1" t="s">
        <v>0</v>
      </c>
      <c r="H93" s="1">
        <v>11</v>
      </c>
      <c r="I93" s="1">
        <v>1</v>
      </c>
    </row>
    <row r="94" spans="1:9" x14ac:dyDescent="0.3">
      <c r="A94" s="1">
        <v>2</v>
      </c>
      <c r="B94" s="1">
        <v>1</v>
      </c>
      <c r="C94" s="1" t="s">
        <v>2</v>
      </c>
      <c r="D94" s="1" t="s">
        <v>0</v>
      </c>
      <c r="E94" s="1">
        <v>2</v>
      </c>
      <c r="F94" s="1" t="s">
        <v>1</v>
      </c>
      <c r="G94" s="1" t="s">
        <v>0</v>
      </c>
      <c r="H94" s="1">
        <v>36</v>
      </c>
      <c r="I94" s="1">
        <v>1</v>
      </c>
    </row>
    <row r="95" spans="1:9" x14ac:dyDescent="0.3">
      <c r="A95" s="1">
        <v>2</v>
      </c>
      <c r="B95" s="1">
        <v>1</v>
      </c>
      <c r="C95" s="1" t="s">
        <v>2</v>
      </c>
      <c r="D95" s="1" t="s">
        <v>0</v>
      </c>
      <c r="E95" s="1">
        <v>9</v>
      </c>
      <c r="F95" s="1" t="s">
        <v>1</v>
      </c>
      <c r="G95" s="1" t="s">
        <v>0</v>
      </c>
      <c r="H95" s="1">
        <v>20</v>
      </c>
      <c r="I95" s="1">
        <v>1</v>
      </c>
    </row>
    <row r="96" spans="1:9" x14ac:dyDescent="0.3">
      <c r="A96" s="1">
        <v>2</v>
      </c>
      <c r="B96" s="1">
        <v>1</v>
      </c>
      <c r="C96" s="1" t="s">
        <v>2</v>
      </c>
      <c r="D96" s="1" t="s">
        <v>0</v>
      </c>
      <c r="E96" s="1">
        <v>17</v>
      </c>
      <c r="F96" s="1" t="s">
        <v>1</v>
      </c>
      <c r="G96" s="1" t="s">
        <v>0</v>
      </c>
      <c r="H96" s="1">
        <v>14</v>
      </c>
      <c r="I96" s="1">
        <v>0</v>
      </c>
    </row>
    <row r="97" spans="1:9" x14ac:dyDescent="0.3">
      <c r="A97" s="1">
        <v>2</v>
      </c>
      <c r="B97" s="1">
        <v>1</v>
      </c>
      <c r="C97" s="1" t="s">
        <v>2</v>
      </c>
      <c r="D97" s="1" t="s">
        <v>0</v>
      </c>
      <c r="E97" s="1">
        <v>46</v>
      </c>
      <c r="F97" s="1" t="s">
        <v>1</v>
      </c>
      <c r="G97" s="1" t="s">
        <v>0</v>
      </c>
      <c r="H97" s="1">
        <v>43</v>
      </c>
      <c r="I97" s="1">
        <v>0</v>
      </c>
    </row>
    <row r="98" spans="1:9" x14ac:dyDescent="0.3">
      <c r="A98" s="1">
        <v>2</v>
      </c>
      <c r="B98" s="1">
        <v>1</v>
      </c>
      <c r="C98" s="1" t="s">
        <v>2</v>
      </c>
      <c r="D98" s="1" t="s">
        <v>0</v>
      </c>
      <c r="E98" s="1">
        <v>35</v>
      </c>
      <c r="F98" s="1" t="s">
        <v>1</v>
      </c>
      <c r="G98" s="1" t="s">
        <v>0</v>
      </c>
      <c r="H98" s="1">
        <v>25</v>
      </c>
      <c r="I98" s="1">
        <v>0</v>
      </c>
    </row>
    <row r="99" spans="1:9" x14ac:dyDescent="0.3">
      <c r="A99" s="1">
        <v>2</v>
      </c>
      <c r="B99" s="1">
        <v>1</v>
      </c>
      <c r="C99" s="1" t="s">
        <v>2</v>
      </c>
      <c r="D99" s="1" t="s">
        <v>0</v>
      </c>
      <c r="E99" s="1">
        <v>33</v>
      </c>
      <c r="F99" s="1" t="s">
        <v>1</v>
      </c>
      <c r="G99" s="1" t="s">
        <v>0</v>
      </c>
      <c r="H99" s="1">
        <v>7</v>
      </c>
      <c r="I99" s="1">
        <v>0</v>
      </c>
    </row>
    <row r="100" spans="1:9" x14ac:dyDescent="0.3">
      <c r="A100" s="1">
        <v>2</v>
      </c>
      <c r="B100" s="1">
        <v>1</v>
      </c>
      <c r="C100" s="1" t="s">
        <v>2</v>
      </c>
      <c r="D100" s="1" t="s">
        <v>0</v>
      </c>
      <c r="E100" s="1">
        <v>53</v>
      </c>
      <c r="F100" s="1" t="s">
        <v>1</v>
      </c>
      <c r="G100" s="1" t="s">
        <v>0</v>
      </c>
      <c r="H100" s="1">
        <v>37</v>
      </c>
      <c r="I100" s="1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EA01F-5032-406E-8743-969317CFB904}">
  <dimension ref="A1:T100"/>
  <sheetViews>
    <sheetView topLeftCell="K1" workbookViewId="0">
      <selection activeCell="T2" sqref="T2:T3"/>
    </sheetView>
  </sheetViews>
  <sheetFormatPr defaultRowHeight="14.4" x14ac:dyDescent="0.3"/>
  <cols>
    <col min="1" max="16384" width="8.88671875" style="1"/>
  </cols>
  <sheetData>
    <row r="1" spans="1:20" x14ac:dyDescent="0.3">
      <c r="A1" s="1">
        <v>2</v>
      </c>
      <c r="B1" s="1">
        <v>0</v>
      </c>
      <c r="C1" s="1" t="s">
        <v>2</v>
      </c>
      <c r="D1" s="1" t="s">
        <v>0</v>
      </c>
      <c r="E1" s="1">
        <v>23</v>
      </c>
      <c r="F1" s="1" t="s">
        <v>1</v>
      </c>
      <c r="G1" s="1" t="s">
        <v>0</v>
      </c>
      <c r="H1" s="1">
        <v>17</v>
      </c>
      <c r="I1" s="1">
        <v>0</v>
      </c>
      <c r="K1" s="2"/>
      <c r="L1" s="3"/>
      <c r="M1" s="24" t="s">
        <v>3</v>
      </c>
      <c r="N1" s="24"/>
      <c r="O1" s="19" t="s">
        <v>4</v>
      </c>
      <c r="P1" s="19"/>
      <c r="Q1" s="19" t="s">
        <v>5</v>
      </c>
      <c r="R1" s="19"/>
    </row>
    <row r="2" spans="1:20" x14ac:dyDescent="0.3">
      <c r="A2" s="1">
        <v>2</v>
      </c>
      <c r="B2" s="1">
        <v>0</v>
      </c>
      <c r="C2" s="1" t="s">
        <v>2</v>
      </c>
      <c r="D2" s="1" t="s">
        <v>0</v>
      </c>
      <c r="E2" s="1">
        <v>41</v>
      </c>
      <c r="F2" s="1" t="s">
        <v>1</v>
      </c>
      <c r="G2" s="1" t="s">
        <v>0</v>
      </c>
      <c r="H2" s="1">
        <v>22</v>
      </c>
      <c r="I2" s="1">
        <v>0</v>
      </c>
      <c r="K2" s="4"/>
      <c r="L2" s="5"/>
      <c r="M2" s="24"/>
      <c r="N2" s="24"/>
      <c r="O2" s="19"/>
      <c r="P2" s="19"/>
      <c r="Q2" s="19"/>
      <c r="R2" s="19"/>
      <c r="T2" t="s">
        <v>15</v>
      </c>
    </row>
    <row r="3" spans="1:20" x14ac:dyDescent="0.3">
      <c r="A3" s="1">
        <v>2</v>
      </c>
      <c r="B3" s="1">
        <v>0</v>
      </c>
      <c r="C3" s="1" t="s">
        <v>2</v>
      </c>
      <c r="D3" s="1" t="s">
        <v>0</v>
      </c>
      <c r="E3" s="1">
        <v>0</v>
      </c>
      <c r="F3" s="1" t="s">
        <v>1</v>
      </c>
      <c r="G3" s="1" t="s">
        <v>0</v>
      </c>
      <c r="H3" s="1">
        <v>22</v>
      </c>
      <c r="I3" s="1">
        <v>1</v>
      </c>
      <c r="K3" s="19" t="s">
        <v>6</v>
      </c>
      <c r="L3" s="19"/>
      <c r="M3" s="20">
        <f>COUNTIF($I$1:$I$100, 0)</f>
        <v>50</v>
      </c>
      <c r="N3" s="20"/>
      <c r="O3" s="20">
        <f>COUNTIFS($I$1:$I$100, 0, $B$1:$B$100, 0)</f>
        <v>24</v>
      </c>
      <c r="P3" s="20"/>
      <c r="Q3" s="21">
        <f>COUNTIFS($I$1:$I$100, 0, $B$1:$B$100, 1)</f>
        <v>26</v>
      </c>
      <c r="R3" s="10"/>
      <c r="T3" cm="1">
        <f t="array" ref="T3">SUMPRODUCT(--($E$1:$E$100=$H$1:$H$100))</f>
        <v>0</v>
      </c>
    </row>
    <row r="4" spans="1:20" x14ac:dyDescent="0.3">
      <c r="A4" s="1">
        <v>2</v>
      </c>
      <c r="B4" s="1">
        <v>0</v>
      </c>
      <c r="C4" s="1" t="s">
        <v>2</v>
      </c>
      <c r="D4" s="1" t="s">
        <v>0</v>
      </c>
      <c r="E4" s="1">
        <v>16</v>
      </c>
      <c r="F4" s="1" t="s">
        <v>1</v>
      </c>
      <c r="G4" s="1" t="s">
        <v>0</v>
      </c>
      <c r="H4" s="1">
        <v>47</v>
      </c>
      <c r="I4" s="1">
        <v>1</v>
      </c>
      <c r="K4" s="19"/>
      <c r="L4" s="19"/>
      <c r="M4" s="20"/>
      <c r="N4" s="20"/>
      <c r="O4" s="20"/>
      <c r="P4" s="20"/>
      <c r="Q4" s="20"/>
      <c r="R4" s="12"/>
    </row>
    <row r="5" spans="1:20" x14ac:dyDescent="0.3">
      <c r="A5" s="1">
        <v>2</v>
      </c>
      <c r="B5" s="1">
        <v>0</v>
      </c>
      <c r="C5" s="1" t="s">
        <v>2</v>
      </c>
      <c r="D5" s="1" t="s">
        <v>0</v>
      </c>
      <c r="E5" s="1">
        <v>51</v>
      </c>
      <c r="F5" s="1" t="s">
        <v>1</v>
      </c>
      <c r="G5" s="1" t="s">
        <v>0</v>
      </c>
      <c r="H5" s="1">
        <v>34</v>
      </c>
      <c r="I5" s="1">
        <v>0</v>
      </c>
      <c r="K5" s="19" t="s">
        <v>7</v>
      </c>
      <c r="L5" s="19"/>
      <c r="M5" s="11">
        <f>COUNTIF($I$1:$I$100, 1)</f>
        <v>50</v>
      </c>
      <c r="N5" s="20"/>
      <c r="O5" s="20">
        <f>COUNTIFS($I$1:$I$100, 1, $B$1:$B$100, 0)</f>
        <v>26</v>
      </c>
      <c r="P5" s="20"/>
      <c r="Q5" s="20">
        <f>COUNTIFS($I$1:$I$100, 1, $B$1:$B$100, 1)</f>
        <v>24</v>
      </c>
      <c r="R5" s="12"/>
    </row>
    <row r="6" spans="1:20" x14ac:dyDescent="0.3">
      <c r="A6" s="1">
        <v>2</v>
      </c>
      <c r="B6" s="1">
        <v>0</v>
      </c>
      <c r="C6" s="1" t="s">
        <v>2</v>
      </c>
      <c r="D6" s="1" t="s">
        <v>0</v>
      </c>
      <c r="E6" s="1">
        <v>5</v>
      </c>
      <c r="F6" s="1" t="s">
        <v>1</v>
      </c>
      <c r="G6" s="1" t="s">
        <v>0</v>
      </c>
      <c r="H6" s="1">
        <v>48</v>
      </c>
      <c r="I6" s="1">
        <v>1</v>
      </c>
      <c r="K6" s="19"/>
      <c r="L6" s="19"/>
      <c r="M6" s="13"/>
      <c r="N6" s="22"/>
      <c r="O6" s="22"/>
      <c r="P6" s="22"/>
      <c r="Q6" s="22"/>
      <c r="R6" s="14"/>
    </row>
    <row r="7" spans="1:20" x14ac:dyDescent="0.3">
      <c r="A7" s="1">
        <v>2</v>
      </c>
      <c r="B7" s="1">
        <v>0</v>
      </c>
      <c r="C7" s="1" t="s">
        <v>2</v>
      </c>
      <c r="D7" s="1" t="s">
        <v>0</v>
      </c>
      <c r="E7" s="1">
        <v>45</v>
      </c>
      <c r="F7" s="1" t="s">
        <v>1</v>
      </c>
      <c r="G7" s="1" t="s">
        <v>0</v>
      </c>
      <c r="H7" s="1">
        <v>26</v>
      </c>
      <c r="I7" s="1">
        <v>0</v>
      </c>
      <c r="K7" s="6"/>
      <c r="L7" s="6"/>
      <c r="M7" s="6"/>
      <c r="N7" s="6"/>
      <c r="O7" s="6"/>
      <c r="P7" s="6"/>
      <c r="Q7" s="6"/>
      <c r="R7" s="6"/>
    </row>
    <row r="8" spans="1:20" x14ac:dyDescent="0.3">
      <c r="A8" s="1">
        <v>2</v>
      </c>
      <c r="B8" s="1">
        <v>0</v>
      </c>
      <c r="C8" s="1" t="s">
        <v>2</v>
      </c>
      <c r="D8" s="1" t="s">
        <v>0</v>
      </c>
      <c r="E8" s="1">
        <v>34</v>
      </c>
      <c r="F8" s="1" t="s">
        <v>1</v>
      </c>
      <c r="G8" s="1" t="s">
        <v>0</v>
      </c>
      <c r="H8" s="1">
        <v>43</v>
      </c>
      <c r="I8" s="1">
        <v>1</v>
      </c>
      <c r="K8" s="7"/>
      <c r="L8" s="8"/>
      <c r="M8" s="23" t="s">
        <v>3</v>
      </c>
      <c r="N8" s="23"/>
      <c r="O8" s="23" t="s">
        <v>8</v>
      </c>
      <c r="P8" s="23"/>
      <c r="Q8" s="23" t="s">
        <v>9</v>
      </c>
      <c r="R8" s="23"/>
    </row>
    <row r="9" spans="1:20" x14ac:dyDescent="0.3">
      <c r="A9" s="1">
        <v>2</v>
      </c>
      <c r="B9" s="1">
        <v>0</v>
      </c>
      <c r="C9" s="1" t="s">
        <v>2</v>
      </c>
      <c r="D9" s="1" t="s">
        <v>0</v>
      </c>
      <c r="E9" s="1">
        <v>32</v>
      </c>
      <c r="F9" s="1" t="s">
        <v>1</v>
      </c>
      <c r="G9" s="1" t="s">
        <v>0</v>
      </c>
      <c r="H9" s="1">
        <v>11</v>
      </c>
      <c r="I9" s="1">
        <v>0</v>
      </c>
      <c r="K9" s="4"/>
      <c r="L9" s="5"/>
      <c r="M9" s="23"/>
      <c r="N9" s="23"/>
      <c r="O9" s="23"/>
      <c r="P9" s="23"/>
      <c r="Q9" s="23"/>
      <c r="R9" s="23"/>
    </row>
    <row r="10" spans="1:20" x14ac:dyDescent="0.3">
      <c r="A10" s="1">
        <v>2</v>
      </c>
      <c r="B10" s="1">
        <v>0</v>
      </c>
      <c r="C10" s="1" t="s">
        <v>2</v>
      </c>
      <c r="D10" s="1" t="s">
        <v>0</v>
      </c>
      <c r="E10" s="1">
        <v>26</v>
      </c>
      <c r="F10" s="1" t="s">
        <v>1</v>
      </c>
      <c r="G10" s="1" t="s">
        <v>0</v>
      </c>
      <c r="H10" s="1">
        <v>0</v>
      </c>
      <c r="I10" s="1">
        <v>0</v>
      </c>
      <c r="K10" s="19" t="s">
        <v>10</v>
      </c>
      <c r="L10" s="19"/>
      <c r="M10" s="20">
        <f>AVERAGE($E$1:$E$100,)</f>
        <v>26.366336633663366</v>
      </c>
      <c r="N10" s="20"/>
      <c r="O10" s="20" cm="1">
        <f t="array" ref="O10">AVERAGE(_xlfn._xlws.FILTER($E$1:$E$100,$I$1:$I$100 = 0))</f>
        <v>37.14</v>
      </c>
      <c r="P10" s="20"/>
      <c r="Q10" s="21" cm="1">
        <f t="array" ref="Q10">AVERAGE(_xlfn._xlws.FILTER($E$1:$E$100,$I$1:$I$100 = 1))</f>
        <v>16.12</v>
      </c>
      <c r="R10" s="10"/>
    </row>
    <row r="11" spans="1:20" x14ac:dyDescent="0.3">
      <c r="A11" s="1">
        <v>2</v>
      </c>
      <c r="B11" s="1">
        <v>0</v>
      </c>
      <c r="C11" s="1" t="s">
        <v>2</v>
      </c>
      <c r="D11" s="1" t="s">
        <v>0</v>
      </c>
      <c r="E11" s="1">
        <v>38</v>
      </c>
      <c r="F11" s="1" t="s">
        <v>1</v>
      </c>
      <c r="G11" s="1" t="s">
        <v>0</v>
      </c>
      <c r="H11" s="1">
        <v>8</v>
      </c>
      <c r="I11" s="1">
        <v>0</v>
      </c>
      <c r="K11" s="19"/>
      <c r="L11" s="19"/>
      <c r="M11" s="20"/>
      <c r="N11" s="20"/>
      <c r="O11" s="20"/>
      <c r="P11" s="20"/>
      <c r="Q11" s="20"/>
      <c r="R11" s="12"/>
    </row>
    <row r="12" spans="1:20" x14ac:dyDescent="0.3">
      <c r="A12" s="1">
        <v>2</v>
      </c>
      <c r="B12" s="1">
        <v>0</v>
      </c>
      <c r="C12" s="1" t="s">
        <v>2</v>
      </c>
      <c r="D12" s="1" t="s">
        <v>0</v>
      </c>
      <c r="E12" s="1">
        <v>38</v>
      </c>
      <c r="F12" s="1" t="s">
        <v>1</v>
      </c>
      <c r="G12" s="1" t="s">
        <v>0</v>
      </c>
      <c r="H12" s="1">
        <v>46</v>
      </c>
      <c r="I12" s="1">
        <v>1</v>
      </c>
      <c r="K12" s="19" t="s">
        <v>11</v>
      </c>
      <c r="L12" s="19"/>
      <c r="M12" s="20">
        <f>AVERAGE($H$1:$H$100,)</f>
        <v>26.168316831683168</v>
      </c>
      <c r="N12" s="20"/>
      <c r="O12" s="20" cm="1">
        <f t="array" ref="O12">AVERAGE(_xlfn._xlws.FILTER($H$1:$H$100,$I$1:$I$100 = 0))</f>
        <v>15.1</v>
      </c>
      <c r="P12" s="20"/>
      <c r="Q12" s="20" cm="1">
        <f t="array" ref="Q12">AVERAGE(_xlfn._xlws.FILTER($H$1:$H$100,$I$1:$I$100 = 1))</f>
        <v>37.76</v>
      </c>
      <c r="R12" s="12"/>
    </row>
    <row r="13" spans="1:20" x14ac:dyDescent="0.3">
      <c r="A13" s="1">
        <v>2</v>
      </c>
      <c r="B13" s="1">
        <v>0</v>
      </c>
      <c r="C13" s="1" t="s">
        <v>2</v>
      </c>
      <c r="D13" s="1" t="s">
        <v>0</v>
      </c>
      <c r="E13" s="1">
        <v>4</v>
      </c>
      <c r="F13" s="1" t="s">
        <v>1</v>
      </c>
      <c r="G13" s="1" t="s">
        <v>0</v>
      </c>
      <c r="H13" s="1">
        <v>30</v>
      </c>
      <c r="I13" s="1">
        <v>1</v>
      </c>
      <c r="K13" s="19"/>
      <c r="L13" s="19"/>
      <c r="M13" s="20"/>
      <c r="N13" s="20"/>
      <c r="O13" s="20"/>
      <c r="P13" s="20"/>
      <c r="Q13" s="20"/>
      <c r="R13" s="12"/>
    </row>
    <row r="14" spans="1:20" x14ac:dyDescent="0.3">
      <c r="A14" s="1">
        <v>2</v>
      </c>
      <c r="B14" s="1">
        <v>0</v>
      </c>
      <c r="C14" s="1" t="s">
        <v>2</v>
      </c>
      <c r="D14" s="1" t="s">
        <v>0</v>
      </c>
      <c r="E14" s="1">
        <v>30</v>
      </c>
      <c r="F14" s="1" t="s">
        <v>1</v>
      </c>
      <c r="G14" s="1" t="s">
        <v>0</v>
      </c>
      <c r="H14" s="1">
        <v>7</v>
      </c>
      <c r="I14" s="1">
        <v>0</v>
      </c>
      <c r="K14" s="9" t="s">
        <v>12</v>
      </c>
      <c r="L14" s="10"/>
      <c r="M14" s="15" cm="1">
        <f t="array" ref="M14">AVERAGE($E$1:$E$100 - $H$1:$H$100)</f>
        <v>0.2</v>
      </c>
      <c r="N14" s="15"/>
      <c r="O14" s="15" cm="1">
        <f t="array" ref="O14">AVERAGE(_xlfn._xlws.FILTER($E$1:$E$100 - $H$1:$H$100, I$1:I$100 = 0))</f>
        <v>22.04</v>
      </c>
      <c r="P14" s="15"/>
      <c r="Q14" s="15" cm="1">
        <f t="array" ref="Q14">AVERAGE(_xlfn._xlws.FILTER($E$1:$E$100 - $H$1:$H$100, I$1:I$100 = 1))</f>
        <v>-21.64</v>
      </c>
      <c r="R14" s="17"/>
    </row>
    <row r="15" spans="1:20" x14ac:dyDescent="0.3">
      <c r="A15" s="1">
        <v>2</v>
      </c>
      <c r="B15" s="1">
        <v>0</v>
      </c>
      <c r="C15" s="1" t="s">
        <v>2</v>
      </c>
      <c r="D15" s="1" t="s">
        <v>0</v>
      </c>
      <c r="E15" s="1">
        <v>56</v>
      </c>
      <c r="F15" s="1" t="s">
        <v>1</v>
      </c>
      <c r="G15" s="1" t="s">
        <v>0</v>
      </c>
      <c r="H15" s="1">
        <v>22</v>
      </c>
      <c r="I15" s="1">
        <v>0</v>
      </c>
      <c r="K15" s="11"/>
      <c r="L15" s="12"/>
      <c r="M15" s="15"/>
      <c r="N15" s="15"/>
      <c r="O15" s="15"/>
      <c r="P15" s="15"/>
      <c r="Q15" s="15"/>
      <c r="R15" s="17"/>
    </row>
    <row r="16" spans="1:20" x14ac:dyDescent="0.3">
      <c r="A16" s="1">
        <v>2</v>
      </c>
      <c r="B16" s="1">
        <v>0</v>
      </c>
      <c r="C16" s="1" t="s">
        <v>2</v>
      </c>
      <c r="D16" s="1" t="s">
        <v>0</v>
      </c>
      <c r="E16" s="1">
        <v>14</v>
      </c>
      <c r="F16" s="1" t="s">
        <v>1</v>
      </c>
      <c r="G16" s="1" t="s">
        <v>0</v>
      </c>
      <c r="H16" s="1">
        <v>29</v>
      </c>
      <c r="I16" s="1">
        <v>1</v>
      </c>
      <c r="K16" s="13"/>
      <c r="L16" s="14"/>
      <c r="M16" s="16"/>
      <c r="N16" s="16"/>
      <c r="O16" s="16"/>
      <c r="P16" s="16"/>
      <c r="Q16" s="16"/>
      <c r="R16" s="18"/>
    </row>
    <row r="17" spans="1:9" x14ac:dyDescent="0.3">
      <c r="A17" s="1">
        <v>2</v>
      </c>
      <c r="B17" s="1">
        <v>0</v>
      </c>
      <c r="C17" s="1" t="s">
        <v>2</v>
      </c>
      <c r="D17" s="1" t="s">
        <v>0</v>
      </c>
      <c r="E17" s="1">
        <v>29</v>
      </c>
      <c r="F17" s="1" t="s">
        <v>1</v>
      </c>
      <c r="G17" s="1" t="s">
        <v>0</v>
      </c>
      <c r="H17" s="1">
        <v>40</v>
      </c>
      <c r="I17" s="1">
        <v>1</v>
      </c>
    </row>
    <row r="18" spans="1:9" x14ac:dyDescent="0.3">
      <c r="A18" s="1">
        <v>2</v>
      </c>
      <c r="B18" s="1">
        <v>0</v>
      </c>
      <c r="C18" s="1" t="s">
        <v>2</v>
      </c>
      <c r="D18" s="1" t="s">
        <v>0</v>
      </c>
      <c r="E18" s="1">
        <v>5</v>
      </c>
      <c r="F18" s="1" t="s">
        <v>1</v>
      </c>
      <c r="G18" s="1" t="s">
        <v>0</v>
      </c>
      <c r="H18" s="1">
        <v>16</v>
      </c>
      <c r="I18" s="1">
        <v>1</v>
      </c>
    </row>
    <row r="19" spans="1:9" x14ac:dyDescent="0.3">
      <c r="A19" s="1">
        <v>2</v>
      </c>
      <c r="B19" s="1">
        <v>0</v>
      </c>
      <c r="C19" s="1" t="s">
        <v>2</v>
      </c>
      <c r="D19" s="1" t="s">
        <v>0</v>
      </c>
      <c r="E19" s="1">
        <v>14</v>
      </c>
      <c r="F19" s="1" t="s">
        <v>1</v>
      </c>
      <c r="G19" s="1" t="s">
        <v>0</v>
      </c>
      <c r="H19" s="1">
        <v>40</v>
      </c>
      <c r="I19" s="1">
        <v>1</v>
      </c>
    </row>
    <row r="20" spans="1:9" x14ac:dyDescent="0.3">
      <c r="A20" s="1">
        <v>2</v>
      </c>
      <c r="B20" s="1">
        <v>0</v>
      </c>
      <c r="C20" s="1" t="s">
        <v>2</v>
      </c>
      <c r="D20" s="1" t="s">
        <v>0</v>
      </c>
      <c r="E20" s="1">
        <v>31</v>
      </c>
      <c r="F20" s="1" t="s">
        <v>1</v>
      </c>
      <c r="G20" s="1" t="s">
        <v>0</v>
      </c>
      <c r="H20" s="1">
        <v>51</v>
      </c>
      <c r="I20" s="1">
        <v>1</v>
      </c>
    </row>
    <row r="21" spans="1:9" x14ac:dyDescent="0.3">
      <c r="A21" s="1">
        <v>2</v>
      </c>
      <c r="B21" s="1">
        <v>0</v>
      </c>
      <c r="C21" s="1" t="s">
        <v>2</v>
      </c>
      <c r="D21" s="1" t="s">
        <v>0</v>
      </c>
      <c r="E21" s="1">
        <v>20</v>
      </c>
      <c r="F21" s="1" t="s">
        <v>1</v>
      </c>
      <c r="G21" s="1" t="s">
        <v>0</v>
      </c>
      <c r="H21" s="1">
        <v>3</v>
      </c>
      <c r="I21" s="1">
        <v>0</v>
      </c>
    </row>
    <row r="22" spans="1:9" x14ac:dyDescent="0.3">
      <c r="A22" s="1">
        <v>2</v>
      </c>
      <c r="B22" s="1">
        <v>0</v>
      </c>
      <c r="C22" s="1" t="s">
        <v>2</v>
      </c>
      <c r="D22" s="1" t="s">
        <v>0</v>
      </c>
      <c r="E22" s="1">
        <v>15</v>
      </c>
      <c r="F22" s="1" t="s">
        <v>1</v>
      </c>
      <c r="G22" s="1" t="s">
        <v>0</v>
      </c>
      <c r="H22" s="1">
        <v>23</v>
      </c>
      <c r="I22" s="1">
        <v>1</v>
      </c>
    </row>
    <row r="23" spans="1:9" x14ac:dyDescent="0.3">
      <c r="A23" s="1">
        <v>2</v>
      </c>
      <c r="B23" s="1">
        <v>0</v>
      </c>
      <c r="C23" s="1" t="s">
        <v>2</v>
      </c>
      <c r="D23" s="1" t="s">
        <v>0</v>
      </c>
      <c r="E23" s="1">
        <v>44</v>
      </c>
      <c r="F23" s="1" t="s">
        <v>1</v>
      </c>
      <c r="G23" s="1" t="s">
        <v>0</v>
      </c>
      <c r="H23" s="1">
        <v>0</v>
      </c>
      <c r="I23" s="1">
        <v>0</v>
      </c>
    </row>
    <row r="24" spans="1:9" x14ac:dyDescent="0.3">
      <c r="A24" s="1">
        <v>2</v>
      </c>
      <c r="B24" s="1">
        <v>0</v>
      </c>
      <c r="C24" s="1" t="s">
        <v>2</v>
      </c>
      <c r="D24" s="1" t="s">
        <v>0</v>
      </c>
      <c r="E24" s="1">
        <v>4</v>
      </c>
      <c r="F24" s="1" t="s">
        <v>1</v>
      </c>
      <c r="G24" s="1" t="s">
        <v>0</v>
      </c>
      <c r="H24" s="1">
        <v>46</v>
      </c>
      <c r="I24" s="1">
        <v>1</v>
      </c>
    </row>
    <row r="25" spans="1:9" x14ac:dyDescent="0.3">
      <c r="A25" s="1">
        <v>2</v>
      </c>
      <c r="B25" s="1">
        <v>0</v>
      </c>
      <c r="C25" s="1" t="s">
        <v>2</v>
      </c>
      <c r="D25" s="1" t="s">
        <v>0</v>
      </c>
      <c r="E25" s="1">
        <v>58</v>
      </c>
      <c r="F25" s="1" t="s">
        <v>1</v>
      </c>
      <c r="G25" s="1" t="s">
        <v>0</v>
      </c>
      <c r="H25" s="1">
        <v>38</v>
      </c>
      <c r="I25" s="1">
        <v>0</v>
      </c>
    </row>
    <row r="26" spans="1:9" x14ac:dyDescent="0.3">
      <c r="A26" s="1">
        <v>2</v>
      </c>
      <c r="B26" s="1">
        <v>0</v>
      </c>
      <c r="C26" s="1" t="s">
        <v>2</v>
      </c>
      <c r="D26" s="1" t="s">
        <v>0</v>
      </c>
      <c r="E26" s="1">
        <v>19</v>
      </c>
      <c r="F26" s="1" t="s">
        <v>1</v>
      </c>
      <c r="G26" s="1" t="s">
        <v>0</v>
      </c>
      <c r="H26" s="1">
        <v>0</v>
      </c>
      <c r="I26" s="1">
        <v>0</v>
      </c>
    </row>
    <row r="27" spans="1:9" x14ac:dyDescent="0.3">
      <c r="A27" s="1">
        <v>2</v>
      </c>
      <c r="B27" s="1">
        <v>0</v>
      </c>
      <c r="C27" s="1" t="s">
        <v>2</v>
      </c>
      <c r="D27" s="1" t="s">
        <v>0</v>
      </c>
      <c r="E27" s="1">
        <v>0</v>
      </c>
      <c r="F27" s="1" t="s">
        <v>1</v>
      </c>
      <c r="G27" s="1" t="s">
        <v>0</v>
      </c>
      <c r="H27" s="1">
        <v>37</v>
      </c>
      <c r="I27" s="1">
        <v>1</v>
      </c>
    </row>
    <row r="28" spans="1:9" x14ac:dyDescent="0.3">
      <c r="A28" s="1">
        <v>2</v>
      </c>
      <c r="B28" s="1">
        <v>0</v>
      </c>
      <c r="C28" s="1" t="s">
        <v>2</v>
      </c>
      <c r="D28" s="1" t="s">
        <v>0</v>
      </c>
      <c r="E28" s="1">
        <v>14</v>
      </c>
      <c r="F28" s="1" t="s">
        <v>1</v>
      </c>
      <c r="G28" s="1" t="s">
        <v>0</v>
      </c>
      <c r="H28" s="1">
        <v>34</v>
      </c>
      <c r="I28" s="1">
        <v>1</v>
      </c>
    </row>
    <row r="29" spans="1:9" x14ac:dyDescent="0.3">
      <c r="A29" s="1">
        <v>2</v>
      </c>
      <c r="B29" s="1">
        <v>0</v>
      </c>
      <c r="C29" s="1" t="s">
        <v>2</v>
      </c>
      <c r="D29" s="1" t="s">
        <v>0</v>
      </c>
      <c r="E29" s="1">
        <v>23</v>
      </c>
      <c r="F29" s="1" t="s">
        <v>1</v>
      </c>
      <c r="G29" s="1" t="s">
        <v>0</v>
      </c>
      <c r="H29" s="1">
        <v>57</v>
      </c>
      <c r="I29" s="1">
        <v>1</v>
      </c>
    </row>
    <row r="30" spans="1:9" x14ac:dyDescent="0.3">
      <c r="A30" s="1">
        <v>2</v>
      </c>
      <c r="B30" s="1">
        <v>0</v>
      </c>
      <c r="C30" s="1" t="s">
        <v>2</v>
      </c>
      <c r="D30" s="1" t="s">
        <v>0</v>
      </c>
      <c r="E30" s="1">
        <v>0</v>
      </c>
      <c r="F30" s="1" t="s">
        <v>1</v>
      </c>
      <c r="G30" s="1" t="s">
        <v>0</v>
      </c>
      <c r="H30" s="1">
        <v>31</v>
      </c>
      <c r="I30" s="1">
        <v>1</v>
      </c>
    </row>
    <row r="31" spans="1:9" x14ac:dyDescent="0.3">
      <c r="A31" s="1">
        <v>2</v>
      </c>
      <c r="B31" s="1">
        <v>0</v>
      </c>
      <c r="C31" s="1" t="s">
        <v>2</v>
      </c>
      <c r="D31" s="1" t="s">
        <v>0</v>
      </c>
      <c r="E31" s="1">
        <v>51</v>
      </c>
      <c r="F31" s="1" t="s">
        <v>1</v>
      </c>
      <c r="G31" s="1" t="s">
        <v>0</v>
      </c>
      <c r="H31" s="1">
        <v>30</v>
      </c>
      <c r="I31" s="1">
        <v>0</v>
      </c>
    </row>
    <row r="32" spans="1:9" x14ac:dyDescent="0.3">
      <c r="A32" s="1">
        <v>2</v>
      </c>
      <c r="B32" s="1">
        <v>0</v>
      </c>
      <c r="C32" s="1" t="s">
        <v>2</v>
      </c>
      <c r="D32" s="1" t="s">
        <v>0</v>
      </c>
      <c r="E32" s="1">
        <v>9</v>
      </c>
      <c r="F32" s="1" t="s">
        <v>1</v>
      </c>
      <c r="G32" s="1" t="s">
        <v>0</v>
      </c>
      <c r="H32" s="1">
        <v>19</v>
      </c>
      <c r="I32" s="1">
        <v>1</v>
      </c>
    </row>
    <row r="33" spans="1:9" x14ac:dyDescent="0.3">
      <c r="A33" s="1">
        <v>2</v>
      </c>
      <c r="B33" s="1">
        <v>0</v>
      </c>
      <c r="C33" s="1" t="s">
        <v>2</v>
      </c>
      <c r="D33" s="1" t="s">
        <v>0</v>
      </c>
      <c r="E33" s="1">
        <v>30</v>
      </c>
      <c r="F33" s="1" t="s">
        <v>1</v>
      </c>
      <c r="G33" s="1" t="s">
        <v>0</v>
      </c>
      <c r="H33" s="1">
        <v>23</v>
      </c>
      <c r="I33" s="1">
        <v>0</v>
      </c>
    </row>
    <row r="34" spans="1:9" x14ac:dyDescent="0.3">
      <c r="A34" s="1">
        <v>2</v>
      </c>
      <c r="B34" s="1">
        <v>0</v>
      </c>
      <c r="C34" s="1" t="s">
        <v>2</v>
      </c>
      <c r="D34" s="1" t="s">
        <v>0</v>
      </c>
      <c r="E34" s="1">
        <v>12</v>
      </c>
      <c r="F34" s="1" t="s">
        <v>1</v>
      </c>
      <c r="G34" s="1" t="s">
        <v>0</v>
      </c>
      <c r="H34" s="1">
        <v>24</v>
      </c>
      <c r="I34" s="1">
        <v>1</v>
      </c>
    </row>
    <row r="35" spans="1:9" x14ac:dyDescent="0.3">
      <c r="A35" s="1">
        <v>2</v>
      </c>
      <c r="B35" s="1">
        <v>0</v>
      </c>
      <c r="C35" s="1" t="s">
        <v>2</v>
      </c>
      <c r="D35" s="1" t="s">
        <v>0</v>
      </c>
      <c r="E35" s="1">
        <v>53</v>
      </c>
      <c r="F35" s="1" t="s">
        <v>1</v>
      </c>
      <c r="G35" s="1" t="s">
        <v>0</v>
      </c>
      <c r="H35" s="1">
        <v>6</v>
      </c>
      <c r="I35" s="1">
        <v>0</v>
      </c>
    </row>
    <row r="36" spans="1:9" x14ac:dyDescent="0.3">
      <c r="A36" s="1">
        <v>2</v>
      </c>
      <c r="B36" s="1">
        <v>0</v>
      </c>
      <c r="C36" s="1" t="s">
        <v>2</v>
      </c>
      <c r="D36" s="1" t="s">
        <v>0</v>
      </c>
      <c r="E36" s="1">
        <v>8</v>
      </c>
      <c r="F36" s="1" t="s">
        <v>1</v>
      </c>
      <c r="G36" s="1" t="s">
        <v>0</v>
      </c>
      <c r="H36" s="1">
        <v>13</v>
      </c>
      <c r="I36" s="1">
        <v>1</v>
      </c>
    </row>
    <row r="37" spans="1:9" x14ac:dyDescent="0.3">
      <c r="A37" s="1">
        <v>2</v>
      </c>
      <c r="B37" s="1">
        <v>0</v>
      </c>
      <c r="C37" s="1" t="s">
        <v>2</v>
      </c>
      <c r="D37" s="1" t="s">
        <v>0</v>
      </c>
      <c r="E37" s="1">
        <v>15</v>
      </c>
      <c r="F37" s="1" t="s">
        <v>1</v>
      </c>
      <c r="G37" s="1" t="s">
        <v>0</v>
      </c>
      <c r="H37" s="1">
        <v>22</v>
      </c>
      <c r="I37" s="1">
        <v>1</v>
      </c>
    </row>
    <row r="38" spans="1:9" x14ac:dyDescent="0.3">
      <c r="A38" s="1">
        <v>2</v>
      </c>
      <c r="B38" s="1">
        <v>0</v>
      </c>
      <c r="C38" s="1" t="s">
        <v>2</v>
      </c>
      <c r="D38" s="1" t="s">
        <v>0</v>
      </c>
      <c r="E38" s="1">
        <v>44</v>
      </c>
      <c r="F38" s="1" t="s">
        <v>1</v>
      </c>
      <c r="G38" s="1" t="s">
        <v>0</v>
      </c>
      <c r="H38" s="1">
        <v>48</v>
      </c>
      <c r="I38" s="1">
        <v>1</v>
      </c>
    </row>
    <row r="39" spans="1:9" x14ac:dyDescent="0.3">
      <c r="A39" s="1">
        <v>2</v>
      </c>
      <c r="B39" s="1">
        <v>0</v>
      </c>
      <c r="C39" s="1" t="s">
        <v>2</v>
      </c>
      <c r="D39" s="1" t="s">
        <v>0</v>
      </c>
      <c r="E39" s="1">
        <v>16</v>
      </c>
      <c r="F39" s="1" t="s">
        <v>1</v>
      </c>
      <c r="G39" s="1" t="s">
        <v>0</v>
      </c>
      <c r="H39" s="1">
        <v>8</v>
      </c>
      <c r="I39" s="1">
        <v>0</v>
      </c>
    </row>
    <row r="40" spans="1:9" x14ac:dyDescent="0.3">
      <c r="A40" s="1">
        <v>2</v>
      </c>
      <c r="B40" s="1">
        <v>0</v>
      </c>
      <c r="C40" s="1" t="s">
        <v>2</v>
      </c>
      <c r="D40" s="1" t="s">
        <v>0</v>
      </c>
      <c r="E40" s="1">
        <v>11</v>
      </c>
      <c r="F40" s="1" t="s">
        <v>1</v>
      </c>
      <c r="G40" s="1" t="s">
        <v>0</v>
      </c>
      <c r="H40" s="1">
        <v>31</v>
      </c>
      <c r="I40" s="1">
        <v>1</v>
      </c>
    </row>
    <row r="41" spans="1:9" x14ac:dyDescent="0.3">
      <c r="A41" s="1">
        <v>2</v>
      </c>
      <c r="B41" s="1">
        <v>0</v>
      </c>
      <c r="C41" s="1" t="s">
        <v>2</v>
      </c>
      <c r="D41" s="1" t="s">
        <v>0</v>
      </c>
      <c r="E41" s="1">
        <v>23</v>
      </c>
      <c r="F41" s="1" t="s">
        <v>1</v>
      </c>
      <c r="G41" s="1" t="s">
        <v>0</v>
      </c>
      <c r="H41" s="1">
        <v>41</v>
      </c>
      <c r="I41" s="1">
        <v>1</v>
      </c>
    </row>
    <row r="42" spans="1:9" x14ac:dyDescent="0.3">
      <c r="A42" s="1">
        <v>2</v>
      </c>
      <c r="B42" s="1">
        <v>0</v>
      </c>
      <c r="C42" s="1" t="s">
        <v>2</v>
      </c>
      <c r="D42" s="1" t="s">
        <v>0</v>
      </c>
      <c r="E42" s="1">
        <v>44</v>
      </c>
      <c r="F42" s="1" t="s">
        <v>1</v>
      </c>
      <c r="G42" s="1" t="s">
        <v>0</v>
      </c>
      <c r="H42" s="1">
        <v>30</v>
      </c>
      <c r="I42" s="1">
        <v>0</v>
      </c>
    </row>
    <row r="43" spans="1:9" x14ac:dyDescent="0.3">
      <c r="A43" s="1">
        <v>2</v>
      </c>
      <c r="B43" s="1">
        <v>0</v>
      </c>
      <c r="C43" s="1" t="s">
        <v>2</v>
      </c>
      <c r="D43" s="1" t="s">
        <v>0</v>
      </c>
      <c r="E43" s="1">
        <v>17</v>
      </c>
      <c r="F43" s="1" t="s">
        <v>1</v>
      </c>
      <c r="G43" s="1" t="s">
        <v>0</v>
      </c>
      <c r="H43" s="1">
        <v>12</v>
      </c>
      <c r="I43" s="1">
        <v>0</v>
      </c>
    </row>
    <row r="44" spans="1:9" x14ac:dyDescent="0.3">
      <c r="A44" s="1">
        <v>2</v>
      </c>
      <c r="B44" s="1">
        <v>0</v>
      </c>
      <c r="C44" s="1" t="s">
        <v>2</v>
      </c>
      <c r="D44" s="1" t="s">
        <v>0</v>
      </c>
      <c r="E44" s="1">
        <v>36</v>
      </c>
      <c r="F44" s="1" t="s">
        <v>1</v>
      </c>
      <c r="G44" s="1" t="s">
        <v>0</v>
      </c>
      <c r="H44" s="1">
        <v>40</v>
      </c>
      <c r="I44" s="1">
        <v>1</v>
      </c>
    </row>
    <row r="45" spans="1:9" x14ac:dyDescent="0.3">
      <c r="A45" s="1">
        <v>2</v>
      </c>
      <c r="B45" s="1">
        <v>0</v>
      </c>
      <c r="C45" s="1" t="s">
        <v>2</v>
      </c>
      <c r="D45" s="1" t="s">
        <v>0</v>
      </c>
      <c r="E45" s="1">
        <v>51</v>
      </c>
      <c r="F45" s="1" t="s">
        <v>1</v>
      </c>
      <c r="G45" s="1" t="s">
        <v>0</v>
      </c>
      <c r="H45" s="1">
        <v>0</v>
      </c>
      <c r="I45" s="1">
        <v>0</v>
      </c>
    </row>
    <row r="46" spans="1:9" x14ac:dyDescent="0.3">
      <c r="A46" s="1">
        <v>2</v>
      </c>
      <c r="B46" s="1">
        <v>0</v>
      </c>
      <c r="C46" s="1" t="s">
        <v>2</v>
      </c>
      <c r="D46" s="1" t="s">
        <v>0</v>
      </c>
      <c r="E46" s="1">
        <v>58</v>
      </c>
      <c r="F46" s="1" t="s">
        <v>1</v>
      </c>
      <c r="G46" s="1" t="s">
        <v>0</v>
      </c>
      <c r="H46" s="1">
        <v>9</v>
      </c>
      <c r="I46" s="1">
        <v>0</v>
      </c>
    </row>
    <row r="47" spans="1:9" x14ac:dyDescent="0.3">
      <c r="A47" s="1">
        <v>2</v>
      </c>
      <c r="B47" s="1">
        <v>0</v>
      </c>
      <c r="C47" s="1" t="s">
        <v>2</v>
      </c>
      <c r="D47" s="1" t="s">
        <v>0</v>
      </c>
      <c r="E47" s="1">
        <v>35</v>
      </c>
      <c r="F47" s="1" t="s">
        <v>1</v>
      </c>
      <c r="G47" s="1" t="s">
        <v>0</v>
      </c>
      <c r="H47" s="1">
        <v>47</v>
      </c>
      <c r="I47" s="1">
        <v>1</v>
      </c>
    </row>
    <row r="48" spans="1:9" x14ac:dyDescent="0.3">
      <c r="A48" s="1">
        <v>2</v>
      </c>
      <c r="B48" s="1">
        <v>0</v>
      </c>
      <c r="C48" s="1" t="s">
        <v>2</v>
      </c>
      <c r="D48" s="1" t="s">
        <v>0</v>
      </c>
      <c r="E48" s="1">
        <v>34</v>
      </c>
      <c r="F48" s="1" t="s">
        <v>1</v>
      </c>
      <c r="G48" s="1" t="s">
        <v>0</v>
      </c>
      <c r="H48" s="1">
        <v>0</v>
      </c>
      <c r="I48" s="1">
        <v>0</v>
      </c>
    </row>
    <row r="49" spans="1:9" x14ac:dyDescent="0.3">
      <c r="A49" s="1">
        <v>2</v>
      </c>
      <c r="B49" s="1">
        <v>0</v>
      </c>
      <c r="C49" s="1" t="s">
        <v>2</v>
      </c>
      <c r="D49" s="1" t="s">
        <v>0</v>
      </c>
      <c r="E49" s="1">
        <v>32</v>
      </c>
      <c r="F49" s="1" t="s">
        <v>1</v>
      </c>
      <c r="G49" s="1" t="s">
        <v>0</v>
      </c>
      <c r="H49" s="1">
        <v>20</v>
      </c>
      <c r="I49" s="1">
        <v>0</v>
      </c>
    </row>
    <row r="50" spans="1:9" x14ac:dyDescent="0.3">
      <c r="A50" s="1">
        <v>2</v>
      </c>
      <c r="B50" s="1">
        <v>0</v>
      </c>
      <c r="C50" s="1" t="s">
        <v>2</v>
      </c>
      <c r="D50" s="1" t="s">
        <v>0</v>
      </c>
      <c r="E50" s="1">
        <v>15</v>
      </c>
      <c r="F50" s="1" t="s">
        <v>1</v>
      </c>
      <c r="G50" s="1" t="s">
        <v>0</v>
      </c>
      <c r="H50" s="1">
        <v>6</v>
      </c>
      <c r="I50" s="1">
        <v>0</v>
      </c>
    </row>
    <row r="51" spans="1:9" x14ac:dyDescent="0.3">
      <c r="A51" s="1">
        <v>2</v>
      </c>
      <c r="B51" s="1">
        <v>1</v>
      </c>
      <c r="C51" s="1" t="s">
        <v>2</v>
      </c>
      <c r="D51" s="1" t="s">
        <v>0</v>
      </c>
      <c r="E51" s="1">
        <v>35</v>
      </c>
      <c r="F51" s="1" t="s">
        <v>1</v>
      </c>
      <c r="G51" s="1" t="s">
        <v>0</v>
      </c>
      <c r="H51" s="1">
        <v>25</v>
      </c>
      <c r="I51" s="1">
        <v>0</v>
      </c>
    </row>
    <row r="52" spans="1:9" x14ac:dyDescent="0.3">
      <c r="A52" s="1">
        <v>2</v>
      </c>
      <c r="B52" s="1">
        <v>1</v>
      </c>
      <c r="C52" s="1" t="s">
        <v>2</v>
      </c>
      <c r="D52" s="1" t="s">
        <v>0</v>
      </c>
      <c r="E52" s="1">
        <v>32</v>
      </c>
      <c r="F52" s="1" t="s">
        <v>1</v>
      </c>
      <c r="G52" s="1" t="s">
        <v>0</v>
      </c>
      <c r="H52" s="1">
        <v>34</v>
      </c>
      <c r="I52" s="1">
        <v>1</v>
      </c>
    </row>
    <row r="53" spans="1:9" x14ac:dyDescent="0.3">
      <c r="A53" s="1">
        <v>2</v>
      </c>
      <c r="B53" s="1">
        <v>1</v>
      </c>
      <c r="C53" s="1" t="s">
        <v>2</v>
      </c>
      <c r="D53" s="1" t="s">
        <v>0</v>
      </c>
      <c r="E53" s="1">
        <v>26</v>
      </c>
      <c r="F53" s="1" t="s">
        <v>1</v>
      </c>
      <c r="G53" s="1" t="s">
        <v>0</v>
      </c>
      <c r="H53" s="1">
        <v>35</v>
      </c>
      <c r="I53" s="1">
        <v>1</v>
      </c>
    </row>
    <row r="54" spans="1:9" x14ac:dyDescent="0.3">
      <c r="A54" s="1">
        <v>2</v>
      </c>
      <c r="B54" s="1">
        <v>1</v>
      </c>
      <c r="C54" s="1" t="s">
        <v>2</v>
      </c>
      <c r="D54" s="1" t="s">
        <v>0</v>
      </c>
      <c r="E54" s="1">
        <v>0</v>
      </c>
      <c r="F54" s="1" t="s">
        <v>1</v>
      </c>
      <c r="G54" s="1" t="s">
        <v>0</v>
      </c>
      <c r="H54" s="1">
        <v>70</v>
      </c>
      <c r="I54" s="1">
        <v>1</v>
      </c>
    </row>
    <row r="55" spans="1:9" x14ac:dyDescent="0.3">
      <c r="A55" s="1">
        <v>2</v>
      </c>
      <c r="B55" s="1">
        <v>1</v>
      </c>
      <c r="C55" s="1" t="s">
        <v>2</v>
      </c>
      <c r="D55" s="1" t="s">
        <v>0</v>
      </c>
      <c r="E55" s="1">
        <v>47</v>
      </c>
      <c r="F55" s="1" t="s">
        <v>1</v>
      </c>
      <c r="G55" s="1" t="s">
        <v>0</v>
      </c>
      <c r="H55" s="1">
        <v>35</v>
      </c>
      <c r="I55" s="1">
        <v>0</v>
      </c>
    </row>
    <row r="56" spans="1:9" x14ac:dyDescent="0.3">
      <c r="A56" s="1">
        <v>2</v>
      </c>
      <c r="B56" s="1">
        <v>1</v>
      </c>
      <c r="C56" s="1" t="s">
        <v>2</v>
      </c>
      <c r="D56" s="1" t="s">
        <v>0</v>
      </c>
      <c r="E56" s="1">
        <v>10</v>
      </c>
      <c r="F56" s="1" t="s">
        <v>1</v>
      </c>
      <c r="G56" s="1" t="s">
        <v>0</v>
      </c>
      <c r="H56" s="1">
        <v>40</v>
      </c>
      <c r="I56" s="1">
        <v>1</v>
      </c>
    </row>
    <row r="57" spans="1:9" x14ac:dyDescent="0.3">
      <c r="A57" s="1">
        <v>2</v>
      </c>
      <c r="B57" s="1">
        <v>1</v>
      </c>
      <c r="C57" s="1" t="s">
        <v>2</v>
      </c>
      <c r="D57" s="1" t="s">
        <v>0</v>
      </c>
      <c r="E57" s="1">
        <v>23</v>
      </c>
      <c r="F57" s="1" t="s">
        <v>1</v>
      </c>
      <c r="G57" s="1" t="s">
        <v>0</v>
      </c>
      <c r="H57" s="1">
        <v>43</v>
      </c>
      <c r="I57" s="1">
        <v>1</v>
      </c>
    </row>
    <row r="58" spans="1:9" x14ac:dyDescent="0.3">
      <c r="A58" s="1">
        <v>2</v>
      </c>
      <c r="B58" s="1">
        <v>1</v>
      </c>
      <c r="C58" s="1" t="s">
        <v>2</v>
      </c>
      <c r="D58" s="1" t="s">
        <v>0</v>
      </c>
      <c r="E58" s="1">
        <v>57</v>
      </c>
      <c r="F58" s="1" t="s">
        <v>1</v>
      </c>
      <c r="G58" s="1" t="s">
        <v>0</v>
      </c>
      <c r="H58" s="1">
        <v>15</v>
      </c>
      <c r="I58" s="1">
        <v>0</v>
      </c>
    </row>
    <row r="59" spans="1:9" x14ac:dyDescent="0.3">
      <c r="A59" s="1">
        <v>2</v>
      </c>
      <c r="B59" s="1">
        <v>1</v>
      </c>
      <c r="C59" s="1" t="s">
        <v>2</v>
      </c>
      <c r="D59" s="1" t="s">
        <v>0</v>
      </c>
      <c r="E59" s="1">
        <v>56</v>
      </c>
      <c r="F59" s="1" t="s">
        <v>1</v>
      </c>
      <c r="G59" s="1" t="s">
        <v>0</v>
      </c>
      <c r="H59" s="1">
        <v>35</v>
      </c>
      <c r="I59" s="1">
        <v>0</v>
      </c>
    </row>
    <row r="60" spans="1:9" x14ac:dyDescent="0.3">
      <c r="A60" s="1">
        <v>2</v>
      </c>
      <c r="B60" s="1">
        <v>1</v>
      </c>
      <c r="C60" s="1" t="s">
        <v>2</v>
      </c>
      <c r="D60" s="1" t="s">
        <v>0</v>
      </c>
      <c r="E60" s="1">
        <v>15</v>
      </c>
      <c r="F60" s="1" t="s">
        <v>1</v>
      </c>
      <c r="G60" s="1" t="s">
        <v>0</v>
      </c>
      <c r="H60" s="1">
        <v>30</v>
      </c>
      <c r="I60" s="1">
        <v>1</v>
      </c>
    </row>
    <row r="61" spans="1:9" x14ac:dyDescent="0.3">
      <c r="A61" s="1">
        <v>2</v>
      </c>
      <c r="B61" s="1">
        <v>1</v>
      </c>
      <c r="C61" s="1" t="s">
        <v>2</v>
      </c>
      <c r="D61" s="1" t="s">
        <v>0</v>
      </c>
      <c r="E61" s="1">
        <v>0</v>
      </c>
      <c r="F61" s="1" t="s">
        <v>1</v>
      </c>
      <c r="G61" s="1" t="s">
        <v>0</v>
      </c>
      <c r="H61" s="1">
        <v>59</v>
      </c>
      <c r="I61" s="1">
        <v>1</v>
      </c>
    </row>
    <row r="62" spans="1:9" x14ac:dyDescent="0.3">
      <c r="A62" s="1">
        <v>2</v>
      </c>
      <c r="B62" s="1">
        <v>1</v>
      </c>
      <c r="C62" s="1" t="s">
        <v>2</v>
      </c>
      <c r="D62" s="1" t="s">
        <v>0</v>
      </c>
      <c r="E62" s="1">
        <v>36</v>
      </c>
      <c r="F62" s="1" t="s">
        <v>1</v>
      </c>
      <c r="G62" s="1" t="s">
        <v>0</v>
      </c>
      <c r="H62" s="1">
        <v>34</v>
      </c>
      <c r="I62" s="1">
        <v>0</v>
      </c>
    </row>
    <row r="63" spans="1:9" x14ac:dyDescent="0.3">
      <c r="A63" s="1">
        <v>2</v>
      </c>
      <c r="B63" s="1">
        <v>1</v>
      </c>
      <c r="C63" s="1" t="s">
        <v>2</v>
      </c>
      <c r="D63" s="1" t="s">
        <v>0</v>
      </c>
      <c r="E63" s="1">
        <v>49</v>
      </c>
      <c r="F63" s="1" t="s">
        <v>1</v>
      </c>
      <c r="G63" s="1" t="s">
        <v>0</v>
      </c>
      <c r="H63" s="1">
        <v>26</v>
      </c>
      <c r="I63" s="1">
        <v>0</v>
      </c>
    </row>
    <row r="64" spans="1:9" x14ac:dyDescent="0.3">
      <c r="A64" s="1">
        <v>2</v>
      </c>
      <c r="B64" s="1">
        <v>1</v>
      </c>
      <c r="C64" s="1" t="s">
        <v>2</v>
      </c>
      <c r="D64" s="1" t="s">
        <v>0</v>
      </c>
      <c r="E64" s="1">
        <v>46</v>
      </c>
      <c r="F64" s="1" t="s">
        <v>1</v>
      </c>
      <c r="G64" s="1" t="s">
        <v>0</v>
      </c>
      <c r="H64" s="1">
        <v>14</v>
      </c>
      <c r="I64" s="1">
        <v>0</v>
      </c>
    </row>
    <row r="65" spans="1:9" x14ac:dyDescent="0.3">
      <c r="A65" s="1">
        <v>2</v>
      </c>
      <c r="B65" s="1">
        <v>1</v>
      </c>
      <c r="C65" s="1" t="s">
        <v>2</v>
      </c>
      <c r="D65" s="1" t="s">
        <v>0</v>
      </c>
      <c r="E65" s="1">
        <v>0</v>
      </c>
      <c r="F65" s="1" t="s">
        <v>1</v>
      </c>
      <c r="G65" s="1" t="s">
        <v>0</v>
      </c>
      <c r="H65" s="1">
        <v>19</v>
      </c>
      <c r="I65" s="1">
        <v>1</v>
      </c>
    </row>
    <row r="66" spans="1:9" x14ac:dyDescent="0.3">
      <c r="A66" s="1">
        <v>2</v>
      </c>
      <c r="B66" s="1">
        <v>1</v>
      </c>
      <c r="C66" s="1" t="s">
        <v>2</v>
      </c>
      <c r="D66" s="1" t="s">
        <v>0</v>
      </c>
      <c r="E66" s="1">
        <v>38</v>
      </c>
      <c r="F66" s="1" t="s">
        <v>1</v>
      </c>
      <c r="G66" s="1" t="s">
        <v>0</v>
      </c>
      <c r="H66" s="1">
        <v>13</v>
      </c>
      <c r="I66" s="1">
        <v>0</v>
      </c>
    </row>
    <row r="67" spans="1:9" x14ac:dyDescent="0.3">
      <c r="A67" s="1">
        <v>2</v>
      </c>
      <c r="B67" s="1">
        <v>1</v>
      </c>
      <c r="C67" s="1" t="s">
        <v>2</v>
      </c>
      <c r="D67" s="1" t="s">
        <v>0</v>
      </c>
      <c r="E67" s="1">
        <v>32</v>
      </c>
      <c r="F67" s="1" t="s">
        <v>1</v>
      </c>
      <c r="G67" s="1" t="s">
        <v>0</v>
      </c>
      <c r="H67" s="1">
        <v>38</v>
      </c>
      <c r="I67" s="1">
        <v>1</v>
      </c>
    </row>
    <row r="68" spans="1:9" x14ac:dyDescent="0.3">
      <c r="A68" s="1">
        <v>2</v>
      </c>
      <c r="B68" s="1">
        <v>1</v>
      </c>
      <c r="C68" s="1" t="s">
        <v>2</v>
      </c>
      <c r="D68" s="1" t="s">
        <v>0</v>
      </c>
      <c r="E68" s="1">
        <v>22</v>
      </c>
      <c r="F68" s="1" t="s">
        <v>1</v>
      </c>
      <c r="G68" s="1" t="s">
        <v>0</v>
      </c>
      <c r="H68" s="1">
        <v>16</v>
      </c>
      <c r="I68" s="1">
        <v>0</v>
      </c>
    </row>
    <row r="69" spans="1:9" x14ac:dyDescent="0.3">
      <c r="A69" s="1">
        <v>2</v>
      </c>
      <c r="B69" s="1">
        <v>1</v>
      </c>
      <c r="C69" s="1" t="s">
        <v>2</v>
      </c>
      <c r="D69" s="1" t="s">
        <v>0</v>
      </c>
      <c r="E69" s="1">
        <v>28</v>
      </c>
      <c r="F69" s="1" t="s">
        <v>1</v>
      </c>
      <c r="G69" s="1" t="s">
        <v>0</v>
      </c>
      <c r="H69" s="1">
        <v>20</v>
      </c>
      <c r="I69" s="1">
        <v>0</v>
      </c>
    </row>
    <row r="70" spans="1:9" x14ac:dyDescent="0.3">
      <c r="A70" s="1">
        <v>2</v>
      </c>
      <c r="B70" s="1">
        <v>1</v>
      </c>
      <c r="C70" s="1" t="s">
        <v>2</v>
      </c>
      <c r="D70" s="1" t="s">
        <v>0</v>
      </c>
      <c r="E70" s="1">
        <v>29</v>
      </c>
      <c r="F70" s="1" t="s">
        <v>1</v>
      </c>
      <c r="G70" s="1" t="s">
        <v>0</v>
      </c>
      <c r="H70" s="1">
        <v>59</v>
      </c>
      <c r="I70" s="1">
        <v>1</v>
      </c>
    </row>
    <row r="71" spans="1:9" x14ac:dyDescent="0.3">
      <c r="A71" s="1">
        <v>2</v>
      </c>
      <c r="B71" s="1">
        <v>1</v>
      </c>
      <c r="C71" s="1" t="s">
        <v>2</v>
      </c>
      <c r="D71" s="1" t="s">
        <v>0</v>
      </c>
      <c r="E71" s="1">
        <v>37</v>
      </c>
      <c r="F71" s="1" t="s">
        <v>1</v>
      </c>
      <c r="G71" s="1" t="s">
        <v>0</v>
      </c>
      <c r="H71" s="1">
        <v>39</v>
      </c>
      <c r="I71" s="1">
        <v>1</v>
      </c>
    </row>
    <row r="72" spans="1:9" x14ac:dyDescent="0.3">
      <c r="A72" s="1">
        <v>2</v>
      </c>
      <c r="B72" s="1">
        <v>1</v>
      </c>
      <c r="C72" s="1" t="s">
        <v>2</v>
      </c>
      <c r="D72" s="1" t="s">
        <v>0</v>
      </c>
      <c r="E72" s="1">
        <v>6</v>
      </c>
      <c r="F72" s="1" t="s">
        <v>1</v>
      </c>
      <c r="G72" s="1" t="s">
        <v>0</v>
      </c>
      <c r="H72" s="1">
        <v>48</v>
      </c>
      <c r="I72" s="1">
        <v>1</v>
      </c>
    </row>
    <row r="73" spans="1:9" x14ac:dyDescent="0.3">
      <c r="A73" s="1">
        <v>2</v>
      </c>
      <c r="B73" s="1">
        <v>1</v>
      </c>
      <c r="C73" s="1" t="s">
        <v>2</v>
      </c>
      <c r="D73" s="1" t="s">
        <v>0</v>
      </c>
      <c r="E73" s="1">
        <v>3</v>
      </c>
      <c r="F73" s="1" t="s">
        <v>1</v>
      </c>
      <c r="G73" s="1" t="s">
        <v>0</v>
      </c>
      <c r="H73" s="1">
        <v>18</v>
      </c>
      <c r="I73" s="1">
        <v>1</v>
      </c>
    </row>
    <row r="74" spans="1:9" x14ac:dyDescent="0.3">
      <c r="A74" s="1">
        <v>2</v>
      </c>
      <c r="B74" s="1">
        <v>1</v>
      </c>
      <c r="C74" s="1" t="s">
        <v>2</v>
      </c>
      <c r="D74" s="1" t="s">
        <v>0</v>
      </c>
      <c r="E74" s="1">
        <v>25</v>
      </c>
      <c r="F74" s="1" t="s">
        <v>1</v>
      </c>
      <c r="G74" s="1" t="s">
        <v>0</v>
      </c>
      <c r="H74" s="1">
        <v>42</v>
      </c>
      <c r="I74" s="1">
        <v>1</v>
      </c>
    </row>
    <row r="75" spans="1:9" x14ac:dyDescent="0.3">
      <c r="A75" s="1">
        <v>2</v>
      </c>
      <c r="B75" s="1">
        <v>1</v>
      </c>
      <c r="C75" s="1" t="s">
        <v>2</v>
      </c>
      <c r="D75" s="1" t="s">
        <v>0</v>
      </c>
      <c r="E75" s="1">
        <v>20</v>
      </c>
      <c r="F75" s="1" t="s">
        <v>1</v>
      </c>
      <c r="G75" s="1" t="s">
        <v>0</v>
      </c>
      <c r="H75" s="1">
        <v>14</v>
      </c>
      <c r="I75" s="1">
        <v>0</v>
      </c>
    </row>
    <row r="76" spans="1:9" x14ac:dyDescent="0.3">
      <c r="A76" s="1">
        <v>2</v>
      </c>
      <c r="B76" s="1">
        <v>1</v>
      </c>
      <c r="C76" s="1" t="s">
        <v>2</v>
      </c>
      <c r="D76" s="1" t="s">
        <v>0</v>
      </c>
      <c r="E76" s="1">
        <v>34</v>
      </c>
      <c r="F76" s="1" t="s">
        <v>1</v>
      </c>
      <c r="G76" s="1" t="s">
        <v>0</v>
      </c>
      <c r="H76" s="1">
        <v>4</v>
      </c>
      <c r="I76" s="1">
        <v>0</v>
      </c>
    </row>
    <row r="77" spans="1:9" x14ac:dyDescent="0.3">
      <c r="A77" s="1">
        <v>2</v>
      </c>
      <c r="B77" s="1">
        <v>1</v>
      </c>
      <c r="C77" s="1" t="s">
        <v>2</v>
      </c>
      <c r="D77" s="1" t="s">
        <v>0</v>
      </c>
      <c r="E77" s="1">
        <v>29</v>
      </c>
      <c r="F77" s="1" t="s">
        <v>1</v>
      </c>
      <c r="G77" s="1" t="s">
        <v>0</v>
      </c>
      <c r="H77" s="1">
        <v>38</v>
      </c>
      <c r="I77" s="1">
        <v>1</v>
      </c>
    </row>
    <row r="78" spans="1:9" x14ac:dyDescent="0.3">
      <c r="A78" s="1">
        <v>2</v>
      </c>
      <c r="B78" s="1">
        <v>1</v>
      </c>
      <c r="C78" s="1" t="s">
        <v>2</v>
      </c>
      <c r="D78" s="1" t="s">
        <v>0</v>
      </c>
      <c r="E78" s="1">
        <v>38</v>
      </c>
      <c r="F78" s="1" t="s">
        <v>1</v>
      </c>
      <c r="G78" s="1" t="s">
        <v>0</v>
      </c>
      <c r="H78" s="1">
        <v>26</v>
      </c>
      <c r="I78" s="1">
        <v>0</v>
      </c>
    </row>
    <row r="79" spans="1:9" x14ac:dyDescent="0.3">
      <c r="A79" s="1">
        <v>2</v>
      </c>
      <c r="B79" s="1">
        <v>1</v>
      </c>
      <c r="C79" s="1" t="s">
        <v>2</v>
      </c>
      <c r="D79" s="1" t="s">
        <v>0</v>
      </c>
      <c r="E79" s="1">
        <v>7</v>
      </c>
      <c r="F79" s="1" t="s">
        <v>1</v>
      </c>
      <c r="G79" s="1" t="s">
        <v>0</v>
      </c>
      <c r="H79" s="1">
        <v>25</v>
      </c>
      <c r="I79" s="1">
        <v>1</v>
      </c>
    </row>
    <row r="80" spans="1:9" x14ac:dyDescent="0.3">
      <c r="A80" s="1">
        <v>2</v>
      </c>
      <c r="B80" s="1">
        <v>1</v>
      </c>
      <c r="C80" s="1" t="s">
        <v>2</v>
      </c>
      <c r="D80" s="1" t="s">
        <v>0</v>
      </c>
      <c r="E80" s="1">
        <v>13</v>
      </c>
      <c r="F80" s="1" t="s">
        <v>1</v>
      </c>
      <c r="G80" s="1" t="s">
        <v>0</v>
      </c>
      <c r="H80" s="1">
        <v>51</v>
      </c>
      <c r="I80" s="1">
        <v>1</v>
      </c>
    </row>
    <row r="81" spans="1:9" x14ac:dyDescent="0.3">
      <c r="A81" s="1">
        <v>2</v>
      </c>
      <c r="B81" s="1">
        <v>1</v>
      </c>
      <c r="C81" s="1" t="s">
        <v>2</v>
      </c>
      <c r="D81" s="1" t="s">
        <v>0</v>
      </c>
      <c r="E81" s="1">
        <v>27</v>
      </c>
      <c r="F81" s="1" t="s">
        <v>1</v>
      </c>
      <c r="G81" s="1" t="s">
        <v>0</v>
      </c>
      <c r="H81" s="1">
        <v>41</v>
      </c>
      <c r="I81" s="1">
        <v>1</v>
      </c>
    </row>
    <row r="82" spans="1:9" x14ac:dyDescent="0.3">
      <c r="A82" s="1">
        <v>2</v>
      </c>
      <c r="B82" s="1">
        <v>1</v>
      </c>
      <c r="C82" s="1" t="s">
        <v>2</v>
      </c>
      <c r="D82" s="1" t="s">
        <v>0</v>
      </c>
      <c r="E82" s="1">
        <v>28</v>
      </c>
      <c r="F82" s="1" t="s">
        <v>1</v>
      </c>
      <c r="G82" s="1" t="s">
        <v>0</v>
      </c>
      <c r="H82" s="1">
        <v>14</v>
      </c>
      <c r="I82" s="1">
        <v>0</v>
      </c>
    </row>
    <row r="83" spans="1:9" x14ac:dyDescent="0.3">
      <c r="A83" s="1">
        <v>2</v>
      </c>
      <c r="B83" s="1">
        <v>1</v>
      </c>
      <c r="C83" s="1" t="s">
        <v>2</v>
      </c>
      <c r="D83" s="1" t="s">
        <v>0</v>
      </c>
      <c r="E83" s="1">
        <v>0</v>
      </c>
      <c r="F83" s="1" t="s">
        <v>1</v>
      </c>
      <c r="G83" s="1" t="s">
        <v>0</v>
      </c>
      <c r="H83" s="1">
        <v>65</v>
      </c>
      <c r="I83" s="1">
        <v>1</v>
      </c>
    </row>
    <row r="84" spans="1:9" x14ac:dyDescent="0.3">
      <c r="A84" s="1">
        <v>2</v>
      </c>
      <c r="B84" s="1">
        <v>1</v>
      </c>
      <c r="C84" s="1" t="s">
        <v>2</v>
      </c>
      <c r="D84" s="1" t="s">
        <v>0</v>
      </c>
      <c r="E84" s="1">
        <v>19</v>
      </c>
      <c r="F84" s="1" t="s">
        <v>1</v>
      </c>
      <c r="G84" s="1" t="s">
        <v>0</v>
      </c>
      <c r="H84" s="1">
        <v>10</v>
      </c>
      <c r="I84" s="1">
        <v>0</v>
      </c>
    </row>
    <row r="85" spans="1:9" x14ac:dyDescent="0.3">
      <c r="A85" s="1">
        <v>2</v>
      </c>
      <c r="B85" s="1">
        <v>1</v>
      </c>
      <c r="C85" s="1" t="s">
        <v>2</v>
      </c>
      <c r="D85" s="1" t="s">
        <v>0</v>
      </c>
      <c r="E85" s="1">
        <v>40</v>
      </c>
      <c r="F85" s="1" t="s">
        <v>1</v>
      </c>
      <c r="G85" s="1" t="s">
        <v>0</v>
      </c>
      <c r="H85" s="1">
        <v>3</v>
      </c>
      <c r="I85" s="1">
        <v>0</v>
      </c>
    </row>
    <row r="86" spans="1:9" x14ac:dyDescent="0.3">
      <c r="A86" s="1">
        <v>2</v>
      </c>
      <c r="B86" s="1">
        <v>1</v>
      </c>
      <c r="C86" s="1" t="s">
        <v>2</v>
      </c>
      <c r="D86" s="1" t="s">
        <v>0</v>
      </c>
      <c r="E86" s="1">
        <v>2</v>
      </c>
      <c r="F86" s="1" t="s">
        <v>1</v>
      </c>
      <c r="G86" s="1" t="s">
        <v>0</v>
      </c>
      <c r="H86" s="1">
        <v>35</v>
      </c>
      <c r="I86" s="1">
        <v>1</v>
      </c>
    </row>
    <row r="87" spans="1:9" x14ac:dyDescent="0.3">
      <c r="A87" s="1">
        <v>2</v>
      </c>
      <c r="B87" s="1">
        <v>1</v>
      </c>
      <c r="C87" s="1" t="s">
        <v>2</v>
      </c>
      <c r="D87" s="1" t="s">
        <v>0</v>
      </c>
      <c r="E87" s="1">
        <v>0</v>
      </c>
      <c r="F87" s="1" t="s">
        <v>1</v>
      </c>
      <c r="G87" s="1" t="s">
        <v>0</v>
      </c>
      <c r="H87" s="1">
        <v>29</v>
      </c>
      <c r="I87" s="1">
        <v>1</v>
      </c>
    </row>
    <row r="88" spans="1:9" x14ac:dyDescent="0.3">
      <c r="A88" s="1">
        <v>2</v>
      </c>
      <c r="B88" s="1">
        <v>1</v>
      </c>
      <c r="C88" s="1" t="s">
        <v>2</v>
      </c>
      <c r="D88" s="1" t="s">
        <v>0</v>
      </c>
      <c r="E88" s="1">
        <v>16</v>
      </c>
      <c r="F88" s="1" t="s">
        <v>1</v>
      </c>
      <c r="G88" s="1" t="s">
        <v>0</v>
      </c>
      <c r="H88" s="1">
        <v>2</v>
      </c>
      <c r="I88" s="1">
        <v>0</v>
      </c>
    </row>
    <row r="89" spans="1:9" x14ac:dyDescent="0.3">
      <c r="A89" s="1">
        <v>2</v>
      </c>
      <c r="B89" s="1">
        <v>1</v>
      </c>
      <c r="C89" s="1" t="s">
        <v>2</v>
      </c>
      <c r="D89" s="1" t="s">
        <v>0</v>
      </c>
      <c r="E89" s="1">
        <v>69</v>
      </c>
      <c r="F89" s="1" t="s">
        <v>1</v>
      </c>
      <c r="G89" s="1" t="s">
        <v>0</v>
      </c>
      <c r="H89" s="1">
        <v>6</v>
      </c>
      <c r="I89" s="1">
        <v>0</v>
      </c>
    </row>
    <row r="90" spans="1:9" x14ac:dyDescent="0.3">
      <c r="A90" s="1">
        <v>2</v>
      </c>
      <c r="B90" s="1">
        <v>1</v>
      </c>
      <c r="C90" s="1" t="s">
        <v>2</v>
      </c>
      <c r="D90" s="1" t="s">
        <v>0</v>
      </c>
      <c r="E90" s="1">
        <v>49</v>
      </c>
      <c r="F90" s="1" t="s">
        <v>1</v>
      </c>
      <c r="G90" s="1" t="s">
        <v>0</v>
      </c>
      <c r="H90" s="1">
        <v>0</v>
      </c>
      <c r="I90" s="1">
        <v>0</v>
      </c>
    </row>
    <row r="91" spans="1:9" x14ac:dyDescent="0.3">
      <c r="A91" s="1">
        <v>2</v>
      </c>
      <c r="B91" s="1">
        <v>1</v>
      </c>
      <c r="C91" s="1" t="s">
        <v>2</v>
      </c>
      <c r="D91" s="1" t="s">
        <v>0</v>
      </c>
      <c r="E91" s="1">
        <v>55</v>
      </c>
      <c r="F91" s="1" t="s">
        <v>1</v>
      </c>
      <c r="G91" s="1" t="s">
        <v>0</v>
      </c>
      <c r="H91" s="1">
        <v>22</v>
      </c>
      <c r="I91" s="1">
        <v>0</v>
      </c>
    </row>
    <row r="92" spans="1:9" x14ac:dyDescent="0.3">
      <c r="A92" s="1">
        <v>2</v>
      </c>
      <c r="B92" s="1">
        <v>1</v>
      </c>
      <c r="C92" s="1" t="s">
        <v>2</v>
      </c>
      <c r="D92" s="1" t="s">
        <v>0</v>
      </c>
      <c r="E92" s="1">
        <v>13</v>
      </c>
      <c r="F92" s="1" t="s">
        <v>1</v>
      </c>
      <c r="G92" s="1" t="s">
        <v>0</v>
      </c>
      <c r="H92" s="1">
        <v>9</v>
      </c>
      <c r="I92" s="1">
        <v>0</v>
      </c>
    </row>
    <row r="93" spans="1:9" x14ac:dyDescent="0.3">
      <c r="A93" s="1">
        <v>2</v>
      </c>
      <c r="B93" s="1">
        <v>1</v>
      </c>
      <c r="C93" s="1" t="s">
        <v>2</v>
      </c>
      <c r="D93" s="1" t="s">
        <v>0</v>
      </c>
      <c r="E93" s="1">
        <v>18</v>
      </c>
      <c r="F93" s="1" t="s">
        <v>1</v>
      </c>
      <c r="G93" s="1" t="s">
        <v>0</v>
      </c>
      <c r="H93" s="1">
        <v>34</v>
      </c>
      <c r="I93" s="1">
        <v>1</v>
      </c>
    </row>
    <row r="94" spans="1:9" x14ac:dyDescent="0.3">
      <c r="A94" s="1">
        <v>2</v>
      </c>
      <c r="B94" s="1">
        <v>1</v>
      </c>
      <c r="C94" s="1" t="s">
        <v>2</v>
      </c>
      <c r="D94" s="1" t="s">
        <v>0</v>
      </c>
      <c r="E94" s="1">
        <v>24</v>
      </c>
      <c r="F94" s="1" t="s">
        <v>1</v>
      </c>
      <c r="G94" s="1" t="s">
        <v>0</v>
      </c>
      <c r="H94" s="1">
        <v>0</v>
      </c>
      <c r="I94" s="1">
        <v>0</v>
      </c>
    </row>
    <row r="95" spans="1:9" x14ac:dyDescent="0.3">
      <c r="A95" s="1">
        <v>2</v>
      </c>
      <c r="B95" s="1">
        <v>1</v>
      </c>
      <c r="C95" s="1" t="s">
        <v>2</v>
      </c>
      <c r="D95" s="1" t="s">
        <v>0</v>
      </c>
      <c r="E95" s="1">
        <v>10</v>
      </c>
      <c r="F95" s="1" t="s">
        <v>1</v>
      </c>
      <c r="G95" s="1" t="s">
        <v>0</v>
      </c>
      <c r="H95" s="1">
        <v>1</v>
      </c>
      <c r="I95" s="1">
        <v>0</v>
      </c>
    </row>
    <row r="96" spans="1:9" x14ac:dyDescent="0.3">
      <c r="A96" s="1">
        <v>2</v>
      </c>
      <c r="B96" s="1">
        <v>1</v>
      </c>
      <c r="C96" s="1" t="s">
        <v>2</v>
      </c>
      <c r="D96" s="1" t="s">
        <v>0</v>
      </c>
      <c r="E96" s="1">
        <v>44</v>
      </c>
      <c r="F96" s="1" t="s">
        <v>1</v>
      </c>
      <c r="G96" s="1" t="s">
        <v>0</v>
      </c>
      <c r="H96" s="1">
        <v>27</v>
      </c>
      <c r="I96" s="1">
        <v>0</v>
      </c>
    </row>
    <row r="97" spans="1:9" x14ac:dyDescent="0.3">
      <c r="A97" s="1">
        <v>2</v>
      </c>
      <c r="B97" s="1">
        <v>1</v>
      </c>
      <c r="C97" s="1" t="s">
        <v>2</v>
      </c>
      <c r="D97" s="1" t="s">
        <v>0</v>
      </c>
      <c r="E97" s="1">
        <v>33</v>
      </c>
      <c r="F97" s="1" t="s">
        <v>1</v>
      </c>
      <c r="G97" s="1" t="s">
        <v>0</v>
      </c>
      <c r="H97" s="1">
        <v>37</v>
      </c>
      <c r="I97" s="1">
        <v>1</v>
      </c>
    </row>
    <row r="98" spans="1:9" x14ac:dyDescent="0.3">
      <c r="A98" s="1">
        <v>2</v>
      </c>
      <c r="B98" s="1">
        <v>1</v>
      </c>
      <c r="C98" s="1" t="s">
        <v>2</v>
      </c>
      <c r="D98" s="1" t="s">
        <v>0</v>
      </c>
      <c r="E98" s="1">
        <v>0</v>
      </c>
      <c r="F98" s="1" t="s">
        <v>1</v>
      </c>
      <c r="G98" s="1" t="s">
        <v>0</v>
      </c>
      <c r="H98" s="1">
        <v>34</v>
      </c>
      <c r="I98" s="1">
        <v>1</v>
      </c>
    </row>
    <row r="99" spans="1:9" x14ac:dyDescent="0.3">
      <c r="A99" s="1">
        <v>2</v>
      </c>
      <c r="B99" s="1">
        <v>1</v>
      </c>
      <c r="C99" s="1" t="s">
        <v>2</v>
      </c>
      <c r="D99" s="1" t="s">
        <v>0</v>
      </c>
      <c r="E99" s="1">
        <v>47</v>
      </c>
      <c r="F99" s="1" t="s">
        <v>1</v>
      </c>
      <c r="G99" s="1" t="s">
        <v>0</v>
      </c>
      <c r="H99" s="1">
        <v>24</v>
      </c>
      <c r="I99" s="1">
        <v>0</v>
      </c>
    </row>
    <row r="100" spans="1:9" x14ac:dyDescent="0.3">
      <c r="A100" s="1">
        <v>2</v>
      </c>
      <c r="B100" s="1">
        <v>1</v>
      </c>
      <c r="C100" s="1" t="s">
        <v>2</v>
      </c>
      <c r="D100" s="1" t="s">
        <v>0</v>
      </c>
      <c r="E100" s="1">
        <v>53</v>
      </c>
      <c r="F100" s="1" t="s">
        <v>1</v>
      </c>
      <c r="G100" s="1" t="s">
        <v>0</v>
      </c>
      <c r="H100" s="1">
        <v>28</v>
      </c>
      <c r="I100" s="1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CD85-DD35-46BC-BA8F-737B513EF753}">
  <dimension ref="A1:T100"/>
  <sheetViews>
    <sheetView topLeftCell="K1" workbookViewId="0">
      <selection activeCell="T2" sqref="T2:T3"/>
    </sheetView>
  </sheetViews>
  <sheetFormatPr defaultRowHeight="14.4" x14ac:dyDescent="0.3"/>
  <cols>
    <col min="1" max="16384" width="8.88671875" style="1"/>
  </cols>
  <sheetData>
    <row r="1" spans="1:20" x14ac:dyDescent="0.3">
      <c r="A1" s="1">
        <v>2</v>
      </c>
      <c r="B1" s="1">
        <v>0</v>
      </c>
      <c r="C1" s="1" t="s">
        <v>2</v>
      </c>
      <c r="D1" s="1" t="s">
        <v>0</v>
      </c>
      <c r="E1" s="1">
        <v>82</v>
      </c>
      <c r="F1" s="1" t="s">
        <v>1</v>
      </c>
      <c r="G1" s="1" t="s">
        <v>0</v>
      </c>
      <c r="H1" s="1">
        <v>2</v>
      </c>
      <c r="I1" s="1">
        <v>0</v>
      </c>
      <c r="K1" s="2"/>
      <c r="L1" s="3"/>
      <c r="M1" s="24" t="s">
        <v>3</v>
      </c>
      <c r="N1" s="24"/>
      <c r="O1" s="19" t="s">
        <v>4</v>
      </c>
      <c r="P1" s="19"/>
      <c r="Q1" s="19" t="s">
        <v>5</v>
      </c>
      <c r="R1" s="19"/>
    </row>
    <row r="2" spans="1:20" x14ac:dyDescent="0.3">
      <c r="A2" s="1">
        <v>2</v>
      </c>
      <c r="B2" s="1">
        <v>0</v>
      </c>
      <c r="C2" s="1" t="s">
        <v>2</v>
      </c>
      <c r="D2" s="1" t="s">
        <v>0</v>
      </c>
      <c r="E2" s="1">
        <v>20</v>
      </c>
      <c r="F2" s="1" t="s">
        <v>1</v>
      </c>
      <c r="G2" s="1" t="s">
        <v>0</v>
      </c>
      <c r="H2" s="1">
        <v>27</v>
      </c>
      <c r="I2" s="1">
        <v>1</v>
      </c>
      <c r="K2" s="4"/>
      <c r="L2" s="5"/>
      <c r="M2" s="24"/>
      <c r="N2" s="24"/>
      <c r="O2" s="19"/>
      <c r="P2" s="19"/>
      <c r="Q2" s="19"/>
      <c r="R2" s="19"/>
      <c r="T2" t="s">
        <v>15</v>
      </c>
    </row>
    <row r="3" spans="1:20" x14ac:dyDescent="0.3">
      <c r="A3" s="1">
        <v>2</v>
      </c>
      <c r="B3" s="1">
        <v>0</v>
      </c>
      <c r="C3" s="1" t="s">
        <v>2</v>
      </c>
      <c r="D3" s="1" t="s">
        <v>0</v>
      </c>
      <c r="E3" s="1">
        <v>2</v>
      </c>
      <c r="F3" s="1" t="s">
        <v>1</v>
      </c>
      <c r="G3" s="1" t="s">
        <v>0</v>
      </c>
      <c r="H3" s="1">
        <v>42</v>
      </c>
      <c r="I3" s="1">
        <v>1</v>
      </c>
      <c r="K3" s="19" t="s">
        <v>6</v>
      </c>
      <c r="L3" s="19"/>
      <c r="M3" s="20">
        <f>COUNTIF($I$1:$I$100, 0)</f>
        <v>54</v>
      </c>
      <c r="N3" s="20"/>
      <c r="O3" s="20">
        <f>COUNTIFS($I$1:$I$100, 0, $B$1:$B$100, 0)</f>
        <v>28</v>
      </c>
      <c r="P3" s="20"/>
      <c r="Q3" s="21">
        <f>COUNTIFS($I$1:$I$100, 0, $B$1:$B$100, 1)</f>
        <v>26</v>
      </c>
      <c r="R3" s="10"/>
      <c r="T3" cm="1">
        <f t="array" ref="T3">SUMPRODUCT(--($E$1:$E$100=$H$1:$H$100))</f>
        <v>1</v>
      </c>
    </row>
    <row r="4" spans="1:20" x14ac:dyDescent="0.3">
      <c r="A4" s="1">
        <v>2</v>
      </c>
      <c r="B4" s="1">
        <v>0</v>
      </c>
      <c r="C4" s="1" t="s">
        <v>2</v>
      </c>
      <c r="D4" s="1" t="s">
        <v>0</v>
      </c>
      <c r="E4" s="1">
        <v>20</v>
      </c>
      <c r="F4" s="1" t="s">
        <v>1</v>
      </c>
      <c r="G4" s="1" t="s">
        <v>0</v>
      </c>
      <c r="H4" s="1">
        <v>49</v>
      </c>
      <c r="I4" s="1">
        <v>1</v>
      </c>
      <c r="K4" s="19"/>
      <c r="L4" s="19"/>
      <c r="M4" s="20"/>
      <c r="N4" s="20"/>
      <c r="O4" s="20"/>
      <c r="P4" s="20"/>
      <c r="Q4" s="20"/>
      <c r="R4" s="12"/>
    </row>
    <row r="5" spans="1:20" x14ac:dyDescent="0.3">
      <c r="A5" s="1">
        <v>2</v>
      </c>
      <c r="B5" s="1">
        <v>0</v>
      </c>
      <c r="C5" s="1" t="s">
        <v>2</v>
      </c>
      <c r="D5" s="1" t="s">
        <v>0</v>
      </c>
      <c r="E5" s="1">
        <v>3</v>
      </c>
      <c r="F5" s="1" t="s">
        <v>1</v>
      </c>
      <c r="G5" s="1" t="s">
        <v>0</v>
      </c>
      <c r="H5" s="1">
        <v>18</v>
      </c>
      <c r="I5" s="1">
        <v>1</v>
      </c>
      <c r="K5" s="19" t="s">
        <v>7</v>
      </c>
      <c r="L5" s="19"/>
      <c r="M5" s="11">
        <f>COUNTIF($I$1:$I$100, 1)</f>
        <v>46</v>
      </c>
      <c r="N5" s="20"/>
      <c r="O5" s="20">
        <f>COUNTIFS($I$1:$I$100, 1, $B$1:$B$100, 0)</f>
        <v>22</v>
      </c>
      <c r="P5" s="20"/>
      <c r="Q5" s="20">
        <f>COUNTIFS($I$1:$I$100, 1, $B$1:$B$100, 1)</f>
        <v>24</v>
      </c>
      <c r="R5" s="12"/>
    </row>
    <row r="6" spans="1:20" x14ac:dyDescent="0.3">
      <c r="A6" s="1">
        <v>2</v>
      </c>
      <c r="B6" s="1">
        <v>0</v>
      </c>
      <c r="C6" s="1" t="s">
        <v>2</v>
      </c>
      <c r="D6" s="1" t="s">
        <v>0</v>
      </c>
      <c r="E6" s="1">
        <v>45</v>
      </c>
      <c r="F6" s="1" t="s">
        <v>1</v>
      </c>
      <c r="G6" s="1" t="s">
        <v>0</v>
      </c>
      <c r="H6" s="1">
        <v>18</v>
      </c>
      <c r="I6" s="1">
        <v>0</v>
      </c>
      <c r="K6" s="19"/>
      <c r="L6" s="19"/>
      <c r="M6" s="13"/>
      <c r="N6" s="22"/>
      <c r="O6" s="22"/>
      <c r="P6" s="22"/>
      <c r="Q6" s="22"/>
      <c r="R6" s="14"/>
    </row>
    <row r="7" spans="1:20" x14ac:dyDescent="0.3">
      <c r="A7" s="1">
        <v>2</v>
      </c>
      <c r="B7" s="1">
        <v>0</v>
      </c>
      <c r="C7" s="1" t="s">
        <v>2</v>
      </c>
      <c r="D7" s="1" t="s">
        <v>0</v>
      </c>
      <c r="E7" s="1">
        <v>26</v>
      </c>
      <c r="F7" s="1" t="s">
        <v>1</v>
      </c>
      <c r="G7" s="1" t="s">
        <v>0</v>
      </c>
      <c r="H7" s="1">
        <v>35</v>
      </c>
      <c r="I7" s="1">
        <v>1</v>
      </c>
      <c r="K7" s="6"/>
      <c r="L7" s="6"/>
      <c r="M7" s="6"/>
      <c r="N7" s="6"/>
      <c r="O7" s="6"/>
      <c r="P7" s="6"/>
      <c r="Q7" s="6"/>
      <c r="R7" s="6"/>
    </row>
    <row r="8" spans="1:20" x14ac:dyDescent="0.3">
      <c r="A8" s="1">
        <v>2</v>
      </c>
      <c r="B8" s="1">
        <v>0</v>
      </c>
      <c r="C8" s="1" t="s">
        <v>2</v>
      </c>
      <c r="D8" s="1" t="s">
        <v>0</v>
      </c>
      <c r="E8" s="1">
        <v>41</v>
      </c>
      <c r="F8" s="1" t="s">
        <v>1</v>
      </c>
      <c r="G8" s="1" t="s">
        <v>0</v>
      </c>
      <c r="H8" s="1">
        <v>32</v>
      </c>
      <c r="I8" s="1">
        <v>0</v>
      </c>
      <c r="K8" s="7"/>
      <c r="L8" s="8"/>
      <c r="M8" s="23" t="s">
        <v>3</v>
      </c>
      <c r="N8" s="23"/>
      <c r="O8" s="23" t="s">
        <v>8</v>
      </c>
      <c r="P8" s="23"/>
      <c r="Q8" s="23" t="s">
        <v>9</v>
      </c>
      <c r="R8" s="23"/>
    </row>
    <row r="9" spans="1:20" x14ac:dyDescent="0.3">
      <c r="A9" s="1">
        <v>2</v>
      </c>
      <c r="B9" s="1">
        <v>0</v>
      </c>
      <c r="C9" s="1" t="s">
        <v>2</v>
      </c>
      <c r="D9" s="1" t="s">
        <v>0</v>
      </c>
      <c r="E9" s="1">
        <v>43</v>
      </c>
      <c r="F9" s="1" t="s">
        <v>1</v>
      </c>
      <c r="G9" s="1" t="s">
        <v>0</v>
      </c>
      <c r="H9" s="1">
        <v>6</v>
      </c>
      <c r="I9" s="1">
        <v>0</v>
      </c>
      <c r="K9" s="4"/>
      <c r="L9" s="5"/>
      <c r="M9" s="23"/>
      <c r="N9" s="23"/>
      <c r="O9" s="23"/>
      <c r="P9" s="23"/>
      <c r="Q9" s="23"/>
      <c r="R9" s="23"/>
    </row>
    <row r="10" spans="1:20" x14ac:dyDescent="0.3">
      <c r="A10" s="1">
        <v>2</v>
      </c>
      <c r="B10" s="1">
        <v>0</v>
      </c>
      <c r="C10" s="1" t="s">
        <v>2</v>
      </c>
      <c r="D10" s="1" t="s">
        <v>0</v>
      </c>
      <c r="E10" s="1">
        <v>20</v>
      </c>
      <c r="F10" s="1" t="s">
        <v>1</v>
      </c>
      <c r="G10" s="1" t="s">
        <v>0</v>
      </c>
      <c r="H10" s="1">
        <v>30</v>
      </c>
      <c r="I10" s="1">
        <v>1</v>
      </c>
      <c r="K10" s="19" t="s">
        <v>10</v>
      </c>
      <c r="L10" s="19"/>
      <c r="M10" s="20">
        <f>AVERAGE($E$1:$E$100,)</f>
        <v>27.900990099009903</v>
      </c>
      <c r="N10" s="20"/>
      <c r="O10" s="20" cm="1">
        <f t="array" ref="O10">AVERAGE(_xlfn._xlws.FILTER($E$1:$E$100,$I$1:$I$100 = 0))</f>
        <v>40</v>
      </c>
      <c r="P10" s="20"/>
      <c r="Q10" s="21" cm="1">
        <f t="array" ref="Q10">AVERAGE(_xlfn._xlws.FILTER($E$1:$E$100,$I$1:$I$100 = 1))</f>
        <v>14.304347826086957</v>
      </c>
      <c r="R10" s="10"/>
    </row>
    <row r="11" spans="1:20" x14ac:dyDescent="0.3">
      <c r="A11" s="1">
        <v>2</v>
      </c>
      <c r="B11" s="1">
        <v>0</v>
      </c>
      <c r="C11" s="1" t="s">
        <v>2</v>
      </c>
      <c r="D11" s="1" t="s">
        <v>0</v>
      </c>
      <c r="E11" s="1">
        <v>31</v>
      </c>
      <c r="F11" s="1" t="s">
        <v>1</v>
      </c>
      <c r="G11" s="1" t="s">
        <v>0</v>
      </c>
      <c r="H11" s="1">
        <v>31</v>
      </c>
      <c r="I11" s="1">
        <v>0</v>
      </c>
      <c r="K11" s="19"/>
      <c r="L11" s="19"/>
      <c r="M11" s="20"/>
      <c r="N11" s="20"/>
      <c r="O11" s="20"/>
      <c r="P11" s="20"/>
      <c r="Q11" s="20"/>
      <c r="R11" s="12"/>
    </row>
    <row r="12" spans="1:20" x14ac:dyDescent="0.3">
      <c r="A12" s="1">
        <v>2</v>
      </c>
      <c r="B12" s="1">
        <v>0</v>
      </c>
      <c r="C12" s="1" t="s">
        <v>2</v>
      </c>
      <c r="D12" s="1" t="s">
        <v>0</v>
      </c>
      <c r="E12" s="1">
        <v>26</v>
      </c>
      <c r="F12" s="1" t="s">
        <v>1</v>
      </c>
      <c r="G12" s="1" t="s">
        <v>0</v>
      </c>
      <c r="H12" s="1">
        <v>22</v>
      </c>
      <c r="I12" s="1">
        <v>0</v>
      </c>
      <c r="K12" s="19" t="s">
        <v>11</v>
      </c>
      <c r="L12" s="19"/>
      <c r="M12" s="20">
        <f>AVERAGE($H$1:$H$100,)</f>
        <v>23.504950495049506</v>
      </c>
      <c r="N12" s="20"/>
      <c r="O12" s="20" cm="1">
        <f t="array" ref="O12">AVERAGE(_xlfn._xlws.FILTER($H$1:$H$100,$I$1:$I$100 = 0))</f>
        <v>13.592592592592593</v>
      </c>
      <c r="P12" s="20"/>
      <c r="Q12" s="20" cm="1">
        <f t="array" ref="Q12">AVERAGE(_xlfn._xlws.FILTER($H$1:$H$100,$I$1:$I$100 = 1))</f>
        <v>35.652173913043477</v>
      </c>
      <c r="R12" s="12"/>
    </row>
    <row r="13" spans="1:20" x14ac:dyDescent="0.3">
      <c r="A13" s="1">
        <v>2</v>
      </c>
      <c r="B13" s="1">
        <v>0</v>
      </c>
      <c r="C13" s="1" t="s">
        <v>2</v>
      </c>
      <c r="D13" s="1" t="s">
        <v>0</v>
      </c>
      <c r="E13" s="1">
        <v>22</v>
      </c>
      <c r="F13" s="1" t="s">
        <v>1</v>
      </c>
      <c r="G13" s="1" t="s">
        <v>0</v>
      </c>
      <c r="H13" s="1">
        <v>27</v>
      </c>
      <c r="I13" s="1">
        <v>1</v>
      </c>
      <c r="K13" s="19"/>
      <c r="L13" s="19"/>
      <c r="M13" s="20"/>
      <c r="N13" s="20"/>
      <c r="O13" s="20"/>
      <c r="P13" s="20"/>
      <c r="Q13" s="20"/>
      <c r="R13" s="12"/>
    </row>
    <row r="14" spans="1:20" x14ac:dyDescent="0.3">
      <c r="A14" s="1">
        <v>2</v>
      </c>
      <c r="B14" s="1">
        <v>0</v>
      </c>
      <c r="C14" s="1" t="s">
        <v>2</v>
      </c>
      <c r="D14" s="1" t="s">
        <v>0</v>
      </c>
      <c r="E14" s="1">
        <v>7</v>
      </c>
      <c r="F14" s="1" t="s">
        <v>1</v>
      </c>
      <c r="G14" s="1" t="s">
        <v>0</v>
      </c>
      <c r="H14" s="1">
        <v>54</v>
      </c>
      <c r="I14" s="1">
        <v>1</v>
      </c>
      <c r="K14" s="9" t="s">
        <v>12</v>
      </c>
      <c r="L14" s="10"/>
      <c r="M14" s="15" cm="1">
        <f t="array" ref="M14">AVERAGE($E$1:$E$100 - $H$1:$H$100)</f>
        <v>4.4400000000000004</v>
      </c>
      <c r="N14" s="15"/>
      <c r="O14" s="15" cm="1">
        <f t="array" ref="O14">AVERAGE(_xlfn._xlws.FILTER($E$1:$E$100 - $H$1:$H$100, I$1:I$100 = 0))</f>
        <v>26.407407407407408</v>
      </c>
      <c r="P14" s="15"/>
      <c r="Q14" s="15" cm="1">
        <f t="array" ref="Q14">AVERAGE(_xlfn._xlws.FILTER($E$1:$E$100 - $H$1:$H$100, I$1:I$100 = 1))</f>
        <v>-21.347826086956523</v>
      </c>
      <c r="R14" s="17"/>
    </row>
    <row r="15" spans="1:20" x14ac:dyDescent="0.3">
      <c r="A15" s="1">
        <v>2</v>
      </c>
      <c r="B15" s="1">
        <v>0</v>
      </c>
      <c r="C15" s="1" t="s">
        <v>2</v>
      </c>
      <c r="D15" s="1" t="s">
        <v>0</v>
      </c>
      <c r="E15" s="1">
        <v>33</v>
      </c>
      <c r="F15" s="1" t="s">
        <v>1</v>
      </c>
      <c r="G15" s="1" t="s">
        <v>0</v>
      </c>
      <c r="H15" s="1">
        <v>25</v>
      </c>
      <c r="I15" s="1">
        <v>0</v>
      </c>
      <c r="K15" s="11"/>
      <c r="L15" s="12"/>
      <c r="M15" s="15"/>
      <c r="N15" s="15"/>
      <c r="O15" s="15"/>
      <c r="P15" s="15"/>
      <c r="Q15" s="15"/>
      <c r="R15" s="17"/>
    </row>
    <row r="16" spans="1:20" x14ac:dyDescent="0.3">
      <c r="A16" s="1">
        <v>2</v>
      </c>
      <c r="B16" s="1">
        <v>0</v>
      </c>
      <c r="C16" s="1" t="s">
        <v>2</v>
      </c>
      <c r="D16" s="1" t="s">
        <v>0</v>
      </c>
      <c r="E16" s="1">
        <v>8</v>
      </c>
      <c r="F16" s="1" t="s">
        <v>1</v>
      </c>
      <c r="G16" s="1" t="s">
        <v>0</v>
      </c>
      <c r="H16" s="1">
        <v>16</v>
      </c>
      <c r="I16" s="1">
        <v>1</v>
      </c>
      <c r="K16" s="13"/>
      <c r="L16" s="14"/>
      <c r="M16" s="16"/>
      <c r="N16" s="16"/>
      <c r="O16" s="16"/>
      <c r="P16" s="16"/>
      <c r="Q16" s="16"/>
      <c r="R16" s="18"/>
    </row>
    <row r="17" spans="1:9" x14ac:dyDescent="0.3">
      <c r="A17" s="1">
        <v>2</v>
      </c>
      <c r="B17" s="1">
        <v>0</v>
      </c>
      <c r="C17" s="1" t="s">
        <v>2</v>
      </c>
      <c r="D17" s="1" t="s">
        <v>0</v>
      </c>
      <c r="E17" s="1">
        <v>39</v>
      </c>
      <c r="F17" s="1" t="s">
        <v>1</v>
      </c>
      <c r="G17" s="1" t="s">
        <v>0</v>
      </c>
      <c r="H17" s="1">
        <v>32</v>
      </c>
      <c r="I17" s="1">
        <v>0</v>
      </c>
    </row>
    <row r="18" spans="1:9" x14ac:dyDescent="0.3">
      <c r="A18" s="1">
        <v>2</v>
      </c>
      <c r="B18" s="1">
        <v>0</v>
      </c>
      <c r="C18" s="1" t="s">
        <v>2</v>
      </c>
      <c r="D18" s="1" t="s">
        <v>0</v>
      </c>
      <c r="E18" s="1">
        <v>2</v>
      </c>
      <c r="F18" s="1" t="s">
        <v>1</v>
      </c>
      <c r="G18" s="1" t="s">
        <v>0</v>
      </c>
      <c r="H18" s="1">
        <v>43</v>
      </c>
      <c r="I18" s="1">
        <v>1</v>
      </c>
    </row>
    <row r="19" spans="1:9" x14ac:dyDescent="0.3">
      <c r="A19" s="1">
        <v>2</v>
      </c>
      <c r="B19" s="1">
        <v>0</v>
      </c>
      <c r="C19" s="1" t="s">
        <v>2</v>
      </c>
      <c r="D19" s="1" t="s">
        <v>0</v>
      </c>
      <c r="E19" s="1">
        <v>44</v>
      </c>
      <c r="F19" s="1" t="s">
        <v>1</v>
      </c>
      <c r="G19" s="1" t="s">
        <v>0</v>
      </c>
      <c r="H19" s="1">
        <v>25</v>
      </c>
      <c r="I19" s="1">
        <v>0</v>
      </c>
    </row>
    <row r="20" spans="1:9" x14ac:dyDescent="0.3">
      <c r="A20" s="1">
        <v>2</v>
      </c>
      <c r="B20" s="1">
        <v>0</v>
      </c>
      <c r="C20" s="1" t="s">
        <v>2</v>
      </c>
      <c r="D20" s="1" t="s">
        <v>0</v>
      </c>
      <c r="E20" s="1">
        <v>2</v>
      </c>
      <c r="F20" s="1" t="s">
        <v>1</v>
      </c>
      <c r="G20" s="1" t="s">
        <v>0</v>
      </c>
      <c r="H20" s="1">
        <v>14</v>
      </c>
      <c r="I20" s="1">
        <v>1</v>
      </c>
    </row>
    <row r="21" spans="1:9" x14ac:dyDescent="0.3">
      <c r="A21" s="1">
        <v>2</v>
      </c>
      <c r="B21" s="1">
        <v>0</v>
      </c>
      <c r="C21" s="1" t="s">
        <v>2</v>
      </c>
      <c r="D21" s="1" t="s">
        <v>0</v>
      </c>
      <c r="E21" s="1">
        <v>27</v>
      </c>
      <c r="F21" s="1" t="s">
        <v>1</v>
      </c>
      <c r="G21" s="1" t="s">
        <v>0</v>
      </c>
      <c r="H21" s="1">
        <v>5</v>
      </c>
      <c r="I21" s="1">
        <v>0</v>
      </c>
    </row>
    <row r="22" spans="1:9" x14ac:dyDescent="0.3">
      <c r="A22" s="1">
        <v>2</v>
      </c>
      <c r="B22" s="1">
        <v>0</v>
      </c>
      <c r="C22" s="1" t="s">
        <v>2</v>
      </c>
      <c r="D22" s="1" t="s">
        <v>0</v>
      </c>
      <c r="E22" s="1">
        <v>6</v>
      </c>
      <c r="F22" s="1" t="s">
        <v>1</v>
      </c>
      <c r="G22" s="1" t="s">
        <v>0</v>
      </c>
      <c r="H22" s="1">
        <v>19</v>
      </c>
      <c r="I22" s="1">
        <v>1</v>
      </c>
    </row>
    <row r="23" spans="1:9" x14ac:dyDescent="0.3">
      <c r="A23" s="1">
        <v>2</v>
      </c>
      <c r="B23" s="1">
        <v>0</v>
      </c>
      <c r="C23" s="1" t="s">
        <v>2</v>
      </c>
      <c r="D23" s="1" t="s">
        <v>0</v>
      </c>
      <c r="E23" s="1">
        <v>40</v>
      </c>
      <c r="F23" s="1" t="s">
        <v>1</v>
      </c>
      <c r="G23" s="1" t="s">
        <v>0</v>
      </c>
      <c r="H23" s="1">
        <v>0</v>
      </c>
      <c r="I23" s="1">
        <v>0</v>
      </c>
    </row>
    <row r="24" spans="1:9" x14ac:dyDescent="0.3">
      <c r="A24" s="1">
        <v>2</v>
      </c>
      <c r="B24" s="1">
        <v>0</v>
      </c>
      <c r="C24" s="1" t="s">
        <v>2</v>
      </c>
      <c r="D24" s="1" t="s">
        <v>0</v>
      </c>
      <c r="E24" s="1">
        <v>28</v>
      </c>
      <c r="F24" s="1" t="s">
        <v>1</v>
      </c>
      <c r="G24" s="1" t="s">
        <v>0</v>
      </c>
      <c r="H24" s="1">
        <v>42</v>
      </c>
      <c r="I24" s="1">
        <v>1</v>
      </c>
    </row>
    <row r="25" spans="1:9" x14ac:dyDescent="0.3">
      <c r="A25" s="1">
        <v>2</v>
      </c>
      <c r="B25" s="1">
        <v>0</v>
      </c>
      <c r="C25" s="1" t="s">
        <v>2</v>
      </c>
      <c r="D25" s="1" t="s">
        <v>0</v>
      </c>
      <c r="E25" s="1">
        <v>37</v>
      </c>
      <c r="F25" s="1" t="s">
        <v>1</v>
      </c>
      <c r="G25" s="1" t="s">
        <v>0</v>
      </c>
      <c r="H25" s="1">
        <v>5</v>
      </c>
      <c r="I25" s="1">
        <v>0</v>
      </c>
    </row>
    <row r="26" spans="1:9" x14ac:dyDescent="0.3">
      <c r="A26" s="1">
        <v>2</v>
      </c>
      <c r="B26" s="1">
        <v>0</v>
      </c>
      <c r="C26" s="1" t="s">
        <v>2</v>
      </c>
      <c r="D26" s="1" t="s">
        <v>0</v>
      </c>
      <c r="E26" s="1">
        <v>42</v>
      </c>
      <c r="F26" s="1" t="s">
        <v>1</v>
      </c>
      <c r="G26" s="1" t="s">
        <v>0</v>
      </c>
      <c r="H26" s="1">
        <v>2</v>
      </c>
      <c r="I26" s="1">
        <v>0</v>
      </c>
    </row>
    <row r="27" spans="1:9" x14ac:dyDescent="0.3">
      <c r="A27" s="1">
        <v>2</v>
      </c>
      <c r="B27" s="1">
        <v>0</v>
      </c>
      <c r="C27" s="1" t="s">
        <v>2</v>
      </c>
      <c r="D27" s="1" t="s">
        <v>0</v>
      </c>
      <c r="E27" s="1">
        <v>30</v>
      </c>
      <c r="F27" s="1" t="s">
        <v>1</v>
      </c>
      <c r="G27" s="1" t="s">
        <v>0</v>
      </c>
      <c r="H27" s="1">
        <v>11</v>
      </c>
      <c r="I27" s="1">
        <v>0</v>
      </c>
    </row>
    <row r="28" spans="1:9" x14ac:dyDescent="0.3">
      <c r="A28" s="1">
        <v>2</v>
      </c>
      <c r="B28" s="1">
        <v>0</v>
      </c>
      <c r="C28" s="1" t="s">
        <v>2</v>
      </c>
      <c r="D28" s="1" t="s">
        <v>0</v>
      </c>
      <c r="E28" s="1">
        <v>35</v>
      </c>
      <c r="F28" s="1" t="s">
        <v>1</v>
      </c>
      <c r="G28" s="1" t="s">
        <v>0</v>
      </c>
      <c r="H28" s="1">
        <v>20</v>
      </c>
      <c r="I28" s="1">
        <v>0</v>
      </c>
    </row>
    <row r="29" spans="1:9" x14ac:dyDescent="0.3">
      <c r="A29" s="1">
        <v>2</v>
      </c>
      <c r="B29" s="1">
        <v>0</v>
      </c>
      <c r="C29" s="1" t="s">
        <v>2</v>
      </c>
      <c r="D29" s="1" t="s">
        <v>0</v>
      </c>
      <c r="E29" s="1">
        <v>9</v>
      </c>
      <c r="F29" s="1" t="s">
        <v>1</v>
      </c>
      <c r="G29" s="1" t="s">
        <v>0</v>
      </c>
      <c r="H29" s="1">
        <v>34</v>
      </c>
      <c r="I29" s="1">
        <v>1</v>
      </c>
    </row>
    <row r="30" spans="1:9" x14ac:dyDescent="0.3">
      <c r="A30" s="1">
        <v>2</v>
      </c>
      <c r="B30" s="1">
        <v>0</v>
      </c>
      <c r="C30" s="1" t="s">
        <v>2</v>
      </c>
      <c r="D30" s="1" t="s">
        <v>0</v>
      </c>
      <c r="E30" s="1">
        <v>12</v>
      </c>
      <c r="F30" s="1" t="s">
        <v>1</v>
      </c>
      <c r="G30" s="1" t="s">
        <v>0</v>
      </c>
      <c r="H30" s="1">
        <v>15</v>
      </c>
      <c r="I30" s="1">
        <v>1</v>
      </c>
    </row>
    <row r="31" spans="1:9" x14ac:dyDescent="0.3">
      <c r="A31" s="1">
        <v>2</v>
      </c>
      <c r="B31" s="1">
        <v>0</v>
      </c>
      <c r="C31" s="1" t="s">
        <v>2</v>
      </c>
      <c r="D31" s="1" t="s">
        <v>0</v>
      </c>
      <c r="E31" s="1">
        <v>10</v>
      </c>
      <c r="F31" s="1" t="s">
        <v>1</v>
      </c>
      <c r="G31" s="1" t="s">
        <v>0</v>
      </c>
      <c r="H31" s="1">
        <v>43</v>
      </c>
      <c r="I31" s="1">
        <v>1</v>
      </c>
    </row>
    <row r="32" spans="1:9" x14ac:dyDescent="0.3">
      <c r="A32" s="1">
        <v>2</v>
      </c>
      <c r="B32" s="1">
        <v>0</v>
      </c>
      <c r="C32" s="1" t="s">
        <v>2</v>
      </c>
      <c r="D32" s="1" t="s">
        <v>0</v>
      </c>
      <c r="E32" s="1">
        <v>34</v>
      </c>
      <c r="F32" s="1" t="s">
        <v>1</v>
      </c>
      <c r="G32" s="1" t="s">
        <v>0</v>
      </c>
      <c r="H32" s="1">
        <v>19</v>
      </c>
      <c r="I32" s="1">
        <v>0</v>
      </c>
    </row>
    <row r="33" spans="1:9" x14ac:dyDescent="0.3">
      <c r="A33" s="1">
        <v>2</v>
      </c>
      <c r="B33" s="1">
        <v>0</v>
      </c>
      <c r="C33" s="1" t="s">
        <v>2</v>
      </c>
      <c r="D33" s="1" t="s">
        <v>0</v>
      </c>
      <c r="E33" s="1">
        <v>30</v>
      </c>
      <c r="F33" s="1" t="s">
        <v>1</v>
      </c>
      <c r="G33" s="1" t="s">
        <v>0</v>
      </c>
      <c r="H33" s="1">
        <v>7</v>
      </c>
      <c r="I33" s="1">
        <v>0</v>
      </c>
    </row>
    <row r="34" spans="1:9" x14ac:dyDescent="0.3">
      <c r="A34" s="1">
        <v>2</v>
      </c>
      <c r="B34" s="1">
        <v>0</v>
      </c>
      <c r="C34" s="1" t="s">
        <v>2</v>
      </c>
      <c r="D34" s="1" t="s">
        <v>0</v>
      </c>
      <c r="E34" s="1">
        <v>28</v>
      </c>
      <c r="F34" s="1" t="s">
        <v>1</v>
      </c>
      <c r="G34" s="1" t="s">
        <v>0</v>
      </c>
      <c r="H34" s="1">
        <v>9</v>
      </c>
      <c r="I34" s="1">
        <v>0</v>
      </c>
    </row>
    <row r="35" spans="1:9" x14ac:dyDescent="0.3">
      <c r="A35" s="1">
        <v>2</v>
      </c>
      <c r="B35" s="1">
        <v>0</v>
      </c>
      <c r="C35" s="1" t="s">
        <v>2</v>
      </c>
      <c r="D35" s="1" t="s">
        <v>0</v>
      </c>
      <c r="E35" s="1">
        <v>31</v>
      </c>
      <c r="F35" s="1" t="s">
        <v>1</v>
      </c>
      <c r="G35" s="1" t="s">
        <v>0</v>
      </c>
      <c r="H35" s="1">
        <v>23</v>
      </c>
      <c r="I35" s="1">
        <v>0</v>
      </c>
    </row>
    <row r="36" spans="1:9" x14ac:dyDescent="0.3">
      <c r="A36" s="1">
        <v>2</v>
      </c>
      <c r="B36" s="1">
        <v>0</v>
      </c>
      <c r="C36" s="1" t="s">
        <v>2</v>
      </c>
      <c r="D36" s="1" t="s">
        <v>0</v>
      </c>
      <c r="E36" s="1">
        <v>70</v>
      </c>
      <c r="F36" s="1" t="s">
        <v>1</v>
      </c>
      <c r="G36" s="1" t="s">
        <v>0</v>
      </c>
      <c r="H36" s="1">
        <v>2</v>
      </c>
      <c r="I36" s="1">
        <v>0</v>
      </c>
    </row>
    <row r="37" spans="1:9" x14ac:dyDescent="0.3">
      <c r="A37" s="1">
        <v>2</v>
      </c>
      <c r="B37" s="1">
        <v>0</v>
      </c>
      <c r="C37" s="1" t="s">
        <v>2</v>
      </c>
      <c r="D37" s="1" t="s">
        <v>0</v>
      </c>
      <c r="E37" s="1">
        <v>23</v>
      </c>
      <c r="F37" s="1" t="s">
        <v>1</v>
      </c>
      <c r="G37" s="1" t="s">
        <v>0</v>
      </c>
      <c r="H37" s="1">
        <v>48</v>
      </c>
      <c r="I37" s="1">
        <v>1</v>
      </c>
    </row>
    <row r="38" spans="1:9" x14ac:dyDescent="0.3">
      <c r="A38" s="1">
        <v>2</v>
      </c>
      <c r="B38" s="1">
        <v>0</v>
      </c>
      <c r="C38" s="1" t="s">
        <v>2</v>
      </c>
      <c r="D38" s="1" t="s">
        <v>0</v>
      </c>
      <c r="E38" s="1">
        <v>32</v>
      </c>
      <c r="F38" s="1" t="s">
        <v>1</v>
      </c>
      <c r="G38" s="1" t="s">
        <v>0</v>
      </c>
      <c r="H38" s="1">
        <v>20</v>
      </c>
      <c r="I38" s="1">
        <v>0</v>
      </c>
    </row>
    <row r="39" spans="1:9" x14ac:dyDescent="0.3">
      <c r="A39" s="1">
        <v>2</v>
      </c>
      <c r="B39" s="1">
        <v>0</v>
      </c>
      <c r="C39" s="1" t="s">
        <v>2</v>
      </c>
      <c r="D39" s="1" t="s">
        <v>0</v>
      </c>
      <c r="E39" s="1">
        <v>43</v>
      </c>
      <c r="F39" s="1" t="s">
        <v>1</v>
      </c>
      <c r="G39" s="1" t="s">
        <v>0</v>
      </c>
      <c r="H39" s="1">
        <v>2</v>
      </c>
      <c r="I39" s="1">
        <v>0</v>
      </c>
    </row>
    <row r="40" spans="1:9" x14ac:dyDescent="0.3">
      <c r="A40" s="1">
        <v>2</v>
      </c>
      <c r="B40" s="1">
        <v>0</v>
      </c>
      <c r="C40" s="1" t="s">
        <v>2</v>
      </c>
      <c r="D40" s="1" t="s">
        <v>0</v>
      </c>
      <c r="E40" s="1">
        <v>40</v>
      </c>
      <c r="F40" s="1" t="s">
        <v>1</v>
      </c>
      <c r="G40" s="1" t="s">
        <v>0</v>
      </c>
      <c r="H40" s="1">
        <v>13</v>
      </c>
      <c r="I40" s="1">
        <v>0</v>
      </c>
    </row>
    <row r="41" spans="1:9" x14ac:dyDescent="0.3">
      <c r="A41" s="1">
        <v>2</v>
      </c>
      <c r="B41" s="1">
        <v>0</v>
      </c>
      <c r="C41" s="1" t="s">
        <v>2</v>
      </c>
      <c r="D41" s="1" t="s">
        <v>0</v>
      </c>
      <c r="E41" s="1">
        <v>6</v>
      </c>
      <c r="F41" s="1" t="s">
        <v>1</v>
      </c>
      <c r="G41" s="1" t="s">
        <v>0</v>
      </c>
      <c r="H41" s="1">
        <v>46</v>
      </c>
      <c r="I41" s="1">
        <v>1</v>
      </c>
    </row>
    <row r="42" spans="1:9" x14ac:dyDescent="0.3">
      <c r="A42" s="1">
        <v>2</v>
      </c>
      <c r="B42" s="1">
        <v>0</v>
      </c>
      <c r="C42" s="1" t="s">
        <v>2</v>
      </c>
      <c r="D42" s="1" t="s">
        <v>0</v>
      </c>
      <c r="E42" s="1">
        <v>27</v>
      </c>
      <c r="F42" s="1" t="s">
        <v>1</v>
      </c>
      <c r="G42" s="1" t="s">
        <v>0</v>
      </c>
      <c r="H42" s="1">
        <v>8</v>
      </c>
      <c r="I42" s="1">
        <v>0</v>
      </c>
    </row>
    <row r="43" spans="1:9" x14ac:dyDescent="0.3">
      <c r="A43" s="1">
        <v>2</v>
      </c>
      <c r="B43" s="1">
        <v>0</v>
      </c>
      <c r="C43" s="1" t="s">
        <v>2</v>
      </c>
      <c r="D43" s="1" t="s">
        <v>0</v>
      </c>
      <c r="E43" s="1">
        <v>35</v>
      </c>
      <c r="F43" s="1" t="s">
        <v>1</v>
      </c>
      <c r="G43" s="1" t="s">
        <v>0</v>
      </c>
      <c r="H43" s="1">
        <v>31</v>
      </c>
      <c r="I43" s="1">
        <v>0</v>
      </c>
    </row>
    <row r="44" spans="1:9" x14ac:dyDescent="0.3">
      <c r="A44" s="1">
        <v>2</v>
      </c>
      <c r="B44" s="1">
        <v>0</v>
      </c>
      <c r="C44" s="1" t="s">
        <v>2</v>
      </c>
      <c r="D44" s="1" t="s">
        <v>0</v>
      </c>
      <c r="E44" s="1">
        <v>4</v>
      </c>
      <c r="F44" s="1" t="s">
        <v>1</v>
      </c>
      <c r="G44" s="1" t="s">
        <v>0</v>
      </c>
      <c r="H44" s="1">
        <v>31</v>
      </c>
      <c r="I44" s="1">
        <v>1</v>
      </c>
    </row>
    <row r="45" spans="1:9" x14ac:dyDescent="0.3">
      <c r="A45" s="1">
        <v>2</v>
      </c>
      <c r="B45" s="1">
        <v>0</v>
      </c>
      <c r="C45" s="1" t="s">
        <v>2</v>
      </c>
      <c r="D45" s="1" t="s">
        <v>0</v>
      </c>
      <c r="E45" s="1">
        <v>45</v>
      </c>
      <c r="F45" s="1" t="s">
        <v>1</v>
      </c>
      <c r="G45" s="1" t="s">
        <v>0</v>
      </c>
      <c r="H45" s="1">
        <v>4</v>
      </c>
      <c r="I45" s="1">
        <v>0</v>
      </c>
    </row>
    <row r="46" spans="1:9" x14ac:dyDescent="0.3">
      <c r="A46" s="1">
        <v>2</v>
      </c>
      <c r="B46" s="1">
        <v>0</v>
      </c>
      <c r="C46" s="1" t="s">
        <v>2</v>
      </c>
      <c r="D46" s="1" t="s">
        <v>0</v>
      </c>
      <c r="E46" s="1">
        <v>23</v>
      </c>
      <c r="F46" s="1" t="s">
        <v>1</v>
      </c>
      <c r="G46" s="1" t="s">
        <v>0</v>
      </c>
      <c r="H46" s="1">
        <v>14</v>
      </c>
      <c r="I46" s="1">
        <v>0</v>
      </c>
    </row>
    <row r="47" spans="1:9" x14ac:dyDescent="0.3">
      <c r="A47" s="1">
        <v>2</v>
      </c>
      <c r="B47" s="1">
        <v>0</v>
      </c>
      <c r="C47" s="1" t="s">
        <v>2</v>
      </c>
      <c r="D47" s="1" t="s">
        <v>0</v>
      </c>
      <c r="E47" s="1">
        <v>7</v>
      </c>
      <c r="F47" s="1" t="s">
        <v>1</v>
      </c>
      <c r="G47" s="1" t="s">
        <v>0</v>
      </c>
      <c r="H47" s="1">
        <v>10</v>
      </c>
      <c r="I47" s="1">
        <v>1</v>
      </c>
    </row>
    <row r="48" spans="1:9" x14ac:dyDescent="0.3">
      <c r="A48" s="1">
        <v>2</v>
      </c>
      <c r="B48" s="1">
        <v>0</v>
      </c>
      <c r="C48" s="1" t="s">
        <v>2</v>
      </c>
      <c r="D48" s="1" t="s">
        <v>0</v>
      </c>
      <c r="E48" s="1">
        <v>36</v>
      </c>
      <c r="F48" s="1" t="s">
        <v>1</v>
      </c>
      <c r="G48" s="1" t="s">
        <v>0</v>
      </c>
      <c r="H48" s="1">
        <v>37</v>
      </c>
      <c r="I48" s="1">
        <v>1</v>
      </c>
    </row>
    <row r="49" spans="1:9" x14ac:dyDescent="0.3">
      <c r="A49" s="1">
        <v>2</v>
      </c>
      <c r="B49" s="1">
        <v>0</v>
      </c>
      <c r="C49" s="1" t="s">
        <v>2</v>
      </c>
      <c r="D49" s="1" t="s">
        <v>0</v>
      </c>
      <c r="E49" s="1">
        <v>53</v>
      </c>
      <c r="F49" s="1" t="s">
        <v>1</v>
      </c>
      <c r="G49" s="1" t="s">
        <v>0</v>
      </c>
      <c r="H49" s="1">
        <v>26</v>
      </c>
      <c r="I49" s="1">
        <v>0</v>
      </c>
    </row>
    <row r="50" spans="1:9" x14ac:dyDescent="0.3">
      <c r="A50" s="1">
        <v>2</v>
      </c>
      <c r="B50" s="1">
        <v>0</v>
      </c>
      <c r="C50" s="1" t="s">
        <v>2</v>
      </c>
      <c r="D50" s="1" t="s">
        <v>0</v>
      </c>
      <c r="E50" s="1">
        <v>31</v>
      </c>
      <c r="F50" s="1" t="s">
        <v>1</v>
      </c>
      <c r="G50" s="1" t="s">
        <v>0</v>
      </c>
      <c r="H50" s="1">
        <v>32</v>
      </c>
      <c r="I50" s="1">
        <v>1</v>
      </c>
    </row>
    <row r="51" spans="1:9" x14ac:dyDescent="0.3">
      <c r="A51" s="1">
        <v>2</v>
      </c>
      <c r="B51" s="1">
        <v>1</v>
      </c>
      <c r="C51" s="1" t="s">
        <v>2</v>
      </c>
      <c r="D51" s="1" t="s">
        <v>0</v>
      </c>
      <c r="E51" s="1">
        <v>57</v>
      </c>
      <c r="F51" s="1" t="s">
        <v>1</v>
      </c>
      <c r="G51" s="1" t="s">
        <v>0</v>
      </c>
      <c r="H51" s="1">
        <v>30</v>
      </c>
      <c r="I51" s="1">
        <v>0</v>
      </c>
    </row>
    <row r="52" spans="1:9" x14ac:dyDescent="0.3">
      <c r="A52" s="1">
        <v>2</v>
      </c>
      <c r="B52" s="1">
        <v>1</v>
      </c>
      <c r="C52" s="1" t="s">
        <v>2</v>
      </c>
      <c r="D52" s="1" t="s">
        <v>0</v>
      </c>
      <c r="E52" s="1">
        <v>8</v>
      </c>
      <c r="F52" s="1" t="s">
        <v>1</v>
      </c>
      <c r="G52" s="1" t="s">
        <v>0</v>
      </c>
      <c r="H52" s="1">
        <v>57</v>
      </c>
      <c r="I52" s="1">
        <v>1</v>
      </c>
    </row>
    <row r="53" spans="1:9" x14ac:dyDescent="0.3">
      <c r="A53" s="1">
        <v>2</v>
      </c>
      <c r="B53" s="1">
        <v>1</v>
      </c>
      <c r="C53" s="1" t="s">
        <v>2</v>
      </c>
      <c r="D53" s="1" t="s">
        <v>0</v>
      </c>
      <c r="E53" s="1">
        <v>78</v>
      </c>
      <c r="F53" s="1" t="s">
        <v>1</v>
      </c>
      <c r="G53" s="1" t="s">
        <v>0</v>
      </c>
      <c r="H53" s="1">
        <v>0</v>
      </c>
      <c r="I53" s="1">
        <v>0</v>
      </c>
    </row>
    <row r="54" spans="1:9" x14ac:dyDescent="0.3">
      <c r="A54" s="1">
        <v>2</v>
      </c>
      <c r="B54" s="1">
        <v>1</v>
      </c>
      <c r="C54" s="1" t="s">
        <v>2</v>
      </c>
      <c r="D54" s="1" t="s">
        <v>0</v>
      </c>
      <c r="E54" s="1">
        <v>47</v>
      </c>
      <c r="F54" s="1" t="s">
        <v>1</v>
      </c>
      <c r="G54" s="1" t="s">
        <v>0</v>
      </c>
      <c r="H54" s="1">
        <v>11</v>
      </c>
      <c r="I54" s="1">
        <v>0</v>
      </c>
    </row>
    <row r="55" spans="1:9" x14ac:dyDescent="0.3">
      <c r="A55" s="1">
        <v>2</v>
      </c>
      <c r="B55" s="1">
        <v>1</v>
      </c>
      <c r="C55" s="1" t="s">
        <v>2</v>
      </c>
      <c r="D55" s="1" t="s">
        <v>0</v>
      </c>
      <c r="E55" s="1">
        <v>5</v>
      </c>
      <c r="F55" s="1" t="s">
        <v>1</v>
      </c>
      <c r="G55" s="1" t="s">
        <v>0</v>
      </c>
      <c r="H55" s="1">
        <v>13</v>
      </c>
      <c r="I55" s="1">
        <v>1</v>
      </c>
    </row>
    <row r="56" spans="1:9" x14ac:dyDescent="0.3">
      <c r="A56" s="1">
        <v>2</v>
      </c>
      <c r="B56" s="1">
        <v>1</v>
      </c>
      <c r="C56" s="1" t="s">
        <v>2</v>
      </c>
      <c r="D56" s="1" t="s">
        <v>0</v>
      </c>
      <c r="E56" s="1">
        <v>17</v>
      </c>
      <c r="F56" s="1" t="s">
        <v>1</v>
      </c>
      <c r="G56" s="1" t="s">
        <v>0</v>
      </c>
      <c r="H56" s="1">
        <v>23</v>
      </c>
      <c r="I56" s="1">
        <v>1</v>
      </c>
    </row>
    <row r="57" spans="1:9" x14ac:dyDescent="0.3">
      <c r="A57" s="1">
        <v>2</v>
      </c>
      <c r="B57" s="1">
        <v>1</v>
      </c>
      <c r="C57" s="1" t="s">
        <v>2</v>
      </c>
      <c r="D57" s="1" t="s">
        <v>0</v>
      </c>
      <c r="E57" s="1">
        <v>26</v>
      </c>
      <c r="F57" s="1" t="s">
        <v>1</v>
      </c>
      <c r="G57" s="1" t="s">
        <v>0</v>
      </c>
      <c r="H57" s="1">
        <v>2</v>
      </c>
      <c r="I57" s="1">
        <v>0</v>
      </c>
    </row>
    <row r="58" spans="1:9" x14ac:dyDescent="0.3">
      <c r="A58" s="1">
        <v>2</v>
      </c>
      <c r="B58" s="1">
        <v>1</v>
      </c>
      <c r="C58" s="1" t="s">
        <v>2</v>
      </c>
      <c r="D58" s="1" t="s">
        <v>0</v>
      </c>
      <c r="E58" s="1">
        <v>31</v>
      </c>
      <c r="F58" s="1" t="s">
        <v>1</v>
      </c>
      <c r="G58" s="1" t="s">
        <v>0</v>
      </c>
      <c r="H58" s="1">
        <v>52</v>
      </c>
      <c r="I58" s="1">
        <v>1</v>
      </c>
    </row>
    <row r="59" spans="1:9" x14ac:dyDescent="0.3">
      <c r="A59" s="1">
        <v>2</v>
      </c>
      <c r="B59" s="1">
        <v>1</v>
      </c>
      <c r="C59" s="1" t="s">
        <v>2</v>
      </c>
      <c r="D59" s="1" t="s">
        <v>0</v>
      </c>
      <c r="E59" s="1">
        <v>53</v>
      </c>
      <c r="F59" s="1" t="s">
        <v>1</v>
      </c>
      <c r="G59" s="1" t="s">
        <v>0</v>
      </c>
      <c r="H59" s="1">
        <v>2</v>
      </c>
      <c r="I59" s="1">
        <v>0</v>
      </c>
    </row>
    <row r="60" spans="1:9" x14ac:dyDescent="0.3">
      <c r="A60" s="1">
        <v>2</v>
      </c>
      <c r="B60" s="1">
        <v>1</v>
      </c>
      <c r="C60" s="1" t="s">
        <v>2</v>
      </c>
      <c r="D60" s="1" t="s">
        <v>0</v>
      </c>
      <c r="E60" s="1">
        <v>7</v>
      </c>
      <c r="F60" s="1" t="s">
        <v>1</v>
      </c>
      <c r="G60" s="1" t="s">
        <v>0</v>
      </c>
      <c r="H60" s="1">
        <v>35</v>
      </c>
      <c r="I60" s="1">
        <v>1</v>
      </c>
    </row>
    <row r="61" spans="1:9" x14ac:dyDescent="0.3">
      <c r="A61" s="1">
        <v>2</v>
      </c>
      <c r="B61" s="1">
        <v>1</v>
      </c>
      <c r="C61" s="1" t="s">
        <v>2</v>
      </c>
      <c r="D61" s="1" t="s">
        <v>0</v>
      </c>
      <c r="E61" s="1">
        <v>3</v>
      </c>
      <c r="F61" s="1" t="s">
        <v>1</v>
      </c>
      <c r="G61" s="1" t="s">
        <v>0</v>
      </c>
      <c r="H61" s="1">
        <v>28</v>
      </c>
      <c r="I61" s="1">
        <v>1</v>
      </c>
    </row>
    <row r="62" spans="1:9" x14ac:dyDescent="0.3">
      <c r="A62" s="1">
        <v>2</v>
      </c>
      <c r="B62" s="1">
        <v>1</v>
      </c>
      <c r="C62" s="1" t="s">
        <v>2</v>
      </c>
      <c r="D62" s="1" t="s">
        <v>0</v>
      </c>
      <c r="E62" s="1">
        <v>8</v>
      </c>
      <c r="F62" s="1" t="s">
        <v>1</v>
      </c>
      <c r="G62" s="1" t="s">
        <v>0</v>
      </c>
      <c r="H62" s="1">
        <v>33</v>
      </c>
      <c r="I62" s="1">
        <v>1</v>
      </c>
    </row>
    <row r="63" spans="1:9" x14ac:dyDescent="0.3">
      <c r="A63" s="1">
        <v>2</v>
      </c>
      <c r="B63" s="1">
        <v>1</v>
      </c>
      <c r="C63" s="1" t="s">
        <v>2</v>
      </c>
      <c r="D63" s="1" t="s">
        <v>0</v>
      </c>
      <c r="E63" s="1">
        <v>8</v>
      </c>
      <c r="F63" s="1" t="s">
        <v>1</v>
      </c>
      <c r="G63" s="1" t="s">
        <v>0</v>
      </c>
      <c r="H63" s="1">
        <v>52</v>
      </c>
      <c r="I63" s="1">
        <v>1</v>
      </c>
    </row>
    <row r="64" spans="1:9" x14ac:dyDescent="0.3">
      <c r="A64" s="1">
        <v>2</v>
      </c>
      <c r="B64" s="1">
        <v>1</v>
      </c>
      <c r="C64" s="1" t="s">
        <v>2</v>
      </c>
      <c r="D64" s="1" t="s">
        <v>0</v>
      </c>
      <c r="E64" s="1">
        <v>48</v>
      </c>
      <c r="F64" s="1" t="s">
        <v>1</v>
      </c>
      <c r="G64" s="1" t="s">
        <v>0</v>
      </c>
      <c r="H64" s="1">
        <v>22</v>
      </c>
      <c r="I64" s="1">
        <v>0</v>
      </c>
    </row>
    <row r="65" spans="1:9" x14ac:dyDescent="0.3">
      <c r="A65" s="1">
        <v>2</v>
      </c>
      <c r="B65" s="1">
        <v>1</v>
      </c>
      <c r="C65" s="1" t="s">
        <v>2</v>
      </c>
      <c r="D65" s="1" t="s">
        <v>0</v>
      </c>
      <c r="E65" s="1">
        <v>53</v>
      </c>
      <c r="F65" s="1" t="s">
        <v>1</v>
      </c>
      <c r="G65" s="1" t="s">
        <v>0</v>
      </c>
      <c r="H65" s="1">
        <v>5</v>
      </c>
      <c r="I65" s="1">
        <v>0</v>
      </c>
    </row>
    <row r="66" spans="1:9" x14ac:dyDescent="0.3">
      <c r="A66" s="1">
        <v>2</v>
      </c>
      <c r="B66" s="1">
        <v>1</v>
      </c>
      <c r="C66" s="1" t="s">
        <v>2</v>
      </c>
      <c r="D66" s="1" t="s">
        <v>0</v>
      </c>
      <c r="E66" s="1">
        <v>32</v>
      </c>
      <c r="F66" s="1" t="s">
        <v>1</v>
      </c>
      <c r="G66" s="1" t="s">
        <v>0</v>
      </c>
      <c r="H66" s="1">
        <v>19</v>
      </c>
      <c r="I66" s="1">
        <v>0</v>
      </c>
    </row>
    <row r="67" spans="1:9" x14ac:dyDescent="0.3">
      <c r="A67" s="1">
        <v>2</v>
      </c>
      <c r="B67" s="1">
        <v>1</v>
      </c>
      <c r="C67" s="1" t="s">
        <v>2</v>
      </c>
      <c r="D67" s="1" t="s">
        <v>0</v>
      </c>
      <c r="E67" s="1">
        <v>22</v>
      </c>
      <c r="F67" s="1" t="s">
        <v>1</v>
      </c>
      <c r="G67" s="1" t="s">
        <v>0</v>
      </c>
      <c r="H67" s="1">
        <v>4</v>
      </c>
      <c r="I67" s="1">
        <v>0</v>
      </c>
    </row>
    <row r="68" spans="1:9" x14ac:dyDescent="0.3">
      <c r="A68" s="1">
        <v>2</v>
      </c>
      <c r="B68" s="1">
        <v>1</v>
      </c>
      <c r="C68" s="1" t="s">
        <v>2</v>
      </c>
      <c r="D68" s="1" t="s">
        <v>0</v>
      </c>
      <c r="E68" s="1">
        <v>10</v>
      </c>
      <c r="F68" s="1" t="s">
        <v>1</v>
      </c>
      <c r="G68" s="1" t="s">
        <v>0</v>
      </c>
      <c r="H68" s="1">
        <v>15</v>
      </c>
      <c r="I68" s="1">
        <v>1</v>
      </c>
    </row>
    <row r="69" spans="1:9" x14ac:dyDescent="0.3">
      <c r="A69" s="1">
        <v>2</v>
      </c>
      <c r="B69" s="1">
        <v>1</v>
      </c>
      <c r="C69" s="1" t="s">
        <v>2</v>
      </c>
      <c r="D69" s="1" t="s">
        <v>0</v>
      </c>
      <c r="E69" s="1">
        <v>14</v>
      </c>
      <c r="F69" s="1" t="s">
        <v>1</v>
      </c>
      <c r="G69" s="1" t="s">
        <v>0</v>
      </c>
      <c r="H69" s="1">
        <v>35</v>
      </c>
      <c r="I69" s="1">
        <v>1</v>
      </c>
    </row>
    <row r="70" spans="1:9" x14ac:dyDescent="0.3">
      <c r="A70" s="1">
        <v>2</v>
      </c>
      <c r="B70" s="1">
        <v>1</v>
      </c>
      <c r="C70" s="1" t="s">
        <v>2</v>
      </c>
      <c r="D70" s="1" t="s">
        <v>0</v>
      </c>
      <c r="E70" s="1">
        <v>50</v>
      </c>
      <c r="F70" s="1" t="s">
        <v>1</v>
      </c>
      <c r="G70" s="1" t="s">
        <v>0</v>
      </c>
      <c r="H70" s="1">
        <v>6</v>
      </c>
      <c r="I70" s="1">
        <v>0</v>
      </c>
    </row>
    <row r="71" spans="1:9" x14ac:dyDescent="0.3">
      <c r="A71" s="1">
        <v>2</v>
      </c>
      <c r="B71" s="1">
        <v>1</v>
      </c>
      <c r="C71" s="1" t="s">
        <v>2</v>
      </c>
      <c r="D71" s="1" t="s">
        <v>0</v>
      </c>
      <c r="E71" s="1">
        <v>33</v>
      </c>
      <c r="F71" s="1" t="s">
        <v>1</v>
      </c>
      <c r="G71" s="1" t="s">
        <v>0</v>
      </c>
      <c r="H71" s="1">
        <v>17</v>
      </c>
      <c r="I71" s="1">
        <v>0</v>
      </c>
    </row>
    <row r="72" spans="1:9" x14ac:dyDescent="0.3">
      <c r="A72" s="1">
        <v>2</v>
      </c>
      <c r="B72" s="1">
        <v>1</v>
      </c>
      <c r="C72" s="1" t="s">
        <v>2</v>
      </c>
      <c r="D72" s="1" t="s">
        <v>0</v>
      </c>
      <c r="E72" s="1">
        <v>44</v>
      </c>
      <c r="F72" s="1" t="s">
        <v>1</v>
      </c>
      <c r="G72" s="1" t="s">
        <v>0</v>
      </c>
      <c r="H72" s="1">
        <v>28</v>
      </c>
      <c r="I72" s="1">
        <v>0</v>
      </c>
    </row>
    <row r="73" spans="1:9" x14ac:dyDescent="0.3">
      <c r="A73" s="1">
        <v>2</v>
      </c>
      <c r="B73" s="1">
        <v>1</v>
      </c>
      <c r="C73" s="1" t="s">
        <v>2</v>
      </c>
      <c r="D73" s="1" t="s">
        <v>0</v>
      </c>
      <c r="E73" s="1">
        <v>12</v>
      </c>
      <c r="F73" s="1" t="s">
        <v>1</v>
      </c>
      <c r="G73" s="1" t="s">
        <v>0</v>
      </c>
      <c r="H73" s="1">
        <v>29</v>
      </c>
      <c r="I73" s="1">
        <v>1</v>
      </c>
    </row>
    <row r="74" spans="1:9" x14ac:dyDescent="0.3">
      <c r="A74" s="1">
        <v>2</v>
      </c>
      <c r="B74" s="1">
        <v>1</v>
      </c>
      <c r="C74" s="1" t="s">
        <v>2</v>
      </c>
      <c r="D74" s="1" t="s">
        <v>0</v>
      </c>
      <c r="E74" s="1">
        <v>32</v>
      </c>
      <c r="F74" s="1" t="s">
        <v>1</v>
      </c>
      <c r="G74" s="1" t="s">
        <v>0</v>
      </c>
      <c r="H74" s="1">
        <v>34</v>
      </c>
      <c r="I74" s="1">
        <v>1</v>
      </c>
    </row>
    <row r="75" spans="1:9" x14ac:dyDescent="0.3">
      <c r="A75" s="1">
        <v>2</v>
      </c>
      <c r="B75" s="1">
        <v>1</v>
      </c>
      <c r="C75" s="1" t="s">
        <v>2</v>
      </c>
      <c r="D75" s="1" t="s">
        <v>0</v>
      </c>
      <c r="E75" s="1">
        <v>22</v>
      </c>
      <c r="F75" s="1" t="s">
        <v>1</v>
      </c>
      <c r="G75" s="1" t="s">
        <v>0</v>
      </c>
      <c r="H75" s="1">
        <v>10</v>
      </c>
      <c r="I75" s="1">
        <v>0</v>
      </c>
    </row>
    <row r="76" spans="1:9" x14ac:dyDescent="0.3">
      <c r="A76" s="1">
        <v>2</v>
      </c>
      <c r="B76" s="1">
        <v>1</v>
      </c>
      <c r="C76" s="1" t="s">
        <v>2</v>
      </c>
      <c r="D76" s="1" t="s">
        <v>0</v>
      </c>
      <c r="E76" s="1">
        <v>26</v>
      </c>
      <c r="F76" s="1" t="s">
        <v>1</v>
      </c>
      <c r="G76" s="1" t="s">
        <v>0</v>
      </c>
      <c r="H76" s="1">
        <v>18</v>
      </c>
      <c r="I76" s="1">
        <v>0</v>
      </c>
    </row>
    <row r="77" spans="1:9" x14ac:dyDescent="0.3">
      <c r="A77" s="1">
        <v>2</v>
      </c>
      <c r="B77" s="1">
        <v>1</v>
      </c>
      <c r="C77" s="1" t="s">
        <v>2</v>
      </c>
      <c r="D77" s="1" t="s">
        <v>0</v>
      </c>
      <c r="E77" s="1">
        <v>49</v>
      </c>
      <c r="F77" s="1" t="s">
        <v>1</v>
      </c>
      <c r="G77" s="1" t="s">
        <v>0</v>
      </c>
      <c r="H77" s="1">
        <v>23</v>
      </c>
      <c r="I77" s="1">
        <v>0</v>
      </c>
    </row>
    <row r="78" spans="1:9" x14ac:dyDescent="0.3">
      <c r="A78" s="1">
        <v>2</v>
      </c>
      <c r="B78" s="1">
        <v>1</v>
      </c>
      <c r="C78" s="1" t="s">
        <v>2</v>
      </c>
      <c r="D78" s="1" t="s">
        <v>0</v>
      </c>
      <c r="E78" s="1">
        <v>29</v>
      </c>
      <c r="F78" s="1" t="s">
        <v>1</v>
      </c>
      <c r="G78" s="1" t="s">
        <v>0</v>
      </c>
      <c r="H78" s="1">
        <v>39</v>
      </c>
      <c r="I78" s="1">
        <v>1</v>
      </c>
    </row>
    <row r="79" spans="1:9" x14ac:dyDescent="0.3">
      <c r="A79" s="1">
        <v>2</v>
      </c>
      <c r="B79" s="1">
        <v>1</v>
      </c>
      <c r="C79" s="1" t="s">
        <v>2</v>
      </c>
      <c r="D79" s="1" t="s">
        <v>0</v>
      </c>
      <c r="E79" s="1">
        <v>47</v>
      </c>
      <c r="F79" s="1" t="s">
        <v>1</v>
      </c>
      <c r="G79" s="1" t="s">
        <v>0</v>
      </c>
      <c r="H79" s="1">
        <v>5</v>
      </c>
      <c r="I79" s="1">
        <v>0</v>
      </c>
    </row>
    <row r="80" spans="1:9" x14ac:dyDescent="0.3">
      <c r="A80" s="1">
        <v>2</v>
      </c>
      <c r="B80" s="1">
        <v>1</v>
      </c>
      <c r="C80" s="1" t="s">
        <v>2</v>
      </c>
      <c r="D80" s="1" t="s">
        <v>0</v>
      </c>
      <c r="E80" s="1">
        <v>12</v>
      </c>
      <c r="F80" s="1" t="s">
        <v>1</v>
      </c>
      <c r="G80" s="1" t="s">
        <v>0</v>
      </c>
      <c r="H80" s="1">
        <v>34</v>
      </c>
      <c r="I80" s="1">
        <v>1</v>
      </c>
    </row>
    <row r="81" spans="1:9" x14ac:dyDescent="0.3">
      <c r="A81" s="1">
        <v>2</v>
      </c>
      <c r="B81" s="1">
        <v>1</v>
      </c>
      <c r="C81" s="1" t="s">
        <v>2</v>
      </c>
      <c r="D81" s="1" t="s">
        <v>0</v>
      </c>
      <c r="E81" s="1">
        <v>31</v>
      </c>
      <c r="F81" s="1" t="s">
        <v>1</v>
      </c>
      <c r="G81" s="1" t="s">
        <v>0</v>
      </c>
      <c r="H81" s="1">
        <v>0</v>
      </c>
      <c r="I81" s="1">
        <v>0</v>
      </c>
    </row>
    <row r="82" spans="1:9" x14ac:dyDescent="0.3">
      <c r="A82" s="1">
        <v>2</v>
      </c>
      <c r="B82" s="1">
        <v>1</v>
      </c>
      <c r="C82" s="1" t="s">
        <v>2</v>
      </c>
      <c r="D82" s="1" t="s">
        <v>0</v>
      </c>
      <c r="E82" s="1">
        <v>38</v>
      </c>
      <c r="F82" s="1" t="s">
        <v>1</v>
      </c>
      <c r="G82" s="1" t="s">
        <v>0</v>
      </c>
      <c r="H82" s="1">
        <v>28</v>
      </c>
      <c r="I82" s="1">
        <v>0</v>
      </c>
    </row>
    <row r="83" spans="1:9" x14ac:dyDescent="0.3">
      <c r="A83" s="1">
        <v>2</v>
      </c>
      <c r="B83" s="1">
        <v>1</v>
      </c>
      <c r="C83" s="1" t="s">
        <v>2</v>
      </c>
      <c r="D83" s="1" t="s">
        <v>0</v>
      </c>
      <c r="E83" s="1">
        <v>25</v>
      </c>
      <c r="F83" s="1" t="s">
        <v>1</v>
      </c>
      <c r="G83" s="1" t="s">
        <v>0</v>
      </c>
      <c r="H83" s="1">
        <v>32</v>
      </c>
      <c r="I83" s="1">
        <v>1</v>
      </c>
    </row>
    <row r="84" spans="1:9" x14ac:dyDescent="0.3">
      <c r="A84" s="1">
        <v>2</v>
      </c>
      <c r="B84" s="1">
        <v>1</v>
      </c>
      <c r="C84" s="1" t="s">
        <v>2</v>
      </c>
      <c r="D84" s="1" t="s">
        <v>0</v>
      </c>
      <c r="E84" s="1">
        <v>50</v>
      </c>
      <c r="F84" s="1" t="s">
        <v>1</v>
      </c>
      <c r="G84" s="1" t="s">
        <v>0</v>
      </c>
      <c r="H84" s="1">
        <v>26</v>
      </c>
      <c r="I84" s="1">
        <v>0</v>
      </c>
    </row>
    <row r="85" spans="1:9" x14ac:dyDescent="0.3">
      <c r="A85" s="1">
        <v>2</v>
      </c>
      <c r="B85" s="1">
        <v>1</v>
      </c>
      <c r="C85" s="1" t="s">
        <v>2</v>
      </c>
      <c r="D85" s="1" t="s">
        <v>0</v>
      </c>
      <c r="E85" s="1">
        <v>2</v>
      </c>
      <c r="F85" s="1" t="s">
        <v>1</v>
      </c>
      <c r="G85" s="1" t="s">
        <v>0</v>
      </c>
      <c r="H85" s="1">
        <v>34</v>
      </c>
      <c r="I85" s="1">
        <v>1</v>
      </c>
    </row>
    <row r="86" spans="1:9" x14ac:dyDescent="0.3">
      <c r="A86" s="1">
        <v>2</v>
      </c>
      <c r="B86" s="1">
        <v>1</v>
      </c>
      <c r="C86" s="1" t="s">
        <v>2</v>
      </c>
      <c r="D86" s="1" t="s">
        <v>0</v>
      </c>
      <c r="E86" s="1">
        <v>34</v>
      </c>
      <c r="F86" s="1" t="s">
        <v>1</v>
      </c>
      <c r="G86" s="1" t="s">
        <v>0</v>
      </c>
      <c r="H86" s="1">
        <v>28</v>
      </c>
      <c r="I86" s="1">
        <v>0</v>
      </c>
    </row>
    <row r="87" spans="1:9" x14ac:dyDescent="0.3">
      <c r="A87" s="1">
        <v>2</v>
      </c>
      <c r="B87" s="1">
        <v>1</v>
      </c>
      <c r="C87" s="1" t="s">
        <v>2</v>
      </c>
      <c r="D87" s="1" t="s">
        <v>0</v>
      </c>
      <c r="E87" s="1">
        <v>31</v>
      </c>
      <c r="F87" s="1" t="s">
        <v>1</v>
      </c>
      <c r="G87" s="1" t="s">
        <v>0</v>
      </c>
      <c r="H87" s="1">
        <v>60</v>
      </c>
      <c r="I87" s="1">
        <v>1</v>
      </c>
    </row>
    <row r="88" spans="1:9" x14ac:dyDescent="0.3">
      <c r="A88" s="1">
        <v>2</v>
      </c>
      <c r="B88" s="1">
        <v>1</v>
      </c>
      <c r="C88" s="1" t="s">
        <v>2</v>
      </c>
      <c r="D88" s="1" t="s">
        <v>0</v>
      </c>
      <c r="E88" s="1">
        <v>53</v>
      </c>
      <c r="F88" s="1" t="s">
        <v>1</v>
      </c>
      <c r="G88" s="1" t="s">
        <v>0</v>
      </c>
      <c r="H88" s="1">
        <v>2</v>
      </c>
      <c r="I88" s="1">
        <v>0</v>
      </c>
    </row>
    <row r="89" spans="1:9" x14ac:dyDescent="0.3">
      <c r="A89" s="1">
        <v>2</v>
      </c>
      <c r="B89" s="1">
        <v>1</v>
      </c>
      <c r="C89" s="1" t="s">
        <v>2</v>
      </c>
      <c r="D89" s="1" t="s">
        <v>0</v>
      </c>
      <c r="E89" s="1">
        <v>34</v>
      </c>
      <c r="F89" s="1" t="s">
        <v>1</v>
      </c>
      <c r="G89" s="1" t="s">
        <v>0</v>
      </c>
      <c r="H89" s="1">
        <v>38</v>
      </c>
      <c r="I89" s="1">
        <v>1</v>
      </c>
    </row>
    <row r="90" spans="1:9" x14ac:dyDescent="0.3">
      <c r="A90" s="1">
        <v>2</v>
      </c>
      <c r="B90" s="1">
        <v>1</v>
      </c>
      <c r="C90" s="1" t="s">
        <v>2</v>
      </c>
      <c r="D90" s="1" t="s">
        <v>0</v>
      </c>
      <c r="E90" s="1">
        <v>46</v>
      </c>
      <c r="F90" s="1" t="s">
        <v>1</v>
      </c>
      <c r="G90" s="1" t="s">
        <v>0</v>
      </c>
      <c r="H90" s="1">
        <v>14</v>
      </c>
      <c r="I90" s="1">
        <v>0</v>
      </c>
    </row>
    <row r="91" spans="1:9" x14ac:dyDescent="0.3">
      <c r="A91" s="1">
        <v>2</v>
      </c>
      <c r="B91" s="1">
        <v>1</v>
      </c>
      <c r="C91" s="1" t="s">
        <v>2</v>
      </c>
      <c r="D91" s="1" t="s">
        <v>0</v>
      </c>
      <c r="E91" s="1">
        <v>2</v>
      </c>
      <c r="F91" s="1" t="s">
        <v>1</v>
      </c>
      <c r="G91" s="1" t="s">
        <v>0</v>
      </c>
      <c r="H91" s="1">
        <v>58</v>
      </c>
      <c r="I91" s="1">
        <v>1</v>
      </c>
    </row>
    <row r="92" spans="1:9" x14ac:dyDescent="0.3">
      <c r="A92" s="1">
        <v>2</v>
      </c>
      <c r="B92" s="1">
        <v>1</v>
      </c>
      <c r="C92" s="1" t="s">
        <v>2</v>
      </c>
      <c r="D92" s="1" t="s">
        <v>0</v>
      </c>
      <c r="E92" s="1">
        <v>35</v>
      </c>
      <c r="F92" s="1" t="s">
        <v>1</v>
      </c>
      <c r="G92" s="1" t="s">
        <v>0</v>
      </c>
      <c r="H92" s="1">
        <v>9</v>
      </c>
      <c r="I92" s="1">
        <v>0</v>
      </c>
    </row>
    <row r="93" spans="1:9" x14ac:dyDescent="0.3">
      <c r="A93" s="1">
        <v>2</v>
      </c>
      <c r="B93" s="1">
        <v>1</v>
      </c>
      <c r="C93" s="1" t="s">
        <v>2</v>
      </c>
      <c r="D93" s="1" t="s">
        <v>0</v>
      </c>
      <c r="E93" s="1">
        <v>18</v>
      </c>
      <c r="F93" s="1" t="s">
        <v>1</v>
      </c>
      <c r="G93" s="1" t="s">
        <v>0</v>
      </c>
      <c r="H93" s="1">
        <v>50</v>
      </c>
      <c r="I93" s="1">
        <v>1</v>
      </c>
    </row>
    <row r="94" spans="1:9" x14ac:dyDescent="0.3">
      <c r="A94" s="1">
        <v>2</v>
      </c>
      <c r="B94" s="1">
        <v>1</v>
      </c>
      <c r="C94" s="1" t="s">
        <v>2</v>
      </c>
      <c r="D94" s="1" t="s">
        <v>0</v>
      </c>
      <c r="E94" s="1">
        <v>31</v>
      </c>
      <c r="F94" s="1" t="s">
        <v>1</v>
      </c>
      <c r="G94" s="1" t="s">
        <v>0</v>
      </c>
      <c r="H94" s="1">
        <v>3</v>
      </c>
      <c r="I94" s="1">
        <v>0</v>
      </c>
    </row>
    <row r="95" spans="1:9" x14ac:dyDescent="0.3">
      <c r="A95" s="1">
        <v>2</v>
      </c>
      <c r="B95" s="1">
        <v>1</v>
      </c>
      <c r="C95" s="1" t="s">
        <v>2</v>
      </c>
      <c r="D95" s="1" t="s">
        <v>0</v>
      </c>
      <c r="E95" s="1">
        <v>18</v>
      </c>
      <c r="F95" s="1" t="s">
        <v>1</v>
      </c>
      <c r="G95" s="1" t="s">
        <v>0</v>
      </c>
      <c r="H95" s="1">
        <v>8</v>
      </c>
      <c r="I95" s="1">
        <v>0</v>
      </c>
    </row>
    <row r="96" spans="1:9" x14ac:dyDescent="0.3">
      <c r="A96" s="1">
        <v>2</v>
      </c>
      <c r="B96" s="1">
        <v>1</v>
      </c>
      <c r="C96" s="1" t="s">
        <v>2</v>
      </c>
      <c r="D96" s="1" t="s">
        <v>0</v>
      </c>
      <c r="E96" s="1">
        <v>6</v>
      </c>
      <c r="F96" s="1" t="s">
        <v>1</v>
      </c>
      <c r="G96" s="1" t="s">
        <v>0</v>
      </c>
      <c r="H96" s="1">
        <v>50</v>
      </c>
      <c r="I96" s="1">
        <v>1</v>
      </c>
    </row>
    <row r="97" spans="1:9" x14ac:dyDescent="0.3">
      <c r="A97" s="1">
        <v>2</v>
      </c>
      <c r="B97" s="1">
        <v>1</v>
      </c>
      <c r="C97" s="1" t="s">
        <v>2</v>
      </c>
      <c r="D97" s="1" t="s">
        <v>0</v>
      </c>
      <c r="E97" s="1">
        <v>25</v>
      </c>
      <c r="F97" s="1" t="s">
        <v>1</v>
      </c>
      <c r="G97" s="1" t="s">
        <v>0</v>
      </c>
      <c r="H97" s="1">
        <v>36</v>
      </c>
      <c r="I97" s="1">
        <v>1</v>
      </c>
    </row>
    <row r="98" spans="1:9" x14ac:dyDescent="0.3">
      <c r="A98" s="1">
        <v>2</v>
      </c>
      <c r="B98" s="1">
        <v>1</v>
      </c>
      <c r="C98" s="1" t="s">
        <v>2</v>
      </c>
      <c r="D98" s="1" t="s">
        <v>0</v>
      </c>
      <c r="E98" s="1">
        <v>4</v>
      </c>
      <c r="F98" s="1" t="s">
        <v>1</v>
      </c>
      <c r="G98" s="1" t="s">
        <v>0</v>
      </c>
      <c r="H98" s="1">
        <v>41</v>
      </c>
      <c r="I98" s="1">
        <v>1</v>
      </c>
    </row>
    <row r="99" spans="1:9" x14ac:dyDescent="0.3">
      <c r="A99" s="1">
        <v>2</v>
      </c>
      <c r="B99" s="1">
        <v>1</v>
      </c>
      <c r="C99" s="1" t="s">
        <v>2</v>
      </c>
      <c r="D99" s="1" t="s">
        <v>0</v>
      </c>
      <c r="E99" s="1">
        <v>51</v>
      </c>
      <c r="F99" s="1" t="s">
        <v>1</v>
      </c>
      <c r="G99" s="1" t="s">
        <v>0</v>
      </c>
      <c r="H99" s="1">
        <v>0</v>
      </c>
      <c r="I99" s="1">
        <v>0</v>
      </c>
    </row>
    <row r="100" spans="1:9" x14ac:dyDescent="0.3">
      <c r="A100" s="1">
        <v>2</v>
      </c>
      <c r="B100" s="1">
        <v>1</v>
      </c>
      <c r="C100" s="1" t="s">
        <v>2</v>
      </c>
      <c r="D100" s="1" t="s">
        <v>0</v>
      </c>
      <c r="E100" s="1">
        <v>11</v>
      </c>
      <c r="F100" s="1" t="s">
        <v>1</v>
      </c>
      <c r="G100" s="1" t="s">
        <v>0</v>
      </c>
      <c r="H100" s="1">
        <v>50</v>
      </c>
      <c r="I100" s="1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80A4-65F5-48A7-A22C-A553A7ADD766}">
  <dimension ref="A1:T100"/>
  <sheetViews>
    <sheetView topLeftCell="K1" workbookViewId="0">
      <selection activeCell="T2" sqref="T2:T3"/>
    </sheetView>
  </sheetViews>
  <sheetFormatPr defaultRowHeight="14.4" x14ac:dyDescent="0.3"/>
  <cols>
    <col min="1" max="16384" width="8.88671875" style="1"/>
  </cols>
  <sheetData>
    <row r="1" spans="1:20" x14ac:dyDescent="0.3">
      <c r="A1" s="1">
        <v>2</v>
      </c>
      <c r="B1" s="1">
        <v>0</v>
      </c>
      <c r="C1" s="1" t="s">
        <v>2</v>
      </c>
      <c r="D1" s="1" t="s">
        <v>0</v>
      </c>
      <c r="E1" s="1">
        <v>17</v>
      </c>
      <c r="F1" s="1" t="s">
        <v>1</v>
      </c>
      <c r="G1" s="1" t="s">
        <v>0</v>
      </c>
      <c r="H1" s="1">
        <v>28</v>
      </c>
      <c r="I1" s="1">
        <v>1</v>
      </c>
      <c r="K1" s="2"/>
      <c r="L1" s="3"/>
      <c r="M1" s="24" t="s">
        <v>3</v>
      </c>
      <c r="N1" s="24"/>
      <c r="O1" s="19" t="s">
        <v>4</v>
      </c>
      <c r="P1" s="19"/>
      <c r="Q1" s="19" t="s">
        <v>5</v>
      </c>
      <c r="R1" s="19"/>
    </row>
    <row r="2" spans="1:20" x14ac:dyDescent="0.3">
      <c r="A2" s="1">
        <v>2</v>
      </c>
      <c r="B2" s="1">
        <v>0</v>
      </c>
      <c r="C2" s="1" t="s">
        <v>2</v>
      </c>
      <c r="D2" s="1" t="s">
        <v>0</v>
      </c>
      <c r="E2" s="1">
        <v>15</v>
      </c>
      <c r="F2" s="1" t="s">
        <v>1</v>
      </c>
      <c r="G2" s="1" t="s">
        <v>0</v>
      </c>
      <c r="H2" s="1">
        <v>20</v>
      </c>
      <c r="I2" s="1">
        <v>1</v>
      </c>
      <c r="K2" s="4"/>
      <c r="L2" s="5"/>
      <c r="M2" s="24"/>
      <c r="N2" s="24"/>
      <c r="O2" s="19"/>
      <c r="P2" s="19"/>
      <c r="Q2" s="19"/>
      <c r="R2" s="19"/>
      <c r="T2" t="s">
        <v>15</v>
      </c>
    </row>
    <row r="3" spans="1:20" x14ac:dyDescent="0.3">
      <c r="A3" s="1">
        <v>2</v>
      </c>
      <c r="B3" s="1">
        <v>0</v>
      </c>
      <c r="C3" s="1" t="s">
        <v>2</v>
      </c>
      <c r="D3" s="1" t="s">
        <v>0</v>
      </c>
      <c r="E3" s="1">
        <v>9</v>
      </c>
      <c r="F3" s="1" t="s">
        <v>1</v>
      </c>
      <c r="G3" s="1" t="s">
        <v>0</v>
      </c>
      <c r="H3" s="1">
        <v>32</v>
      </c>
      <c r="I3" s="1">
        <v>1</v>
      </c>
      <c r="K3" s="19" t="s">
        <v>6</v>
      </c>
      <c r="L3" s="19"/>
      <c r="M3" s="20">
        <f>COUNTIF($I$1:$I$100, 0)</f>
        <v>39</v>
      </c>
      <c r="N3" s="20"/>
      <c r="O3" s="20">
        <f>COUNTIFS($I$1:$I$100, 0, $B$1:$B$100, 0)</f>
        <v>20</v>
      </c>
      <c r="P3" s="20"/>
      <c r="Q3" s="21">
        <f>COUNTIFS($I$1:$I$100, 0, $B$1:$B$100, 1)</f>
        <v>19</v>
      </c>
      <c r="R3" s="10"/>
      <c r="T3" cm="1">
        <f t="array" ref="T3">SUMPRODUCT(--($E$1:$E$100=$H$1:$H$100))</f>
        <v>2</v>
      </c>
    </row>
    <row r="4" spans="1:20" x14ac:dyDescent="0.3">
      <c r="A4" s="1">
        <v>2</v>
      </c>
      <c r="B4" s="1">
        <v>0</v>
      </c>
      <c r="C4" s="1" t="s">
        <v>2</v>
      </c>
      <c r="D4" s="1" t="s">
        <v>0</v>
      </c>
      <c r="E4" s="1">
        <v>0</v>
      </c>
      <c r="F4" s="1" t="s">
        <v>1</v>
      </c>
      <c r="G4" s="1" t="s">
        <v>0</v>
      </c>
      <c r="H4" s="1">
        <v>16</v>
      </c>
      <c r="I4" s="1">
        <v>1</v>
      </c>
      <c r="K4" s="19"/>
      <c r="L4" s="19"/>
      <c r="M4" s="20"/>
      <c r="N4" s="20"/>
      <c r="O4" s="20"/>
      <c r="P4" s="20"/>
      <c r="Q4" s="20"/>
      <c r="R4" s="12"/>
    </row>
    <row r="5" spans="1:20" x14ac:dyDescent="0.3">
      <c r="A5" s="1">
        <v>2</v>
      </c>
      <c r="B5" s="1">
        <v>0</v>
      </c>
      <c r="C5" s="1" t="s">
        <v>2</v>
      </c>
      <c r="D5" s="1" t="s">
        <v>0</v>
      </c>
      <c r="E5" s="1">
        <v>0</v>
      </c>
      <c r="F5" s="1" t="s">
        <v>1</v>
      </c>
      <c r="G5" s="1" t="s">
        <v>0</v>
      </c>
      <c r="H5" s="1">
        <v>50</v>
      </c>
      <c r="I5" s="1">
        <v>1</v>
      </c>
      <c r="K5" s="19" t="s">
        <v>7</v>
      </c>
      <c r="L5" s="19"/>
      <c r="M5" s="11">
        <f>COUNTIF($I$1:$I$100, 1)</f>
        <v>61</v>
      </c>
      <c r="N5" s="20"/>
      <c r="O5" s="20">
        <f>COUNTIFS($I$1:$I$100, 1, $B$1:$B$100, 0)</f>
        <v>30</v>
      </c>
      <c r="P5" s="20"/>
      <c r="Q5" s="20">
        <f>COUNTIFS($I$1:$I$100, 1, $B$1:$B$100, 1)</f>
        <v>31</v>
      </c>
      <c r="R5" s="12"/>
    </row>
    <row r="6" spans="1:20" x14ac:dyDescent="0.3">
      <c r="A6" s="1">
        <v>2</v>
      </c>
      <c r="B6" s="1">
        <v>0</v>
      </c>
      <c r="C6" s="1" t="s">
        <v>2</v>
      </c>
      <c r="D6" s="1" t="s">
        <v>0</v>
      </c>
      <c r="E6" s="1">
        <v>29</v>
      </c>
      <c r="F6" s="1" t="s">
        <v>1</v>
      </c>
      <c r="G6" s="1" t="s">
        <v>0</v>
      </c>
      <c r="H6" s="1">
        <v>32</v>
      </c>
      <c r="I6" s="1">
        <v>1</v>
      </c>
      <c r="K6" s="19"/>
      <c r="L6" s="19"/>
      <c r="M6" s="13"/>
      <c r="N6" s="22"/>
      <c r="O6" s="22"/>
      <c r="P6" s="22"/>
      <c r="Q6" s="22"/>
      <c r="R6" s="14"/>
    </row>
    <row r="7" spans="1:20" x14ac:dyDescent="0.3">
      <c r="A7" s="1">
        <v>2</v>
      </c>
      <c r="B7" s="1">
        <v>0</v>
      </c>
      <c r="C7" s="1" t="s">
        <v>2</v>
      </c>
      <c r="D7" s="1" t="s">
        <v>0</v>
      </c>
      <c r="E7" s="1">
        <v>19</v>
      </c>
      <c r="F7" s="1" t="s">
        <v>1</v>
      </c>
      <c r="G7" s="1" t="s">
        <v>0</v>
      </c>
      <c r="H7" s="1">
        <v>54</v>
      </c>
      <c r="I7" s="1">
        <v>1</v>
      </c>
      <c r="K7" s="6"/>
      <c r="L7" s="6"/>
      <c r="M7" s="6"/>
      <c r="N7" s="6"/>
      <c r="O7" s="6"/>
      <c r="P7" s="6"/>
      <c r="Q7" s="6"/>
      <c r="R7" s="6"/>
    </row>
    <row r="8" spans="1:20" x14ac:dyDescent="0.3">
      <c r="A8" s="1">
        <v>2</v>
      </c>
      <c r="B8" s="1">
        <v>0</v>
      </c>
      <c r="C8" s="1" t="s">
        <v>2</v>
      </c>
      <c r="D8" s="1" t="s">
        <v>0</v>
      </c>
      <c r="E8" s="1">
        <v>36</v>
      </c>
      <c r="F8" s="1" t="s">
        <v>1</v>
      </c>
      <c r="G8" s="1" t="s">
        <v>0</v>
      </c>
      <c r="H8" s="1">
        <v>2</v>
      </c>
      <c r="I8" s="1">
        <v>0</v>
      </c>
      <c r="K8" s="7"/>
      <c r="L8" s="8"/>
      <c r="M8" s="23" t="s">
        <v>3</v>
      </c>
      <c r="N8" s="23"/>
      <c r="O8" s="23" t="s">
        <v>8</v>
      </c>
      <c r="P8" s="23"/>
      <c r="Q8" s="23" t="s">
        <v>9</v>
      </c>
      <c r="R8" s="23"/>
    </row>
    <row r="9" spans="1:20" x14ac:dyDescent="0.3">
      <c r="A9" s="1">
        <v>2</v>
      </c>
      <c r="B9" s="1">
        <v>0</v>
      </c>
      <c r="C9" s="1" t="s">
        <v>2</v>
      </c>
      <c r="D9" s="1" t="s">
        <v>0</v>
      </c>
      <c r="E9" s="1">
        <v>33</v>
      </c>
      <c r="F9" s="1" t="s">
        <v>1</v>
      </c>
      <c r="G9" s="1" t="s">
        <v>0</v>
      </c>
      <c r="H9" s="1">
        <v>29</v>
      </c>
      <c r="I9" s="1">
        <v>0</v>
      </c>
      <c r="K9" s="4"/>
      <c r="L9" s="5"/>
      <c r="M9" s="23"/>
      <c r="N9" s="23"/>
      <c r="O9" s="23"/>
      <c r="P9" s="23"/>
      <c r="Q9" s="23"/>
      <c r="R9" s="23"/>
    </row>
    <row r="10" spans="1:20" x14ac:dyDescent="0.3">
      <c r="A10" s="1">
        <v>2</v>
      </c>
      <c r="B10" s="1">
        <v>0</v>
      </c>
      <c r="C10" s="1" t="s">
        <v>2</v>
      </c>
      <c r="D10" s="1" t="s">
        <v>0</v>
      </c>
      <c r="E10" s="1">
        <v>30</v>
      </c>
      <c r="F10" s="1" t="s">
        <v>1</v>
      </c>
      <c r="G10" s="1" t="s">
        <v>0</v>
      </c>
      <c r="H10" s="1">
        <v>19</v>
      </c>
      <c r="I10" s="1">
        <v>0</v>
      </c>
      <c r="K10" s="19" t="s">
        <v>10</v>
      </c>
      <c r="L10" s="19"/>
      <c r="M10" s="20">
        <f>AVERAGE($E$1:$E$100,)</f>
        <v>23.386138613861387</v>
      </c>
      <c r="N10" s="20"/>
      <c r="O10" s="20" cm="1">
        <f t="array" ref="O10">AVERAGE(_xlfn._xlws.FILTER($E$1:$E$100,$I$1:$I$100 = 0))</f>
        <v>37.769230769230766</v>
      </c>
      <c r="P10" s="20"/>
      <c r="Q10" s="21" cm="1">
        <f t="array" ref="Q10">AVERAGE(_xlfn._xlws.FILTER($E$1:$E$100,$I$1:$I$100 = 1))</f>
        <v>14.573770491803279</v>
      </c>
      <c r="R10" s="10"/>
    </row>
    <row r="11" spans="1:20" x14ac:dyDescent="0.3">
      <c r="A11" s="1">
        <v>2</v>
      </c>
      <c r="B11" s="1">
        <v>0</v>
      </c>
      <c r="C11" s="1" t="s">
        <v>2</v>
      </c>
      <c r="D11" s="1" t="s">
        <v>0</v>
      </c>
      <c r="E11" s="1">
        <v>49</v>
      </c>
      <c r="F11" s="1" t="s">
        <v>1</v>
      </c>
      <c r="G11" s="1" t="s">
        <v>0</v>
      </c>
      <c r="H11" s="1">
        <v>44</v>
      </c>
      <c r="I11" s="1">
        <v>0</v>
      </c>
      <c r="K11" s="19"/>
      <c r="L11" s="19"/>
      <c r="M11" s="20"/>
      <c r="N11" s="20"/>
      <c r="O11" s="20"/>
      <c r="P11" s="20"/>
      <c r="Q11" s="20"/>
      <c r="R11" s="12"/>
    </row>
    <row r="12" spans="1:20" x14ac:dyDescent="0.3">
      <c r="A12" s="1">
        <v>2</v>
      </c>
      <c r="B12" s="1">
        <v>0</v>
      </c>
      <c r="C12" s="1" t="s">
        <v>2</v>
      </c>
      <c r="D12" s="1" t="s">
        <v>0</v>
      </c>
      <c r="E12" s="1">
        <v>2</v>
      </c>
      <c r="F12" s="1" t="s">
        <v>1</v>
      </c>
      <c r="G12" s="1" t="s">
        <v>0</v>
      </c>
      <c r="H12" s="1">
        <v>24</v>
      </c>
      <c r="I12" s="1">
        <v>1</v>
      </c>
      <c r="K12" s="19" t="s">
        <v>11</v>
      </c>
      <c r="L12" s="19"/>
      <c r="M12" s="20">
        <f>AVERAGE($H$1:$H$100,)</f>
        <v>25.792079207920793</v>
      </c>
      <c r="N12" s="20"/>
      <c r="O12" s="20" cm="1">
        <f t="array" ref="O12">AVERAGE(_xlfn._xlws.FILTER($H$1:$H$100,$I$1:$I$100 = 0))</f>
        <v>13.794871794871796</v>
      </c>
      <c r="P12" s="20"/>
      <c r="Q12" s="20" cm="1">
        <f t="array" ref="Q12">AVERAGE(_xlfn._xlws.FILTER($H$1:$H$100,$I$1:$I$100 = 1))</f>
        <v>33.885245901639344</v>
      </c>
      <c r="R12" s="12"/>
    </row>
    <row r="13" spans="1:20" x14ac:dyDescent="0.3">
      <c r="A13" s="1">
        <v>2</v>
      </c>
      <c r="B13" s="1">
        <v>0</v>
      </c>
      <c r="C13" s="1" t="s">
        <v>2</v>
      </c>
      <c r="D13" s="1" t="s">
        <v>0</v>
      </c>
      <c r="E13" s="1">
        <v>15</v>
      </c>
      <c r="F13" s="1" t="s">
        <v>1</v>
      </c>
      <c r="G13" s="1" t="s">
        <v>0</v>
      </c>
      <c r="H13" s="1">
        <v>40</v>
      </c>
      <c r="I13" s="1">
        <v>1</v>
      </c>
      <c r="K13" s="19"/>
      <c r="L13" s="19"/>
      <c r="M13" s="20"/>
      <c r="N13" s="20"/>
      <c r="O13" s="20"/>
      <c r="P13" s="20"/>
      <c r="Q13" s="20"/>
      <c r="R13" s="12"/>
    </row>
    <row r="14" spans="1:20" x14ac:dyDescent="0.3">
      <c r="A14" s="1">
        <v>2</v>
      </c>
      <c r="B14" s="1">
        <v>0</v>
      </c>
      <c r="C14" s="1" t="s">
        <v>2</v>
      </c>
      <c r="D14" s="1" t="s">
        <v>0</v>
      </c>
      <c r="E14" s="1">
        <v>32</v>
      </c>
      <c r="F14" s="1" t="s">
        <v>1</v>
      </c>
      <c r="G14" s="1" t="s">
        <v>0</v>
      </c>
      <c r="H14" s="1">
        <v>18</v>
      </c>
      <c r="I14" s="1">
        <v>0</v>
      </c>
      <c r="K14" s="9" t="s">
        <v>12</v>
      </c>
      <c r="L14" s="10"/>
      <c r="M14" s="15" cm="1">
        <f t="array" ref="M14">AVERAGE($E$1:$E$100 - $H$1:$H$100)</f>
        <v>-2.4300000000000002</v>
      </c>
      <c r="N14" s="15"/>
      <c r="O14" s="15" cm="1">
        <f t="array" ref="O14">AVERAGE(_xlfn._xlws.FILTER($E$1:$E$100 - $H$1:$H$100, I$1:I$100 = 0))</f>
        <v>23.974358974358974</v>
      </c>
      <c r="P14" s="15"/>
      <c r="Q14" s="15" cm="1">
        <f t="array" ref="Q14">AVERAGE(_xlfn._xlws.FILTER($E$1:$E$100 - $H$1:$H$100, I$1:I$100 = 1))</f>
        <v>-19.311475409836067</v>
      </c>
      <c r="R14" s="17"/>
    </row>
    <row r="15" spans="1:20" x14ac:dyDescent="0.3">
      <c r="A15" s="1">
        <v>2</v>
      </c>
      <c r="B15" s="1">
        <v>0</v>
      </c>
      <c r="C15" s="1" t="s">
        <v>2</v>
      </c>
      <c r="D15" s="1" t="s">
        <v>0</v>
      </c>
      <c r="E15" s="1">
        <v>20</v>
      </c>
      <c r="F15" s="1" t="s">
        <v>1</v>
      </c>
      <c r="G15" s="1" t="s">
        <v>0</v>
      </c>
      <c r="H15" s="1">
        <v>23</v>
      </c>
      <c r="I15" s="1">
        <v>1</v>
      </c>
      <c r="K15" s="11"/>
      <c r="L15" s="12"/>
      <c r="M15" s="15"/>
      <c r="N15" s="15"/>
      <c r="O15" s="15"/>
      <c r="P15" s="15"/>
      <c r="Q15" s="15"/>
      <c r="R15" s="17"/>
    </row>
    <row r="16" spans="1:20" x14ac:dyDescent="0.3">
      <c r="A16" s="1">
        <v>2</v>
      </c>
      <c r="B16" s="1">
        <v>0</v>
      </c>
      <c r="C16" s="1" t="s">
        <v>2</v>
      </c>
      <c r="D16" s="1" t="s">
        <v>0</v>
      </c>
      <c r="E16" s="1">
        <v>37</v>
      </c>
      <c r="F16" s="1" t="s">
        <v>1</v>
      </c>
      <c r="G16" s="1" t="s">
        <v>0</v>
      </c>
      <c r="H16" s="1">
        <v>18</v>
      </c>
      <c r="I16" s="1">
        <v>0</v>
      </c>
      <c r="K16" s="13"/>
      <c r="L16" s="14"/>
      <c r="M16" s="16"/>
      <c r="N16" s="16"/>
      <c r="O16" s="16"/>
      <c r="P16" s="16"/>
      <c r="Q16" s="16"/>
      <c r="R16" s="18"/>
    </row>
    <row r="17" spans="1:9" x14ac:dyDescent="0.3">
      <c r="A17" s="1">
        <v>2</v>
      </c>
      <c r="B17" s="1">
        <v>0</v>
      </c>
      <c r="C17" s="1" t="s">
        <v>2</v>
      </c>
      <c r="D17" s="1" t="s">
        <v>0</v>
      </c>
      <c r="E17" s="1">
        <v>3</v>
      </c>
      <c r="F17" s="1" t="s">
        <v>1</v>
      </c>
      <c r="G17" s="1" t="s">
        <v>0</v>
      </c>
      <c r="H17" s="1">
        <v>47</v>
      </c>
      <c r="I17" s="1">
        <v>1</v>
      </c>
    </row>
    <row r="18" spans="1:9" x14ac:dyDescent="0.3">
      <c r="A18" s="1">
        <v>2</v>
      </c>
      <c r="B18" s="1">
        <v>0</v>
      </c>
      <c r="C18" s="1" t="s">
        <v>2</v>
      </c>
      <c r="D18" s="1" t="s">
        <v>0</v>
      </c>
      <c r="E18" s="1">
        <v>6</v>
      </c>
      <c r="F18" s="1" t="s">
        <v>1</v>
      </c>
      <c r="G18" s="1" t="s">
        <v>0</v>
      </c>
      <c r="H18" s="1">
        <v>31</v>
      </c>
      <c r="I18" s="1">
        <v>1</v>
      </c>
    </row>
    <row r="19" spans="1:9" x14ac:dyDescent="0.3">
      <c r="A19" s="1">
        <v>2</v>
      </c>
      <c r="B19" s="1">
        <v>0</v>
      </c>
      <c r="C19" s="1" t="s">
        <v>2</v>
      </c>
      <c r="D19" s="1" t="s">
        <v>0</v>
      </c>
      <c r="E19" s="1">
        <v>29</v>
      </c>
      <c r="F19" s="1" t="s">
        <v>1</v>
      </c>
      <c r="G19" s="1" t="s">
        <v>0</v>
      </c>
      <c r="H19" s="1">
        <v>21</v>
      </c>
      <c r="I19" s="1">
        <v>0</v>
      </c>
    </row>
    <row r="20" spans="1:9" x14ac:dyDescent="0.3">
      <c r="A20" s="1">
        <v>2</v>
      </c>
      <c r="B20" s="1">
        <v>0</v>
      </c>
      <c r="C20" s="1" t="s">
        <v>2</v>
      </c>
      <c r="D20" s="1" t="s">
        <v>0</v>
      </c>
      <c r="E20" s="1">
        <v>73</v>
      </c>
      <c r="F20" s="1" t="s">
        <v>1</v>
      </c>
      <c r="G20" s="1" t="s">
        <v>0</v>
      </c>
      <c r="H20" s="1">
        <v>0</v>
      </c>
      <c r="I20" s="1">
        <v>0</v>
      </c>
    </row>
    <row r="21" spans="1:9" x14ac:dyDescent="0.3">
      <c r="A21" s="1">
        <v>2</v>
      </c>
      <c r="B21" s="1">
        <v>0</v>
      </c>
      <c r="C21" s="1" t="s">
        <v>2</v>
      </c>
      <c r="D21" s="1" t="s">
        <v>0</v>
      </c>
      <c r="E21" s="1">
        <v>37</v>
      </c>
      <c r="F21" s="1" t="s">
        <v>1</v>
      </c>
      <c r="G21" s="1" t="s">
        <v>0</v>
      </c>
      <c r="H21" s="1">
        <v>2</v>
      </c>
      <c r="I21" s="1">
        <v>0</v>
      </c>
    </row>
    <row r="22" spans="1:9" x14ac:dyDescent="0.3">
      <c r="A22" s="1">
        <v>2</v>
      </c>
      <c r="B22" s="1">
        <v>0</v>
      </c>
      <c r="C22" s="1" t="s">
        <v>2</v>
      </c>
      <c r="D22" s="1" t="s">
        <v>0</v>
      </c>
      <c r="E22" s="1">
        <v>34</v>
      </c>
      <c r="F22" s="1" t="s">
        <v>1</v>
      </c>
      <c r="G22" s="1" t="s">
        <v>0</v>
      </c>
      <c r="H22" s="1">
        <v>41</v>
      </c>
      <c r="I22" s="1">
        <v>1</v>
      </c>
    </row>
    <row r="23" spans="1:9" x14ac:dyDescent="0.3">
      <c r="A23" s="1">
        <v>2</v>
      </c>
      <c r="B23" s="1">
        <v>0</v>
      </c>
      <c r="C23" s="1" t="s">
        <v>2</v>
      </c>
      <c r="D23" s="1" t="s">
        <v>0</v>
      </c>
      <c r="E23" s="1">
        <v>2</v>
      </c>
      <c r="F23" s="1" t="s">
        <v>1</v>
      </c>
      <c r="G23" s="1" t="s">
        <v>0</v>
      </c>
      <c r="H23" s="1">
        <v>36</v>
      </c>
      <c r="I23" s="1">
        <v>1</v>
      </c>
    </row>
    <row r="24" spans="1:9" x14ac:dyDescent="0.3">
      <c r="A24" s="1">
        <v>2</v>
      </c>
      <c r="B24" s="1">
        <v>0</v>
      </c>
      <c r="C24" s="1" t="s">
        <v>2</v>
      </c>
      <c r="D24" s="1" t="s">
        <v>0</v>
      </c>
      <c r="E24" s="1">
        <v>23</v>
      </c>
      <c r="F24" s="1" t="s">
        <v>1</v>
      </c>
      <c r="G24" s="1" t="s">
        <v>0</v>
      </c>
      <c r="H24" s="1">
        <v>25</v>
      </c>
      <c r="I24" s="1">
        <v>1</v>
      </c>
    </row>
    <row r="25" spans="1:9" x14ac:dyDescent="0.3">
      <c r="A25" s="1">
        <v>2</v>
      </c>
      <c r="B25" s="1">
        <v>0</v>
      </c>
      <c r="C25" s="1" t="s">
        <v>2</v>
      </c>
      <c r="D25" s="1" t="s">
        <v>0</v>
      </c>
      <c r="E25" s="1">
        <v>2</v>
      </c>
      <c r="F25" s="1" t="s">
        <v>1</v>
      </c>
      <c r="G25" s="1" t="s">
        <v>0</v>
      </c>
      <c r="H25" s="1">
        <v>23</v>
      </c>
      <c r="I25" s="1">
        <v>1</v>
      </c>
    </row>
    <row r="26" spans="1:9" x14ac:dyDescent="0.3">
      <c r="A26" s="1">
        <v>2</v>
      </c>
      <c r="B26" s="1">
        <v>0</v>
      </c>
      <c r="C26" s="1" t="s">
        <v>2</v>
      </c>
      <c r="D26" s="1" t="s">
        <v>0</v>
      </c>
      <c r="E26" s="1">
        <v>38</v>
      </c>
      <c r="F26" s="1" t="s">
        <v>1</v>
      </c>
      <c r="G26" s="1" t="s">
        <v>0</v>
      </c>
      <c r="H26" s="1">
        <v>18</v>
      </c>
      <c r="I26" s="1">
        <v>0</v>
      </c>
    </row>
    <row r="27" spans="1:9" x14ac:dyDescent="0.3">
      <c r="A27" s="1">
        <v>2</v>
      </c>
      <c r="B27" s="1">
        <v>0</v>
      </c>
      <c r="C27" s="1" t="s">
        <v>2</v>
      </c>
      <c r="D27" s="1" t="s">
        <v>0</v>
      </c>
      <c r="E27" s="1">
        <v>64</v>
      </c>
      <c r="F27" s="1" t="s">
        <v>1</v>
      </c>
      <c r="G27" s="1" t="s">
        <v>0</v>
      </c>
      <c r="H27" s="1">
        <v>15</v>
      </c>
      <c r="I27" s="1">
        <v>0</v>
      </c>
    </row>
    <row r="28" spans="1:9" x14ac:dyDescent="0.3">
      <c r="A28" s="1">
        <v>2</v>
      </c>
      <c r="B28" s="1">
        <v>0</v>
      </c>
      <c r="C28" s="1" t="s">
        <v>2</v>
      </c>
      <c r="D28" s="1" t="s">
        <v>0</v>
      </c>
      <c r="E28" s="1">
        <v>17</v>
      </c>
      <c r="F28" s="1" t="s">
        <v>1</v>
      </c>
      <c r="G28" s="1" t="s">
        <v>0</v>
      </c>
      <c r="H28" s="1">
        <v>23</v>
      </c>
      <c r="I28" s="1">
        <v>1</v>
      </c>
    </row>
    <row r="29" spans="1:9" x14ac:dyDescent="0.3">
      <c r="A29" s="1">
        <v>2</v>
      </c>
      <c r="B29" s="1">
        <v>0</v>
      </c>
      <c r="C29" s="1" t="s">
        <v>2</v>
      </c>
      <c r="D29" s="1" t="s">
        <v>0</v>
      </c>
      <c r="E29" s="1">
        <v>30</v>
      </c>
      <c r="F29" s="1" t="s">
        <v>1</v>
      </c>
      <c r="G29" s="1" t="s">
        <v>0</v>
      </c>
      <c r="H29" s="1">
        <v>0</v>
      </c>
      <c r="I29" s="1">
        <v>0</v>
      </c>
    </row>
    <row r="30" spans="1:9" x14ac:dyDescent="0.3">
      <c r="A30" s="1">
        <v>2</v>
      </c>
      <c r="B30" s="1">
        <v>0</v>
      </c>
      <c r="C30" s="1" t="s">
        <v>2</v>
      </c>
      <c r="D30" s="1" t="s">
        <v>0</v>
      </c>
      <c r="E30" s="1">
        <v>9</v>
      </c>
      <c r="F30" s="1" t="s">
        <v>1</v>
      </c>
      <c r="G30" s="1" t="s">
        <v>0</v>
      </c>
      <c r="H30" s="1">
        <v>23</v>
      </c>
      <c r="I30" s="1">
        <v>1</v>
      </c>
    </row>
    <row r="31" spans="1:9" x14ac:dyDescent="0.3">
      <c r="A31" s="1">
        <v>2</v>
      </c>
      <c r="B31" s="1">
        <v>0</v>
      </c>
      <c r="C31" s="1" t="s">
        <v>2</v>
      </c>
      <c r="D31" s="1" t="s">
        <v>0</v>
      </c>
      <c r="E31" s="1">
        <v>35</v>
      </c>
      <c r="F31" s="1" t="s">
        <v>1</v>
      </c>
      <c r="G31" s="1" t="s">
        <v>0</v>
      </c>
      <c r="H31" s="1">
        <v>45</v>
      </c>
      <c r="I31" s="1">
        <v>1</v>
      </c>
    </row>
    <row r="32" spans="1:9" x14ac:dyDescent="0.3">
      <c r="A32" s="1">
        <v>2</v>
      </c>
      <c r="B32" s="1">
        <v>0</v>
      </c>
      <c r="C32" s="1" t="s">
        <v>2</v>
      </c>
      <c r="D32" s="1" t="s">
        <v>0</v>
      </c>
      <c r="E32" s="1">
        <v>43</v>
      </c>
      <c r="F32" s="1" t="s">
        <v>1</v>
      </c>
      <c r="G32" s="1" t="s">
        <v>0</v>
      </c>
      <c r="H32" s="1">
        <v>0</v>
      </c>
      <c r="I32" s="1">
        <v>0</v>
      </c>
    </row>
    <row r="33" spans="1:9" x14ac:dyDescent="0.3">
      <c r="A33" s="1">
        <v>2</v>
      </c>
      <c r="B33" s="1">
        <v>0</v>
      </c>
      <c r="C33" s="1" t="s">
        <v>2</v>
      </c>
      <c r="D33" s="1" t="s">
        <v>0</v>
      </c>
      <c r="E33" s="1">
        <v>27</v>
      </c>
      <c r="F33" s="1" t="s">
        <v>1</v>
      </c>
      <c r="G33" s="1" t="s">
        <v>0</v>
      </c>
      <c r="H33" s="1">
        <v>42</v>
      </c>
      <c r="I33" s="1">
        <v>1</v>
      </c>
    </row>
    <row r="34" spans="1:9" x14ac:dyDescent="0.3">
      <c r="A34" s="1">
        <v>2</v>
      </c>
      <c r="B34" s="1">
        <v>0</v>
      </c>
      <c r="C34" s="1" t="s">
        <v>2</v>
      </c>
      <c r="D34" s="1" t="s">
        <v>0</v>
      </c>
      <c r="E34" s="1">
        <v>0</v>
      </c>
      <c r="F34" s="1" t="s">
        <v>1</v>
      </c>
      <c r="G34" s="1" t="s">
        <v>0</v>
      </c>
      <c r="H34" s="1">
        <v>15</v>
      </c>
      <c r="I34" s="1">
        <v>1</v>
      </c>
    </row>
    <row r="35" spans="1:9" x14ac:dyDescent="0.3">
      <c r="A35" s="1">
        <v>2</v>
      </c>
      <c r="B35" s="1">
        <v>0</v>
      </c>
      <c r="C35" s="1" t="s">
        <v>2</v>
      </c>
      <c r="D35" s="1" t="s">
        <v>0</v>
      </c>
      <c r="E35" s="1">
        <v>11</v>
      </c>
      <c r="F35" s="1" t="s">
        <v>1</v>
      </c>
      <c r="G35" s="1" t="s">
        <v>0</v>
      </c>
      <c r="H35" s="1">
        <v>33</v>
      </c>
      <c r="I35" s="1">
        <v>1</v>
      </c>
    </row>
    <row r="36" spans="1:9" x14ac:dyDescent="0.3">
      <c r="A36" s="1">
        <v>2</v>
      </c>
      <c r="B36" s="1">
        <v>0</v>
      </c>
      <c r="C36" s="1" t="s">
        <v>2</v>
      </c>
      <c r="D36" s="1" t="s">
        <v>0</v>
      </c>
      <c r="E36" s="1">
        <v>12</v>
      </c>
      <c r="F36" s="1" t="s">
        <v>1</v>
      </c>
      <c r="G36" s="1" t="s">
        <v>0</v>
      </c>
      <c r="H36" s="1">
        <v>27</v>
      </c>
      <c r="I36" s="1">
        <v>1</v>
      </c>
    </row>
    <row r="37" spans="1:9" x14ac:dyDescent="0.3">
      <c r="A37" s="1">
        <v>2</v>
      </c>
      <c r="B37" s="1">
        <v>0</v>
      </c>
      <c r="C37" s="1" t="s">
        <v>2</v>
      </c>
      <c r="D37" s="1" t="s">
        <v>0</v>
      </c>
      <c r="E37" s="1">
        <v>6</v>
      </c>
      <c r="F37" s="1" t="s">
        <v>1</v>
      </c>
      <c r="G37" s="1" t="s">
        <v>0</v>
      </c>
      <c r="H37" s="1">
        <v>29</v>
      </c>
      <c r="I37" s="1">
        <v>1</v>
      </c>
    </row>
    <row r="38" spans="1:9" x14ac:dyDescent="0.3">
      <c r="A38" s="1">
        <v>2</v>
      </c>
      <c r="B38" s="1">
        <v>0</v>
      </c>
      <c r="C38" s="1" t="s">
        <v>2</v>
      </c>
      <c r="D38" s="1" t="s">
        <v>0</v>
      </c>
      <c r="E38" s="1">
        <v>34</v>
      </c>
      <c r="F38" s="1" t="s">
        <v>1</v>
      </c>
      <c r="G38" s="1" t="s">
        <v>0</v>
      </c>
      <c r="H38" s="1">
        <v>12</v>
      </c>
      <c r="I38" s="1">
        <v>0</v>
      </c>
    </row>
    <row r="39" spans="1:9" x14ac:dyDescent="0.3">
      <c r="A39" s="1">
        <v>2</v>
      </c>
      <c r="B39" s="1">
        <v>0</v>
      </c>
      <c r="C39" s="1" t="s">
        <v>2</v>
      </c>
      <c r="D39" s="1" t="s">
        <v>0</v>
      </c>
      <c r="E39" s="1">
        <v>15</v>
      </c>
      <c r="F39" s="1" t="s">
        <v>1</v>
      </c>
      <c r="G39" s="1" t="s">
        <v>0</v>
      </c>
      <c r="H39" s="1">
        <v>4</v>
      </c>
      <c r="I39" s="1">
        <v>0</v>
      </c>
    </row>
    <row r="40" spans="1:9" x14ac:dyDescent="0.3">
      <c r="A40" s="1">
        <v>2</v>
      </c>
      <c r="B40" s="1">
        <v>0</v>
      </c>
      <c r="C40" s="1" t="s">
        <v>2</v>
      </c>
      <c r="D40" s="1" t="s">
        <v>0</v>
      </c>
      <c r="E40" s="1">
        <v>35</v>
      </c>
      <c r="F40" s="1" t="s">
        <v>1</v>
      </c>
      <c r="G40" s="1" t="s">
        <v>0</v>
      </c>
      <c r="H40" s="1">
        <v>6</v>
      </c>
      <c r="I40" s="1">
        <v>0</v>
      </c>
    </row>
    <row r="41" spans="1:9" x14ac:dyDescent="0.3">
      <c r="A41" s="1">
        <v>2</v>
      </c>
      <c r="B41" s="1">
        <v>0</v>
      </c>
      <c r="C41" s="1" t="s">
        <v>2</v>
      </c>
      <c r="D41" s="1" t="s">
        <v>0</v>
      </c>
      <c r="E41" s="1">
        <v>59</v>
      </c>
      <c r="F41" s="1" t="s">
        <v>1</v>
      </c>
      <c r="G41" s="1" t="s">
        <v>0</v>
      </c>
      <c r="H41" s="1">
        <v>39</v>
      </c>
      <c r="I41" s="1">
        <v>0</v>
      </c>
    </row>
    <row r="42" spans="1:9" x14ac:dyDescent="0.3">
      <c r="A42" s="1">
        <v>2</v>
      </c>
      <c r="B42" s="1">
        <v>0</v>
      </c>
      <c r="C42" s="1" t="s">
        <v>2</v>
      </c>
      <c r="D42" s="1" t="s">
        <v>0</v>
      </c>
      <c r="E42" s="1">
        <v>7</v>
      </c>
      <c r="F42" s="1" t="s">
        <v>1</v>
      </c>
      <c r="G42" s="1" t="s">
        <v>0</v>
      </c>
      <c r="H42" s="1">
        <v>55</v>
      </c>
      <c r="I42" s="1">
        <v>1</v>
      </c>
    </row>
    <row r="43" spans="1:9" x14ac:dyDescent="0.3">
      <c r="A43" s="1">
        <v>2</v>
      </c>
      <c r="B43" s="1">
        <v>0</v>
      </c>
      <c r="C43" s="1" t="s">
        <v>2</v>
      </c>
      <c r="D43" s="1" t="s">
        <v>0</v>
      </c>
      <c r="E43" s="1">
        <v>2</v>
      </c>
      <c r="F43" s="1" t="s">
        <v>1</v>
      </c>
      <c r="G43" s="1" t="s">
        <v>0</v>
      </c>
      <c r="H43" s="1">
        <v>20</v>
      </c>
      <c r="I43" s="1">
        <v>1</v>
      </c>
    </row>
    <row r="44" spans="1:9" x14ac:dyDescent="0.3">
      <c r="A44" s="1">
        <v>2</v>
      </c>
      <c r="B44" s="1">
        <v>0</v>
      </c>
      <c r="C44" s="1" t="s">
        <v>2</v>
      </c>
      <c r="D44" s="1" t="s">
        <v>0</v>
      </c>
      <c r="E44" s="1">
        <v>39</v>
      </c>
      <c r="F44" s="1" t="s">
        <v>1</v>
      </c>
      <c r="G44" s="1" t="s">
        <v>0</v>
      </c>
      <c r="H44" s="1">
        <v>12</v>
      </c>
      <c r="I44" s="1">
        <v>0</v>
      </c>
    </row>
    <row r="45" spans="1:9" x14ac:dyDescent="0.3">
      <c r="A45" s="1">
        <v>2</v>
      </c>
      <c r="B45" s="1">
        <v>0</v>
      </c>
      <c r="C45" s="1" t="s">
        <v>2</v>
      </c>
      <c r="D45" s="1" t="s">
        <v>0</v>
      </c>
      <c r="E45" s="1">
        <v>25</v>
      </c>
      <c r="F45" s="1" t="s">
        <v>1</v>
      </c>
      <c r="G45" s="1" t="s">
        <v>0</v>
      </c>
      <c r="H45" s="1">
        <v>33</v>
      </c>
      <c r="I45" s="1">
        <v>1</v>
      </c>
    </row>
    <row r="46" spans="1:9" x14ac:dyDescent="0.3">
      <c r="A46" s="1">
        <v>2</v>
      </c>
      <c r="B46" s="1">
        <v>0</v>
      </c>
      <c r="C46" s="1" t="s">
        <v>2</v>
      </c>
      <c r="D46" s="1" t="s">
        <v>0</v>
      </c>
      <c r="E46" s="1">
        <v>19</v>
      </c>
      <c r="F46" s="1" t="s">
        <v>1</v>
      </c>
      <c r="G46" s="1" t="s">
        <v>0</v>
      </c>
      <c r="H46" s="1">
        <v>32</v>
      </c>
      <c r="I46" s="1">
        <v>1</v>
      </c>
    </row>
    <row r="47" spans="1:9" x14ac:dyDescent="0.3">
      <c r="A47" s="1">
        <v>2</v>
      </c>
      <c r="B47" s="1">
        <v>0</v>
      </c>
      <c r="C47" s="1" t="s">
        <v>2</v>
      </c>
      <c r="D47" s="1" t="s">
        <v>0</v>
      </c>
      <c r="E47" s="1">
        <v>17</v>
      </c>
      <c r="F47" s="1" t="s">
        <v>1</v>
      </c>
      <c r="G47" s="1" t="s">
        <v>0</v>
      </c>
      <c r="H47" s="1">
        <v>53</v>
      </c>
      <c r="I47" s="1">
        <v>1</v>
      </c>
    </row>
    <row r="48" spans="1:9" x14ac:dyDescent="0.3">
      <c r="A48" s="1">
        <v>2</v>
      </c>
      <c r="B48" s="1">
        <v>0</v>
      </c>
      <c r="C48" s="1" t="s">
        <v>2</v>
      </c>
      <c r="D48" s="1" t="s">
        <v>0</v>
      </c>
      <c r="E48" s="1">
        <v>57</v>
      </c>
      <c r="F48" s="1" t="s">
        <v>1</v>
      </c>
      <c r="G48" s="1" t="s">
        <v>0</v>
      </c>
      <c r="H48" s="1">
        <v>9</v>
      </c>
      <c r="I48" s="1">
        <v>0</v>
      </c>
    </row>
    <row r="49" spans="1:9" x14ac:dyDescent="0.3">
      <c r="A49" s="1">
        <v>2</v>
      </c>
      <c r="B49" s="1">
        <v>0</v>
      </c>
      <c r="C49" s="1" t="s">
        <v>2</v>
      </c>
      <c r="D49" s="1" t="s">
        <v>0</v>
      </c>
      <c r="E49" s="1">
        <v>35</v>
      </c>
      <c r="F49" s="1" t="s">
        <v>1</v>
      </c>
      <c r="G49" s="1" t="s">
        <v>0</v>
      </c>
      <c r="H49" s="1">
        <v>35</v>
      </c>
      <c r="I49" s="1">
        <v>0</v>
      </c>
    </row>
    <row r="50" spans="1:9" x14ac:dyDescent="0.3">
      <c r="A50" s="1">
        <v>2</v>
      </c>
      <c r="B50" s="1">
        <v>0</v>
      </c>
      <c r="C50" s="1" t="s">
        <v>2</v>
      </c>
      <c r="D50" s="1" t="s">
        <v>0</v>
      </c>
      <c r="E50" s="1">
        <v>7</v>
      </c>
      <c r="F50" s="1" t="s">
        <v>1</v>
      </c>
      <c r="G50" s="1" t="s">
        <v>0</v>
      </c>
      <c r="H50" s="1">
        <v>56</v>
      </c>
      <c r="I50" s="1">
        <v>1</v>
      </c>
    </row>
    <row r="51" spans="1:9" x14ac:dyDescent="0.3">
      <c r="A51" s="1">
        <v>2</v>
      </c>
      <c r="B51" s="1">
        <v>1</v>
      </c>
      <c r="C51" s="1" t="s">
        <v>2</v>
      </c>
      <c r="D51" s="1" t="s">
        <v>0</v>
      </c>
      <c r="E51" s="1">
        <v>53</v>
      </c>
      <c r="F51" s="1" t="s">
        <v>1</v>
      </c>
      <c r="G51" s="1" t="s">
        <v>0</v>
      </c>
      <c r="H51" s="1">
        <v>3</v>
      </c>
      <c r="I51" s="1">
        <v>0</v>
      </c>
    </row>
    <row r="52" spans="1:9" x14ac:dyDescent="0.3">
      <c r="A52" s="1">
        <v>2</v>
      </c>
      <c r="B52" s="1">
        <v>1</v>
      </c>
      <c r="C52" s="1" t="s">
        <v>2</v>
      </c>
      <c r="D52" s="1" t="s">
        <v>0</v>
      </c>
      <c r="E52" s="1">
        <v>18</v>
      </c>
      <c r="F52" s="1" t="s">
        <v>1</v>
      </c>
      <c r="G52" s="1" t="s">
        <v>0</v>
      </c>
      <c r="H52" s="1">
        <v>42</v>
      </c>
      <c r="I52" s="1">
        <v>1</v>
      </c>
    </row>
    <row r="53" spans="1:9" x14ac:dyDescent="0.3">
      <c r="A53" s="1">
        <v>2</v>
      </c>
      <c r="B53" s="1">
        <v>1</v>
      </c>
      <c r="C53" s="1" t="s">
        <v>2</v>
      </c>
      <c r="D53" s="1" t="s">
        <v>0</v>
      </c>
      <c r="E53" s="1">
        <v>2</v>
      </c>
      <c r="F53" s="1" t="s">
        <v>1</v>
      </c>
      <c r="G53" s="1" t="s">
        <v>0</v>
      </c>
      <c r="H53" s="1">
        <v>1</v>
      </c>
      <c r="I53" s="1">
        <v>0</v>
      </c>
    </row>
    <row r="54" spans="1:9" x14ac:dyDescent="0.3">
      <c r="A54" s="1">
        <v>2</v>
      </c>
      <c r="B54" s="1">
        <v>1</v>
      </c>
      <c r="C54" s="1" t="s">
        <v>2</v>
      </c>
      <c r="D54" s="1" t="s">
        <v>0</v>
      </c>
      <c r="E54" s="1">
        <v>34</v>
      </c>
      <c r="F54" s="1" t="s">
        <v>1</v>
      </c>
      <c r="G54" s="1" t="s">
        <v>0</v>
      </c>
      <c r="H54" s="1">
        <v>0</v>
      </c>
      <c r="I54" s="1">
        <v>0</v>
      </c>
    </row>
    <row r="55" spans="1:9" x14ac:dyDescent="0.3">
      <c r="A55" s="1">
        <v>2</v>
      </c>
      <c r="B55" s="1">
        <v>1</v>
      </c>
      <c r="C55" s="1" t="s">
        <v>2</v>
      </c>
      <c r="D55" s="1" t="s">
        <v>0</v>
      </c>
      <c r="E55" s="1">
        <v>5</v>
      </c>
      <c r="F55" s="1" t="s">
        <v>1</v>
      </c>
      <c r="G55" s="1" t="s">
        <v>0</v>
      </c>
      <c r="H55" s="1">
        <v>2</v>
      </c>
      <c r="I55" s="1">
        <v>0</v>
      </c>
    </row>
    <row r="56" spans="1:9" x14ac:dyDescent="0.3">
      <c r="A56" s="1">
        <v>2</v>
      </c>
      <c r="B56" s="1">
        <v>1</v>
      </c>
      <c r="C56" s="1" t="s">
        <v>2</v>
      </c>
      <c r="D56" s="1" t="s">
        <v>0</v>
      </c>
      <c r="E56" s="1">
        <v>15</v>
      </c>
      <c r="F56" s="1" t="s">
        <v>1</v>
      </c>
      <c r="G56" s="1" t="s">
        <v>0</v>
      </c>
      <c r="H56" s="1">
        <v>12</v>
      </c>
      <c r="I56" s="1">
        <v>0</v>
      </c>
    </row>
    <row r="57" spans="1:9" x14ac:dyDescent="0.3">
      <c r="A57" s="1">
        <v>2</v>
      </c>
      <c r="B57" s="1">
        <v>1</v>
      </c>
      <c r="C57" s="1" t="s">
        <v>2</v>
      </c>
      <c r="D57" s="1" t="s">
        <v>0</v>
      </c>
      <c r="E57" s="1">
        <v>86</v>
      </c>
      <c r="F57" s="1" t="s">
        <v>1</v>
      </c>
      <c r="G57" s="1" t="s">
        <v>0</v>
      </c>
      <c r="H57" s="1">
        <v>0</v>
      </c>
      <c r="I57" s="1">
        <v>0</v>
      </c>
    </row>
    <row r="58" spans="1:9" x14ac:dyDescent="0.3">
      <c r="A58" s="1">
        <v>2</v>
      </c>
      <c r="B58" s="1">
        <v>1</v>
      </c>
      <c r="C58" s="1" t="s">
        <v>2</v>
      </c>
      <c r="D58" s="1" t="s">
        <v>0</v>
      </c>
      <c r="E58" s="1">
        <v>0</v>
      </c>
      <c r="F58" s="1" t="s">
        <v>1</v>
      </c>
      <c r="G58" s="1" t="s">
        <v>0</v>
      </c>
      <c r="H58" s="1">
        <v>18</v>
      </c>
      <c r="I58" s="1">
        <v>1</v>
      </c>
    </row>
    <row r="59" spans="1:9" x14ac:dyDescent="0.3">
      <c r="A59" s="1">
        <v>2</v>
      </c>
      <c r="B59" s="1">
        <v>1</v>
      </c>
      <c r="C59" s="1" t="s">
        <v>2</v>
      </c>
      <c r="D59" s="1" t="s">
        <v>0</v>
      </c>
      <c r="E59" s="1">
        <v>32</v>
      </c>
      <c r="F59" s="1" t="s">
        <v>1</v>
      </c>
      <c r="G59" s="1" t="s">
        <v>0</v>
      </c>
      <c r="H59" s="1">
        <v>36</v>
      </c>
      <c r="I59" s="1">
        <v>1</v>
      </c>
    </row>
    <row r="60" spans="1:9" x14ac:dyDescent="0.3">
      <c r="A60" s="1">
        <v>2</v>
      </c>
      <c r="B60" s="1">
        <v>1</v>
      </c>
      <c r="C60" s="1" t="s">
        <v>2</v>
      </c>
      <c r="D60" s="1" t="s">
        <v>0</v>
      </c>
      <c r="E60" s="1">
        <v>13</v>
      </c>
      <c r="F60" s="1" t="s">
        <v>1</v>
      </c>
      <c r="G60" s="1" t="s">
        <v>0</v>
      </c>
      <c r="H60" s="1">
        <v>37</v>
      </c>
      <c r="I60" s="1">
        <v>1</v>
      </c>
    </row>
    <row r="61" spans="1:9" x14ac:dyDescent="0.3">
      <c r="A61" s="1">
        <v>2</v>
      </c>
      <c r="B61" s="1">
        <v>1</v>
      </c>
      <c r="C61" s="1" t="s">
        <v>2</v>
      </c>
      <c r="D61" s="1" t="s">
        <v>0</v>
      </c>
      <c r="E61" s="1">
        <v>0</v>
      </c>
      <c r="F61" s="1" t="s">
        <v>1</v>
      </c>
      <c r="G61" s="1" t="s">
        <v>0</v>
      </c>
      <c r="H61" s="1">
        <v>27</v>
      </c>
      <c r="I61" s="1">
        <v>1</v>
      </c>
    </row>
    <row r="62" spans="1:9" x14ac:dyDescent="0.3">
      <c r="A62" s="1">
        <v>2</v>
      </c>
      <c r="B62" s="1">
        <v>1</v>
      </c>
      <c r="C62" s="1" t="s">
        <v>2</v>
      </c>
      <c r="D62" s="1" t="s">
        <v>0</v>
      </c>
      <c r="E62" s="1">
        <v>29</v>
      </c>
      <c r="F62" s="1" t="s">
        <v>1</v>
      </c>
      <c r="G62" s="1" t="s">
        <v>0</v>
      </c>
      <c r="H62" s="1">
        <v>31</v>
      </c>
      <c r="I62" s="1">
        <v>1</v>
      </c>
    </row>
    <row r="63" spans="1:9" x14ac:dyDescent="0.3">
      <c r="A63" s="1">
        <v>2</v>
      </c>
      <c r="B63" s="1">
        <v>1</v>
      </c>
      <c r="C63" s="1" t="s">
        <v>2</v>
      </c>
      <c r="D63" s="1" t="s">
        <v>0</v>
      </c>
      <c r="E63" s="1">
        <v>22</v>
      </c>
      <c r="F63" s="1" t="s">
        <v>1</v>
      </c>
      <c r="G63" s="1" t="s">
        <v>0</v>
      </c>
      <c r="H63" s="1">
        <v>8</v>
      </c>
      <c r="I63" s="1">
        <v>0</v>
      </c>
    </row>
    <row r="64" spans="1:9" x14ac:dyDescent="0.3">
      <c r="A64" s="1">
        <v>2</v>
      </c>
      <c r="B64" s="1">
        <v>1</v>
      </c>
      <c r="C64" s="1" t="s">
        <v>2</v>
      </c>
      <c r="D64" s="1" t="s">
        <v>0</v>
      </c>
      <c r="E64" s="1">
        <v>40</v>
      </c>
      <c r="F64" s="1" t="s">
        <v>1</v>
      </c>
      <c r="G64" s="1" t="s">
        <v>0</v>
      </c>
      <c r="H64" s="1">
        <v>2</v>
      </c>
      <c r="I64" s="1">
        <v>0</v>
      </c>
    </row>
    <row r="65" spans="1:9" x14ac:dyDescent="0.3">
      <c r="A65" s="1">
        <v>2</v>
      </c>
      <c r="B65" s="1">
        <v>1</v>
      </c>
      <c r="C65" s="1" t="s">
        <v>2</v>
      </c>
      <c r="D65" s="1" t="s">
        <v>0</v>
      </c>
      <c r="E65" s="1">
        <v>32</v>
      </c>
      <c r="F65" s="1" t="s">
        <v>1</v>
      </c>
      <c r="G65" s="1" t="s">
        <v>0</v>
      </c>
      <c r="H65" s="1">
        <v>2</v>
      </c>
      <c r="I65" s="1">
        <v>0</v>
      </c>
    </row>
    <row r="66" spans="1:9" x14ac:dyDescent="0.3">
      <c r="A66" s="1">
        <v>2</v>
      </c>
      <c r="B66" s="1">
        <v>1</v>
      </c>
      <c r="C66" s="1" t="s">
        <v>2</v>
      </c>
      <c r="D66" s="1" t="s">
        <v>0</v>
      </c>
      <c r="E66" s="1">
        <v>4</v>
      </c>
      <c r="F66" s="1" t="s">
        <v>1</v>
      </c>
      <c r="G66" s="1" t="s">
        <v>0</v>
      </c>
      <c r="H66" s="1">
        <v>41</v>
      </c>
      <c r="I66" s="1">
        <v>1</v>
      </c>
    </row>
    <row r="67" spans="1:9" x14ac:dyDescent="0.3">
      <c r="A67" s="1">
        <v>2</v>
      </c>
      <c r="B67" s="1">
        <v>1</v>
      </c>
      <c r="C67" s="1" t="s">
        <v>2</v>
      </c>
      <c r="D67" s="1" t="s">
        <v>0</v>
      </c>
      <c r="E67" s="1">
        <v>8</v>
      </c>
      <c r="F67" s="1" t="s">
        <v>1</v>
      </c>
      <c r="G67" s="1" t="s">
        <v>0</v>
      </c>
      <c r="H67" s="1">
        <v>41</v>
      </c>
      <c r="I67" s="1">
        <v>1</v>
      </c>
    </row>
    <row r="68" spans="1:9" x14ac:dyDescent="0.3">
      <c r="A68" s="1">
        <v>2</v>
      </c>
      <c r="B68" s="1">
        <v>1</v>
      </c>
      <c r="C68" s="1" t="s">
        <v>2</v>
      </c>
      <c r="D68" s="1" t="s">
        <v>0</v>
      </c>
      <c r="E68" s="1">
        <v>44</v>
      </c>
      <c r="F68" s="1" t="s">
        <v>1</v>
      </c>
      <c r="G68" s="1" t="s">
        <v>0</v>
      </c>
      <c r="H68" s="1">
        <v>18</v>
      </c>
      <c r="I68" s="1">
        <v>0</v>
      </c>
    </row>
    <row r="69" spans="1:9" x14ac:dyDescent="0.3">
      <c r="A69" s="1">
        <v>2</v>
      </c>
      <c r="B69" s="1">
        <v>1</v>
      </c>
      <c r="C69" s="1" t="s">
        <v>2</v>
      </c>
      <c r="D69" s="1" t="s">
        <v>0</v>
      </c>
      <c r="E69" s="1">
        <v>35</v>
      </c>
      <c r="F69" s="1" t="s">
        <v>1</v>
      </c>
      <c r="G69" s="1" t="s">
        <v>0</v>
      </c>
      <c r="H69" s="1">
        <v>30</v>
      </c>
      <c r="I69" s="1">
        <v>0</v>
      </c>
    </row>
    <row r="70" spans="1:9" x14ac:dyDescent="0.3">
      <c r="A70" s="1">
        <v>2</v>
      </c>
      <c r="B70" s="1">
        <v>1</v>
      </c>
      <c r="C70" s="1" t="s">
        <v>2</v>
      </c>
      <c r="D70" s="1" t="s">
        <v>0</v>
      </c>
      <c r="E70" s="1">
        <v>32</v>
      </c>
      <c r="F70" s="1" t="s">
        <v>1</v>
      </c>
      <c r="G70" s="1" t="s">
        <v>0</v>
      </c>
      <c r="H70" s="1">
        <v>23</v>
      </c>
      <c r="I70" s="1">
        <v>0</v>
      </c>
    </row>
    <row r="71" spans="1:9" x14ac:dyDescent="0.3">
      <c r="A71" s="1">
        <v>2</v>
      </c>
      <c r="B71" s="1">
        <v>1</v>
      </c>
      <c r="C71" s="1" t="s">
        <v>2</v>
      </c>
      <c r="D71" s="1" t="s">
        <v>0</v>
      </c>
      <c r="E71" s="1">
        <v>27</v>
      </c>
      <c r="F71" s="1" t="s">
        <v>1</v>
      </c>
      <c r="G71" s="1" t="s">
        <v>0</v>
      </c>
      <c r="H71" s="1">
        <v>38</v>
      </c>
      <c r="I71" s="1">
        <v>1</v>
      </c>
    </row>
    <row r="72" spans="1:9" x14ac:dyDescent="0.3">
      <c r="A72" s="1">
        <v>2</v>
      </c>
      <c r="B72" s="1">
        <v>1</v>
      </c>
      <c r="C72" s="1" t="s">
        <v>2</v>
      </c>
      <c r="D72" s="1" t="s">
        <v>0</v>
      </c>
      <c r="E72" s="1">
        <v>21</v>
      </c>
      <c r="F72" s="1" t="s">
        <v>1</v>
      </c>
      <c r="G72" s="1" t="s">
        <v>0</v>
      </c>
      <c r="H72" s="1">
        <v>31</v>
      </c>
      <c r="I72" s="1">
        <v>1</v>
      </c>
    </row>
    <row r="73" spans="1:9" x14ac:dyDescent="0.3">
      <c r="A73" s="1">
        <v>2</v>
      </c>
      <c r="B73" s="1">
        <v>1</v>
      </c>
      <c r="C73" s="1" t="s">
        <v>2</v>
      </c>
      <c r="D73" s="1" t="s">
        <v>0</v>
      </c>
      <c r="E73" s="1">
        <v>19</v>
      </c>
      <c r="F73" s="1" t="s">
        <v>1</v>
      </c>
      <c r="G73" s="1" t="s">
        <v>0</v>
      </c>
      <c r="H73" s="1">
        <v>24</v>
      </c>
      <c r="I73" s="1">
        <v>1</v>
      </c>
    </row>
    <row r="74" spans="1:9" x14ac:dyDescent="0.3">
      <c r="A74" s="1">
        <v>2</v>
      </c>
      <c r="B74" s="1">
        <v>1</v>
      </c>
      <c r="C74" s="1" t="s">
        <v>2</v>
      </c>
      <c r="D74" s="1" t="s">
        <v>0</v>
      </c>
      <c r="E74" s="1">
        <v>16</v>
      </c>
      <c r="F74" s="1" t="s">
        <v>1</v>
      </c>
      <c r="G74" s="1" t="s">
        <v>0</v>
      </c>
      <c r="H74" s="1">
        <v>49</v>
      </c>
      <c r="I74" s="1">
        <v>1</v>
      </c>
    </row>
    <row r="75" spans="1:9" x14ac:dyDescent="0.3">
      <c r="A75" s="1">
        <v>2</v>
      </c>
      <c r="B75" s="1">
        <v>1</v>
      </c>
      <c r="C75" s="1" t="s">
        <v>2</v>
      </c>
      <c r="D75" s="1" t="s">
        <v>0</v>
      </c>
      <c r="E75" s="1">
        <v>39</v>
      </c>
      <c r="F75" s="1" t="s">
        <v>1</v>
      </c>
      <c r="G75" s="1" t="s">
        <v>0</v>
      </c>
      <c r="H75" s="1">
        <v>44</v>
      </c>
      <c r="I75" s="1">
        <v>1</v>
      </c>
    </row>
    <row r="76" spans="1:9" x14ac:dyDescent="0.3">
      <c r="A76" s="1">
        <v>2</v>
      </c>
      <c r="B76" s="1">
        <v>1</v>
      </c>
      <c r="C76" s="1" t="s">
        <v>2</v>
      </c>
      <c r="D76" s="1" t="s">
        <v>0</v>
      </c>
      <c r="E76" s="1">
        <v>32</v>
      </c>
      <c r="F76" s="1" t="s">
        <v>1</v>
      </c>
      <c r="G76" s="1" t="s">
        <v>0</v>
      </c>
      <c r="H76" s="1">
        <v>14</v>
      </c>
      <c r="I76" s="1">
        <v>0</v>
      </c>
    </row>
    <row r="77" spans="1:9" x14ac:dyDescent="0.3">
      <c r="A77" s="1">
        <v>2</v>
      </c>
      <c r="B77" s="1">
        <v>1</v>
      </c>
      <c r="C77" s="1" t="s">
        <v>2</v>
      </c>
      <c r="D77" s="1" t="s">
        <v>0</v>
      </c>
      <c r="E77" s="1">
        <v>22</v>
      </c>
      <c r="F77" s="1" t="s">
        <v>1</v>
      </c>
      <c r="G77" s="1" t="s">
        <v>0</v>
      </c>
      <c r="H77" s="1">
        <v>37</v>
      </c>
      <c r="I77" s="1">
        <v>1</v>
      </c>
    </row>
    <row r="78" spans="1:9" x14ac:dyDescent="0.3">
      <c r="A78" s="1">
        <v>2</v>
      </c>
      <c r="B78" s="1">
        <v>1</v>
      </c>
      <c r="C78" s="1" t="s">
        <v>2</v>
      </c>
      <c r="D78" s="1" t="s">
        <v>0</v>
      </c>
      <c r="E78" s="1">
        <v>2</v>
      </c>
      <c r="F78" s="1" t="s">
        <v>1</v>
      </c>
      <c r="G78" s="1" t="s">
        <v>0</v>
      </c>
      <c r="H78" s="1">
        <v>15</v>
      </c>
      <c r="I78" s="1">
        <v>1</v>
      </c>
    </row>
    <row r="79" spans="1:9" x14ac:dyDescent="0.3">
      <c r="A79" s="1">
        <v>2</v>
      </c>
      <c r="B79" s="1">
        <v>1</v>
      </c>
      <c r="C79" s="1" t="s">
        <v>2</v>
      </c>
      <c r="D79" s="1" t="s">
        <v>0</v>
      </c>
      <c r="E79" s="1">
        <v>16</v>
      </c>
      <c r="F79" s="1" t="s">
        <v>1</v>
      </c>
      <c r="G79" s="1" t="s">
        <v>0</v>
      </c>
      <c r="H79" s="1">
        <v>38</v>
      </c>
      <c r="I79" s="1">
        <v>1</v>
      </c>
    </row>
    <row r="80" spans="1:9" x14ac:dyDescent="0.3">
      <c r="A80" s="1">
        <v>2</v>
      </c>
      <c r="B80" s="1">
        <v>1</v>
      </c>
      <c r="C80" s="1" t="s">
        <v>2</v>
      </c>
      <c r="D80" s="1" t="s">
        <v>0</v>
      </c>
      <c r="E80" s="1">
        <v>25</v>
      </c>
      <c r="F80" s="1" t="s">
        <v>1</v>
      </c>
      <c r="G80" s="1" t="s">
        <v>0</v>
      </c>
      <c r="H80" s="1">
        <v>53</v>
      </c>
      <c r="I80" s="1">
        <v>1</v>
      </c>
    </row>
    <row r="81" spans="1:9" x14ac:dyDescent="0.3">
      <c r="A81" s="1">
        <v>2</v>
      </c>
      <c r="B81" s="1">
        <v>1</v>
      </c>
      <c r="C81" s="1" t="s">
        <v>2</v>
      </c>
      <c r="D81" s="1" t="s">
        <v>0</v>
      </c>
      <c r="E81" s="1">
        <v>36</v>
      </c>
      <c r="F81" s="1" t="s">
        <v>1</v>
      </c>
      <c r="G81" s="1" t="s">
        <v>0</v>
      </c>
      <c r="H81" s="1">
        <v>36</v>
      </c>
      <c r="I81" s="1">
        <v>0</v>
      </c>
    </row>
    <row r="82" spans="1:9" x14ac:dyDescent="0.3">
      <c r="A82" s="1">
        <v>2</v>
      </c>
      <c r="B82" s="1">
        <v>1</v>
      </c>
      <c r="C82" s="1" t="s">
        <v>2</v>
      </c>
      <c r="D82" s="1" t="s">
        <v>0</v>
      </c>
      <c r="E82" s="1">
        <v>21</v>
      </c>
      <c r="F82" s="1" t="s">
        <v>1</v>
      </c>
      <c r="G82" s="1" t="s">
        <v>0</v>
      </c>
      <c r="H82" s="1">
        <v>41</v>
      </c>
      <c r="I82" s="1">
        <v>1</v>
      </c>
    </row>
    <row r="83" spans="1:9" x14ac:dyDescent="0.3">
      <c r="A83" s="1">
        <v>2</v>
      </c>
      <c r="B83" s="1">
        <v>1</v>
      </c>
      <c r="C83" s="1" t="s">
        <v>2</v>
      </c>
      <c r="D83" s="1" t="s">
        <v>0</v>
      </c>
      <c r="E83" s="1">
        <v>18</v>
      </c>
      <c r="F83" s="1" t="s">
        <v>1</v>
      </c>
      <c r="G83" s="1" t="s">
        <v>0</v>
      </c>
      <c r="H83" s="1">
        <v>19</v>
      </c>
      <c r="I83" s="1">
        <v>1</v>
      </c>
    </row>
    <row r="84" spans="1:9" x14ac:dyDescent="0.3">
      <c r="A84" s="1">
        <v>2</v>
      </c>
      <c r="B84" s="1">
        <v>1</v>
      </c>
      <c r="C84" s="1" t="s">
        <v>2</v>
      </c>
      <c r="D84" s="1" t="s">
        <v>0</v>
      </c>
      <c r="E84" s="1">
        <v>47</v>
      </c>
      <c r="F84" s="1" t="s">
        <v>1</v>
      </c>
      <c r="G84" s="1" t="s">
        <v>0</v>
      </c>
      <c r="H84" s="1">
        <v>34</v>
      </c>
      <c r="I84" s="1">
        <v>0</v>
      </c>
    </row>
    <row r="85" spans="1:9" x14ac:dyDescent="0.3">
      <c r="A85" s="1">
        <v>2</v>
      </c>
      <c r="B85" s="1">
        <v>1</v>
      </c>
      <c r="C85" s="1" t="s">
        <v>2</v>
      </c>
      <c r="D85" s="1" t="s">
        <v>0</v>
      </c>
      <c r="E85" s="1">
        <v>0</v>
      </c>
      <c r="F85" s="1" t="s">
        <v>1</v>
      </c>
      <c r="G85" s="1" t="s">
        <v>0</v>
      </c>
      <c r="H85" s="1">
        <v>33</v>
      </c>
      <c r="I85" s="1">
        <v>1</v>
      </c>
    </row>
    <row r="86" spans="1:9" x14ac:dyDescent="0.3">
      <c r="A86" s="1">
        <v>2</v>
      </c>
      <c r="B86" s="1">
        <v>1</v>
      </c>
      <c r="C86" s="1" t="s">
        <v>2</v>
      </c>
      <c r="D86" s="1" t="s">
        <v>0</v>
      </c>
      <c r="E86" s="1">
        <v>0</v>
      </c>
      <c r="F86" s="1" t="s">
        <v>1</v>
      </c>
      <c r="G86" s="1" t="s">
        <v>0</v>
      </c>
      <c r="H86" s="1">
        <v>25</v>
      </c>
      <c r="I86" s="1">
        <v>1</v>
      </c>
    </row>
    <row r="87" spans="1:9" x14ac:dyDescent="0.3">
      <c r="A87" s="1">
        <v>2</v>
      </c>
      <c r="B87" s="1">
        <v>1</v>
      </c>
      <c r="C87" s="1" t="s">
        <v>2</v>
      </c>
      <c r="D87" s="1" t="s">
        <v>0</v>
      </c>
      <c r="E87" s="1">
        <v>46</v>
      </c>
      <c r="F87" s="1" t="s">
        <v>1</v>
      </c>
      <c r="G87" s="1" t="s">
        <v>0</v>
      </c>
      <c r="H87" s="1">
        <v>8</v>
      </c>
      <c r="I87" s="1">
        <v>0</v>
      </c>
    </row>
    <row r="88" spans="1:9" x14ac:dyDescent="0.3">
      <c r="A88" s="1">
        <v>2</v>
      </c>
      <c r="B88" s="1">
        <v>1</v>
      </c>
      <c r="C88" s="1" t="s">
        <v>2</v>
      </c>
      <c r="D88" s="1" t="s">
        <v>0</v>
      </c>
      <c r="E88" s="1">
        <v>33</v>
      </c>
      <c r="F88" s="1" t="s">
        <v>1</v>
      </c>
      <c r="G88" s="1" t="s">
        <v>0</v>
      </c>
      <c r="H88" s="1">
        <v>36</v>
      </c>
      <c r="I88" s="1">
        <v>1</v>
      </c>
    </row>
    <row r="89" spans="1:9" x14ac:dyDescent="0.3">
      <c r="A89" s="1">
        <v>2</v>
      </c>
      <c r="B89" s="1">
        <v>1</v>
      </c>
      <c r="C89" s="1" t="s">
        <v>2</v>
      </c>
      <c r="D89" s="1" t="s">
        <v>0</v>
      </c>
      <c r="E89" s="1">
        <v>2</v>
      </c>
      <c r="F89" s="1" t="s">
        <v>1</v>
      </c>
      <c r="G89" s="1" t="s">
        <v>0</v>
      </c>
      <c r="H89" s="1">
        <v>43</v>
      </c>
      <c r="I89" s="1">
        <v>1</v>
      </c>
    </row>
    <row r="90" spans="1:9" x14ac:dyDescent="0.3">
      <c r="A90" s="1">
        <v>2</v>
      </c>
      <c r="B90" s="1">
        <v>1</v>
      </c>
      <c r="C90" s="1" t="s">
        <v>2</v>
      </c>
      <c r="D90" s="1" t="s">
        <v>0</v>
      </c>
      <c r="E90" s="1">
        <v>6</v>
      </c>
      <c r="F90" s="1" t="s">
        <v>1</v>
      </c>
      <c r="G90" s="1" t="s">
        <v>0</v>
      </c>
      <c r="H90" s="1">
        <v>57</v>
      </c>
      <c r="I90" s="1">
        <v>1</v>
      </c>
    </row>
    <row r="91" spans="1:9" x14ac:dyDescent="0.3">
      <c r="A91" s="1">
        <v>2</v>
      </c>
      <c r="B91" s="1">
        <v>1</v>
      </c>
      <c r="C91" s="1" t="s">
        <v>2</v>
      </c>
      <c r="D91" s="1" t="s">
        <v>0</v>
      </c>
      <c r="E91" s="1">
        <v>46</v>
      </c>
      <c r="F91" s="1" t="s">
        <v>1</v>
      </c>
      <c r="G91" s="1" t="s">
        <v>0</v>
      </c>
      <c r="H91" s="1">
        <v>53</v>
      </c>
      <c r="I91" s="1">
        <v>1</v>
      </c>
    </row>
    <row r="92" spans="1:9" x14ac:dyDescent="0.3">
      <c r="A92" s="1">
        <v>2</v>
      </c>
      <c r="B92" s="1">
        <v>1</v>
      </c>
      <c r="C92" s="1" t="s">
        <v>2</v>
      </c>
      <c r="D92" s="1" t="s">
        <v>0</v>
      </c>
      <c r="E92" s="1">
        <v>13</v>
      </c>
      <c r="F92" s="1" t="s">
        <v>1</v>
      </c>
      <c r="G92" s="1" t="s">
        <v>0</v>
      </c>
      <c r="H92" s="1">
        <v>15</v>
      </c>
      <c r="I92" s="1">
        <v>1</v>
      </c>
    </row>
    <row r="93" spans="1:9" x14ac:dyDescent="0.3">
      <c r="A93" s="1">
        <v>2</v>
      </c>
      <c r="B93" s="1">
        <v>1</v>
      </c>
      <c r="C93" s="1" t="s">
        <v>2</v>
      </c>
      <c r="D93" s="1" t="s">
        <v>0</v>
      </c>
      <c r="E93" s="1">
        <v>19</v>
      </c>
      <c r="F93" s="1" t="s">
        <v>1</v>
      </c>
      <c r="G93" s="1" t="s">
        <v>0</v>
      </c>
      <c r="H93" s="1">
        <v>17</v>
      </c>
      <c r="I93" s="1">
        <v>0</v>
      </c>
    </row>
    <row r="94" spans="1:9" x14ac:dyDescent="0.3">
      <c r="A94" s="1">
        <v>2</v>
      </c>
      <c r="B94" s="1">
        <v>1</v>
      </c>
      <c r="C94" s="1" t="s">
        <v>2</v>
      </c>
      <c r="D94" s="1" t="s">
        <v>0</v>
      </c>
      <c r="E94" s="1">
        <v>38</v>
      </c>
      <c r="F94" s="1" t="s">
        <v>1</v>
      </c>
      <c r="G94" s="1" t="s">
        <v>0</v>
      </c>
      <c r="H94" s="1">
        <v>9</v>
      </c>
      <c r="I94" s="1">
        <v>0</v>
      </c>
    </row>
    <row r="95" spans="1:9" x14ac:dyDescent="0.3">
      <c r="A95" s="1">
        <v>2</v>
      </c>
      <c r="B95" s="1">
        <v>1</v>
      </c>
      <c r="C95" s="1" t="s">
        <v>2</v>
      </c>
      <c r="D95" s="1" t="s">
        <v>0</v>
      </c>
      <c r="E95" s="1">
        <v>20</v>
      </c>
      <c r="F95" s="1" t="s">
        <v>1</v>
      </c>
      <c r="G95" s="1" t="s">
        <v>0</v>
      </c>
      <c r="H95" s="1">
        <v>31</v>
      </c>
      <c r="I95" s="1">
        <v>1</v>
      </c>
    </row>
    <row r="96" spans="1:9" x14ac:dyDescent="0.3">
      <c r="A96" s="1">
        <v>2</v>
      </c>
      <c r="B96" s="1">
        <v>1</v>
      </c>
      <c r="C96" s="1" t="s">
        <v>2</v>
      </c>
      <c r="D96" s="1" t="s">
        <v>0</v>
      </c>
      <c r="E96" s="1">
        <v>14</v>
      </c>
      <c r="F96" s="1" t="s">
        <v>1</v>
      </c>
      <c r="G96" s="1" t="s">
        <v>0</v>
      </c>
      <c r="H96" s="1">
        <v>31</v>
      </c>
      <c r="I96" s="1">
        <v>1</v>
      </c>
    </row>
    <row r="97" spans="1:9" x14ac:dyDescent="0.3">
      <c r="A97" s="1">
        <v>2</v>
      </c>
      <c r="B97" s="1">
        <v>1</v>
      </c>
      <c r="C97" s="1" t="s">
        <v>2</v>
      </c>
      <c r="D97" s="1" t="s">
        <v>0</v>
      </c>
      <c r="E97" s="1">
        <v>17</v>
      </c>
      <c r="F97" s="1" t="s">
        <v>1</v>
      </c>
      <c r="G97" s="1" t="s">
        <v>0</v>
      </c>
      <c r="H97" s="1">
        <v>23</v>
      </c>
      <c r="I97" s="1">
        <v>1</v>
      </c>
    </row>
    <row r="98" spans="1:9" x14ac:dyDescent="0.3">
      <c r="A98" s="1">
        <v>2</v>
      </c>
      <c r="B98" s="1">
        <v>1</v>
      </c>
      <c r="C98" s="1" t="s">
        <v>2</v>
      </c>
      <c r="D98" s="1" t="s">
        <v>0</v>
      </c>
      <c r="E98" s="1">
        <v>2</v>
      </c>
      <c r="F98" s="1" t="s">
        <v>1</v>
      </c>
      <c r="G98" s="1" t="s">
        <v>0</v>
      </c>
      <c r="H98" s="1">
        <v>21</v>
      </c>
      <c r="I98" s="1">
        <v>1</v>
      </c>
    </row>
    <row r="99" spans="1:9" x14ac:dyDescent="0.3">
      <c r="A99" s="1">
        <v>2</v>
      </c>
      <c r="B99" s="1">
        <v>1</v>
      </c>
      <c r="C99" s="1" t="s">
        <v>2</v>
      </c>
      <c r="D99" s="1" t="s">
        <v>0</v>
      </c>
      <c r="E99" s="1">
        <v>50</v>
      </c>
      <c r="F99" s="1" t="s">
        <v>1</v>
      </c>
      <c r="G99" s="1" t="s">
        <v>0</v>
      </c>
      <c r="H99" s="1">
        <v>16</v>
      </c>
      <c r="I99" s="1">
        <v>0</v>
      </c>
    </row>
    <row r="100" spans="1:9" x14ac:dyDescent="0.3">
      <c r="A100" s="1">
        <v>2</v>
      </c>
      <c r="B100" s="1">
        <v>1</v>
      </c>
      <c r="C100" s="1" t="s">
        <v>2</v>
      </c>
      <c r="D100" s="1" t="s">
        <v>0</v>
      </c>
      <c r="E100" s="1">
        <v>16</v>
      </c>
      <c r="F100" s="1" t="s">
        <v>1</v>
      </c>
      <c r="G100" s="1" t="s">
        <v>0</v>
      </c>
      <c r="H100" s="1">
        <v>29</v>
      </c>
      <c r="I100" s="1">
        <v>1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173C-0290-4B10-B749-A581543F90C2}">
  <dimension ref="A1:T100"/>
  <sheetViews>
    <sheetView topLeftCell="K1" workbookViewId="0">
      <selection activeCell="T2" sqref="T2:T3"/>
    </sheetView>
  </sheetViews>
  <sheetFormatPr defaultRowHeight="14.4" x14ac:dyDescent="0.3"/>
  <cols>
    <col min="1" max="16384" width="8.88671875" style="1"/>
  </cols>
  <sheetData>
    <row r="1" spans="1:20" x14ac:dyDescent="0.3">
      <c r="A1" s="1">
        <v>2</v>
      </c>
      <c r="B1" s="1">
        <v>0</v>
      </c>
      <c r="C1" s="1" t="s">
        <v>2</v>
      </c>
      <c r="D1" s="1" t="s">
        <v>0</v>
      </c>
      <c r="E1" s="1">
        <v>10</v>
      </c>
      <c r="F1" s="1" t="s">
        <v>1</v>
      </c>
      <c r="G1" s="1" t="s">
        <v>0</v>
      </c>
      <c r="H1" s="1">
        <v>41</v>
      </c>
      <c r="I1" s="1">
        <v>1</v>
      </c>
      <c r="K1" s="2"/>
      <c r="L1" s="3"/>
      <c r="M1" s="24" t="s">
        <v>3</v>
      </c>
      <c r="N1" s="24"/>
      <c r="O1" s="19" t="s">
        <v>4</v>
      </c>
      <c r="P1" s="19"/>
      <c r="Q1" s="19" t="s">
        <v>5</v>
      </c>
      <c r="R1" s="19"/>
    </row>
    <row r="2" spans="1:20" x14ac:dyDescent="0.3">
      <c r="A2" s="1">
        <v>2</v>
      </c>
      <c r="B2" s="1">
        <v>0</v>
      </c>
      <c r="C2" s="1" t="s">
        <v>2</v>
      </c>
      <c r="D2" s="1" t="s">
        <v>0</v>
      </c>
      <c r="E2" s="1">
        <v>64</v>
      </c>
      <c r="F2" s="1" t="s">
        <v>1</v>
      </c>
      <c r="G2" s="1" t="s">
        <v>0</v>
      </c>
      <c r="H2" s="1">
        <v>42</v>
      </c>
      <c r="I2" s="1">
        <v>0</v>
      </c>
      <c r="K2" s="4"/>
      <c r="L2" s="5"/>
      <c r="M2" s="24"/>
      <c r="N2" s="24"/>
      <c r="O2" s="19"/>
      <c r="P2" s="19"/>
      <c r="Q2" s="19"/>
      <c r="R2" s="19"/>
      <c r="T2" t="s">
        <v>15</v>
      </c>
    </row>
    <row r="3" spans="1:20" x14ac:dyDescent="0.3">
      <c r="A3" s="1">
        <v>2</v>
      </c>
      <c r="B3" s="1">
        <v>0</v>
      </c>
      <c r="C3" s="1" t="s">
        <v>2</v>
      </c>
      <c r="D3" s="1" t="s">
        <v>0</v>
      </c>
      <c r="E3" s="1">
        <v>3</v>
      </c>
      <c r="F3" s="1" t="s">
        <v>1</v>
      </c>
      <c r="G3" s="1" t="s">
        <v>0</v>
      </c>
      <c r="H3" s="1">
        <v>9</v>
      </c>
      <c r="I3" s="1">
        <v>1</v>
      </c>
      <c r="K3" s="19" t="s">
        <v>6</v>
      </c>
      <c r="L3" s="19"/>
      <c r="M3" s="20">
        <f>COUNTIF($I$1:$I$100, 0)</f>
        <v>60</v>
      </c>
      <c r="N3" s="20"/>
      <c r="O3" s="20">
        <f>COUNTIFS($I$1:$I$100, 0, $B$1:$B$100, 0)</f>
        <v>33</v>
      </c>
      <c r="P3" s="20"/>
      <c r="Q3" s="21">
        <f>COUNTIFS($I$1:$I$100, 0, $B$1:$B$100, 1)</f>
        <v>27</v>
      </c>
      <c r="R3" s="10"/>
      <c r="T3" cm="1">
        <f t="array" ref="T3">SUMPRODUCT(--($E$1:$E$100=$H$1:$H$100))</f>
        <v>1</v>
      </c>
    </row>
    <row r="4" spans="1:20" x14ac:dyDescent="0.3">
      <c r="A4" s="1">
        <v>2</v>
      </c>
      <c r="B4" s="1">
        <v>0</v>
      </c>
      <c r="C4" s="1" t="s">
        <v>2</v>
      </c>
      <c r="D4" s="1" t="s">
        <v>0</v>
      </c>
      <c r="E4" s="1">
        <v>41</v>
      </c>
      <c r="F4" s="1" t="s">
        <v>1</v>
      </c>
      <c r="G4" s="1" t="s">
        <v>0</v>
      </c>
      <c r="H4" s="1">
        <v>31</v>
      </c>
      <c r="I4" s="1">
        <v>0</v>
      </c>
      <c r="K4" s="19"/>
      <c r="L4" s="19"/>
      <c r="M4" s="20"/>
      <c r="N4" s="20"/>
      <c r="O4" s="20"/>
      <c r="P4" s="20"/>
      <c r="Q4" s="20"/>
      <c r="R4" s="12"/>
    </row>
    <row r="5" spans="1:20" x14ac:dyDescent="0.3">
      <c r="A5" s="1">
        <v>2</v>
      </c>
      <c r="B5" s="1">
        <v>0</v>
      </c>
      <c r="C5" s="1" t="s">
        <v>2</v>
      </c>
      <c r="D5" s="1" t="s">
        <v>0</v>
      </c>
      <c r="E5" s="1">
        <v>57</v>
      </c>
      <c r="F5" s="1" t="s">
        <v>1</v>
      </c>
      <c r="G5" s="1" t="s">
        <v>0</v>
      </c>
      <c r="H5" s="1">
        <v>21</v>
      </c>
      <c r="I5" s="1">
        <v>0</v>
      </c>
      <c r="K5" s="19" t="s">
        <v>7</v>
      </c>
      <c r="L5" s="19"/>
      <c r="M5" s="11">
        <f>COUNTIF($I$1:$I$100, 1)</f>
        <v>40</v>
      </c>
      <c r="N5" s="20"/>
      <c r="O5" s="20">
        <f>COUNTIFS($I$1:$I$100, 1, $B$1:$B$100, 0)</f>
        <v>17</v>
      </c>
      <c r="P5" s="20"/>
      <c r="Q5" s="20">
        <f>COUNTIFS($I$1:$I$100, 1, $B$1:$B$100, 1)</f>
        <v>23</v>
      </c>
      <c r="R5" s="12"/>
    </row>
    <row r="6" spans="1:20" x14ac:dyDescent="0.3">
      <c r="A6" s="1">
        <v>2</v>
      </c>
      <c r="B6" s="1">
        <v>0</v>
      </c>
      <c r="C6" s="1" t="s">
        <v>2</v>
      </c>
      <c r="D6" s="1" t="s">
        <v>0</v>
      </c>
      <c r="E6" s="1">
        <v>39</v>
      </c>
      <c r="F6" s="1" t="s">
        <v>1</v>
      </c>
      <c r="G6" s="1" t="s">
        <v>0</v>
      </c>
      <c r="H6" s="1">
        <v>9</v>
      </c>
      <c r="I6" s="1">
        <v>0</v>
      </c>
      <c r="K6" s="19"/>
      <c r="L6" s="19"/>
      <c r="M6" s="13"/>
      <c r="N6" s="22"/>
      <c r="O6" s="22"/>
      <c r="P6" s="22"/>
      <c r="Q6" s="22"/>
      <c r="R6" s="14"/>
    </row>
    <row r="7" spans="1:20" x14ac:dyDescent="0.3">
      <c r="A7" s="1">
        <v>2</v>
      </c>
      <c r="B7" s="1">
        <v>0</v>
      </c>
      <c r="C7" s="1" t="s">
        <v>2</v>
      </c>
      <c r="D7" s="1" t="s">
        <v>0</v>
      </c>
      <c r="E7" s="1">
        <v>33</v>
      </c>
      <c r="F7" s="1" t="s">
        <v>1</v>
      </c>
      <c r="G7" s="1" t="s">
        <v>0</v>
      </c>
      <c r="H7" s="1">
        <v>16</v>
      </c>
      <c r="I7" s="1">
        <v>0</v>
      </c>
      <c r="K7" s="6"/>
      <c r="L7" s="6"/>
      <c r="M7" s="6"/>
      <c r="N7" s="6"/>
      <c r="O7" s="6"/>
      <c r="P7" s="6"/>
      <c r="Q7" s="6"/>
      <c r="R7" s="6"/>
    </row>
    <row r="8" spans="1:20" x14ac:dyDescent="0.3">
      <c r="A8" s="1">
        <v>2</v>
      </c>
      <c r="B8" s="1">
        <v>0</v>
      </c>
      <c r="C8" s="1" t="s">
        <v>2</v>
      </c>
      <c r="D8" s="1" t="s">
        <v>0</v>
      </c>
      <c r="E8" s="1">
        <v>2</v>
      </c>
      <c r="F8" s="1" t="s">
        <v>1</v>
      </c>
      <c r="G8" s="1" t="s">
        <v>0</v>
      </c>
      <c r="H8" s="1">
        <v>41</v>
      </c>
      <c r="I8" s="1">
        <v>1</v>
      </c>
      <c r="K8" s="7"/>
      <c r="L8" s="8"/>
      <c r="M8" s="23" t="s">
        <v>3</v>
      </c>
      <c r="N8" s="23"/>
      <c r="O8" s="23" t="s">
        <v>8</v>
      </c>
      <c r="P8" s="23"/>
      <c r="Q8" s="23" t="s">
        <v>9</v>
      </c>
      <c r="R8" s="23"/>
    </row>
    <row r="9" spans="1:20" x14ac:dyDescent="0.3">
      <c r="A9" s="1">
        <v>2</v>
      </c>
      <c r="B9" s="1">
        <v>0</v>
      </c>
      <c r="C9" s="1" t="s">
        <v>2</v>
      </c>
      <c r="D9" s="1" t="s">
        <v>0</v>
      </c>
      <c r="E9" s="1">
        <v>2</v>
      </c>
      <c r="F9" s="1" t="s">
        <v>1</v>
      </c>
      <c r="G9" s="1" t="s">
        <v>0</v>
      </c>
      <c r="H9" s="1">
        <v>42</v>
      </c>
      <c r="I9" s="1">
        <v>1</v>
      </c>
      <c r="K9" s="4"/>
      <c r="L9" s="5"/>
      <c r="M9" s="23"/>
      <c r="N9" s="23"/>
      <c r="O9" s="23"/>
      <c r="P9" s="23"/>
      <c r="Q9" s="23"/>
      <c r="R9" s="23"/>
    </row>
    <row r="10" spans="1:20" x14ac:dyDescent="0.3">
      <c r="A10" s="1">
        <v>2</v>
      </c>
      <c r="B10" s="1">
        <v>0</v>
      </c>
      <c r="C10" s="1" t="s">
        <v>2</v>
      </c>
      <c r="D10" s="1" t="s">
        <v>0</v>
      </c>
      <c r="E10" s="1">
        <v>33</v>
      </c>
      <c r="F10" s="1" t="s">
        <v>1</v>
      </c>
      <c r="G10" s="1" t="s">
        <v>0</v>
      </c>
      <c r="H10" s="1">
        <v>16</v>
      </c>
      <c r="I10" s="1">
        <v>0</v>
      </c>
      <c r="K10" s="19" t="s">
        <v>10</v>
      </c>
      <c r="L10" s="19"/>
      <c r="M10" s="20">
        <f>AVERAGE($E$1:$E$100,)</f>
        <v>27.732673267326732</v>
      </c>
      <c r="N10" s="20"/>
      <c r="O10" s="20" cm="1">
        <f t="array" ref="O10">AVERAGE(_xlfn._xlws.FILTER($E$1:$E$100,$I$1:$I$100 = 0))</f>
        <v>37.549999999999997</v>
      </c>
      <c r="P10" s="20"/>
      <c r="Q10" s="21" cm="1">
        <f t="array" ref="Q10">AVERAGE(_xlfn._xlws.FILTER($E$1:$E$100,$I$1:$I$100 = 1))</f>
        <v>13.7</v>
      </c>
      <c r="R10" s="10"/>
    </row>
    <row r="11" spans="1:20" x14ac:dyDescent="0.3">
      <c r="A11" s="1">
        <v>2</v>
      </c>
      <c r="B11" s="1">
        <v>0</v>
      </c>
      <c r="C11" s="1" t="s">
        <v>2</v>
      </c>
      <c r="D11" s="1" t="s">
        <v>0</v>
      </c>
      <c r="E11" s="1">
        <v>21</v>
      </c>
      <c r="F11" s="1" t="s">
        <v>1</v>
      </c>
      <c r="G11" s="1" t="s">
        <v>0</v>
      </c>
      <c r="H11" s="1">
        <v>45</v>
      </c>
      <c r="I11" s="1">
        <v>1</v>
      </c>
      <c r="K11" s="19"/>
      <c r="L11" s="19"/>
      <c r="M11" s="20"/>
      <c r="N11" s="20"/>
      <c r="O11" s="20"/>
      <c r="P11" s="20"/>
      <c r="Q11" s="20"/>
      <c r="R11" s="12"/>
    </row>
    <row r="12" spans="1:20" x14ac:dyDescent="0.3">
      <c r="A12" s="1">
        <v>2</v>
      </c>
      <c r="B12" s="1">
        <v>0</v>
      </c>
      <c r="C12" s="1" t="s">
        <v>2</v>
      </c>
      <c r="D12" s="1" t="s">
        <v>0</v>
      </c>
      <c r="E12" s="1">
        <v>25</v>
      </c>
      <c r="F12" s="1" t="s">
        <v>1</v>
      </c>
      <c r="G12" s="1" t="s">
        <v>0</v>
      </c>
      <c r="H12" s="1">
        <v>2</v>
      </c>
      <c r="I12" s="1">
        <v>0</v>
      </c>
      <c r="K12" s="19" t="s">
        <v>11</v>
      </c>
      <c r="L12" s="19"/>
      <c r="M12" s="20">
        <f>AVERAGE($H$1:$H$100,)</f>
        <v>21.168316831683168</v>
      </c>
      <c r="N12" s="20"/>
      <c r="O12" s="20" cm="1">
        <f t="array" ref="O12">AVERAGE(_xlfn._xlws.FILTER($H$1:$H$100,$I$1:$I$100 = 0))</f>
        <v>13.816666666666666</v>
      </c>
      <c r="P12" s="20"/>
      <c r="Q12" s="20" cm="1">
        <f t="array" ref="Q12">AVERAGE(_xlfn._xlws.FILTER($H$1:$H$100,$I$1:$I$100 = 1))</f>
        <v>32.725000000000001</v>
      </c>
      <c r="R12" s="12"/>
    </row>
    <row r="13" spans="1:20" x14ac:dyDescent="0.3">
      <c r="A13" s="1">
        <v>2</v>
      </c>
      <c r="B13" s="1">
        <v>0</v>
      </c>
      <c r="C13" s="1" t="s">
        <v>2</v>
      </c>
      <c r="D13" s="1" t="s">
        <v>0</v>
      </c>
      <c r="E13" s="1">
        <v>18</v>
      </c>
      <c r="F13" s="1" t="s">
        <v>1</v>
      </c>
      <c r="G13" s="1" t="s">
        <v>0</v>
      </c>
      <c r="H13" s="1">
        <v>29</v>
      </c>
      <c r="I13" s="1">
        <v>1</v>
      </c>
      <c r="K13" s="19"/>
      <c r="L13" s="19"/>
      <c r="M13" s="20"/>
      <c r="N13" s="20"/>
      <c r="O13" s="20"/>
      <c r="P13" s="20"/>
      <c r="Q13" s="20"/>
      <c r="R13" s="12"/>
    </row>
    <row r="14" spans="1:20" x14ac:dyDescent="0.3">
      <c r="A14" s="1">
        <v>2</v>
      </c>
      <c r="B14" s="1">
        <v>0</v>
      </c>
      <c r="C14" s="1" t="s">
        <v>2</v>
      </c>
      <c r="D14" s="1" t="s">
        <v>0</v>
      </c>
      <c r="E14" s="1">
        <v>8</v>
      </c>
      <c r="F14" s="1" t="s">
        <v>1</v>
      </c>
      <c r="G14" s="1" t="s">
        <v>0</v>
      </c>
      <c r="H14" s="1">
        <v>24</v>
      </c>
      <c r="I14" s="1">
        <v>1</v>
      </c>
      <c r="K14" s="9" t="s">
        <v>12</v>
      </c>
      <c r="L14" s="10"/>
      <c r="M14" s="15" cm="1">
        <f t="array" ref="M14">AVERAGE($E$1:$E$100 - $H$1:$H$100)</f>
        <v>6.63</v>
      </c>
      <c r="N14" s="15"/>
      <c r="O14" s="15" cm="1">
        <f t="array" ref="O14">AVERAGE(_xlfn._xlws.FILTER($E$1:$E$100 - $H$1:$H$100, I$1:I$100 = 0))</f>
        <v>23.733333333333334</v>
      </c>
      <c r="P14" s="15"/>
      <c r="Q14" s="15" cm="1">
        <f t="array" ref="Q14">AVERAGE(_xlfn._xlws.FILTER($E$1:$E$100 - $H$1:$H$100, I$1:I$100 = 1))</f>
        <v>-19.024999999999999</v>
      </c>
      <c r="R14" s="17"/>
    </row>
    <row r="15" spans="1:20" x14ac:dyDescent="0.3">
      <c r="A15" s="1">
        <v>2</v>
      </c>
      <c r="B15" s="1">
        <v>0</v>
      </c>
      <c r="C15" s="1" t="s">
        <v>2</v>
      </c>
      <c r="D15" s="1" t="s">
        <v>0</v>
      </c>
      <c r="E15" s="1">
        <v>39</v>
      </c>
      <c r="F15" s="1" t="s">
        <v>1</v>
      </c>
      <c r="G15" s="1" t="s">
        <v>0</v>
      </c>
      <c r="H15" s="1">
        <v>0</v>
      </c>
      <c r="I15" s="1">
        <v>0</v>
      </c>
      <c r="K15" s="11"/>
      <c r="L15" s="12"/>
      <c r="M15" s="15"/>
      <c r="N15" s="15"/>
      <c r="O15" s="15"/>
      <c r="P15" s="15"/>
      <c r="Q15" s="15"/>
      <c r="R15" s="17"/>
    </row>
    <row r="16" spans="1:20" x14ac:dyDescent="0.3">
      <c r="A16" s="1">
        <v>2</v>
      </c>
      <c r="B16" s="1">
        <v>0</v>
      </c>
      <c r="C16" s="1" t="s">
        <v>2</v>
      </c>
      <c r="D16" s="1" t="s">
        <v>0</v>
      </c>
      <c r="E16" s="1">
        <v>29</v>
      </c>
      <c r="F16" s="1" t="s">
        <v>1</v>
      </c>
      <c r="G16" s="1" t="s">
        <v>0</v>
      </c>
      <c r="H16" s="1">
        <v>24</v>
      </c>
      <c r="I16" s="1">
        <v>0</v>
      </c>
      <c r="K16" s="13"/>
      <c r="L16" s="14"/>
      <c r="M16" s="16"/>
      <c r="N16" s="16"/>
      <c r="O16" s="16"/>
      <c r="P16" s="16"/>
      <c r="Q16" s="16"/>
      <c r="R16" s="18"/>
    </row>
    <row r="17" spans="1:9" x14ac:dyDescent="0.3">
      <c r="A17" s="1">
        <v>2</v>
      </c>
      <c r="B17" s="1">
        <v>0</v>
      </c>
      <c r="C17" s="1" t="s">
        <v>2</v>
      </c>
      <c r="D17" s="1" t="s">
        <v>0</v>
      </c>
      <c r="E17" s="1">
        <v>29</v>
      </c>
      <c r="F17" s="1" t="s">
        <v>1</v>
      </c>
      <c r="G17" s="1" t="s">
        <v>0</v>
      </c>
      <c r="H17" s="1">
        <v>18</v>
      </c>
      <c r="I17" s="1">
        <v>0</v>
      </c>
    </row>
    <row r="18" spans="1:9" x14ac:dyDescent="0.3">
      <c r="A18" s="1">
        <v>2</v>
      </c>
      <c r="B18" s="1">
        <v>0</v>
      </c>
      <c r="C18" s="1" t="s">
        <v>2</v>
      </c>
      <c r="D18" s="1" t="s">
        <v>0</v>
      </c>
      <c r="E18" s="1">
        <v>20</v>
      </c>
      <c r="F18" s="1" t="s">
        <v>1</v>
      </c>
      <c r="G18" s="1" t="s">
        <v>0</v>
      </c>
      <c r="H18" s="1">
        <v>32</v>
      </c>
      <c r="I18" s="1">
        <v>1</v>
      </c>
    </row>
    <row r="19" spans="1:9" x14ac:dyDescent="0.3">
      <c r="A19" s="1">
        <v>2</v>
      </c>
      <c r="B19" s="1">
        <v>0</v>
      </c>
      <c r="C19" s="1" t="s">
        <v>2</v>
      </c>
      <c r="D19" s="1" t="s">
        <v>0</v>
      </c>
      <c r="E19" s="1">
        <v>37</v>
      </c>
      <c r="F19" s="1" t="s">
        <v>1</v>
      </c>
      <c r="G19" s="1" t="s">
        <v>0</v>
      </c>
      <c r="H19" s="1">
        <v>2</v>
      </c>
      <c r="I19" s="1">
        <v>0</v>
      </c>
    </row>
    <row r="20" spans="1:9" x14ac:dyDescent="0.3">
      <c r="A20" s="1">
        <v>2</v>
      </c>
      <c r="B20" s="1">
        <v>0</v>
      </c>
      <c r="C20" s="1" t="s">
        <v>2</v>
      </c>
      <c r="D20" s="1" t="s">
        <v>0</v>
      </c>
      <c r="E20" s="1">
        <v>35</v>
      </c>
      <c r="F20" s="1" t="s">
        <v>1</v>
      </c>
      <c r="G20" s="1" t="s">
        <v>0</v>
      </c>
      <c r="H20" s="1">
        <v>2</v>
      </c>
      <c r="I20" s="1">
        <v>0</v>
      </c>
    </row>
    <row r="21" spans="1:9" x14ac:dyDescent="0.3">
      <c r="A21" s="1">
        <v>2</v>
      </c>
      <c r="B21" s="1">
        <v>0</v>
      </c>
      <c r="C21" s="1" t="s">
        <v>2</v>
      </c>
      <c r="D21" s="1" t="s">
        <v>0</v>
      </c>
      <c r="E21" s="1">
        <v>18</v>
      </c>
      <c r="F21" s="1" t="s">
        <v>1</v>
      </c>
      <c r="G21" s="1" t="s">
        <v>0</v>
      </c>
      <c r="H21" s="1">
        <v>13</v>
      </c>
      <c r="I21" s="1">
        <v>0</v>
      </c>
    </row>
    <row r="22" spans="1:9" x14ac:dyDescent="0.3">
      <c r="A22" s="1">
        <v>2</v>
      </c>
      <c r="B22" s="1">
        <v>0</v>
      </c>
      <c r="C22" s="1" t="s">
        <v>2</v>
      </c>
      <c r="D22" s="1" t="s">
        <v>0</v>
      </c>
      <c r="E22" s="1">
        <v>50</v>
      </c>
      <c r="F22" s="1" t="s">
        <v>1</v>
      </c>
      <c r="G22" s="1" t="s">
        <v>0</v>
      </c>
      <c r="H22" s="1">
        <v>48</v>
      </c>
      <c r="I22" s="1">
        <v>0</v>
      </c>
    </row>
    <row r="23" spans="1:9" x14ac:dyDescent="0.3">
      <c r="A23" s="1">
        <v>2</v>
      </c>
      <c r="B23" s="1">
        <v>0</v>
      </c>
      <c r="C23" s="1" t="s">
        <v>2</v>
      </c>
      <c r="D23" s="1" t="s">
        <v>0</v>
      </c>
      <c r="E23" s="1">
        <v>0</v>
      </c>
      <c r="F23" s="1" t="s">
        <v>1</v>
      </c>
      <c r="G23" s="1" t="s">
        <v>0</v>
      </c>
      <c r="H23" s="1">
        <v>3</v>
      </c>
      <c r="I23" s="1">
        <v>1</v>
      </c>
    </row>
    <row r="24" spans="1:9" x14ac:dyDescent="0.3">
      <c r="A24" s="1">
        <v>2</v>
      </c>
      <c r="B24" s="1">
        <v>0</v>
      </c>
      <c r="C24" s="1" t="s">
        <v>2</v>
      </c>
      <c r="D24" s="1" t="s">
        <v>0</v>
      </c>
      <c r="E24" s="1">
        <v>43</v>
      </c>
      <c r="F24" s="1" t="s">
        <v>1</v>
      </c>
      <c r="G24" s="1" t="s">
        <v>0</v>
      </c>
      <c r="H24" s="1">
        <v>17</v>
      </c>
      <c r="I24" s="1">
        <v>0</v>
      </c>
    </row>
    <row r="25" spans="1:9" x14ac:dyDescent="0.3">
      <c r="A25" s="1">
        <v>2</v>
      </c>
      <c r="B25" s="1">
        <v>0</v>
      </c>
      <c r="C25" s="1" t="s">
        <v>2</v>
      </c>
      <c r="D25" s="1" t="s">
        <v>0</v>
      </c>
      <c r="E25" s="1">
        <v>24</v>
      </c>
      <c r="F25" s="1" t="s">
        <v>1</v>
      </c>
      <c r="G25" s="1" t="s">
        <v>0</v>
      </c>
      <c r="H25" s="1">
        <v>45</v>
      </c>
      <c r="I25" s="1">
        <v>1</v>
      </c>
    </row>
    <row r="26" spans="1:9" x14ac:dyDescent="0.3">
      <c r="A26" s="1">
        <v>2</v>
      </c>
      <c r="B26" s="1">
        <v>0</v>
      </c>
      <c r="C26" s="1" t="s">
        <v>2</v>
      </c>
      <c r="D26" s="1" t="s">
        <v>0</v>
      </c>
      <c r="E26" s="1">
        <v>13</v>
      </c>
      <c r="F26" s="1" t="s">
        <v>1</v>
      </c>
      <c r="G26" s="1" t="s">
        <v>0</v>
      </c>
      <c r="H26" s="1">
        <v>8</v>
      </c>
      <c r="I26" s="1">
        <v>0</v>
      </c>
    </row>
    <row r="27" spans="1:9" x14ac:dyDescent="0.3">
      <c r="A27" s="1">
        <v>2</v>
      </c>
      <c r="B27" s="1">
        <v>0</v>
      </c>
      <c r="C27" s="1" t="s">
        <v>2</v>
      </c>
      <c r="D27" s="1" t="s">
        <v>0</v>
      </c>
      <c r="E27" s="1">
        <v>24</v>
      </c>
      <c r="F27" s="1" t="s">
        <v>1</v>
      </c>
      <c r="G27" s="1" t="s">
        <v>0</v>
      </c>
      <c r="H27" s="1">
        <v>10</v>
      </c>
      <c r="I27" s="1">
        <v>0</v>
      </c>
    </row>
    <row r="28" spans="1:9" x14ac:dyDescent="0.3">
      <c r="A28" s="1">
        <v>2</v>
      </c>
      <c r="B28" s="1">
        <v>0</v>
      </c>
      <c r="C28" s="1" t="s">
        <v>2</v>
      </c>
      <c r="D28" s="1" t="s">
        <v>0</v>
      </c>
      <c r="E28" s="1">
        <v>53</v>
      </c>
      <c r="F28" s="1" t="s">
        <v>1</v>
      </c>
      <c r="G28" s="1" t="s">
        <v>0</v>
      </c>
      <c r="H28" s="1">
        <v>0</v>
      </c>
      <c r="I28" s="1">
        <v>0</v>
      </c>
    </row>
    <row r="29" spans="1:9" x14ac:dyDescent="0.3">
      <c r="A29" s="1">
        <v>2</v>
      </c>
      <c r="B29" s="1">
        <v>0</v>
      </c>
      <c r="C29" s="1" t="s">
        <v>2</v>
      </c>
      <c r="D29" s="1" t="s">
        <v>0</v>
      </c>
      <c r="E29" s="1">
        <v>31</v>
      </c>
      <c r="F29" s="1" t="s">
        <v>1</v>
      </c>
      <c r="G29" s="1" t="s">
        <v>0</v>
      </c>
      <c r="H29" s="1">
        <v>39</v>
      </c>
      <c r="I29" s="1">
        <v>1</v>
      </c>
    </row>
    <row r="30" spans="1:9" x14ac:dyDescent="0.3">
      <c r="A30" s="1">
        <v>2</v>
      </c>
      <c r="B30" s="1">
        <v>0</v>
      </c>
      <c r="C30" s="1" t="s">
        <v>2</v>
      </c>
      <c r="D30" s="1" t="s">
        <v>0</v>
      </c>
      <c r="E30" s="1">
        <v>42</v>
      </c>
      <c r="F30" s="1" t="s">
        <v>1</v>
      </c>
      <c r="G30" s="1" t="s">
        <v>0</v>
      </c>
      <c r="H30" s="1">
        <v>6</v>
      </c>
      <c r="I30" s="1">
        <v>0</v>
      </c>
    </row>
    <row r="31" spans="1:9" x14ac:dyDescent="0.3">
      <c r="A31" s="1">
        <v>2</v>
      </c>
      <c r="B31" s="1">
        <v>0</v>
      </c>
      <c r="C31" s="1" t="s">
        <v>2</v>
      </c>
      <c r="D31" s="1" t="s">
        <v>0</v>
      </c>
      <c r="E31" s="1">
        <v>29</v>
      </c>
      <c r="F31" s="1" t="s">
        <v>1</v>
      </c>
      <c r="G31" s="1" t="s">
        <v>0</v>
      </c>
      <c r="H31" s="1">
        <v>15</v>
      </c>
      <c r="I31" s="1">
        <v>0</v>
      </c>
    </row>
    <row r="32" spans="1:9" x14ac:dyDescent="0.3">
      <c r="A32" s="1">
        <v>2</v>
      </c>
      <c r="B32" s="1">
        <v>0</v>
      </c>
      <c r="C32" s="1" t="s">
        <v>2</v>
      </c>
      <c r="D32" s="1" t="s">
        <v>0</v>
      </c>
      <c r="E32" s="1">
        <v>15</v>
      </c>
      <c r="F32" s="1" t="s">
        <v>1</v>
      </c>
      <c r="G32" s="1" t="s">
        <v>0</v>
      </c>
      <c r="H32" s="1">
        <v>46</v>
      </c>
      <c r="I32" s="1">
        <v>1</v>
      </c>
    </row>
    <row r="33" spans="1:9" x14ac:dyDescent="0.3">
      <c r="A33" s="1">
        <v>2</v>
      </c>
      <c r="B33" s="1">
        <v>0</v>
      </c>
      <c r="C33" s="1" t="s">
        <v>2</v>
      </c>
      <c r="D33" s="1" t="s">
        <v>0</v>
      </c>
      <c r="E33" s="1">
        <v>36</v>
      </c>
      <c r="F33" s="1" t="s">
        <v>1</v>
      </c>
      <c r="G33" s="1" t="s">
        <v>0</v>
      </c>
      <c r="H33" s="1">
        <v>15</v>
      </c>
      <c r="I33" s="1">
        <v>0</v>
      </c>
    </row>
    <row r="34" spans="1:9" x14ac:dyDescent="0.3">
      <c r="A34" s="1">
        <v>2</v>
      </c>
      <c r="B34" s="1">
        <v>0</v>
      </c>
      <c r="C34" s="1" t="s">
        <v>2</v>
      </c>
      <c r="D34" s="1" t="s">
        <v>0</v>
      </c>
      <c r="E34" s="1">
        <v>48</v>
      </c>
      <c r="F34" s="1" t="s">
        <v>1</v>
      </c>
      <c r="G34" s="1" t="s">
        <v>0</v>
      </c>
      <c r="H34" s="1">
        <v>18</v>
      </c>
      <c r="I34" s="1">
        <v>0</v>
      </c>
    </row>
    <row r="35" spans="1:9" x14ac:dyDescent="0.3">
      <c r="A35" s="1">
        <v>2</v>
      </c>
      <c r="B35" s="1">
        <v>0</v>
      </c>
      <c r="C35" s="1" t="s">
        <v>2</v>
      </c>
      <c r="D35" s="1" t="s">
        <v>0</v>
      </c>
      <c r="E35" s="1">
        <v>59</v>
      </c>
      <c r="F35" s="1" t="s">
        <v>1</v>
      </c>
      <c r="G35" s="1" t="s">
        <v>0</v>
      </c>
      <c r="H35" s="1">
        <v>3</v>
      </c>
      <c r="I35" s="1">
        <v>0</v>
      </c>
    </row>
    <row r="36" spans="1:9" x14ac:dyDescent="0.3">
      <c r="A36" s="1">
        <v>2</v>
      </c>
      <c r="B36" s="1">
        <v>0</v>
      </c>
      <c r="C36" s="1" t="s">
        <v>2</v>
      </c>
      <c r="D36" s="1" t="s">
        <v>0</v>
      </c>
      <c r="E36" s="1">
        <v>52</v>
      </c>
      <c r="F36" s="1" t="s">
        <v>1</v>
      </c>
      <c r="G36" s="1" t="s">
        <v>0</v>
      </c>
      <c r="H36" s="1">
        <v>21</v>
      </c>
      <c r="I36" s="1">
        <v>0</v>
      </c>
    </row>
    <row r="37" spans="1:9" x14ac:dyDescent="0.3">
      <c r="A37" s="1">
        <v>2</v>
      </c>
      <c r="B37" s="1">
        <v>0</v>
      </c>
      <c r="C37" s="1" t="s">
        <v>2</v>
      </c>
      <c r="D37" s="1" t="s">
        <v>0</v>
      </c>
      <c r="E37" s="1">
        <v>20</v>
      </c>
      <c r="F37" s="1" t="s">
        <v>1</v>
      </c>
      <c r="G37" s="1" t="s">
        <v>0</v>
      </c>
      <c r="H37" s="1">
        <v>22</v>
      </c>
      <c r="I37" s="1">
        <v>1</v>
      </c>
    </row>
    <row r="38" spans="1:9" x14ac:dyDescent="0.3">
      <c r="A38" s="1">
        <v>2</v>
      </c>
      <c r="B38" s="1">
        <v>0</v>
      </c>
      <c r="C38" s="1" t="s">
        <v>2</v>
      </c>
      <c r="D38" s="1" t="s">
        <v>0</v>
      </c>
      <c r="E38" s="1">
        <v>14</v>
      </c>
      <c r="F38" s="1" t="s">
        <v>1</v>
      </c>
      <c r="G38" s="1" t="s">
        <v>0</v>
      </c>
      <c r="H38" s="1">
        <v>29</v>
      </c>
      <c r="I38" s="1">
        <v>1</v>
      </c>
    </row>
    <row r="39" spans="1:9" x14ac:dyDescent="0.3">
      <c r="A39" s="1">
        <v>2</v>
      </c>
      <c r="B39" s="1">
        <v>0</v>
      </c>
      <c r="C39" s="1" t="s">
        <v>2</v>
      </c>
      <c r="D39" s="1" t="s">
        <v>0</v>
      </c>
      <c r="E39" s="1">
        <v>10</v>
      </c>
      <c r="F39" s="1" t="s">
        <v>1</v>
      </c>
      <c r="G39" s="1" t="s">
        <v>0</v>
      </c>
      <c r="H39" s="1">
        <v>10</v>
      </c>
      <c r="I39" s="1">
        <v>0</v>
      </c>
    </row>
    <row r="40" spans="1:9" x14ac:dyDescent="0.3">
      <c r="A40" s="1">
        <v>2</v>
      </c>
      <c r="B40" s="1">
        <v>0</v>
      </c>
      <c r="C40" s="1" t="s">
        <v>2</v>
      </c>
      <c r="D40" s="1" t="s">
        <v>0</v>
      </c>
      <c r="E40" s="1">
        <v>32</v>
      </c>
      <c r="F40" s="1" t="s">
        <v>1</v>
      </c>
      <c r="G40" s="1" t="s">
        <v>0</v>
      </c>
      <c r="H40" s="1">
        <v>19</v>
      </c>
      <c r="I40" s="1">
        <v>0</v>
      </c>
    </row>
    <row r="41" spans="1:9" x14ac:dyDescent="0.3">
      <c r="A41" s="1">
        <v>2</v>
      </c>
      <c r="B41" s="1">
        <v>0</v>
      </c>
      <c r="C41" s="1" t="s">
        <v>2</v>
      </c>
      <c r="D41" s="1" t="s">
        <v>0</v>
      </c>
      <c r="E41" s="1">
        <v>36</v>
      </c>
      <c r="F41" s="1" t="s">
        <v>1</v>
      </c>
      <c r="G41" s="1" t="s">
        <v>0</v>
      </c>
      <c r="H41" s="1">
        <v>29</v>
      </c>
      <c r="I41" s="1">
        <v>0</v>
      </c>
    </row>
    <row r="42" spans="1:9" x14ac:dyDescent="0.3">
      <c r="A42" s="1">
        <v>2</v>
      </c>
      <c r="B42" s="1">
        <v>0</v>
      </c>
      <c r="C42" s="1" t="s">
        <v>2</v>
      </c>
      <c r="D42" s="1" t="s">
        <v>0</v>
      </c>
      <c r="E42" s="1">
        <v>21</v>
      </c>
      <c r="F42" s="1" t="s">
        <v>1</v>
      </c>
      <c r="G42" s="1" t="s">
        <v>0</v>
      </c>
      <c r="H42" s="1">
        <v>11</v>
      </c>
      <c r="I42" s="1">
        <v>0</v>
      </c>
    </row>
    <row r="43" spans="1:9" x14ac:dyDescent="0.3">
      <c r="A43" s="1">
        <v>2</v>
      </c>
      <c r="B43" s="1">
        <v>0</v>
      </c>
      <c r="C43" s="1" t="s">
        <v>2</v>
      </c>
      <c r="D43" s="1" t="s">
        <v>0</v>
      </c>
      <c r="E43" s="1">
        <v>53</v>
      </c>
      <c r="F43" s="1" t="s">
        <v>1</v>
      </c>
      <c r="G43" s="1" t="s">
        <v>0</v>
      </c>
      <c r="H43" s="1">
        <v>9</v>
      </c>
      <c r="I43" s="1">
        <v>0</v>
      </c>
    </row>
    <row r="44" spans="1:9" x14ac:dyDescent="0.3">
      <c r="A44" s="1">
        <v>2</v>
      </c>
      <c r="B44" s="1">
        <v>0</v>
      </c>
      <c r="C44" s="1" t="s">
        <v>2</v>
      </c>
      <c r="D44" s="1" t="s">
        <v>0</v>
      </c>
      <c r="E44" s="1">
        <v>25</v>
      </c>
      <c r="F44" s="1" t="s">
        <v>1</v>
      </c>
      <c r="G44" s="1" t="s">
        <v>0</v>
      </c>
      <c r="H44" s="1">
        <v>32</v>
      </c>
      <c r="I44" s="1">
        <v>1</v>
      </c>
    </row>
    <row r="45" spans="1:9" x14ac:dyDescent="0.3">
      <c r="A45" s="1">
        <v>2</v>
      </c>
      <c r="B45" s="1">
        <v>0</v>
      </c>
      <c r="C45" s="1" t="s">
        <v>2</v>
      </c>
      <c r="D45" s="1" t="s">
        <v>0</v>
      </c>
      <c r="E45" s="1">
        <v>14</v>
      </c>
      <c r="F45" s="1" t="s">
        <v>1</v>
      </c>
      <c r="G45" s="1" t="s">
        <v>0</v>
      </c>
      <c r="H45" s="1">
        <v>0</v>
      </c>
      <c r="I45" s="1">
        <v>0</v>
      </c>
    </row>
    <row r="46" spans="1:9" x14ac:dyDescent="0.3">
      <c r="A46" s="1">
        <v>2</v>
      </c>
      <c r="B46" s="1">
        <v>0</v>
      </c>
      <c r="C46" s="1" t="s">
        <v>2</v>
      </c>
      <c r="D46" s="1" t="s">
        <v>0</v>
      </c>
      <c r="E46" s="1">
        <v>29</v>
      </c>
      <c r="F46" s="1" t="s">
        <v>1</v>
      </c>
      <c r="G46" s="1" t="s">
        <v>0</v>
      </c>
      <c r="H46" s="1">
        <v>11</v>
      </c>
      <c r="I46" s="1">
        <v>0</v>
      </c>
    </row>
    <row r="47" spans="1:9" x14ac:dyDescent="0.3">
      <c r="A47" s="1">
        <v>2</v>
      </c>
      <c r="B47" s="1">
        <v>0</v>
      </c>
      <c r="C47" s="1" t="s">
        <v>2</v>
      </c>
      <c r="D47" s="1" t="s">
        <v>0</v>
      </c>
      <c r="E47" s="1">
        <v>13</v>
      </c>
      <c r="F47" s="1" t="s">
        <v>1</v>
      </c>
      <c r="G47" s="1" t="s">
        <v>0</v>
      </c>
      <c r="H47" s="1">
        <v>43</v>
      </c>
      <c r="I47" s="1">
        <v>1</v>
      </c>
    </row>
    <row r="48" spans="1:9" x14ac:dyDescent="0.3">
      <c r="A48" s="1">
        <v>2</v>
      </c>
      <c r="B48" s="1">
        <v>0</v>
      </c>
      <c r="C48" s="1" t="s">
        <v>2</v>
      </c>
      <c r="D48" s="1" t="s">
        <v>0</v>
      </c>
      <c r="E48" s="1">
        <v>54</v>
      </c>
      <c r="F48" s="1" t="s">
        <v>1</v>
      </c>
      <c r="G48" s="1" t="s">
        <v>0</v>
      </c>
      <c r="H48" s="1">
        <v>23</v>
      </c>
      <c r="I48" s="1">
        <v>0</v>
      </c>
    </row>
    <row r="49" spans="1:9" x14ac:dyDescent="0.3">
      <c r="A49" s="1">
        <v>2</v>
      </c>
      <c r="B49" s="1">
        <v>0</v>
      </c>
      <c r="C49" s="1" t="s">
        <v>2</v>
      </c>
      <c r="D49" s="1" t="s">
        <v>0</v>
      </c>
      <c r="E49" s="1">
        <v>20</v>
      </c>
      <c r="F49" s="1" t="s">
        <v>1</v>
      </c>
      <c r="G49" s="1" t="s">
        <v>0</v>
      </c>
      <c r="H49" s="1">
        <v>27</v>
      </c>
      <c r="I49" s="1">
        <v>1</v>
      </c>
    </row>
    <row r="50" spans="1:9" x14ac:dyDescent="0.3">
      <c r="A50" s="1">
        <v>2</v>
      </c>
      <c r="B50" s="1">
        <v>0</v>
      </c>
      <c r="C50" s="1" t="s">
        <v>2</v>
      </c>
      <c r="D50" s="1" t="s">
        <v>0</v>
      </c>
      <c r="E50" s="1">
        <v>38</v>
      </c>
      <c r="F50" s="1" t="s">
        <v>1</v>
      </c>
      <c r="G50" s="1" t="s">
        <v>0</v>
      </c>
      <c r="H50" s="1">
        <v>24</v>
      </c>
      <c r="I50" s="1">
        <v>0</v>
      </c>
    </row>
    <row r="51" spans="1:9" x14ac:dyDescent="0.3">
      <c r="A51" s="1">
        <v>2</v>
      </c>
      <c r="B51" s="1">
        <v>1</v>
      </c>
      <c r="C51" s="1" t="s">
        <v>2</v>
      </c>
      <c r="D51" s="1" t="s">
        <v>0</v>
      </c>
      <c r="E51" s="1">
        <v>13</v>
      </c>
      <c r="F51" s="1" t="s">
        <v>1</v>
      </c>
      <c r="G51" s="1" t="s">
        <v>0</v>
      </c>
      <c r="H51" s="1">
        <v>12</v>
      </c>
      <c r="I51" s="1">
        <v>0</v>
      </c>
    </row>
    <row r="52" spans="1:9" x14ac:dyDescent="0.3">
      <c r="A52" s="1">
        <v>2</v>
      </c>
      <c r="B52" s="1">
        <v>1</v>
      </c>
      <c r="C52" s="1" t="s">
        <v>2</v>
      </c>
      <c r="D52" s="1" t="s">
        <v>0</v>
      </c>
      <c r="E52" s="1">
        <v>11</v>
      </c>
      <c r="F52" s="1" t="s">
        <v>1</v>
      </c>
      <c r="G52" s="1" t="s">
        <v>0</v>
      </c>
      <c r="H52" s="1">
        <v>20</v>
      </c>
      <c r="I52" s="1">
        <v>1</v>
      </c>
    </row>
    <row r="53" spans="1:9" x14ac:dyDescent="0.3">
      <c r="A53" s="1">
        <v>2</v>
      </c>
      <c r="B53" s="1">
        <v>1</v>
      </c>
      <c r="C53" s="1" t="s">
        <v>2</v>
      </c>
      <c r="D53" s="1" t="s">
        <v>0</v>
      </c>
      <c r="E53" s="1">
        <v>57</v>
      </c>
      <c r="F53" s="1" t="s">
        <v>1</v>
      </c>
      <c r="G53" s="1" t="s">
        <v>0</v>
      </c>
      <c r="H53" s="1">
        <v>4</v>
      </c>
      <c r="I53" s="1">
        <v>0</v>
      </c>
    </row>
    <row r="54" spans="1:9" x14ac:dyDescent="0.3">
      <c r="A54" s="1">
        <v>2</v>
      </c>
      <c r="B54" s="1">
        <v>1</v>
      </c>
      <c r="C54" s="1" t="s">
        <v>2</v>
      </c>
      <c r="D54" s="1" t="s">
        <v>0</v>
      </c>
      <c r="E54" s="1">
        <v>26</v>
      </c>
      <c r="F54" s="1" t="s">
        <v>1</v>
      </c>
      <c r="G54" s="1" t="s">
        <v>0</v>
      </c>
      <c r="H54" s="1">
        <v>2</v>
      </c>
      <c r="I54" s="1">
        <v>0</v>
      </c>
    </row>
    <row r="55" spans="1:9" x14ac:dyDescent="0.3">
      <c r="A55" s="1">
        <v>2</v>
      </c>
      <c r="B55" s="1">
        <v>1</v>
      </c>
      <c r="C55" s="1" t="s">
        <v>2</v>
      </c>
      <c r="D55" s="1" t="s">
        <v>0</v>
      </c>
      <c r="E55" s="1">
        <v>21</v>
      </c>
      <c r="F55" s="1" t="s">
        <v>1</v>
      </c>
      <c r="G55" s="1" t="s">
        <v>0</v>
      </c>
      <c r="H55" s="1">
        <v>23</v>
      </c>
      <c r="I55" s="1">
        <v>1</v>
      </c>
    </row>
    <row r="56" spans="1:9" x14ac:dyDescent="0.3">
      <c r="A56" s="1">
        <v>2</v>
      </c>
      <c r="B56" s="1">
        <v>1</v>
      </c>
      <c r="C56" s="1" t="s">
        <v>2</v>
      </c>
      <c r="D56" s="1" t="s">
        <v>0</v>
      </c>
      <c r="E56" s="1">
        <v>16</v>
      </c>
      <c r="F56" s="1" t="s">
        <v>1</v>
      </c>
      <c r="G56" s="1" t="s">
        <v>0</v>
      </c>
      <c r="H56" s="1">
        <v>41</v>
      </c>
      <c r="I56" s="1">
        <v>1</v>
      </c>
    </row>
    <row r="57" spans="1:9" x14ac:dyDescent="0.3">
      <c r="A57" s="1">
        <v>2</v>
      </c>
      <c r="B57" s="1">
        <v>1</v>
      </c>
      <c r="C57" s="1" t="s">
        <v>2</v>
      </c>
      <c r="D57" s="1" t="s">
        <v>0</v>
      </c>
      <c r="E57" s="1">
        <v>12</v>
      </c>
      <c r="F57" s="1" t="s">
        <v>1</v>
      </c>
      <c r="G57" s="1" t="s">
        <v>0</v>
      </c>
      <c r="H57" s="1">
        <v>13</v>
      </c>
      <c r="I57" s="1">
        <v>1</v>
      </c>
    </row>
    <row r="58" spans="1:9" x14ac:dyDescent="0.3">
      <c r="A58" s="1">
        <v>2</v>
      </c>
      <c r="B58" s="1">
        <v>1</v>
      </c>
      <c r="C58" s="1" t="s">
        <v>2</v>
      </c>
      <c r="D58" s="1" t="s">
        <v>0</v>
      </c>
      <c r="E58" s="1">
        <v>45</v>
      </c>
      <c r="F58" s="1" t="s">
        <v>1</v>
      </c>
      <c r="G58" s="1" t="s">
        <v>0</v>
      </c>
      <c r="H58" s="1">
        <v>10</v>
      </c>
      <c r="I58" s="1">
        <v>0</v>
      </c>
    </row>
    <row r="59" spans="1:9" x14ac:dyDescent="0.3">
      <c r="A59" s="1">
        <v>2</v>
      </c>
      <c r="B59" s="1">
        <v>1</v>
      </c>
      <c r="C59" s="1" t="s">
        <v>2</v>
      </c>
      <c r="D59" s="1" t="s">
        <v>0</v>
      </c>
      <c r="E59" s="1">
        <v>2</v>
      </c>
      <c r="F59" s="1" t="s">
        <v>1</v>
      </c>
      <c r="G59" s="1" t="s">
        <v>0</v>
      </c>
      <c r="H59" s="1">
        <v>61</v>
      </c>
      <c r="I59" s="1">
        <v>1</v>
      </c>
    </row>
    <row r="60" spans="1:9" x14ac:dyDescent="0.3">
      <c r="A60" s="1">
        <v>2</v>
      </c>
      <c r="B60" s="1">
        <v>1</v>
      </c>
      <c r="C60" s="1" t="s">
        <v>2</v>
      </c>
      <c r="D60" s="1" t="s">
        <v>0</v>
      </c>
      <c r="E60" s="1">
        <v>30</v>
      </c>
      <c r="F60" s="1" t="s">
        <v>1</v>
      </c>
      <c r="G60" s="1" t="s">
        <v>0</v>
      </c>
      <c r="H60" s="1">
        <v>34</v>
      </c>
      <c r="I60" s="1">
        <v>1</v>
      </c>
    </row>
    <row r="61" spans="1:9" x14ac:dyDescent="0.3">
      <c r="A61" s="1">
        <v>2</v>
      </c>
      <c r="B61" s="1">
        <v>1</v>
      </c>
      <c r="C61" s="1" t="s">
        <v>2</v>
      </c>
      <c r="D61" s="1" t="s">
        <v>0</v>
      </c>
      <c r="E61" s="1">
        <v>16</v>
      </c>
      <c r="F61" s="1" t="s">
        <v>1</v>
      </c>
      <c r="G61" s="1" t="s">
        <v>0</v>
      </c>
      <c r="H61" s="1">
        <v>19</v>
      </c>
      <c r="I61" s="1">
        <v>1</v>
      </c>
    </row>
    <row r="62" spans="1:9" x14ac:dyDescent="0.3">
      <c r="A62" s="1">
        <v>2</v>
      </c>
      <c r="B62" s="1">
        <v>1</v>
      </c>
      <c r="C62" s="1" t="s">
        <v>2</v>
      </c>
      <c r="D62" s="1" t="s">
        <v>0</v>
      </c>
      <c r="E62" s="1">
        <v>20</v>
      </c>
      <c r="F62" s="1" t="s">
        <v>1</v>
      </c>
      <c r="G62" s="1" t="s">
        <v>0</v>
      </c>
      <c r="H62" s="1">
        <v>46</v>
      </c>
      <c r="I62" s="1">
        <v>1</v>
      </c>
    </row>
    <row r="63" spans="1:9" x14ac:dyDescent="0.3">
      <c r="A63" s="1">
        <v>2</v>
      </c>
      <c r="B63" s="1">
        <v>1</v>
      </c>
      <c r="C63" s="1" t="s">
        <v>2</v>
      </c>
      <c r="D63" s="1" t="s">
        <v>0</v>
      </c>
      <c r="E63" s="1">
        <v>44</v>
      </c>
      <c r="F63" s="1" t="s">
        <v>1</v>
      </c>
      <c r="G63" s="1" t="s">
        <v>0</v>
      </c>
      <c r="H63" s="1">
        <v>68</v>
      </c>
      <c r="I63" s="1">
        <v>1</v>
      </c>
    </row>
    <row r="64" spans="1:9" x14ac:dyDescent="0.3">
      <c r="A64" s="1">
        <v>2</v>
      </c>
      <c r="B64" s="1">
        <v>1</v>
      </c>
      <c r="C64" s="1" t="s">
        <v>2</v>
      </c>
      <c r="D64" s="1" t="s">
        <v>0</v>
      </c>
      <c r="E64" s="1">
        <v>2</v>
      </c>
      <c r="F64" s="1" t="s">
        <v>1</v>
      </c>
      <c r="G64" s="1" t="s">
        <v>0</v>
      </c>
      <c r="H64" s="1">
        <v>34</v>
      </c>
      <c r="I64" s="1">
        <v>1</v>
      </c>
    </row>
    <row r="65" spans="1:9" x14ac:dyDescent="0.3">
      <c r="A65" s="1">
        <v>2</v>
      </c>
      <c r="B65" s="1">
        <v>1</v>
      </c>
      <c r="C65" s="1" t="s">
        <v>2</v>
      </c>
      <c r="D65" s="1" t="s">
        <v>0</v>
      </c>
      <c r="E65" s="1">
        <v>34</v>
      </c>
      <c r="F65" s="1" t="s">
        <v>1</v>
      </c>
      <c r="G65" s="1" t="s">
        <v>0</v>
      </c>
      <c r="H65" s="1">
        <v>18</v>
      </c>
      <c r="I65" s="1">
        <v>0</v>
      </c>
    </row>
    <row r="66" spans="1:9" x14ac:dyDescent="0.3">
      <c r="A66" s="1">
        <v>2</v>
      </c>
      <c r="B66" s="1">
        <v>1</v>
      </c>
      <c r="C66" s="1" t="s">
        <v>2</v>
      </c>
      <c r="D66" s="1" t="s">
        <v>0</v>
      </c>
      <c r="E66" s="1">
        <v>20</v>
      </c>
      <c r="F66" s="1" t="s">
        <v>1</v>
      </c>
      <c r="G66" s="1" t="s">
        <v>0</v>
      </c>
      <c r="H66" s="1">
        <v>8</v>
      </c>
      <c r="I66" s="1">
        <v>0</v>
      </c>
    </row>
    <row r="67" spans="1:9" x14ac:dyDescent="0.3">
      <c r="A67" s="1">
        <v>2</v>
      </c>
      <c r="B67" s="1">
        <v>1</v>
      </c>
      <c r="C67" s="1" t="s">
        <v>2</v>
      </c>
      <c r="D67" s="1" t="s">
        <v>0</v>
      </c>
      <c r="E67" s="1">
        <v>34</v>
      </c>
      <c r="F67" s="1" t="s">
        <v>1</v>
      </c>
      <c r="G67" s="1" t="s">
        <v>0</v>
      </c>
      <c r="H67" s="1">
        <v>5</v>
      </c>
      <c r="I67" s="1">
        <v>0</v>
      </c>
    </row>
    <row r="68" spans="1:9" x14ac:dyDescent="0.3">
      <c r="A68" s="1">
        <v>2</v>
      </c>
      <c r="B68" s="1">
        <v>1</v>
      </c>
      <c r="C68" s="1" t="s">
        <v>2</v>
      </c>
      <c r="D68" s="1" t="s">
        <v>0</v>
      </c>
      <c r="E68" s="1">
        <v>42</v>
      </c>
      <c r="F68" s="1" t="s">
        <v>1</v>
      </c>
      <c r="G68" s="1" t="s">
        <v>0</v>
      </c>
      <c r="H68" s="1">
        <v>4</v>
      </c>
      <c r="I68" s="1">
        <v>0</v>
      </c>
    </row>
    <row r="69" spans="1:9" x14ac:dyDescent="0.3">
      <c r="A69" s="1">
        <v>2</v>
      </c>
      <c r="B69" s="1">
        <v>1</v>
      </c>
      <c r="C69" s="1" t="s">
        <v>2</v>
      </c>
      <c r="D69" s="1" t="s">
        <v>0</v>
      </c>
      <c r="E69" s="1">
        <v>29</v>
      </c>
      <c r="F69" s="1" t="s">
        <v>1</v>
      </c>
      <c r="G69" s="1" t="s">
        <v>0</v>
      </c>
      <c r="H69" s="1">
        <v>14</v>
      </c>
      <c r="I69" s="1">
        <v>0</v>
      </c>
    </row>
    <row r="70" spans="1:9" x14ac:dyDescent="0.3">
      <c r="A70" s="1">
        <v>2</v>
      </c>
      <c r="B70" s="1">
        <v>1</v>
      </c>
      <c r="C70" s="1" t="s">
        <v>2</v>
      </c>
      <c r="D70" s="1" t="s">
        <v>0</v>
      </c>
      <c r="E70" s="1">
        <v>66</v>
      </c>
      <c r="F70" s="1" t="s">
        <v>1</v>
      </c>
      <c r="G70" s="1" t="s">
        <v>0</v>
      </c>
      <c r="H70" s="1">
        <v>18</v>
      </c>
      <c r="I70" s="1">
        <v>0</v>
      </c>
    </row>
    <row r="71" spans="1:9" x14ac:dyDescent="0.3">
      <c r="A71" s="1">
        <v>2</v>
      </c>
      <c r="B71" s="1">
        <v>1</v>
      </c>
      <c r="C71" s="1" t="s">
        <v>2</v>
      </c>
      <c r="D71" s="1" t="s">
        <v>0</v>
      </c>
      <c r="E71" s="1">
        <v>25</v>
      </c>
      <c r="F71" s="1" t="s">
        <v>1</v>
      </c>
      <c r="G71" s="1" t="s">
        <v>0</v>
      </c>
      <c r="H71" s="1">
        <v>0</v>
      </c>
      <c r="I71" s="1">
        <v>0</v>
      </c>
    </row>
    <row r="72" spans="1:9" x14ac:dyDescent="0.3">
      <c r="A72" s="1">
        <v>2</v>
      </c>
      <c r="B72" s="1">
        <v>1</v>
      </c>
      <c r="C72" s="1" t="s">
        <v>2</v>
      </c>
      <c r="D72" s="1" t="s">
        <v>0</v>
      </c>
      <c r="E72" s="1">
        <v>12</v>
      </c>
      <c r="F72" s="1" t="s">
        <v>1</v>
      </c>
      <c r="G72" s="1" t="s">
        <v>0</v>
      </c>
      <c r="H72" s="1">
        <v>21</v>
      </c>
      <c r="I72" s="1">
        <v>1</v>
      </c>
    </row>
    <row r="73" spans="1:9" x14ac:dyDescent="0.3">
      <c r="A73" s="1">
        <v>2</v>
      </c>
      <c r="B73" s="1">
        <v>1</v>
      </c>
      <c r="C73" s="1" t="s">
        <v>2</v>
      </c>
      <c r="D73" s="1" t="s">
        <v>0</v>
      </c>
      <c r="E73" s="1">
        <v>77</v>
      </c>
      <c r="F73" s="1" t="s">
        <v>1</v>
      </c>
      <c r="G73" s="1" t="s">
        <v>0</v>
      </c>
      <c r="H73" s="1">
        <v>39</v>
      </c>
      <c r="I73" s="1">
        <v>0</v>
      </c>
    </row>
    <row r="74" spans="1:9" x14ac:dyDescent="0.3">
      <c r="A74" s="1">
        <v>2</v>
      </c>
      <c r="B74" s="1">
        <v>1</v>
      </c>
      <c r="C74" s="1" t="s">
        <v>2</v>
      </c>
      <c r="D74" s="1" t="s">
        <v>0</v>
      </c>
      <c r="E74" s="1">
        <v>44</v>
      </c>
      <c r="F74" s="1" t="s">
        <v>1</v>
      </c>
      <c r="G74" s="1" t="s">
        <v>0</v>
      </c>
      <c r="H74" s="1">
        <v>0</v>
      </c>
      <c r="I74" s="1">
        <v>0</v>
      </c>
    </row>
    <row r="75" spans="1:9" x14ac:dyDescent="0.3">
      <c r="A75" s="1">
        <v>2</v>
      </c>
      <c r="B75" s="1">
        <v>1</v>
      </c>
      <c r="C75" s="1" t="s">
        <v>2</v>
      </c>
      <c r="D75" s="1" t="s">
        <v>0</v>
      </c>
      <c r="E75" s="1">
        <v>16</v>
      </c>
      <c r="F75" s="1" t="s">
        <v>1</v>
      </c>
      <c r="G75" s="1" t="s">
        <v>0</v>
      </c>
      <c r="H75" s="1">
        <v>41</v>
      </c>
      <c r="I75" s="1">
        <v>1</v>
      </c>
    </row>
    <row r="76" spans="1:9" x14ac:dyDescent="0.3">
      <c r="A76" s="1">
        <v>2</v>
      </c>
      <c r="B76" s="1">
        <v>1</v>
      </c>
      <c r="C76" s="1" t="s">
        <v>2</v>
      </c>
      <c r="D76" s="1" t="s">
        <v>0</v>
      </c>
      <c r="E76" s="1">
        <v>7</v>
      </c>
      <c r="F76" s="1" t="s">
        <v>1</v>
      </c>
      <c r="G76" s="1" t="s">
        <v>0</v>
      </c>
      <c r="H76" s="1">
        <v>33</v>
      </c>
      <c r="I76" s="1">
        <v>1</v>
      </c>
    </row>
    <row r="77" spans="1:9" x14ac:dyDescent="0.3">
      <c r="A77" s="1">
        <v>2</v>
      </c>
      <c r="B77" s="1">
        <v>1</v>
      </c>
      <c r="C77" s="1" t="s">
        <v>2</v>
      </c>
      <c r="D77" s="1" t="s">
        <v>0</v>
      </c>
      <c r="E77" s="1">
        <v>9</v>
      </c>
      <c r="F77" s="1" t="s">
        <v>1</v>
      </c>
      <c r="G77" s="1" t="s">
        <v>0</v>
      </c>
      <c r="H77" s="1">
        <v>5</v>
      </c>
      <c r="I77" s="1">
        <v>0</v>
      </c>
    </row>
    <row r="78" spans="1:9" x14ac:dyDescent="0.3">
      <c r="A78" s="1">
        <v>2</v>
      </c>
      <c r="B78" s="1">
        <v>1</v>
      </c>
      <c r="C78" s="1" t="s">
        <v>2</v>
      </c>
      <c r="D78" s="1" t="s">
        <v>0</v>
      </c>
      <c r="E78" s="1">
        <v>26</v>
      </c>
      <c r="F78" s="1" t="s">
        <v>1</v>
      </c>
      <c r="G78" s="1" t="s">
        <v>0</v>
      </c>
      <c r="H78" s="1">
        <v>0</v>
      </c>
      <c r="I78" s="1">
        <v>0</v>
      </c>
    </row>
    <row r="79" spans="1:9" x14ac:dyDescent="0.3">
      <c r="A79" s="1">
        <v>2</v>
      </c>
      <c r="B79" s="1">
        <v>1</v>
      </c>
      <c r="C79" s="1" t="s">
        <v>2</v>
      </c>
      <c r="D79" s="1" t="s">
        <v>0</v>
      </c>
      <c r="E79" s="1">
        <v>56</v>
      </c>
      <c r="F79" s="1" t="s">
        <v>1</v>
      </c>
      <c r="G79" s="1" t="s">
        <v>0</v>
      </c>
      <c r="H79" s="1">
        <v>14</v>
      </c>
      <c r="I79" s="1">
        <v>0</v>
      </c>
    </row>
    <row r="80" spans="1:9" x14ac:dyDescent="0.3">
      <c r="A80" s="1">
        <v>2</v>
      </c>
      <c r="B80" s="1">
        <v>1</v>
      </c>
      <c r="C80" s="1" t="s">
        <v>2</v>
      </c>
      <c r="D80" s="1" t="s">
        <v>0</v>
      </c>
      <c r="E80" s="1">
        <v>2</v>
      </c>
      <c r="F80" s="1" t="s">
        <v>1</v>
      </c>
      <c r="G80" s="1" t="s">
        <v>0</v>
      </c>
      <c r="H80" s="1">
        <v>8</v>
      </c>
      <c r="I80" s="1">
        <v>1</v>
      </c>
    </row>
    <row r="81" spans="1:9" x14ac:dyDescent="0.3">
      <c r="A81" s="1">
        <v>2</v>
      </c>
      <c r="B81" s="1">
        <v>1</v>
      </c>
      <c r="C81" s="1" t="s">
        <v>2</v>
      </c>
      <c r="D81" s="1" t="s">
        <v>0</v>
      </c>
      <c r="E81" s="1">
        <v>68</v>
      </c>
      <c r="F81" s="1" t="s">
        <v>1</v>
      </c>
      <c r="G81" s="1" t="s">
        <v>0</v>
      </c>
      <c r="H81" s="1">
        <v>28</v>
      </c>
      <c r="I81" s="1">
        <v>0</v>
      </c>
    </row>
    <row r="82" spans="1:9" x14ac:dyDescent="0.3">
      <c r="A82" s="1">
        <v>2</v>
      </c>
      <c r="B82" s="1">
        <v>1</v>
      </c>
      <c r="C82" s="1" t="s">
        <v>2</v>
      </c>
      <c r="D82" s="1" t="s">
        <v>0</v>
      </c>
      <c r="E82" s="1">
        <v>31</v>
      </c>
      <c r="F82" s="1" t="s">
        <v>1</v>
      </c>
      <c r="G82" s="1" t="s">
        <v>0</v>
      </c>
      <c r="H82" s="1">
        <v>2</v>
      </c>
      <c r="I82" s="1">
        <v>0</v>
      </c>
    </row>
    <row r="83" spans="1:9" x14ac:dyDescent="0.3">
      <c r="A83" s="1">
        <v>2</v>
      </c>
      <c r="B83" s="1">
        <v>1</v>
      </c>
      <c r="C83" s="1" t="s">
        <v>2</v>
      </c>
      <c r="D83" s="1" t="s">
        <v>0</v>
      </c>
      <c r="E83" s="1">
        <v>17</v>
      </c>
      <c r="F83" s="1" t="s">
        <v>1</v>
      </c>
      <c r="G83" s="1" t="s">
        <v>0</v>
      </c>
      <c r="H83" s="1">
        <v>36</v>
      </c>
      <c r="I83" s="1">
        <v>1</v>
      </c>
    </row>
    <row r="84" spans="1:9" x14ac:dyDescent="0.3">
      <c r="A84" s="1">
        <v>2</v>
      </c>
      <c r="B84" s="1">
        <v>1</v>
      </c>
      <c r="C84" s="1" t="s">
        <v>2</v>
      </c>
      <c r="D84" s="1" t="s">
        <v>0</v>
      </c>
      <c r="E84" s="1">
        <v>5</v>
      </c>
      <c r="F84" s="1" t="s">
        <v>1</v>
      </c>
      <c r="G84" s="1" t="s">
        <v>0</v>
      </c>
      <c r="H84" s="1">
        <v>60</v>
      </c>
      <c r="I84" s="1">
        <v>1</v>
      </c>
    </row>
    <row r="85" spans="1:9" x14ac:dyDescent="0.3">
      <c r="A85" s="1">
        <v>2</v>
      </c>
      <c r="B85" s="1">
        <v>1</v>
      </c>
      <c r="C85" s="1" t="s">
        <v>2</v>
      </c>
      <c r="D85" s="1" t="s">
        <v>0</v>
      </c>
      <c r="E85" s="1">
        <v>25</v>
      </c>
      <c r="F85" s="1" t="s">
        <v>1</v>
      </c>
      <c r="G85" s="1" t="s">
        <v>0</v>
      </c>
      <c r="H85" s="1">
        <v>32</v>
      </c>
      <c r="I85" s="1">
        <v>1</v>
      </c>
    </row>
    <row r="86" spans="1:9" x14ac:dyDescent="0.3">
      <c r="A86" s="1">
        <v>2</v>
      </c>
      <c r="B86" s="1">
        <v>1</v>
      </c>
      <c r="C86" s="1" t="s">
        <v>2</v>
      </c>
      <c r="D86" s="1" t="s">
        <v>0</v>
      </c>
      <c r="E86" s="1">
        <v>61</v>
      </c>
      <c r="F86" s="1" t="s">
        <v>1</v>
      </c>
      <c r="G86" s="1" t="s">
        <v>0</v>
      </c>
      <c r="H86" s="1">
        <v>1</v>
      </c>
      <c r="I86" s="1">
        <v>0</v>
      </c>
    </row>
    <row r="87" spans="1:9" x14ac:dyDescent="0.3">
      <c r="A87" s="1">
        <v>2</v>
      </c>
      <c r="B87" s="1">
        <v>1</v>
      </c>
      <c r="C87" s="1" t="s">
        <v>2</v>
      </c>
      <c r="D87" s="1" t="s">
        <v>0</v>
      </c>
      <c r="E87" s="1">
        <v>27</v>
      </c>
      <c r="F87" s="1" t="s">
        <v>1</v>
      </c>
      <c r="G87" s="1" t="s">
        <v>0</v>
      </c>
      <c r="H87" s="1">
        <v>11</v>
      </c>
      <c r="I87" s="1">
        <v>0</v>
      </c>
    </row>
    <row r="88" spans="1:9" x14ac:dyDescent="0.3">
      <c r="A88" s="1">
        <v>2</v>
      </c>
      <c r="B88" s="1">
        <v>1</v>
      </c>
      <c r="C88" s="1" t="s">
        <v>2</v>
      </c>
      <c r="D88" s="1" t="s">
        <v>0</v>
      </c>
      <c r="E88" s="1">
        <v>13</v>
      </c>
      <c r="F88" s="1" t="s">
        <v>1</v>
      </c>
      <c r="G88" s="1" t="s">
        <v>0</v>
      </c>
      <c r="H88" s="1">
        <v>33</v>
      </c>
      <c r="I88" s="1">
        <v>1</v>
      </c>
    </row>
    <row r="89" spans="1:9" x14ac:dyDescent="0.3">
      <c r="A89" s="1">
        <v>2</v>
      </c>
      <c r="B89" s="1">
        <v>1</v>
      </c>
      <c r="C89" s="1" t="s">
        <v>2</v>
      </c>
      <c r="D89" s="1" t="s">
        <v>0</v>
      </c>
      <c r="E89" s="1">
        <v>38</v>
      </c>
      <c r="F89" s="1" t="s">
        <v>1</v>
      </c>
      <c r="G89" s="1" t="s">
        <v>0</v>
      </c>
      <c r="H89" s="1">
        <v>13</v>
      </c>
      <c r="I89" s="1">
        <v>0</v>
      </c>
    </row>
    <row r="90" spans="1:9" x14ac:dyDescent="0.3">
      <c r="A90" s="1">
        <v>2</v>
      </c>
      <c r="B90" s="1">
        <v>1</v>
      </c>
      <c r="C90" s="1" t="s">
        <v>2</v>
      </c>
      <c r="D90" s="1" t="s">
        <v>0</v>
      </c>
      <c r="E90" s="1">
        <v>56</v>
      </c>
      <c r="F90" s="1" t="s">
        <v>1</v>
      </c>
      <c r="G90" s="1" t="s">
        <v>0</v>
      </c>
      <c r="H90" s="1">
        <v>42</v>
      </c>
      <c r="I90" s="1">
        <v>0</v>
      </c>
    </row>
    <row r="91" spans="1:9" x14ac:dyDescent="0.3">
      <c r="A91" s="1">
        <v>2</v>
      </c>
      <c r="B91" s="1">
        <v>1</v>
      </c>
      <c r="C91" s="1" t="s">
        <v>2</v>
      </c>
      <c r="D91" s="1" t="s">
        <v>0</v>
      </c>
      <c r="E91" s="1">
        <v>8</v>
      </c>
      <c r="F91" s="1" t="s">
        <v>1</v>
      </c>
      <c r="G91" s="1" t="s">
        <v>0</v>
      </c>
      <c r="H91" s="1">
        <v>16</v>
      </c>
      <c r="I91" s="1">
        <v>1</v>
      </c>
    </row>
    <row r="92" spans="1:9" x14ac:dyDescent="0.3">
      <c r="A92" s="1">
        <v>2</v>
      </c>
      <c r="B92" s="1">
        <v>1</v>
      </c>
      <c r="C92" s="1" t="s">
        <v>2</v>
      </c>
      <c r="D92" s="1" t="s">
        <v>0</v>
      </c>
      <c r="E92" s="1">
        <v>25</v>
      </c>
      <c r="F92" s="1" t="s">
        <v>1</v>
      </c>
      <c r="G92" s="1" t="s">
        <v>0</v>
      </c>
      <c r="H92" s="1">
        <v>7</v>
      </c>
      <c r="I92" s="1">
        <v>0</v>
      </c>
    </row>
    <row r="93" spans="1:9" x14ac:dyDescent="0.3">
      <c r="A93" s="1">
        <v>2</v>
      </c>
      <c r="B93" s="1">
        <v>1</v>
      </c>
      <c r="C93" s="1" t="s">
        <v>2</v>
      </c>
      <c r="D93" s="1" t="s">
        <v>0</v>
      </c>
      <c r="E93" s="1">
        <v>20</v>
      </c>
      <c r="F93" s="1" t="s">
        <v>1</v>
      </c>
      <c r="G93" s="1" t="s">
        <v>0</v>
      </c>
      <c r="H93" s="1">
        <v>19</v>
      </c>
      <c r="I93" s="1">
        <v>0</v>
      </c>
    </row>
    <row r="94" spans="1:9" x14ac:dyDescent="0.3">
      <c r="A94" s="1">
        <v>2</v>
      </c>
      <c r="B94" s="1">
        <v>1</v>
      </c>
      <c r="C94" s="1" t="s">
        <v>2</v>
      </c>
      <c r="D94" s="1" t="s">
        <v>0</v>
      </c>
      <c r="E94" s="1">
        <v>23</v>
      </c>
      <c r="F94" s="1" t="s">
        <v>1</v>
      </c>
      <c r="G94" s="1" t="s">
        <v>0</v>
      </c>
      <c r="H94" s="1">
        <v>8</v>
      </c>
      <c r="I94" s="1">
        <v>0</v>
      </c>
    </row>
    <row r="95" spans="1:9" x14ac:dyDescent="0.3">
      <c r="A95" s="1">
        <v>2</v>
      </c>
      <c r="B95" s="1">
        <v>1</v>
      </c>
      <c r="C95" s="1" t="s">
        <v>2</v>
      </c>
      <c r="D95" s="1" t="s">
        <v>0</v>
      </c>
      <c r="E95" s="1">
        <v>2</v>
      </c>
      <c r="F95" s="1" t="s">
        <v>1</v>
      </c>
      <c r="G95" s="1" t="s">
        <v>0</v>
      </c>
      <c r="H95" s="1">
        <v>33</v>
      </c>
      <c r="I95" s="1">
        <v>1</v>
      </c>
    </row>
    <row r="96" spans="1:9" x14ac:dyDescent="0.3">
      <c r="A96" s="1">
        <v>2</v>
      </c>
      <c r="B96" s="1">
        <v>1</v>
      </c>
      <c r="C96" s="1" t="s">
        <v>2</v>
      </c>
      <c r="D96" s="1" t="s">
        <v>0</v>
      </c>
      <c r="E96" s="1">
        <v>7</v>
      </c>
      <c r="F96" s="1" t="s">
        <v>1</v>
      </c>
      <c r="G96" s="1" t="s">
        <v>0</v>
      </c>
      <c r="H96" s="1">
        <v>14</v>
      </c>
      <c r="I96" s="1">
        <v>1</v>
      </c>
    </row>
    <row r="97" spans="1:9" x14ac:dyDescent="0.3">
      <c r="A97" s="1">
        <v>2</v>
      </c>
      <c r="B97" s="1">
        <v>1</v>
      </c>
      <c r="C97" s="1" t="s">
        <v>2</v>
      </c>
      <c r="D97" s="1" t="s">
        <v>0</v>
      </c>
      <c r="E97" s="1">
        <v>42</v>
      </c>
      <c r="F97" s="1" t="s">
        <v>1</v>
      </c>
      <c r="G97" s="1" t="s">
        <v>0</v>
      </c>
      <c r="H97" s="1">
        <v>35</v>
      </c>
      <c r="I97" s="1">
        <v>0</v>
      </c>
    </row>
    <row r="98" spans="1:9" x14ac:dyDescent="0.3">
      <c r="A98" s="1">
        <v>2</v>
      </c>
      <c r="B98" s="1">
        <v>1</v>
      </c>
      <c r="C98" s="1" t="s">
        <v>2</v>
      </c>
      <c r="D98" s="1" t="s">
        <v>0</v>
      </c>
      <c r="E98" s="1">
        <v>9</v>
      </c>
      <c r="F98" s="1" t="s">
        <v>1</v>
      </c>
      <c r="G98" s="1" t="s">
        <v>0</v>
      </c>
      <c r="H98" s="1">
        <v>51</v>
      </c>
      <c r="I98" s="1">
        <v>1</v>
      </c>
    </row>
    <row r="99" spans="1:9" x14ac:dyDescent="0.3">
      <c r="A99" s="1">
        <v>2</v>
      </c>
      <c r="B99" s="1">
        <v>1</v>
      </c>
      <c r="C99" s="1" t="s">
        <v>2</v>
      </c>
      <c r="D99" s="1" t="s">
        <v>0</v>
      </c>
      <c r="E99" s="1">
        <v>5</v>
      </c>
      <c r="F99" s="1" t="s">
        <v>1</v>
      </c>
      <c r="G99" s="1" t="s">
        <v>0</v>
      </c>
      <c r="H99" s="1">
        <v>23</v>
      </c>
      <c r="I99" s="1">
        <v>1</v>
      </c>
    </row>
    <row r="100" spans="1:9" x14ac:dyDescent="0.3">
      <c r="A100" s="1">
        <v>2</v>
      </c>
      <c r="B100" s="1">
        <v>1</v>
      </c>
      <c r="C100" s="1" t="s">
        <v>2</v>
      </c>
      <c r="D100" s="1" t="s">
        <v>0</v>
      </c>
      <c r="E100" s="1">
        <v>44</v>
      </c>
      <c r="F100" s="1" t="s">
        <v>1</v>
      </c>
      <c r="G100" s="1" t="s">
        <v>0</v>
      </c>
      <c r="H100" s="1">
        <v>17</v>
      </c>
      <c r="I100" s="1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1E22-7957-4EFB-9E81-872B70D6F814}">
  <dimension ref="A1:T100"/>
  <sheetViews>
    <sheetView topLeftCell="K1" workbookViewId="0">
      <selection activeCell="T2" sqref="T2:T3"/>
    </sheetView>
  </sheetViews>
  <sheetFormatPr defaultRowHeight="14.4" x14ac:dyDescent="0.3"/>
  <cols>
    <col min="1" max="16384" width="8.88671875" style="1"/>
  </cols>
  <sheetData>
    <row r="1" spans="1:20" x14ac:dyDescent="0.3">
      <c r="A1" s="1">
        <v>2</v>
      </c>
      <c r="B1" s="1">
        <v>0</v>
      </c>
      <c r="C1" s="1" t="s">
        <v>2</v>
      </c>
      <c r="D1" s="1" t="s">
        <v>0</v>
      </c>
      <c r="E1" s="1">
        <v>58</v>
      </c>
      <c r="F1" s="1" t="s">
        <v>1</v>
      </c>
      <c r="G1" s="1" t="s">
        <v>0</v>
      </c>
      <c r="H1" s="1">
        <v>26</v>
      </c>
      <c r="I1" s="1">
        <v>0</v>
      </c>
      <c r="K1" s="2"/>
      <c r="L1" s="3"/>
      <c r="M1" s="24" t="s">
        <v>3</v>
      </c>
      <c r="N1" s="24"/>
      <c r="O1" s="19" t="s">
        <v>4</v>
      </c>
      <c r="P1" s="19"/>
      <c r="Q1" s="19" t="s">
        <v>5</v>
      </c>
      <c r="R1" s="19"/>
    </row>
    <row r="2" spans="1:20" x14ac:dyDescent="0.3">
      <c r="A2" s="1">
        <v>2</v>
      </c>
      <c r="B2" s="1">
        <v>0</v>
      </c>
      <c r="C2" s="1" t="s">
        <v>2</v>
      </c>
      <c r="D2" s="1" t="s">
        <v>0</v>
      </c>
      <c r="E2" s="1">
        <v>19</v>
      </c>
      <c r="F2" s="1" t="s">
        <v>1</v>
      </c>
      <c r="G2" s="1" t="s">
        <v>0</v>
      </c>
      <c r="H2" s="1">
        <v>3</v>
      </c>
      <c r="I2" s="1">
        <v>0</v>
      </c>
      <c r="K2" s="4"/>
      <c r="L2" s="5"/>
      <c r="M2" s="24"/>
      <c r="N2" s="24"/>
      <c r="O2" s="19"/>
      <c r="P2" s="19"/>
      <c r="Q2" s="19"/>
      <c r="R2" s="19"/>
      <c r="T2" t="s">
        <v>15</v>
      </c>
    </row>
    <row r="3" spans="1:20" x14ac:dyDescent="0.3">
      <c r="A3" s="1">
        <v>2</v>
      </c>
      <c r="B3" s="1">
        <v>0</v>
      </c>
      <c r="C3" s="1" t="s">
        <v>2</v>
      </c>
      <c r="D3" s="1" t="s">
        <v>0</v>
      </c>
      <c r="E3" s="1">
        <v>2</v>
      </c>
      <c r="F3" s="1" t="s">
        <v>1</v>
      </c>
      <c r="G3" s="1" t="s">
        <v>0</v>
      </c>
      <c r="H3" s="1">
        <v>33</v>
      </c>
      <c r="I3" s="1">
        <v>1</v>
      </c>
      <c r="K3" s="19" t="s">
        <v>6</v>
      </c>
      <c r="L3" s="19"/>
      <c r="M3" s="20">
        <f>COUNTIF($I$1:$I$100, 0)</f>
        <v>64</v>
      </c>
      <c r="N3" s="20"/>
      <c r="O3" s="20">
        <f>COUNTIFS($I$1:$I$100, 0, $B$1:$B$100, 0)</f>
        <v>33</v>
      </c>
      <c r="P3" s="20"/>
      <c r="Q3" s="21">
        <f>COUNTIFS($I$1:$I$100, 0, $B$1:$B$100, 1)</f>
        <v>31</v>
      </c>
      <c r="R3" s="10"/>
      <c r="T3" cm="1">
        <f t="array" ref="T3">SUMPRODUCT(--($E$1:$E$100=$H$1:$H$100))</f>
        <v>3</v>
      </c>
    </row>
    <row r="4" spans="1:20" x14ac:dyDescent="0.3">
      <c r="A4" s="1">
        <v>2</v>
      </c>
      <c r="B4" s="1">
        <v>0</v>
      </c>
      <c r="C4" s="1" t="s">
        <v>2</v>
      </c>
      <c r="D4" s="1" t="s">
        <v>0</v>
      </c>
      <c r="E4" s="1">
        <v>44</v>
      </c>
      <c r="F4" s="1" t="s">
        <v>1</v>
      </c>
      <c r="G4" s="1" t="s">
        <v>0</v>
      </c>
      <c r="H4" s="1">
        <v>9</v>
      </c>
      <c r="I4" s="1">
        <v>0</v>
      </c>
      <c r="K4" s="19"/>
      <c r="L4" s="19"/>
      <c r="M4" s="20"/>
      <c r="N4" s="20"/>
      <c r="O4" s="20"/>
      <c r="P4" s="20"/>
      <c r="Q4" s="20"/>
      <c r="R4" s="12"/>
    </row>
    <row r="5" spans="1:20" x14ac:dyDescent="0.3">
      <c r="A5" s="1">
        <v>2</v>
      </c>
      <c r="B5" s="1">
        <v>0</v>
      </c>
      <c r="C5" s="1" t="s">
        <v>2</v>
      </c>
      <c r="D5" s="1" t="s">
        <v>0</v>
      </c>
      <c r="E5" s="1">
        <v>11</v>
      </c>
      <c r="F5" s="1" t="s">
        <v>1</v>
      </c>
      <c r="G5" s="1" t="s">
        <v>0</v>
      </c>
      <c r="H5" s="1">
        <v>11</v>
      </c>
      <c r="I5" s="1">
        <v>0</v>
      </c>
      <c r="K5" s="19" t="s">
        <v>7</v>
      </c>
      <c r="L5" s="19"/>
      <c r="M5" s="11">
        <f>COUNTIF($I$1:$I$100, 1)</f>
        <v>36</v>
      </c>
      <c r="N5" s="20"/>
      <c r="O5" s="20">
        <f>COUNTIFS($I$1:$I$100, 1, $B$1:$B$100, 0)</f>
        <v>17</v>
      </c>
      <c r="P5" s="20"/>
      <c r="Q5" s="20">
        <f>COUNTIFS($I$1:$I$100, 1, $B$1:$B$100, 1)</f>
        <v>19</v>
      </c>
      <c r="R5" s="12"/>
    </row>
    <row r="6" spans="1:20" x14ac:dyDescent="0.3">
      <c r="A6" s="1">
        <v>2</v>
      </c>
      <c r="B6" s="1">
        <v>0</v>
      </c>
      <c r="C6" s="1" t="s">
        <v>2</v>
      </c>
      <c r="D6" s="1" t="s">
        <v>0</v>
      </c>
      <c r="E6" s="1">
        <v>39</v>
      </c>
      <c r="F6" s="1" t="s">
        <v>1</v>
      </c>
      <c r="G6" s="1" t="s">
        <v>0</v>
      </c>
      <c r="H6" s="1">
        <v>0</v>
      </c>
      <c r="I6" s="1">
        <v>0</v>
      </c>
      <c r="K6" s="19"/>
      <c r="L6" s="19"/>
      <c r="M6" s="13"/>
      <c r="N6" s="22"/>
      <c r="O6" s="22"/>
      <c r="P6" s="22"/>
      <c r="Q6" s="22"/>
      <c r="R6" s="14"/>
    </row>
    <row r="7" spans="1:20" x14ac:dyDescent="0.3">
      <c r="A7" s="1">
        <v>2</v>
      </c>
      <c r="B7" s="1">
        <v>0</v>
      </c>
      <c r="C7" s="1" t="s">
        <v>2</v>
      </c>
      <c r="D7" s="1" t="s">
        <v>0</v>
      </c>
      <c r="E7" s="1">
        <v>56</v>
      </c>
      <c r="F7" s="1" t="s">
        <v>1</v>
      </c>
      <c r="G7" s="1" t="s">
        <v>0</v>
      </c>
      <c r="H7" s="1">
        <v>0</v>
      </c>
      <c r="I7" s="1">
        <v>0</v>
      </c>
      <c r="K7" s="6"/>
      <c r="L7" s="6"/>
      <c r="M7" s="6"/>
      <c r="N7" s="6"/>
      <c r="O7" s="6"/>
      <c r="P7" s="6"/>
      <c r="Q7" s="6"/>
      <c r="R7" s="6"/>
    </row>
    <row r="8" spans="1:20" x14ac:dyDescent="0.3">
      <c r="A8" s="1">
        <v>2</v>
      </c>
      <c r="B8" s="1">
        <v>0</v>
      </c>
      <c r="C8" s="1" t="s">
        <v>2</v>
      </c>
      <c r="D8" s="1" t="s">
        <v>0</v>
      </c>
      <c r="E8" s="1">
        <v>42</v>
      </c>
      <c r="F8" s="1" t="s">
        <v>1</v>
      </c>
      <c r="G8" s="1" t="s">
        <v>0</v>
      </c>
      <c r="H8" s="1">
        <v>21</v>
      </c>
      <c r="I8" s="1">
        <v>0</v>
      </c>
      <c r="K8" s="7"/>
      <c r="L8" s="8"/>
      <c r="M8" s="23" t="s">
        <v>3</v>
      </c>
      <c r="N8" s="23"/>
      <c r="O8" s="23" t="s">
        <v>8</v>
      </c>
      <c r="P8" s="23"/>
      <c r="Q8" s="23" t="s">
        <v>9</v>
      </c>
      <c r="R8" s="23"/>
    </row>
    <row r="9" spans="1:20" x14ac:dyDescent="0.3">
      <c r="A9" s="1">
        <v>2</v>
      </c>
      <c r="B9" s="1">
        <v>0</v>
      </c>
      <c r="C9" s="1" t="s">
        <v>2</v>
      </c>
      <c r="D9" s="1" t="s">
        <v>0</v>
      </c>
      <c r="E9" s="1">
        <v>31</v>
      </c>
      <c r="F9" s="1" t="s">
        <v>1</v>
      </c>
      <c r="G9" s="1" t="s">
        <v>0</v>
      </c>
      <c r="H9" s="1">
        <v>50</v>
      </c>
      <c r="I9" s="1">
        <v>1</v>
      </c>
      <c r="K9" s="4"/>
      <c r="L9" s="5"/>
      <c r="M9" s="23"/>
      <c r="N9" s="23"/>
      <c r="O9" s="23"/>
      <c r="P9" s="23"/>
      <c r="Q9" s="23"/>
      <c r="R9" s="23"/>
    </row>
    <row r="10" spans="1:20" x14ac:dyDescent="0.3">
      <c r="A10" s="1">
        <v>2</v>
      </c>
      <c r="B10" s="1">
        <v>0</v>
      </c>
      <c r="C10" s="1" t="s">
        <v>2</v>
      </c>
      <c r="D10" s="1" t="s">
        <v>0</v>
      </c>
      <c r="E10" s="1">
        <v>0</v>
      </c>
      <c r="F10" s="1" t="s">
        <v>1</v>
      </c>
      <c r="G10" s="1" t="s">
        <v>0</v>
      </c>
      <c r="H10" s="1">
        <v>7</v>
      </c>
      <c r="I10" s="1">
        <v>1</v>
      </c>
      <c r="K10" s="19" t="s">
        <v>10</v>
      </c>
      <c r="L10" s="19"/>
      <c r="M10" s="20">
        <f>AVERAGE($E$1:$E$100,)</f>
        <v>30.10891089108911</v>
      </c>
      <c r="N10" s="20"/>
      <c r="O10" s="20" cm="1">
        <f t="array" ref="O10">AVERAGE(_xlfn._xlws.FILTER($E$1:$E$100,$I$1:$I$100 = 0))</f>
        <v>39.109375</v>
      </c>
      <c r="P10" s="20"/>
      <c r="Q10" s="21" cm="1">
        <f t="array" ref="Q10">AVERAGE(_xlfn._xlws.FILTER($E$1:$E$100,$I$1:$I$100 = 1))</f>
        <v>14.944444444444445</v>
      </c>
      <c r="R10" s="10"/>
    </row>
    <row r="11" spans="1:20" x14ac:dyDescent="0.3">
      <c r="A11" s="1">
        <v>2</v>
      </c>
      <c r="B11" s="1">
        <v>0</v>
      </c>
      <c r="C11" s="1" t="s">
        <v>2</v>
      </c>
      <c r="D11" s="1" t="s">
        <v>0</v>
      </c>
      <c r="E11" s="1">
        <v>26</v>
      </c>
      <c r="F11" s="1" t="s">
        <v>1</v>
      </c>
      <c r="G11" s="1" t="s">
        <v>0</v>
      </c>
      <c r="H11" s="1">
        <v>1</v>
      </c>
      <c r="I11" s="1">
        <v>0</v>
      </c>
      <c r="K11" s="19"/>
      <c r="L11" s="19"/>
      <c r="M11" s="20"/>
      <c r="N11" s="20"/>
      <c r="O11" s="20"/>
      <c r="P11" s="20"/>
      <c r="Q11" s="20"/>
      <c r="R11" s="12"/>
    </row>
    <row r="12" spans="1:20" x14ac:dyDescent="0.3">
      <c r="A12" s="1">
        <v>2</v>
      </c>
      <c r="B12" s="1">
        <v>0</v>
      </c>
      <c r="C12" s="1" t="s">
        <v>2</v>
      </c>
      <c r="D12" s="1" t="s">
        <v>0</v>
      </c>
      <c r="E12" s="1">
        <v>37</v>
      </c>
      <c r="F12" s="1" t="s">
        <v>1</v>
      </c>
      <c r="G12" s="1" t="s">
        <v>0</v>
      </c>
      <c r="H12" s="1">
        <v>10</v>
      </c>
      <c r="I12" s="1">
        <v>0</v>
      </c>
      <c r="K12" s="19" t="s">
        <v>11</v>
      </c>
      <c r="L12" s="19"/>
      <c r="M12" s="20">
        <f>AVERAGE($H$1:$H$100,)</f>
        <v>21.425742574257427</v>
      </c>
      <c r="N12" s="20"/>
      <c r="O12" s="20" cm="1">
        <f t="array" ref="O12">AVERAGE(_xlfn._xlws.FILTER($H$1:$H$100,$I$1:$I$100 = 0))</f>
        <v>15.578125</v>
      </c>
      <c r="P12" s="20"/>
      <c r="Q12" s="20" cm="1">
        <f t="array" ref="Q12">AVERAGE(_xlfn._xlws.FILTER($H$1:$H$100,$I$1:$I$100 = 1))</f>
        <v>32.416666666666664</v>
      </c>
      <c r="R12" s="12"/>
    </row>
    <row r="13" spans="1:20" x14ac:dyDescent="0.3">
      <c r="A13" s="1">
        <v>2</v>
      </c>
      <c r="B13" s="1">
        <v>0</v>
      </c>
      <c r="C13" s="1" t="s">
        <v>2</v>
      </c>
      <c r="D13" s="1" t="s">
        <v>0</v>
      </c>
      <c r="E13" s="1">
        <v>49</v>
      </c>
      <c r="F13" s="1" t="s">
        <v>1</v>
      </c>
      <c r="G13" s="1" t="s">
        <v>0</v>
      </c>
      <c r="H13" s="1">
        <v>42</v>
      </c>
      <c r="I13" s="1">
        <v>0</v>
      </c>
      <c r="K13" s="19"/>
      <c r="L13" s="19"/>
      <c r="M13" s="20"/>
      <c r="N13" s="20"/>
      <c r="O13" s="20"/>
      <c r="P13" s="20"/>
      <c r="Q13" s="20"/>
      <c r="R13" s="12"/>
    </row>
    <row r="14" spans="1:20" x14ac:dyDescent="0.3">
      <c r="A14" s="1">
        <v>2</v>
      </c>
      <c r="B14" s="1">
        <v>0</v>
      </c>
      <c r="C14" s="1" t="s">
        <v>2</v>
      </c>
      <c r="D14" s="1" t="s">
        <v>0</v>
      </c>
      <c r="E14" s="1">
        <v>31</v>
      </c>
      <c r="F14" s="1" t="s">
        <v>1</v>
      </c>
      <c r="G14" s="1" t="s">
        <v>0</v>
      </c>
      <c r="H14" s="1">
        <v>30</v>
      </c>
      <c r="I14" s="1">
        <v>0</v>
      </c>
      <c r="K14" s="9" t="s">
        <v>12</v>
      </c>
      <c r="L14" s="10"/>
      <c r="M14" s="15" cm="1">
        <f t="array" ref="M14">AVERAGE($E$1:$E$100 - $H$1:$H$100)</f>
        <v>8.77</v>
      </c>
      <c r="N14" s="15"/>
      <c r="O14" s="15" cm="1">
        <f t="array" ref="O14">AVERAGE(_xlfn._xlws.FILTER($E$1:$E$100 - $H$1:$H$100, I$1:I$100 = 0))</f>
        <v>23.53125</v>
      </c>
      <c r="P14" s="15"/>
      <c r="Q14" s="15" cm="1">
        <f t="array" ref="Q14">AVERAGE(_xlfn._xlws.FILTER($E$1:$E$100 - $H$1:$H$100, I$1:I$100 = 1))</f>
        <v>-17.472222222222221</v>
      </c>
      <c r="R14" s="17"/>
    </row>
    <row r="15" spans="1:20" x14ac:dyDescent="0.3">
      <c r="A15" s="1">
        <v>2</v>
      </c>
      <c r="B15" s="1">
        <v>0</v>
      </c>
      <c r="C15" s="1" t="s">
        <v>2</v>
      </c>
      <c r="D15" s="1" t="s">
        <v>0</v>
      </c>
      <c r="E15" s="1">
        <v>39</v>
      </c>
      <c r="F15" s="1" t="s">
        <v>1</v>
      </c>
      <c r="G15" s="1" t="s">
        <v>0</v>
      </c>
      <c r="H15" s="1">
        <v>15</v>
      </c>
      <c r="I15" s="1">
        <v>0</v>
      </c>
      <c r="K15" s="11"/>
      <c r="L15" s="12"/>
      <c r="M15" s="15"/>
      <c r="N15" s="15"/>
      <c r="O15" s="15"/>
      <c r="P15" s="15"/>
      <c r="Q15" s="15"/>
      <c r="R15" s="17"/>
    </row>
    <row r="16" spans="1:20" x14ac:dyDescent="0.3">
      <c r="A16" s="1">
        <v>2</v>
      </c>
      <c r="B16" s="1">
        <v>0</v>
      </c>
      <c r="C16" s="1" t="s">
        <v>2</v>
      </c>
      <c r="D16" s="1" t="s">
        <v>0</v>
      </c>
      <c r="E16" s="1">
        <v>32</v>
      </c>
      <c r="F16" s="1" t="s">
        <v>1</v>
      </c>
      <c r="G16" s="1" t="s">
        <v>0</v>
      </c>
      <c r="H16" s="1">
        <v>24</v>
      </c>
      <c r="I16" s="1">
        <v>0</v>
      </c>
      <c r="K16" s="13"/>
      <c r="L16" s="14"/>
      <c r="M16" s="16"/>
      <c r="N16" s="16"/>
      <c r="O16" s="16"/>
      <c r="P16" s="16"/>
      <c r="Q16" s="16"/>
      <c r="R16" s="18"/>
    </row>
    <row r="17" spans="1:9" x14ac:dyDescent="0.3">
      <c r="A17" s="1">
        <v>2</v>
      </c>
      <c r="B17" s="1">
        <v>0</v>
      </c>
      <c r="C17" s="1" t="s">
        <v>2</v>
      </c>
      <c r="D17" s="1" t="s">
        <v>0</v>
      </c>
      <c r="E17" s="1">
        <v>17</v>
      </c>
      <c r="F17" s="1" t="s">
        <v>1</v>
      </c>
      <c r="G17" s="1" t="s">
        <v>0</v>
      </c>
      <c r="H17" s="1">
        <v>27</v>
      </c>
      <c r="I17" s="1">
        <v>1</v>
      </c>
    </row>
    <row r="18" spans="1:9" x14ac:dyDescent="0.3">
      <c r="A18" s="1">
        <v>2</v>
      </c>
      <c r="B18" s="1">
        <v>0</v>
      </c>
      <c r="C18" s="1" t="s">
        <v>2</v>
      </c>
      <c r="D18" s="1" t="s">
        <v>0</v>
      </c>
      <c r="E18" s="1">
        <v>13</v>
      </c>
      <c r="F18" s="1" t="s">
        <v>1</v>
      </c>
      <c r="G18" s="1" t="s">
        <v>0</v>
      </c>
      <c r="H18" s="1">
        <v>18</v>
      </c>
      <c r="I18" s="1">
        <v>1</v>
      </c>
    </row>
    <row r="19" spans="1:9" x14ac:dyDescent="0.3">
      <c r="A19" s="1">
        <v>2</v>
      </c>
      <c r="B19" s="1">
        <v>0</v>
      </c>
      <c r="C19" s="1" t="s">
        <v>2</v>
      </c>
      <c r="D19" s="1" t="s">
        <v>0</v>
      </c>
      <c r="E19" s="1">
        <v>18</v>
      </c>
      <c r="F19" s="1" t="s">
        <v>1</v>
      </c>
      <c r="G19" s="1" t="s">
        <v>0</v>
      </c>
      <c r="H19" s="1">
        <v>36</v>
      </c>
      <c r="I19" s="1">
        <v>1</v>
      </c>
    </row>
    <row r="20" spans="1:9" x14ac:dyDescent="0.3">
      <c r="A20" s="1">
        <v>2</v>
      </c>
      <c r="B20" s="1">
        <v>0</v>
      </c>
      <c r="C20" s="1" t="s">
        <v>2</v>
      </c>
      <c r="D20" s="1" t="s">
        <v>0</v>
      </c>
      <c r="E20" s="1">
        <v>10</v>
      </c>
      <c r="F20" s="1" t="s">
        <v>1</v>
      </c>
      <c r="G20" s="1" t="s">
        <v>0</v>
      </c>
      <c r="H20" s="1">
        <v>42</v>
      </c>
      <c r="I20" s="1">
        <v>1</v>
      </c>
    </row>
    <row r="21" spans="1:9" x14ac:dyDescent="0.3">
      <c r="A21" s="1">
        <v>2</v>
      </c>
      <c r="B21" s="1">
        <v>0</v>
      </c>
      <c r="C21" s="1" t="s">
        <v>2</v>
      </c>
      <c r="D21" s="1" t="s">
        <v>0</v>
      </c>
      <c r="E21" s="1">
        <v>11</v>
      </c>
      <c r="F21" s="1" t="s">
        <v>1</v>
      </c>
      <c r="G21" s="1" t="s">
        <v>0</v>
      </c>
      <c r="H21" s="1">
        <v>42</v>
      </c>
      <c r="I21" s="1">
        <v>1</v>
      </c>
    </row>
    <row r="22" spans="1:9" x14ac:dyDescent="0.3">
      <c r="A22" s="1">
        <v>2</v>
      </c>
      <c r="B22" s="1">
        <v>0</v>
      </c>
      <c r="C22" s="1" t="s">
        <v>2</v>
      </c>
      <c r="D22" s="1" t="s">
        <v>0</v>
      </c>
      <c r="E22" s="1">
        <v>10</v>
      </c>
      <c r="F22" s="1" t="s">
        <v>1</v>
      </c>
      <c r="G22" s="1" t="s">
        <v>0</v>
      </c>
      <c r="H22" s="1">
        <v>13</v>
      </c>
      <c r="I22" s="1">
        <v>1</v>
      </c>
    </row>
    <row r="23" spans="1:9" x14ac:dyDescent="0.3">
      <c r="A23" s="1">
        <v>2</v>
      </c>
      <c r="B23" s="1">
        <v>0</v>
      </c>
      <c r="C23" s="1" t="s">
        <v>2</v>
      </c>
      <c r="D23" s="1" t="s">
        <v>0</v>
      </c>
      <c r="E23" s="1">
        <v>3</v>
      </c>
      <c r="F23" s="1" t="s">
        <v>1</v>
      </c>
      <c r="G23" s="1" t="s">
        <v>0</v>
      </c>
      <c r="H23" s="1">
        <v>17</v>
      </c>
      <c r="I23" s="1">
        <v>1</v>
      </c>
    </row>
    <row r="24" spans="1:9" x14ac:dyDescent="0.3">
      <c r="A24" s="1">
        <v>2</v>
      </c>
      <c r="B24" s="1">
        <v>0</v>
      </c>
      <c r="C24" s="1" t="s">
        <v>2</v>
      </c>
      <c r="D24" s="1" t="s">
        <v>0</v>
      </c>
      <c r="E24" s="1">
        <v>35</v>
      </c>
      <c r="F24" s="1" t="s">
        <v>1</v>
      </c>
      <c r="G24" s="1" t="s">
        <v>0</v>
      </c>
      <c r="H24" s="1">
        <v>2</v>
      </c>
      <c r="I24" s="1">
        <v>0</v>
      </c>
    </row>
    <row r="25" spans="1:9" x14ac:dyDescent="0.3">
      <c r="A25" s="1">
        <v>2</v>
      </c>
      <c r="B25" s="1">
        <v>0</v>
      </c>
      <c r="C25" s="1" t="s">
        <v>2</v>
      </c>
      <c r="D25" s="1" t="s">
        <v>0</v>
      </c>
      <c r="E25" s="1">
        <v>68</v>
      </c>
      <c r="F25" s="1" t="s">
        <v>1</v>
      </c>
      <c r="G25" s="1" t="s">
        <v>0</v>
      </c>
      <c r="H25" s="1">
        <v>27</v>
      </c>
      <c r="I25" s="1">
        <v>0</v>
      </c>
    </row>
    <row r="26" spans="1:9" x14ac:dyDescent="0.3">
      <c r="A26" s="1">
        <v>2</v>
      </c>
      <c r="B26" s="1">
        <v>0</v>
      </c>
      <c r="C26" s="1" t="s">
        <v>2</v>
      </c>
      <c r="D26" s="1" t="s">
        <v>0</v>
      </c>
      <c r="E26" s="1">
        <v>73</v>
      </c>
      <c r="F26" s="1" t="s">
        <v>1</v>
      </c>
      <c r="G26" s="1" t="s">
        <v>0</v>
      </c>
      <c r="H26" s="1">
        <v>13</v>
      </c>
      <c r="I26" s="1">
        <v>0</v>
      </c>
    </row>
    <row r="27" spans="1:9" x14ac:dyDescent="0.3">
      <c r="A27" s="1">
        <v>2</v>
      </c>
      <c r="B27" s="1">
        <v>0</v>
      </c>
      <c r="C27" s="1" t="s">
        <v>2</v>
      </c>
      <c r="D27" s="1" t="s">
        <v>0</v>
      </c>
      <c r="E27" s="1">
        <v>30</v>
      </c>
      <c r="F27" s="1" t="s">
        <v>1</v>
      </c>
      <c r="G27" s="1" t="s">
        <v>0</v>
      </c>
      <c r="H27" s="1">
        <v>17</v>
      </c>
      <c r="I27" s="1">
        <v>0</v>
      </c>
    </row>
    <row r="28" spans="1:9" x14ac:dyDescent="0.3">
      <c r="A28" s="1">
        <v>2</v>
      </c>
      <c r="B28" s="1">
        <v>0</v>
      </c>
      <c r="C28" s="1" t="s">
        <v>2</v>
      </c>
      <c r="D28" s="1" t="s">
        <v>0</v>
      </c>
      <c r="E28" s="1">
        <v>46</v>
      </c>
      <c r="F28" s="1" t="s">
        <v>1</v>
      </c>
      <c r="G28" s="1" t="s">
        <v>0</v>
      </c>
      <c r="H28" s="1">
        <v>17</v>
      </c>
      <c r="I28" s="1">
        <v>0</v>
      </c>
    </row>
    <row r="29" spans="1:9" x14ac:dyDescent="0.3">
      <c r="A29" s="1">
        <v>2</v>
      </c>
      <c r="B29" s="1">
        <v>0</v>
      </c>
      <c r="C29" s="1" t="s">
        <v>2</v>
      </c>
      <c r="D29" s="1" t="s">
        <v>0</v>
      </c>
      <c r="E29" s="1">
        <v>53</v>
      </c>
      <c r="F29" s="1" t="s">
        <v>1</v>
      </c>
      <c r="G29" s="1" t="s">
        <v>0</v>
      </c>
      <c r="H29" s="1">
        <v>0</v>
      </c>
      <c r="I29" s="1">
        <v>0</v>
      </c>
    </row>
    <row r="30" spans="1:9" x14ac:dyDescent="0.3">
      <c r="A30" s="1">
        <v>2</v>
      </c>
      <c r="B30" s="1">
        <v>0</v>
      </c>
      <c r="C30" s="1" t="s">
        <v>2</v>
      </c>
      <c r="D30" s="1" t="s">
        <v>0</v>
      </c>
      <c r="E30" s="1">
        <v>48</v>
      </c>
      <c r="F30" s="1" t="s">
        <v>1</v>
      </c>
      <c r="G30" s="1" t="s">
        <v>0</v>
      </c>
      <c r="H30" s="1">
        <v>30</v>
      </c>
      <c r="I30" s="1">
        <v>0</v>
      </c>
    </row>
    <row r="31" spans="1:9" x14ac:dyDescent="0.3">
      <c r="A31" s="1">
        <v>2</v>
      </c>
      <c r="B31" s="1">
        <v>0</v>
      </c>
      <c r="C31" s="1" t="s">
        <v>2</v>
      </c>
      <c r="D31" s="1" t="s">
        <v>0</v>
      </c>
      <c r="E31" s="1">
        <v>0</v>
      </c>
      <c r="F31" s="1" t="s">
        <v>1</v>
      </c>
      <c r="G31" s="1" t="s">
        <v>0</v>
      </c>
      <c r="H31" s="1">
        <v>75</v>
      </c>
      <c r="I31" s="1">
        <v>1</v>
      </c>
    </row>
    <row r="32" spans="1:9" x14ac:dyDescent="0.3">
      <c r="A32" s="1">
        <v>2</v>
      </c>
      <c r="B32" s="1">
        <v>0</v>
      </c>
      <c r="C32" s="1" t="s">
        <v>2</v>
      </c>
      <c r="D32" s="1" t="s">
        <v>0</v>
      </c>
      <c r="E32" s="1">
        <v>9</v>
      </c>
      <c r="F32" s="1" t="s">
        <v>1</v>
      </c>
      <c r="G32" s="1" t="s">
        <v>0</v>
      </c>
      <c r="H32" s="1">
        <v>11</v>
      </c>
      <c r="I32" s="1">
        <v>1</v>
      </c>
    </row>
    <row r="33" spans="1:9" x14ac:dyDescent="0.3">
      <c r="A33" s="1">
        <v>2</v>
      </c>
      <c r="B33" s="1">
        <v>0</v>
      </c>
      <c r="C33" s="1" t="s">
        <v>2</v>
      </c>
      <c r="D33" s="1" t="s">
        <v>0</v>
      </c>
      <c r="E33" s="1">
        <v>16</v>
      </c>
      <c r="F33" s="1" t="s">
        <v>1</v>
      </c>
      <c r="G33" s="1" t="s">
        <v>0</v>
      </c>
      <c r="H33" s="1">
        <v>32</v>
      </c>
      <c r="I33" s="1">
        <v>1</v>
      </c>
    </row>
    <row r="34" spans="1:9" x14ac:dyDescent="0.3">
      <c r="A34" s="1">
        <v>2</v>
      </c>
      <c r="B34" s="1">
        <v>0</v>
      </c>
      <c r="C34" s="1" t="s">
        <v>2</v>
      </c>
      <c r="D34" s="1" t="s">
        <v>0</v>
      </c>
      <c r="E34" s="1">
        <v>58</v>
      </c>
      <c r="F34" s="1" t="s">
        <v>1</v>
      </c>
      <c r="G34" s="1" t="s">
        <v>0</v>
      </c>
      <c r="H34" s="1">
        <v>26</v>
      </c>
      <c r="I34" s="1">
        <v>0</v>
      </c>
    </row>
    <row r="35" spans="1:9" x14ac:dyDescent="0.3">
      <c r="A35" s="1">
        <v>2</v>
      </c>
      <c r="B35" s="1">
        <v>0</v>
      </c>
      <c r="C35" s="1" t="s">
        <v>2</v>
      </c>
      <c r="D35" s="1" t="s">
        <v>0</v>
      </c>
      <c r="E35" s="1">
        <v>43</v>
      </c>
      <c r="F35" s="1" t="s">
        <v>1</v>
      </c>
      <c r="G35" s="1" t="s">
        <v>0</v>
      </c>
      <c r="H35" s="1">
        <v>40</v>
      </c>
      <c r="I35" s="1">
        <v>0</v>
      </c>
    </row>
    <row r="36" spans="1:9" x14ac:dyDescent="0.3">
      <c r="A36" s="1">
        <v>2</v>
      </c>
      <c r="B36" s="1">
        <v>0</v>
      </c>
      <c r="C36" s="1" t="s">
        <v>2</v>
      </c>
      <c r="D36" s="1" t="s">
        <v>0</v>
      </c>
      <c r="E36" s="1">
        <v>25</v>
      </c>
      <c r="F36" s="1" t="s">
        <v>1</v>
      </c>
      <c r="G36" s="1" t="s">
        <v>0</v>
      </c>
      <c r="H36" s="1">
        <v>43</v>
      </c>
      <c r="I36" s="1">
        <v>1</v>
      </c>
    </row>
    <row r="37" spans="1:9" x14ac:dyDescent="0.3">
      <c r="A37" s="1">
        <v>2</v>
      </c>
      <c r="B37" s="1">
        <v>0</v>
      </c>
      <c r="C37" s="1" t="s">
        <v>2</v>
      </c>
      <c r="D37" s="1" t="s">
        <v>0</v>
      </c>
      <c r="E37" s="1">
        <v>41</v>
      </c>
      <c r="F37" s="1" t="s">
        <v>1</v>
      </c>
      <c r="G37" s="1" t="s">
        <v>0</v>
      </c>
      <c r="H37" s="1">
        <v>36</v>
      </c>
      <c r="I37" s="1">
        <v>0</v>
      </c>
    </row>
    <row r="38" spans="1:9" x14ac:dyDescent="0.3">
      <c r="A38" s="1">
        <v>2</v>
      </c>
      <c r="B38" s="1">
        <v>0</v>
      </c>
      <c r="C38" s="1" t="s">
        <v>2</v>
      </c>
      <c r="D38" s="1" t="s">
        <v>0</v>
      </c>
      <c r="E38" s="1">
        <v>22</v>
      </c>
      <c r="F38" s="1" t="s">
        <v>1</v>
      </c>
      <c r="G38" s="1" t="s">
        <v>0</v>
      </c>
      <c r="H38" s="1">
        <v>2</v>
      </c>
      <c r="I38" s="1">
        <v>0</v>
      </c>
    </row>
    <row r="39" spans="1:9" x14ac:dyDescent="0.3">
      <c r="A39" s="1">
        <v>2</v>
      </c>
      <c r="B39" s="1">
        <v>0</v>
      </c>
      <c r="C39" s="1" t="s">
        <v>2</v>
      </c>
      <c r="D39" s="1" t="s">
        <v>0</v>
      </c>
      <c r="E39" s="1">
        <v>40</v>
      </c>
      <c r="F39" s="1" t="s">
        <v>1</v>
      </c>
      <c r="G39" s="1" t="s">
        <v>0</v>
      </c>
      <c r="H39" s="1">
        <v>19</v>
      </c>
      <c r="I39" s="1">
        <v>0</v>
      </c>
    </row>
    <row r="40" spans="1:9" x14ac:dyDescent="0.3">
      <c r="A40" s="1">
        <v>2</v>
      </c>
      <c r="B40" s="1">
        <v>0</v>
      </c>
      <c r="C40" s="1" t="s">
        <v>2</v>
      </c>
      <c r="D40" s="1" t="s">
        <v>0</v>
      </c>
      <c r="E40" s="1">
        <v>33</v>
      </c>
      <c r="F40" s="1" t="s">
        <v>1</v>
      </c>
      <c r="G40" s="1" t="s">
        <v>0</v>
      </c>
      <c r="H40" s="1">
        <v>2</v>
      </c>
      <c r="I40" s="1">
        <v>0</v>
      </c>
    </row>
    <row r="41" spans="1:9" x14ac:dyDescent="0.3">
      <c r="A41" s="1">
        <v>2</v>
      </c>
      <c r="B41" s="1">
        <v>0</v>
      </c>
      <c r="C41" s="1" t="s">
        <v>2</v>
      </c>
      <c r="D41" s="1" t="s">
        <v>0</v>
      </c>
      <c r="E41" s="1">
        <v>29</v>
      </c>
      <c r="F41" s="1" t="s">
        <v>1</v>
      </c>
      <c r="G41" s="1" t="s">
        <v>0</v>
      </c>
      <c r="H41" s="1">
        <v>53</v>
      </c>
      <c r="I41" s="1">
        <v>1</v>
      </c>
    </row>
    <row r="42" spans="1:9" x14ac:dyDescent="0.3">
      <c r="A42" s="1">
        <v>2</v>
      </c>
      <c r="B42" s="1">
        <v>0</v>
      </c>
      <c r="C42" s="1" t="s">
        <v>2</v>
      </c>
      <c r="D42" s="1" t="s">
        <v>0</v>
      </c>
      <c r="E42" s="1">
        <v>13</v>
      </c>
      <c r="F42" s="1" t="s">
        <v>1</v>
      </c>
      <c r="G42" s="1" t="s">
        <v>0</v>
      </c>
      <c r="H42" s="1">
        <v>41</v>
      </c>
      <c r="I42" s="1">
        <v>1</v>
      </c>
    </row>
    <row r="43" spans="1:9" x14ac:dyDescent="0.3">
      <c r="A43" s="1">
        <v>2</v>
      </c>
      <c r="B43" s="1">
        <v>0</v>
      </c>
      <c r="C43" s="1" t="s">
        <v>2</v>
      </c>
      <c r="D43" s="1" t="s">
        <v>0</v>
      </c>
      <c r="E43" s="1">
        <v>29</v>
      </c>
      <c r="F43" s="1" t="s">
        <v>1</v>
      </c>
      <c r="G43" s="1" t="s">
        <v>0</v>
      </c>
      <c r="H43" s="1">
        <v>35</v>
      </c>
      <c r="I43" s="1">
        <v>1</v>
      </c>
    </row>
    <row r="44" spans="1:9" x14ac:dyDescent="0.3">
      <c r="A44" s="1">
        <v>2</v>
      </c>
      <c r="B44" s="1">
        <v>0</v>
      </c>
      <c r="C44" s="1" t="s">
        <v>2</v>
      </c>
      <c r="D44" s="1" t="s">
        <v>0</v>
      </c>
      <c r="E44" s="1">
        <v>27</v>
      </c>
      <c r="F44" s="1" t="s">
        <v>1</v>
      </c>
      <c r="G44" s="1" t="s">
        <v>0</v>
      </c>
      <c r="H44" s="1">
        <v>9</v>
      </c>
      <c r="I44" s="1">
        <v>0</v>
      </c>
    </row>
    <row r="45" spans="1:9" x14ac:dyDescent="0.3">
      <c r="A45" s="1">
        <v>2</v>
      </c>
      <c r="B45" s="1">
        <v>0</v>
      </c>
      <c r="C45" s="1" t="s">
        <v>2</v>
      </c>
      <c r="D45" s="1" t="s">
        <v>0</v>
      </c>
      <c r="E45" s="1">
        <v>42</v>
      </c>
      <c r="F45" s="1" t="s">
        <v>1</v>
      </c>
      <c r="G45" s="1" t="s">
        <v>0</v>
      </c>
      <c r="H45" s="1">
        <v>25</v>
      </c>
      <c r="I45" s="1">
        <v>0</v>
      </c>
    </row>
    <row r="46" spans="1:9" x14ac:dyDescent="0.3">
      <c r="A46" s="1">
        <v>2</v>
      </c>
      <c r="B46" s="1">
        <v>0</v>
      </c>
      <c r="C46" s="1" t="s">
        <v>2</v>
      </c>
      <c r="D46" s="1" t="s">
        <v>0</v>
      </c>
      <c r="E46" s="1">
        <v>11</v>
      </c>
      <c r="F46" s="1" t="s">
        <v>1</v>
      </c>
      <c r="G46" s="1" t="s">
        <v>0</v>
      </c>
      <c r="H46" s="1">
        <v>11</v>
      </c>
      <c r="I46" s="1">
        <v>0</v>
      </c>
    </row>
    <row r="47" spans="1:9" x14ac:dyDescent="0.3">
      <c r="A47" s="1">
        <v>2</v>
      </c>
      <c r="B47" s="1">
        <v>0</v>
      </c>
      <c r="C47" s="1" t="s">
        <v>2</v>
      </c>
      <c r="D47" s="1" t="s">
        <v>0</v>
      </c>
      <c r="E47" s="1">
        <v>35</v>
      </c>
      <c r="F47" s="1" t="s">
        <v>1</v>
      </c>
      <c r="G47" s="1" t="s">
        <v>0</v>
      </c>
      <c r="H47" s="1">
        <v>13</v>
      </c>
      <c r="I47" s="1">
        <v>0</v>
      </c>
    </row>
    <row r="48" spans="1:9" x14ac:dyDescent="0.3">
      <c r="A48" s="1">
        <v>2</v>
      </c>
      <c r="B48" s="1">
        <v>0</v>
      </c>
      <c r="C48" s="1" t="s">
        <v>2</v>
      </c>
      <c r="D48" s="1" t="s">
        <v>0</v>
      </c>
      <c r="E48" s="1">
        <v>31</v>
      </c>
      <c r="F48" s="1" t="s">
        <v>1</v>
      </c>
      <c r="G48" s="1" t="s">
        <v>0</v>
      </c>
      <c r="H48" s="1">
        <v>4</v>
      </c>
      <c r="I48" s="1">
        <v>0</v>
      </c>
    </row>
    <row r="49" spans="1:9" x14ac:dyDescent="0.3">
      <c r="A49" s="1">
        <v>2</v>
      </c>
      <c r="B49" s="1">
        <v>0</v>
      </c>
      <c r="C49" s="1" t="s">
        <v>2</v>
      </c>
      <c r="D49" s="1" t="s">
        <v>0</v>
      </c>
      <c r="E49" s="1">
        <v>56</v>
      </c>
      <c r="F49" s="1" t="s">
        <v>1</v>
      </c>
      <c r="G49" s="1" t="s">
        <v>0</v>
      </c>
      <c r="H49" s="1">
        <v>0</v>
      </c>
      <c r="I49" s="1">
        <v>0</v>
      </c>
    </row>
    <row r="50" spans="1:9" x14ac:dyDescent="0.3">
      <c r="A50" s="1">
        <v>2</v>
      </c>
      <c r="B50" s="1">
        <v>0</v>
      </c>
      <c r="C50" s="1" t="s">
        <v>2</v>
      </c>
      <c r="D50" s="1" t="s">
        <v>0</v>
      </c>
      <c r="E50" s="1">
        <v>51</v>
      </c>
      <c r="F50" s="1" t="s">
        <v>1</v>
      </c>
      <c r="G50" s="1" t="s">
        <v>0</v>
      </c>
      <c r="H50" s="1">
        <v>22</v>
      </c>
      <c r="I50" s="1">
        <v>0</v>
      </c>
    </row>
    <row r="51" spans="1:9" x14ac:dyDescent="0.3">
      <c r="A51" s="1">
        <v>2</v>
      </c>
      <c r="B51" s="1">
        <v>1</v>
      </c>
      <c r="C51" s="1" t="s">
        <v>2</v>
      </c>
      <c r="D51" s="1" t="s">
        <v>0</v>
      </c>
      <c r="E51" s="1">
        <v>21</v>
      </c>
      <c r="F51" s="1" t="s">
        <v>1</v>
      </c>
      <c r="G51" s="1" t="s">
        <v>0</v>
      </c>
      <c r="H51" s="1">
        <v>7</v>
      </c>
      <c r="I51" s="1">
        <v>0</v>
      </c>
    </row>
    <row r="52" spans="1:9" x14ac:dyDescent="0.3">
      <c r="A52" s="1">
        <v>2</v>
      </c>
      <c r="B52" s="1">
        <v>1</v>
      </c>
      <c r="C52" s="1" t="s">
        <v>2</v>
      </c>
      <c r="D52" s="1" t="s">
        <v>0</v>
      </c>
      <c r="E52" s="1">
        <v>39</v>
      </c>
      <c r="F52" s="1" t="s">
        <v>1</v>
      </c>
      <c r="G52" s="1" t="s">
        <v>0</v>
      </c>
      <c r="H52" s="1">
        <v>36</v>
      </c>
      <c r="I52" s="1">
        <v>0</v>
      </c>
    </row>
    <row r="53" spans="1:9" x14ac:dyDescent="0.3">
      <c r="A53" s="1">
        <v>2</v>
      </c>
      <c r="B53" s="1">
        <v>1</v>
      </c>
      <c r="C53" s="1" t="s">
        <v>2</v>
      </c>
      <c r="D53" s="1" t="s">
        <v>0</v>
      </c>
      <c r="E53" s="1">
        <v>7</v>
      </c>
      <c r="F53" s="1" t="s">
        <v>1</v>
      </c>
      <c r="G53" s="1" t="s">
        <v>0</v>
      </c>
      <c r="H53" s="1">
        <v>0</v>
      </c>
      <c r="I53" s="1">
        <v>0</v>
      </c>
    </row>
    <row r="54" spans="1:9" x14ac:dyDescent="0.3">
      <c r="A54" s="1">
        <v>2</v>
      </c>
      <c r="B54" s="1">
        <v>1</v>
      </c>
      <c r="C54" s="1" t="s">
        <v>2</v>
      </c>
      <c r="D54" s="1" t="s">
        <v>0</v>
      </c>
      <c r="E54" s="1">
        <v>38</v>
      </c>
      <c r="F54" s="1" t="s">
        <v>1</v>
      </c>
      <c r="G54" s="1" t="s">
        <v>0</v>
      </c>
      <c r="H54" s="1">
        <v>2</v>
      </c>
      <c r="I54" s="1">
        <v>0</v>
      </c>
    </row>
    <row r="55" spans="1:9" x14ac:dyDescent="0.3">
      <c r="A55" s="1">
        <v>2</v>
      </c>
      <c r="B55" s="1">
        <v>1</v>
      </c>
      <c r="C55" s="1" t="s">
        <v>2</v>
      </c>
      <c r="D55" s="1" t="s">
        <v>0</v>
      </c>
      <c r="E55" s="1">
        <v>36</v>
      </c>
      <c r="F55" s="1" t="s">
        <v>1</v>
      </c>
      <c r="G55" s="1" t="s">
        <v>0</v>
      </c>
      <c r="H55" s="1">
        <v>25</v>
      </c>
      <c r="I55" s="1">
        <v>0</v>
      </c>
    </row>
    <row r="56" spans="1:9" x14ac:dyDescent="0.3">
      <c r="A56" s="1">
        <v>2</v>
      </c>
      <c r="B56" s="1">
        <v>1</v>
      </c>
      <c r="C56" s="1" t="s">
        <v>2</v>
      </c>
      <c r="D56" s="1" t="s">
        <v>0</v>
      </c>
      <c r="E56" s="1">
        <v>6</v>
      </c>
      <c r="F56" s="1" t="s">
        <v>1</v>
      </c>
      <c r="G56" s="1" t="s">
        <v>0</v>
      </c>
      <c r="H56" s="1">
        <v>18</v>
      </c>
      <c r="I56" s="1">
        <v>1</v>
      </c>
    </row>
    <row r="57" spans="1:9" x14ac:dyDescent="0.3">
      <c r="A57" s="1">
        <v>2</v>
      </c>
      <c r="B57" s="1">
        <v>1</v>
      </c>
      <c r="C57" s="1" t="s">
        <v>2</v>
      </c>
      <c r="D57" s="1" t="s">
        <v>0</v>
      </c>
      <c r="E57" s="1">
        <v>47</v>
      </c>
      <c r="F57" s="1" t="s">
        <v>1</v>
      </c>
      <c r="G57" s="1" t="s">
        <v>0</v>
      </c>
      <c r="H57" s="1">
        <v>6</v>
      </c>
      <c r="I57" s="1">
        <v>0</v>
      </c>
    </row>
    <row r="58" spans="1:9" x14ac:dyDescent="0.3">
      <c r="A58" s="1">
        <v>2</v>
      </c>
      <c r="B58" s="1">
        <v>1</v>
      </c>
      <c r="C58" s="1" t="s">
        <v>2</v>
      </c>
      <c r="D58" s="1" t="s">
        <v>0</v>
      </c>
      <c r="E58" s="1">
        <v>41</v>
      </c>
      <c r="F58" s="1" t="s">
        <v>1</v>
      </c>
      <c r="G58" s="1" t="s">
        <v>0</v>
      </c>
      <c r="H58" s="1">
        <v>0</v>
      </c>
      <c r="I58" s="1">
        <v>0</v>
      </c>
    </row>
    <row r="59" spans="1:9" x14ac:dyDescent="0.3">
      <c r="A59" s="1">
        <v>2</v>
      </c>
      <c r="B59" s="1">
        <v>1</v>
      </c>
      <c r="C59" s="1" t="s">
        <v>2</v>
      </c>
      <c r="D59" s="1" t="s">
        <v>0</v>
      </c>
      <c r="E59" s="1">
        <v>41</v>
      </c>
      <c r="F59" s="1" t="s">
        <v>1</v>
      </c>
      <c r="G59" s="1" t="s">
        <v>0</v>
      </c>
      <c r="H59" s="1">
        <v>39</v>
      </c>
      <c r="I59" s="1">
        <v>0</v>
      </c>
    </row>
    <row r="60" spans="1:9" x14ac:dyDescent="0.3">
      <c r="A60" s="1">
        <v>2</v>
      </c>
      <c r="B60" s="1">
        <v>1</v>
      </c>
      <c r="C60" s="1" t="s">
        <v>2</v>
      </c>
      <c r="D60" s="1" t="s">
        <v>0</v>
      </c>
      <c r="E60" s="1">
        <v>29</v>
      </c>
      <c r="F60" s="1" t="s">
        <v>1</v>
      </c>
      <c r="G60" s="1" t="s">
        <v>0</v>
      </c>
      <c r="H60" s="1">
        <v>29</v>
      </c>
      <c r="I60" s="1">
        <v>0</v>
      </c>
    </row>
    <row r="61" spans="1:9" x14ac:dyDescent="0.3">
      <c r="A61" s="1">
        <v>2</v>
      </c>
      <c r="B61" s="1">
        <v>1</v>
      </c>
      <c r="C61" s="1" t="s">
        <v>2</v>
      </c>
      <c r="D61" s="1" t="s">
        <v>0</v>
      </c>
      <c r="E61" s="1">
        <v>43</v>
      </c>
      <c r="F61" s="1" t="s">
        <v>1</v>
      </c>
      <c r="G61" s="1" t="s">
        <v>0</v>
      </c>
      <c r="H61" s="1">
        <v>23</v>
      </c>
      <c r="I61" s="1">
        <v>0</v>
      </c>
    </row>
    <row r="62" spans="1:9" x14ac:dyDescent="0.3">
      <c r="A62" s="1">
        <v>2</v>
      </c>
      <c r="B62" s="1">
        <v>1</v>
      </c>
      <c r="C62" s="1" t="s">
        <v>2</v>
      </c>
      <c r="D62" s="1" t="s">
        <v>0</v>
      </c>
      <c r="E62" s="1">
        <v>3</v>
      </c>
      <c r="F62" s="1" t="s">
        <v>1</v>
      </c>
      <c r="G62" s="1" t="s">
        <v>0</v>
      </c>
      <c r="H62" s="1">
        <v>32</v>
      </c>
      <c r="I62" s="1">
        <v>1</v>
      </c>
    </row>
    <row r="63" spans="1:9" x14ac:dyDescent="0.3">
      <c r="A63" s="1">
        <v>2</v>
      </c>
      <c r="B63" s="1">
        <v>1</v>
      </c>
      <c r="C63" s="1" t="s">
        <v>2</v>
      </c>
      <c r="D63" s="1" t="s">
        <v>0</v>
      </c>
      <c r="E63" s="1">
        <v>20</v>
      </c>
      <c r="F63" s="1" t="s">
        <v>1</v>
      </c>
      <c r="G63" s="1" t="s">
        <v>0</v>
      </c>
      <c r="H63" s="1">
        <v>12</v>
      </c>
      <c r="I63" s="1">
        <v>0</v>
      </c>
    </row>
    <row r="64" spans="1:9" x14ac:dyDescent="0.3">
      <c r="A64" s="1">
        <v>2</v>
      </c>
      <c r="B64" s="1">
        <v>1</v>
      </c>
      <c r="C64" s="1" t="s">
        <v>2</v>
      </c>
      <c r="D64" s="1" t="s">
        <v>0</v>
      </c>
      <c r="E64" s="1">
        <v>25</v>
      </c>
      <c r="F64" s="1" t="s">
        <v>1</v>
      </c>
      <c r="G64" s="1" t="s">
        <v>0</v>
      </c>
      <c r="H64" s="1">
        <v>42</v>
      </c>
      <c r="I64" s="1">
        <v>1</v>
      </c>
    </row>
    <row r="65" spans="1:9" x14ac:dyDescent="0.3">
      <c r="A65" s="1">
        <v>2</v>
      </c>
      <c r="B65" s="1">
        <v>1</v>
      </c>
      <c r="C65" s="1" t="s">
        <v>2</v>
      </c>
      <c r="D65" s="1" t="s">
        <v>0</v>
      </c>
      <c r="E65" s="1">
        <v>29</v>
      </c>
      <c r="F65" s="1" t="s">
        <v>1</v>
      </c>
      <c r="G65" s="1" t="s">
        <v>0</v>
      </c>
      <c r="H65" s="1">
        <v>36</v>
      </c>
      <c r="I65" s="1">
        <v>1</v>
      </c>
    </row>
    <row r="66" spans="1:9" x14ac:dyDescent="0.3">
      <c r="A66" s="1">
        <v>2</v>
      </c>
      <c r="B66" s="1">
        <v>1</v>
      </c>
      <c r="C66" s="1" t="s">
        <v>2</v>
      </c>
      <c r="D66" s="1" t="s">
        <v>0</v>
      </c>
      <c r="E66" s="1">
        <v>16</v>
      </c>
      <c r="F66" s="1" t="s">
        <v>1</v>
      </c>
      <c r="G66" s="1" t="s">
        <v>0</v>
      </c>
      <c r="H66" s="1">
        <v>36</v>
      </c>
      <c r="I66" s="1">
        <v>1</v>
      </c>
    </row>
    <row r="67" spans="1:9" x14ac:dyDescent="0.3">
      <c r="A67" s="1">
        <v>2</v>
      </c>
      <c r="B67" s="1">
        <v>1</v>
      </c>
      <c r="C67" s="1" t="s">
        <v>2</v>
      </c>
      <c r="D67" s="1" t="s">
        <v>0</v>
      </c>
      <c r="E67" s="1">
        <v>10</v>
      </c>
      <c r="F67" s="1" t="s">
        <v>1</v>
      </c>
      <c r="G67" s="1" t="s">
        <v>0</v>
      </c>
      <c r="H67" s="1">
        <v>0</v>
      </c>
      <c r="I67" s="1">
        <v>0</v>
      </c>
    </row>
    <row r="68" spans="1:9" x14ac:dyDescent="0.3">
      <c r="A68" s="1">
        <v>2</v>
      </c>
      <c r="B68" s="1">
        <v>1</v>
      </c>
      <c r="C68" s="1" t="s">
        <v>2</v>
      </c>
      <c r="D68" s="1" t="s">
        <v>0</v>
      </c>
      <c r="E68" s="1">
        <v>40</v>
      </c>
      <c r="F68" s="1" t="s">
        <v>1</v>
      </c>
      <c r="G68" s="1" t="s">
        <v>0</v>
      </c>
      <c r="H68" s="1">
        <v>24</v>
      </c>
      <c r="I68" s="1">
        <v>0</v>
      </c>
    </row>
    <row r="69" spans="1:9" x14ac:dyDescent="0.3">
      <c r="A69" s="1">
        <v>2</v>
      </c>
      <c r="B69" s="1">
        <v>1</v>
      </c>
      <c r="C69" s="1" t="s">
        <v>2</v>
      </c>
      <c r="D69" s="1" t="s">
        <v>0</v>
      </c>
      <c r="E69" s="1">
        <v>11</v>
      </c>
      <c r="F69" s="1" t="s">
        <v>1</v>
      </c>
      <c r="G69" s="1" t="s">
        <v>0</v>
      </c>
      <c r="H69" s="1">
        <v>18</v>
      </c>
      <c r="I69" s="1">
        <v>1</v>
      </c>
    </row>
    <row r="70" spans="1:9" x14ac:dyDescent="0.3">
      <c r="A70" s="1">
        <v>2</v>
      </c>
      <c r="B70" s="1">
        <v>1</v>
      </c>
      <c r="C70" s="1" t="s">
        <v>2</v>
      </c>
      <c r="D70" s="1" t="s">
        <v>0</v>
      </c>
      <c r="E70" s="1">
        <v>73</v>
      </c>
      <c r="F70" s="1" t="s">
        <v>1</v>
      </c>
      <c r="G70" s="1" t="s">
        <v>0</v>
      </c>
      <c r="H70" s="1">
        <v>5</v>
      </c>
      <c r="I70" s="1">
        <v>0</v>
      </c>
    </row>
    <row r="71" spans="1:9" x14ac:dyDescent="0.3">
      <c r="A71" s="1">
        <v>2</v>
      </c>
      <c r="B71" s="1">
        <v>1</v>
      </c>
      <c r="C71" s="1" t="s">
        <v>2</v>
      </c>
      <c r="D71" s="1" t="s">
        <v>0</v>
      </c>
      <c r="E71" s="1">
        <v>18</v>
      </c>
      <c r="F71" s="1" t="s">
        <v>1</v>
      </c>
      <c r="G71" s="1" t="s">
        <v>0</v>
      </c>
      <c r="H71" s="1">
        <v>23</v>
      </c>
      <c r="I71" s="1">
        <v>1</v>
      </c>
    </row>
    <row r="72" spans="1:9" x14ac:dyDescent="0.3">
      <c r="A72" s="1">
        <v>2</v>
      </c>
      <c r="B72" s="1">
        <v>1</v>
      </c>
      <c r="C72" s="1" t="s">
        <v>2</v>
      </c>
      <c r="D72" s="1" t="s">
        <v>0</v>
      </c>
      <c r="E72" s="1">
        <v>31</v>
      </c>
      <c r="F72" s="1" t="s">
        <v>1</v>
      </c>
      <c r="G72" s="1" t="s">
        <v>0</v>
      </c>
      <c r="H72" s="1">
        <v>20</v>
      </c>
      <c r="I72" s="1">
        <v>0</v>
      </c>
    </row>
    <row r="73" spans="1:9" x14ac:dyDescent="0.3">
      <c r="A73" s="1">
        <v>2</v>
      </c>
      <c r="B73" s="1">
        <v>1</v>
      </c>
      <c r="C73" s="1" t="s">
        <v>2</v>
      </c>
      <c r="D73" s="1" t="s">
        <v>0</v>
      </c>
      <c r="E73" s="1">
        <v>47</v>
      </c>
      <c r="F73" s="1" t="s">
        <v>1</v>
      </c>
      <c r="G73" s="1" t="s">
        <v>0</v>
      </c>
      <c r="H73" s="1">
        <v>33</v>
      </c>
      <c r="I73" s="1">
        <v>0</v>
      </c>
    </row>
    <row r="74" spans="1:9" x14ac:dyDescent="0.3">
      <c r="A74" s="1">
        <v>2</v>
      </c>
      <c r="B74" s="1">
        <v>1</v>
      </c>
      <c r="C74" s="1" t="s">
        <v>2</v>
      </c>
      <c r="D74" s="1" t="s">
        <v>0</v>
      </c>
      <c r="E74" s="1">
        <v>17</v>
      </c>
      <c r="F74" s="1" t="s">
        <v>1</v>
      </c>
      <c r="G74" s="1" t="s">
        <v>0</v>
      </c>
      <c r="H74" s="1">
        <v>20</v>
      </c>
      <c r="I74" s="1">
        <v>1</v>
      </c>
    </row>
    <row r="75" spans="1:9" x14ac:dyDescent="0.3">
      <c r="A75" s="1">
        <v>2</v>
      </c>
      <c r="B75" s="1">
        <v>1</v>
      </c>
      <c r="C75" s="1" t="s">
        <v>2</v>
      </c>
      <c r="D75" s="1" t="s">
        <v>0</v>
      </c>
      <c r="E75" s="1">
        <v>22</v>
      </c>
      <c r="F75" s="1" t="s">
        <v>1</v>
      </c>
      <c r="G75" s="1" t="s">
        <v>0</v>
      </c>
      <c r="H75" s="1">
        <v>37</v>
      </c>
      <c r="I75" s="1">
        <v>1</v>
      </c>
    </row>
    <row r="76" spans="1:9" x14ac:dyDescent="0.3">
      <c r="A76" s="1">
        <v>2</v>
      </c>
      <c r="B76" s="1">
        <v>1</v>
      </c>
      <c r="C76" s="1" t="s">
        <v>2</v>
      </c>
      <c r="D76" s="1" t="s">
        <v>0</v>
      </c>
      <c r="E76" s="1">
        <v>33</v>
      </c>
      <c r="F76" s="1" t="s">
        <v>1</v>
      </c>
      <c r="G76" s="1" t="s">
        <v>0</v>
      </c>
      <c r="H76" s="1">
        <v>15</v>
      </c>
      <c r="I76" s="1">
        <v>0</v>
      </c>
    </row>
    <row r="77" spans="1:9" x14ac:dyDescent="0.3">
      <c r="A77" s="1">
        <v>2</v>
      </c>
      <c r="B77" s="1">
        <v>1</v>
      </c>
      <c r="C77" s="1" t="s">
        <v>2</v>
      </c>
      <c r="D77" s="1" t="s">
        <v>0</v>
      </c>
      <c r="E77" s="1">
        <v>8</v>
      </c>
      <c r="F77" s="1" t="s">
        <v>1</v>
      </c>
      <c r="G77" s="1" t="s">
        <v>0</v>
      </c>
      <c r="H77" s="1">
        <v>37</v>
      </c>
      <c r="I77" s="1">
        <v>1</v>
      </c>
    </row>
    <row r="78" spans="1:9" x14ac:dyDescent="0.3">
      <c r="A78" s="1">
        <v>2</v>
      </c>
      <c r="B78" s="1">
        <v>1</v>
      </c>
      <c r="C78" s="1" t="s">
        <v>2</v>
      </c>
      <c r="D78" s="1" t="s">
        <v>0</v>
      </c>
      <c r="E78" s="1">
        <v>17</v>
      </c>
      <c r="F78" s="1" t="s">
        <v>1</v>
      </c>
      <c r="G78" s="1" t="s">
        <v>0</v>
      </c>
      <c r="H78" s="1">
        <v>44</v>
      </c>
      <c r="I78" s="1">
        <v>1</v>
      </c>
    </row>
    <row r="79" spans="1:9" x14ac:dyDescent="0.3">
      <c r="A79" s="1">
        <v>2</v>
      </c>
      <c r="B79" s="1">
        <v>1</v>
      </c>
      <c r="C79" s="1" t="s">
        <v>2</v>
      </c>
      <c r="D79" s="1" t="s">
        <v>0</v>
      </c>
      <c r="E79" s="1">
        <v>2</v>
      </c>
      <c r="F79" s="1" t="s">
        <v>1</v>
      </c>
      <c r="G79" s="1" t="s">
        <v>0</v>
      </c>
      <c r="H79" s="1">
        <v>32</v>
      </c>
      <c r="I79" s="1">
        <v>1</v>
      </c>
    </row>
    <row r="80" spans="1:9" x14ac:dyDescent="0.3">
      <c r="A80" s="1">
        <v>2</v>
      </c>
      <c r="B80" s="1">
        <v>1</v>
      </c>
      <c r="C80" s="1" t="s">
        <v>2</v>
      </c>
      <c r="D80" s="1" t="s">
        <v>0</v>
      </c>
      <c r="E80" s="1">
        <v>65</v>
      </c>
      <c r="F80" s="1" t="s">
        <v>1</v>
      </c>
      <c r="G80" s="1" t="s">
        <v>0</v>
      </c>
      <c r="H80" s="1">
        <v>9</v>
      </c>
      <c r="I80" s="1">
        <v>0</v>
      </c>
    </row>
    <row r="81" spans="1:9" x14ac:dyDescent="0.3">
      <c r="A81" s="1">
        <v>2</v>
      </c>
      <c r="B81" s="1">
        <v>1</v>
      </c>
      <c r="C81" s="1" t="s">
        <v>2</v>
      </c>
      <c r="D81" s="1" t="s">
        <v>0</v>
      </c>
      <c r="E81" s="1">
        <v>29</v>
      </c>
      <c r="F81" s="1" t="s">
        <v>1</v>
      </c>
      <c r="G81" s="1" t="s">
        <v>0</v>
      </c>
      <c r="H81" s="1">
        <v>37</v>
      </c>
      <c r="I81" s="1">
        <v>1</v>
      </c>
    </row>
    <row r="82" spans="1:9" x14ac:dyDescent="0.3">
      <c r="A82" s="1">
        <v>2</v>
      </c>
      <c r="B82" s="1">
        <v>1</v>
      </c>
      <c r="C82" s="1" t="s">
        <v>2</v>
      </c>
      <c r="D82" s="1" t="s">
        <v>0</v>
      </c>
      <c r="E82" s="1">
        <v>0</v>
      </c>
      <c r="F82" s="1" t="s">
        <v>1</v>
      </c>
      <c r="G82" s="1" t="s">
        <v>0</v>
      </c>
      <c r="H82" s="1">
        <v>4</v>
      </c>
      <c r="I82" s="1">
        <v>1</v>
      </c>
    </row>
    <row r="83" spans="1:9" x14ac:dyDescent="0.3">
      <c r="A83" s="1">
        <v>2</v>
      </c>
      <c r="B83" s="1">
        <v>1</v>
      </c>
      <c r="C83" s="1" t="s">
        <v>2</v>
      </c>
      <c r="D83" s="1" t="s">
        <v>0</v>
      </c>
      <c r="E83" s="1">
        <v>44</v>
      </c>
      <c r="F83" s="1" t="s">
        <v>1</v>
      </c>
      <c r="G83" s="1" t="s">
        <v>0</v>
      </c>
      <c r="H83" s="1">
        <v>9</v>
      </c>
      <c r="I83" s="1">
        <v>0</v>
      </c>
    </row>
    <row r="84" spans="1:9" x14ac:dyDescent="0.3">
      <c r="A84" s="1">
        <v>2</v>
      </c>
      <c r="B84" s="1">
        <v>1</v>
      </c>
      <c r="C84" s="1" t="s">
        <v>2</v>
      </c>
      <c r="D84" s="1" t="s">
        <v>0</v>
      </c>
      <c r="E84" s="1">
        <v>38</v>
      </c>
      <c r="F84" s="1" t="s">
        <v>1</v>
      </c>
      <c r="G84" s="1" t="s">
        <v>0</v>
      </c>
      <c r="H84" s="1">
        <v>0</v>
      </c>
      <c r="I84" s="1">
        <v>0</v>
      </c>
    </row>
    <row r="85" spans="1:9" x14ac:dyDescent="0.3">
      <c r="A85" s="1">
        <v>2</v>
      </c>
      <c r="B85" s="1">
        <v>1</v>
      </c>
      <c r="C85" s="1" t="s">
        <v>2</v>
      </c>
      <c r="D85" s="1" t="s">
        <v>0</v>
      </c>
      <c r="E85" s="1">
        <v>24</v>
      </c>
      <c r="F85" s="1" t="s">
        <v>1</v>
      </c>
      <c r="G85" s="1" t="s">
        <v>0</v>
      </c>
      <c r="H85" s="1">
        <v>0</v>
      </c>
      <c r="I85" s="1">
        <v>0</v>
      </c>
    </row>
    <row r="86" spans="1:9" x14ac:dyDescent="0.3">
      <c r="A86" s="1">
        <v>2</v>
      </c>
      <c r="B86" s="1">
        <v>1</v>
      </c>
      <c r="C86" s="1" t="s">
        <v>2</v>
      </c>
      <c r="D86" s="1" t="s">
        <v>0</v>
      </c>
      <c r="E86" s="1">
        <v>51</v>
      </c>
      <c r="F86" s="1" t="s">
        <v>1</v>
      </c>
      <c r="G86" s="1" t="s">
        <v>0</v>
      </c>
      <c r="H86" s="1">
        <v>34</v>
      </c>
      <c r="I86" s="1">
        <v>0</v>
      </c>
    </row>
    <row r="87" spans="1:9" x14ac:dyDescent="0.3">
      <c r="A87" s="1">
        <v>2</v>
      </c>
      <c r="B87" s="1">
        <v>1</v>
      </c>
      <c r="C87" s="1" t="s">
        <v>2</v>
      </c>
      <c r="D87" s="1" t="s">
        <v>0</v>
      </c>
      <c r="E87" s="1">
        <v>5</v>
      </c>
      <c r="F87" s="1" t="s">
        <v>1</v>
      </c>
      <c r="G87" s="1" t="s">
        <v>0</v>
      </c>
      <c r="H87" s="1">
        <v>29</v>
      </c>
      <c r="I87" s="1">
        <v>1</v>
      </c>
    </row>
    <row r="88" spans="1:9" x14ac:dyDescent="0.3">
      <c r="A88" s="1">
        <v>2</v>
      </c>
      <c r="B88" s="1">
        <v>1</v>
      </c>
      <c r="C88" s="1" t="s">
        <v>2</v>
      </c>
      <c r="D88" s="1" t="s">
        <v>0</v>
      </c>
      <c r="E88" s="1">
        <v>52</v>
      </c>
      <c r="F88" s="1" t="s">
        <v>1</v>
      </c>
      <c r="G88" s="1" t="s">
        <v>0</v>
      </c>
      <c r="H88" s="1">
        <v>51</v>
      </c>
      <c r="I88" s="1">
        <v>0</v>
      </c>
    </row>
    <row r="89" spans="1:9" x14ac:dyDescent="0.3">
      <c r="A89" s="1">
        <v>2</v>
      </c>
      <c r="B89" s="1">
        <v>1</v>
      </c>
      <c r="C89" s="1" t="s">
        <v>2</v>
      </c>
      <c r="D89" s="1" t="s">
        <v>0</v>
      </c>
      <c r="E89" s="1">
        <v>8</v>
      </c>
      <c r="F89" s="1" t="s">
        <v>1</v>
      </c>
      <c r="G89" s="1" t="s">
        <v>0</v>
      </c>
      <c r="H89" s="1">
        <v>5</v>
      </c>
      <c r="I89" s="1">
        <v>0</v>
      </c>
    </row>
    <row r="90" spans="1:9" x14ac:dyDescent="0.3">
      <c r="A90" s="1">
        <v>2</v>
      </c>
      <c r="B90" s="1">
        <v>1</v>
      </c>
      <c r="C90" s="1" t="s">
        <v>2</v>
      </c>
      <c r="D90" s="1" t="s">
        <v>0</v>
      </c>
      <c r="E90" s="1">
        <v>2</v>
      </c>
      <c r="F90" s="1" t="s">
        <v>1</v>
      </c>
      <c r="G90" s="1" t="s">
        <v>0</v>
      </c>
      <c r="H90" s="1">
        <v>34</v>
      </c>
      <c r="I90" s="1">
        <v>1</v>
      </c>
    </row>
    <row r="91" spans="1:9" x14ac:dyDescent="0.3">
      <c r="A91" s="1">
        <v>2</v>
      </c>
      <c r="B91" s="1">
        <v>1</v>
      </c>
      <c r="C91" s="1" t="s">
        <v>2</v>
      </c>
      <c r="D91" s="1" t="s">
        <v>0</v>
      </c>
      <c r="E91" s="1">
        <v>44</v>
      </c>
      <c r="F91" s="1" t="s">
        <v>1</v>
      </c>
      <c r="G91" s="1" t="s">
        <v>0</v>
      </c>
      <c r="H91" s="1">
        <v>14</v>
      </c>
      <c r="I91" s="1">
        <v>0</v>
      </c>
    </row>
    <row r="92" spans="1:9" x14ac:dyDescent="0.3">
      <c r="A92" s="1">
        <v>2</v>
      </c>
      <c r="B92" s="1">
        <v>1</v>
      </c>
      <c r="C92" s="1" t="s">
        <v>2</v>
      </c>
      <c r="D92" s="1" t="s">
        <v>0</v>
      </c>
      <c r="E92" s="1">
        <v>16</v>
      </c>
      <c r="F92" s="1" t="s">
        <v>1</v>
      </c>
      <c r="G92" s="1" t="s">
        <v>0</v>
      </c>
      <c r="H92" s="1">
        <v>13</v>
      </c>
      <c r="I92" s="1">
        <v>0</v>
      </c>
    </row>
    <row r="93" spans="1:9" x14ac:dyDescent="0.3">
      <c r="A93" s="1">
        <v>2</v>
      </c>
      <c r="B93" s="1">
        <v>1</v>
      </c>
      <c r="C93" s="1" t="s">
        <v>2</v>
      </c>
      <c r="D93" s="1" t="s">
        <v>0</v>
      </c>
      <c r="E93" s="1">
        <v>61</v>
      </c>
      <c r="F93" s="1" t="s">
        <v>1</v>
      </c>
      <c r="G93" s="1" t="s">
        <v>0</v>
      </c>
      <c r="H93" s="1">
        <v>9</v>
      </c>
      <c r="I93" s="1">
        <v>0</v>
      </c>
    </row>
    <row r="94" spans="1:9" x14ac:dyDescent="0.3">
      <c r="A94" s="1">
        <v>2</v>
      </c>
      <c r="B94" s="1">
        <v>1</v>
      </c>
      <c r="C94" s="1" t="s">
        <v>2</v>
      </c>
      <c r="D94" s="1" t="s">
        <v>0</v>
      </c>
      <c r="E94" s="1">
        <v>30</v>
      </c>
      <c r="F94" s="1" t="s">
        <v>1</v>
      </c>
      <c r="G94" s="1" t="s">
        <v>0</v>
      </c>
      <c r="H94" s="1">
        <v>22</v>
      </c>
      <c r="I94" s="1">
        <v>0</v>
      </c>
    </row>
    <row r="95" spans="1:9" x14ac:dyDescent="0.3">
      <c r="A95" s="1">
        <v>2</v>
      </c>
      <c r="B95" s="1">
        <v>1</v>
      </c>
      <c r="C95" s="1" t="s">
        <v>2</v>
      </c>
      <c r="D95" s="1" t="s">
        <v>0</v>
      </c>
      <c r="E95" s="1">
        <v>48</v>
      </c>
      <c r="F95" s="1" t="s">
        <v>1</v>
      </c>
      <c r="G95" s="1" t="s">
        <v>0</v>
      </c>
      <c r="H95" s="1">
        <v>16</v>
      </c>
      <c r="I95" s="1">
        <v>0</v>
      </c>
    </row>
    <row r="96" spans="1:9" x14ac:dyDescent="0.3">
      <c r="A96" s="1">
        <v>2</v>
      </c>
      <c r="B96" s="1">
        <v>1</v>
      </c>
      <c r="C96" s="1" t="s">
        <v>2</v>
      </c>
      <c r="D96" s="1" t="s">
        <v>0</v>
      </c>
      <c r="E96" s="1">
        <v>45</v>
      </c>
      <c r="F96" s="1" t="s">
        <v>1</v>
      </c>
      <c r="G96" s="1" t="s">
        <v>0</v>
      </c>
      <c r="H96" s="1">
        <v>55</v>
      </c>
      <c r="I96" s="1">
        <v>1</v>
      </c>
    </row>
    <row r="97" spans="1:9" x14ac:dyDescent="0.3">
      <c r="A97" s="1">
        <v>2</v>
      </c>
      <c r="B97" s="1">
        <v>1</v>
      </c>
      <c r="C97" s="1" t="s">
        <v>2</v>
      </c>
      <c r="D97" s="1" t="s">
        <v>0</v>
      </c>
      <c r="E97" s="1">
        <v>30</v>
      </c>
      <c r="F97" s="1" t="s">
        <v>1</v>
      </c>
      <c r="G97" s="1" t="s">
        <v>0</v>
      </c>
      <c r="H97" s="1">
        <v>34</v>
      </c>
      <c r="I97" s="1">
        <v>1</v>
      </c>
    </row>
    <row r="98" spans="1:9" x14ac:dyDescent="0.3">
      <c r="A98" s="1">
        <v>2</v>
      </c>
      <c r="B98" s="1">
        <v>1</v>
      </c>
      <c r="C98" s="1" t="s">
        <v>2</v>
      </c>
      <c r="D98" s="1" t="s">
        <v>0</v>
      </c>
      <c r="E98" s="1">
        <v>17</v>
      </c>
      <c r="F98" s="1" t="s">
        <v>1</v>
      </c>
      <c r="G98" s="1" t="s">
        <v>0</v>
      </c>
      <c r="H98" s="1">
        <v>24</v>
      </c>
      <c r="I98" s="1">
        <v>1</v>
      </c>
    </row>
    <row r="99" spans="1:9" x14ac:dyDescent="0.3">
      <c r="A99" s="1">
        <v>2</v>
      </c>
      <c r="B99" s="1">
        <v>1</v>
      </c>
      <c r="C99" s="1" t="s">
        <v>2</v>
      </c>
      <c r="D99" s="1" t="s">
        <v>0</v>
      </c>
      <c r="E99" s="1">
        <v>58</v>
      </c>
      <c r="F99" s="1" t="s">
        <v>1</v>
      </c>
      <c r="G99" s="1" t="s">
        <v>0</v>
      </c>
      <c r="H99" s="1">
        <v>2</v>
      </c>
      <c r="I99" s="1">
        <v>0</v>
      </c>
    </row>
    <row r="100" spans="1:9" x14ac:dyDescent="0.3">
      <c r="A100" s="1">
        <v>2</v>
      </c>
      <c r="B100" s="1">
        <v>1</v>
      </c>
      <c r="C100" s="1" t="s">
        <v>2</v>
      </c>
      <c r="D100" s="1" t="s">
        <v>0</v>
      </c>
      <c r="E100" s="1">
        <v>42</v>
      </c>
      <c r="F100" s="1" t="s">
        <v>1</v>
      </c>
      <c r="G100" s="1" t="s">
        <v>0</v>
      </c>
      <c r="H100" s="1">
        <v>30</v>
      </c>
      <c r="I100" s="1">
        <v>0</v>
      </c>
    </row>
  </sheetData>
  <mergeCells count="26">
    <mergeCell ref="M1:N2"/>
    <mergeCell ref="O1:P2"/>
    <mergeCell ref="Q1:R2"/>
    <mergeCell ref="K3:L4"/>
    <mergeCell ref="M3:N4"/>
    <mergeCell ref="O3:P4"/>
    <mergeCell ref="Q3:R4"/>
    <mergeCell ref="K5:L6"/>
    <mergeCell ref="M5:N6"/>
    <mergeCell ref="O5:P6"/>
    <mergeCell ref="Q5:R6"/>
    <mergeCell ref="M8:N9"/>
    <mergeCell ref="O8:P9"/>
    <mergeCell ref="Q8:R9"/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Aggregate</vt:lpstr>
      <vt:lpstr>BothMCTSAITime0.001s</vt:lpstr>
      <vt:lpstr>BothMCTSAITime0.002s</vt:lpstr>
      <vt:lpstr>BothMCTSAITime0.005s</vt:lpstr>
      <vt:lpstr>BothMCTSAITime0.01s</vt:lpstr>
      <vt:lpstr>BothMCTSAITime0.025s</vt:lpstr>
      <vt:lpstr>BothMCTSAITime0.05s</vt:lpstr>
      <vt:lpstr>BothMCTSAITime0.1s</vt:lpstr>
      <vt:lpstr>BothMCTSAITime0.2s</vt:lpstr>
      <vt:lpstr>BothMCTSAITime0.3s</vt:lpstr>
      <vt:lpstr>BothMCTSAITime0.4s</vt:lpstr>
      <vt:lpstr>BothMCTSAITime0.5s</vt:lpstr>
      <vt:lpstr>BothMCTSAITime0.6s</vt:lpstr>
      <vt:lpstr>BothMCTSAITime0.7s</vt:lpstr>
      <vt:lpstr>BothMCTSAITime0.8s</vt:lpstr>
      <vt:lpstr>BothMCTSAITime0.9s</vt:lpstr>
      <vt:lpstr>BothMCTSAITime1s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Augustinas Jarockis</dc:creator>
  <cp:lastModifiedBy>Augustinas Jarockis</cp:lastModifiedBy>
  <dcterms:created xsi:type="dcterms:W3CDTF">2015-06-05T18:17:20Z</dcterms:created>
  <dcterms:modified xsi:type="dcterms:W3CDTF">2026-01-18T17:18:54Z</dcterms:modified>
</cp:coreProperties>
</file>